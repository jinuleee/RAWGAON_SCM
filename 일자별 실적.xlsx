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awgaoncorp1-my.sharepoint.com/personal/francis_lee_rawgaon_com/Documents/바탕 화면/새 폴더/"/>
    </mc:Choice>
  </mc:AlternateContent>
  <xr:revisionPtr revIDLastSave="6" documentId="8_{18C65BE5-1F4B-473D-B47A-EF9FE1484CAE}" xr6:coauthVersionLast="47" xr6:coauthVersionMax="47" xr10:uidLastSave="{9349A6C9-4BAE-4E43-826B-32CBC85401A6}"/>
  <bookViews>
    <workbookView xWindow="-120" yWindow="-120" windowWidth="29040" windowHeight="15720" activeTab="1" xr2:uid="{6C94589D-1E5B-4F3B-87CF-6F4A203E62B3}"/>
  </bookViews>
  <sheets>
    <sheet name="매출요약" sheetId="2" r:id="rId1"/>
    <sheet name="재고내역" sheetId="4" r:id="rId2"/>
    <sheet name="출고요청서_raw" sheetId="3" r:id="rId3"/>
    <sheet name="SK스토아_raw" sheetId="7" r:id="rId4"/>
    <sheet name="RAW" sheetId="8" r:id="rId5"/>
  </sheets>
  <externalReferences>
    <externalReference r:id="rId6"/>
    <externalReference r:id="rId7"/>
  </externalReferences>
  <definedNames>
    <definedName name="_xlnm._FilterDatabase" localSheetId="4" hidden="1">RAW!$A$7:$AP$7</definedName>
    <definedName name="_xlnm._FilterDatabase" localSheetId="3" hidden="1">SK스토아_raw!$A$2:$AC$2</definedName>
    <definedName name="_xlnm._FilterDatabase" localSheetId="1" hidden="1">재고내역!$B$5:$P$6</definedName>
    <definedName name="_xlnm._FilterDatabase" localSheetId="2" hidden="1">출고요청서_raw!$A$3:$DI$699</definedName>
    <definedName name="ItemList">[1]제품기본정보!$A$1:$H$144</definedName>
    <definedName name="_xlnm.Print_Area" localSheetId="1">재고내역!$C$5:$N$6</definedName>
  </definedNames>
  <calcPr calcId="191028" calcCompleted="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G29" i="2"/>
  <c r="E29" i="2" s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30" i="2"/>
  <c r="E31" i="2"/>
  <c r="E32" i="2"/>
  <c r="E33" i="2"/>
  <c r="E34" i="2"/>
  <c r="E7" i="2"/>
  <c r="AM135" i="7"/>
  <c r="R66" i="2"/>
  <c r="Q66" i="2"/>
  <c r="P66" i="2"/>
  <c r="O66" i="2"/>
  <c r="N66" i="2"/>
  <c r="M66" i="2"/>
  <c r="L66" i="2"/>
  <c r="K66" i="2"/>
  <c r="J66" i="2"/>
  <c r="I66" i="2"/>
  <c r="R65" i="2"/>
  <c r="Q65" i="2"/>
  <c r="P65" i="2"/>
  <c r="O65" i="2"/>
  <c r="N65" i="2"/>
  <c r="M65" i="2"/>
  <c r="L65" i="2"/>
  <c r="K65" i="2"/>
  <c r="J65" i="2"/>
  <c r="I65" i="2"/>
  <c r="R64" i="2"/>
  <c r="Q64" i="2"/>
  <c r="P64" i="2"/>
  <c r="O64" i="2"/>
  <c r="N64" i="2"/>
  <c r="M64" i="2"/>
  <c r="L64" i="2"/>
  <c r="K64" i="2"/>
  <c r="J64" i="2"/>
  <c r="I64" i="2"/>
  <c r="R63" i="2"/>
  <c r="Q63" i="2"/>
  <c r="P63" i="2"/>
  <c r="O63" i="2"/>
  <c r="N63" i="2"/>
  <c r="M63" i="2"/>
  <c r="L63" i="2"/>
  <c r="K63" i="2"/>
  <c r="J63" i="2"/>
  <c r="I63" i="2"/>
  <c r="R62" i="2"/>
  <c r="Q62" i="2"/>
  <c r="P62" i="2"/>
  <c r="O62" i="2"/>
  <c r="N62" i="2"/>
  <c r="M62" i="2"/>
  <c r="L62" i="2"/>
  <c r="K62" i="2"/>
  <c r="J62" i="2"/>
  <c r="I62" i="2"/>
  <c r="R61" i="2"/>
  <c r="Q61" i="2"/>
  <c r="P61" i="2"/>
  <c r="O61" i="2"/>
  <c r="N61" i="2"/>
  <c r="M61" i="2"/>
  <c r="L61" i="2"/>
  <c r="K61" i="2"/>
  <c r="J61" i="2"/>
  <c r="I61" i="2"/>
  <c r="R60" i="2"/>
  <c r="Q60" i="2"/>
  <c r="P60" i="2"/>
  <c r="O60" i="2"/>
  <c r="N60" i="2"/>
  <c r="M60" i="2"/>
  <c r="L60" i="2"/>
  <c r="K60" i="2"/>
  <c r="J60" i="2"/>
  <c r="I60" i="2"/>
  <c r="R59" i="2"/>
  <c r="Q59" i="2"/>
  <c r="P59" i="2"/>
  <c r="O59" i="2"/>
  <c r="N59" i="2"/>
  <c r="M59" i="2"/>
  <c r="L59" i="2"/>
  <c r="K59" i="2"/>
  <c r="J59" i="2"/>
  <c r="I59" i="2"/>
  <c r="R58" i="2"/>
  <c r="Q58" i="2"/>
  <c r="P58" i="2"/>
  <c r="O58" i="2"/>
  <c r="N58" i="2"/>
  <c r="M58" i="2"/>
  <c r="L58" i="2"/>
  <c r="K58" i="2"/>
  <c r="J58" i="2"/>
  <c r="I58" i="2"/>
  <c r="R57" i="2"/>
  <c r="Q57" i="2"/>
  <c r="P57" i="2"/>
  <c r="O57" i="2"/>
  <c r="N57" i="2"/>
  <c r="M57" i="2"/>
  <c r="L57" i="2"/>
  <c r="K57" i="2"/>
  <c r="J57" i="2"/>
  <c r="I57" i="2"/>
  <c r="R56" i="2"/>
  <c r="Q56" i="2"/>
  <c r="P56" i="2"/>
  <c r="O56" i="2"/>
  <c r="N56" i="2"/>
  <c r="M56" i="2"/>
  <c r="L56" i="2"/>
  <c r="K56" i="2"/>
  <c r="J56" i="2"/>
  <c r="I56" i="2"/>
  <c r="R55" i="2"/>
  <c r="Q55" i="2"/>
  <c r="P55" i="2"/>
  <c r="O55" i="2"/>
  <c r="N55" i="2"/>
  <c r="M55" i="2"/>
  <c r="L55" i="2"/>
  <c r="K55" i="2"/>
  <c r="J55" i="2"/>
  <c r="I55" i="2"/>
  <c r="R54" i="2"/>
  <c r="Q54" i="2"/>
  <c r="P54" i="2"/>
  <c r="O54" i="2"/>
  <c r="N54" i="2"/>
  <c r="M54" i="2"/>
  <c r="L54" i="2"/>
  <c r="K54" i="2"/>
  <c r="J54" i="2"/>
  <c r="I54" i="2"/>
  <c r="R53" i="2"/>
  <c r="Q53" i="2"/>
  <c r="P53" i="2"/>
  <c r="O53" i="2"/>
  <c r="N53" i="2"/>
  <c r="M53" i="2"/>
  <c r="L53" i="2"/>
  <c r="K53" i="2"/>
  <c r="J53" i="2"/>
  <c r="I53" i="2"/>
  <c r="R52" i="2"/>
  <c r="Q52" i="2"/>
  <c r="P52" i="2"/>
  <c r="O52" i="2"/>
  <c r="N52" i="2"/>
  <c r="M52" i="2"/>
  <c r="L52" i="2"/>
  <c r="K52" i="2"/>
  <c r="J52" i="2"/>
  <c r="I52" i="2"/>
  <c r="R51" i="2"/>
  <c r="Q51" i="2"/>
  <c r="P51" i="2"/>
  <c r="O51" i="2"/>
  <c r="N51" i="2"/>
  <c r="M51" i="2"/>
  <c r="L51" i="2"/>
  <c r="K51" i="2"/>
  <c r="J51" i="2"/>
  <c r="I51" i="2"/>
  <c r="R50" i="2"/>
  <c r="Q50" i="2"/>
  <c r="P50" i="2"/>
  <c r="O50" i="2"/>
  <c r="N50" i="2"/>
  <c r="M50" i="2"/>
  <c r="L50" i="2"/>
  <c r="K50" i="2"/>
  <c r="J50" i="2"/>
  <c r="I50" i="2"/>
  <c r="R49" i="2"/>
  <c r="Q49" i="2"/>
  <c r="P49" i="2"/>
  <c r="O49" i="2"/>
  <c r="N49" i="2"/>
  <c r="M49" i="2"/>
  <c r="L49" i="2"/>
  <c r="K49" i="2"/>
  <c r="J49" i="2"/>
  <c r="I49" i="2"/>
  <c r="R48" i="2"/>
  <c r="Q48" i="2"/>
  <c r="P48" i="2"/>
  <c r="O48" i="2"/>
  <c r="N48" i="2"/>
  <c r="M48" i="2"/>
  <c r="L48" i="2"/>
  <c r="K48" i="2"/>
  <c r="J48" i="2"/>
  <c r="I48" i="2"/>
  <c r="R47" i="2"/>
  <c r="Q47" i="2"/>
  <c r="P47" i="2"/>
  <c r="O47" i="2"/>
  <c r="N47" i="2"/>
  <c r="M47" i="2"/>
  <c r="L47" i="2"/>
  <c r="K47" i="2"/>
  <c r="J47" i="2"/>
  <c r="I47" i="2"/>
  <c r="R46" i="2"/>
  <c r="Q46" i="2"/>
  <c r="P46" i="2"/>
  <c r="O46" i="2"/>
  <c r="N46" i="2"/>
  <c r="M46" i="2"/>
  <c r="L46" i="2"/>
  <c r="K46" i="2"/>
  <c r="J46" i="2"/>
  <c r="I46" i="2"/>
  <c r="R45" i="2"/>
  <c r="Q45" i="2"/>
  <c r="P45" i="2"/>
  <c r="O45" i="2"/>
  <c r="N45" i="2"/>
  <c r="M45" i="2"/>
  <c r="L45" i="2"/>
  <c r="K45" i="2"/>
  <c r="J45" i="2"/>
  <c r="I45" i="2"/>
  <c r="R44" i="2"/>
  <c r="Q44" i="2"/>
  <c r="P44" i="2"/>
  <c r="O44" i="2"/>
  <c r="N44" i="2"/>
  <c r="M44" i="2"/>
  <c r="L44" i="2"/>
  <c r="K44" i="2"/>
  <c r="J44" i="2"/>
  <c r="I44" i="2"/>
  <c r="R43" i="2"/>
  <c r="Q43" i="2"/>
  <c r="P43" i="2"/>
  <c r="O43" i="2"/>
  <c r="N43" i="2"/>
  <c r="M43" i="2"/>
  <c r="L43" i="2"/>
  <c r="K43" i="2"/>
  <c r="J43" i="2"/>
  <c r="I43" i="2"/>
  <c r="R42" i="2"/>
  <c r="Q42" i="2"/>
  <c r="P42" i="2"/>
  <c r="O42" i="2"/>
  <c r="N42" i="2"/>
  <c r="M42" i="2"/>
  <c r="L42" i="2"/>
  <c r="K42" i="2"/>
  <c r="J42" i="2"/>
  <c r="I42" i="2"/>
  <c r="R41" i="2"/>
  <c r="Q41" i="2"/>
  <c r="P41" i="2"/>
  <c r="O41" i="2"/>
  <c r="N41" i="2"/>
  <c r="M41" i="2"/>
  <c r="L41" i="2"/>
  <c r="K41" i="2"/>
  <c r="J41" i="2"/>
  <c r="I41" i="2"/>
  <c r="R40" i="2"/>
  <c r="Q40" i="2"/>
  <c r="P40" i="2"/>
  <c r="O40" i="2"/>
  <c r="N40" i="2"/>
  <c r="M40" i="2"/>
  <c r="L40" i="2"/>
  <c r="K40" i="2"/>
  <c r="J40" i="2"/>
  <c r="I40" i="2"/>
  <c r="R39" i="2"/>
  <c r="Q39" i="2"/>
  <c r="P39" i="2"/>
  <c r="O39" i="2"/>
  <c r="N39" i="2"/>
  <c r="M39" i="2"/>
  <c r="L39" i="2"/>
  <c r="K39" i="2"/>
  <c r="J39" i="2"/>
  <c r="I39" i="2"/>
  <c r="R38" i="2"/>
  <c r="Q38" i="2"/>
  <c r="P38" i="2"/>
  <c r="O38" i="2"/>
  <c r="N38" i="2"/>
  <c r="M38" i="2"/>
  <c r="L38" i="2"/>
  <c r="K38" i="2"/>
  <c r="J38" i="2"/>
  <c r="I38" i="2"/>
  <c r="R37" i="2"/>
  <c r="Q37" i="2"/>
  <c r="P37" i="2"/>
  <c r="O37" i="2"/>
  <c r="N37" i="2"/>
  <c r="M37" i="2"/>
  <c r="L37" i="2"/>
  <c r="K37" i="2"/>
  <c r="J37" i="2"/>
  <c r="I37" i="2"/>
  <c r="AA701" i="3"/>
  <c r="Z701" i="3"/>
  <c r="AB701" i="3" s="1"/>
  <c r="AC701" i="3" s="1"/>
  <c r="T702" i="3"/>
  <c r="T701" i="3"/>
  <c r="W702" i="3"/>
  <c r="U702" i="3"/>
  <c r="W701" i="3"/>
  <c r="U701" i="3"/>
  <c r="Y701" i="3" s="1"/>
  <c r="V5" i="3"/>
  <c r="T412" i="3"/>
  <c r="T7" i="3"/>
  <c r="T6" i="3"/>
  <c r="T5" i="3"/>
  <c r="AE690" i="3"/>
  <c r="AE649" i="3"/>
  <c r="Y691" i="3"/>
  <c r="AE691" i="3" s="1"/>
  <c r="Y690" i="3"/>
  <c r="Y689" i="3"/>
  <c r="Y649" i="3"/>
  <c r="Y685" i="3"/>
  <c r="AE685" i="3" s="1"/>
  <c r="V691" i="3"/>
  <c r="V690" i="3"/>
  <c r="V689" i="3"/>
  <c r="V685" i="3"/>
  <c r="V649" i="3"/>
  <c r="U691" i="3"/>
  <c r="U690" i="3"/>
  <c r="U689" i="3"/>
  <c r="U685" i="3"/>
  <c r="U649" i="3"/>
  <c r="AE689" i="3"/>
  <c r="AE7" i="3"/>
  <c r="AE6" i="3"/>
  <c r="AE5" i="3"/>
  <c r="T687" i="3"/>
  <c r="T10" i="3"/>
  <c r="T9" i="3"/>
  <c r="U8" i="3"/>
  <c r="T686" i="3"/>
  <c r="X283" i="3"/>
  <c r="X8" i="3"/>
  <c r="AE688" i="3"/>
  <c r="AE283" i="3"/>
  <c r="I73" i="2"/>
  <c r="Y412" i="3"/>
  <c r="X412" i="3" s="1"/>
  <c r="T684" i="3"/>
  <c r="U684" i="3" s="1"/>
  <c r="T8" i="3"/>
  <c r="U9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U283" i="3" s="1"/>
  <c r="T284" i="3"/>
  <c r="U284" i="3" s="1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U410" i="3" s="1"/>
  <c r="Y410" i="3" s="1"/>
  <c r="AE410" i="3" s="1"/>
  <c r="T411" i="3"/>
  <c r="U411" i="3" s="1"/>
  <c r="Y411" i="3" s="1"/>
  <c r="AE411" i="3" s="1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U592" i="3" s="1"/>
  <c r="Y592" i="3" s="1"/>
  <c r="AE592" i="3" s="1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U638" i="3" s="1"/>
  <c r="T639" i="3"/>
  <c r="U639" i="3" s="1"/>
  <c r="T640" i="3"/>
  <c r="U640" i="3" s="1"/>
  <c r="T641" i="3"/>
  <c r="T642" i="3"/>
  <c r="T643" i="3"/>
  <c r="T644" i="3"/>
  <c r="T645" i="3"/>
  <c r="T646" i="3"/>
  <c r="T647" i="3"/>
  <c r="T648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U686" i="3"/>
  <c r="U687" i="3"/>
  <c r="T688" i="3"/>
  <c r="U688" i="3" s="1"/>
  <c r="T692" i="3"/>
  <c r="T693" i="3"/>
  <c r="T694" i="3"/>
  <c r="T695" i="3"/>
  <c r="T696" i="3"/>
  <c r="T697" i="3"/>
  <c r="T698" i="3"/>
  <c r="T699" i="3"/>
  <c r="T700" i="3"/>
  <c r="T2" i="3" s="1"/>
  <c r="S10" i="3"/>
  <c r="AA281" i="3"/>
  <c r="U271" i="3"/>
  <c r="V271" i="3" s="1"/>
  <c r="U272" i="3"/>
  <c r="V272" i="3" s="1"/>
  <c r="U273" i="3"/>
  <c r="V273" i="3" s="1"/>
  <c r="U274" i="3"/>
  <c r="V274" i="3" s="1"/>
  <c r="U276" i="3"/>
  <c r="V276" i="3" s="1"/>
  <c r="U277" i="3"/>
  <c r="V277" i="3" s="1"/>
  <c r="U278" i="3"/>
  <c r="V278" i="3" s="1"/>
  <c r="U279" i="3"/>
  <c r="V279" i="3" s="1"/>
  <c r="U280" i="3"/>
  <c r="V280" i="3" s="1"/>
  <c r="U282" i="3"/>
  <c r="V282" i="3" s="1"/>
  <c r="U270" i="3"/>
  <c r="V270" i="3" s="1"/>
  <c r="U285" i="3"/>
  <c r="U286" i="3"/>
  <c r="U287" i="3"/>
  <c r="U288" i="3"/>
  <c r="U289" i="3"/>
  <c r="U290" i="3"/>
  <c r="U291" i="3"/>
  <c r="U292" i="3"/>
  <c r="V7" i="3"/>
  <c r="I77" i="2" l="1"/>
  <c r="AE412" i="3"/>
  <c r="G6" i="2"/>
  <c r="V701" i="3"/>
  <c r="Y702" i="3"/>
  <c r="V702" i="3"/>
  <c r="AA702" i="3"/>
  <c r="Z702" i="3"/>
  <c r="AE9" i="3"/>
  <c r="X9" i="3"/>
  <c r="AE8" i="3"/>
  <c r="V8" i="3"/>
  <c r="U10" i="3"/>
  <c r="S2" i="3"/>
  <c r="AB702" i="3" l="1"/>
  <c r="AC702" i="3" s="1"/>
  <c r="X10" i="3"/>
  <c r="AE10" i="3"/>
  <c r="U2" i="3"/>
  <c r="H2" i="4"/>
  <c r="L24" i="4"/>
  <c r="O24" i="4"/>
  <c r="N24" i="4"/>
  <c r="O18" i="4"/>
  <c r="AN6" i="7"/>
  <c r="O21" i="4"/>
  <c r="O22" i="4"/>
  <c r="O23" i="4"/>
  <c r="O17" i="4"/>
  <c r="O19" i="4"/>
  <c r="O20" i="4"/>
  <c r="O16" i="4"/>
  <c r="AL3" i="7" l="1"/>
  <c r="AM3" i="7"/>
  <c r="AN3" i="7"/>
  <c r="AO3" i="7"/>
  <c r="AP3" i="7"/>
  <c r="AL4" i="7"/>
  <c r="AO4" i="7" s="1"/>
  <c r="AP4" i="7" s="1"/>
  <c r="AM4" i="7"/>
  <c r="AN4" i="7"/>
  <c r="AL5" i="7"/>
  <c r="AO5" i="7" s="1"/>
  <c r="AP5" i="7" s="1"/>
  <c r="AM5" i="7"/>
  <c r="AN5" i="7"/>
  <c r="AL6" i="7"/>
  <c r="AO6" i="7" s="1"/>
  <c r="AP6" i="7" s="1"/>
  <c r="AM6" i="7"/>
  <c r="AL7" i="7"/>
  <c r="AO7" i="7" s="1"/>
  <c r="AP7" i="7" s="1"/>
  <c r="AM7" i="7"/>
  <c r="AN7" i="7"/>
  <c r="AL8" i="7"/>
  <c r="AO8" i="7" s="1"/>
  <c r="AP8" i="7" s="1"/>
  <c r="AM8" i="7"/>
  <c r="AN8" i="7"/>
  <c r="AL9" i="7"/>
  <c r="AO9" i="7" s="1"/>
  <c r="AP9" i="7" s="1"/>
  <c r="AM9" i="7"/>
  <c r="AN9" i="7"/>
  <c r="AL10" i="7"/>
  <c r="AM10" i="7"/>
  <c r="AN10" i="7"/>
  <c r="AO10" i="7"/>
  <c r="AP10" i="7" s="1"/>
  <c r="AQ10" i="7" s="1"/>
  <c r="AL11" i="7"/>
  <c r="AO11" i="7" s="1"/>
  <c r="AP11" i="7" s="1"/>
  <c r="AM11" i="7"/>
  <c r="AN11" i="7"/>
  <c r="AL12" i="7"/>
  <c r="AO12" i="7" s="1"/>
  <c r="AP12" i="7" s="1"/>
  <c r="AM12" i="7"/>
  <c r="AN12" i="7"/>
  <c r="AL13" i="7"/>
  <c r="AO13" i="7" s="1"/>
  <c r="AP13" i="7" s="1"/>
  <c r="AM13" i="7"/>
  <c r="AN13" i="7"/>
  <c r="AL14" i="7"/>
  <c r="AM14" i="7"/>
  <c r="AN14" i="7"/>
  <c r="AO14" i="7"/>
  <c r="AP14" i="7" s="1"/>
  <c r="AL15" i="7"/>
  <c r="AO15" i="7" s="1"/>
  <c r="AP15" i="7" s="1"/>
  <c r="AM15" i="7"/>
  <c r="AN15" i="7"/>
  <c r="AL16" i="7"/>
  <c r="AO16" i="7" s="1"/>
  <c r="AP16" i="7" s="1"/>
  <c r="AM16" i="7"/>
  <c r="AN16" i="7"/>
  <c r="AQ16" i="7" s="1"/>
  <c r="AL17" i="7"/>
  <c r="AM17" i="7"/>
  <c r="AN17" i="7"/>
  <c r="AO17" i="7"/>
  <c r="AP17" i="7" s="1"/>
  <c r="AQ17" i="7" s="1"/>
  <c r="AL18" i="7"/>
  <c r="AO18" i="7" s="1"/>
  <c r="AP18" i="7" s="1"/>
  <c r="AM18" i="7"/>
  <c r="AN18" i="7"/>
  <c r="AL19" i="7"/>
  <c r="AO19" i="7" s="1"/>
  <c r="AP19" i="7" s="1"/>
  <c r="AM19" i="7"/>
  <c r="AN19" i="7"/>
  <c r="AL20" i="7"/>
  <c r="AO20" i="7" s="1"/>
  <c r="AP20" i="7" s="1"/>
  <c r="AM20" i="7"/>
  <c r="AN20" i="7"/>
  <c r="AL21" i="7"/>
  <c r="AM21" i="7"/>
  <c r="AN21" i="7"/>
  <c r="AO21" i="7"/>
  <c r="AP21" i="7" s="1"/>
  <c r="AL22" i="7"/>
  <c r="AM22" i="7"/>
  <c r="AN22" i="7"/>
  <c r="AO22" i="7"/>
  <c r="AP22" i="7" s="1"/>
  <c r="AL23" i="7"/>
  <c r="AO23" i="7" s="1"/>
  <c r="AP23" i="7" s="1"/>
  <c r="AM23" i="7"/>
  <c r="AN23" i="7"/>
  <c r="AL24" i="7"/>
  <c r="AM24" i="7"/>
  <c r="AN24" i="7"/>
  <c r="AQ24" i="7" s="1"/>
  <c r="AO24" i="7"/>
  <c r="AP24" i="7" s="1"/>
  <c r="AL25" i="7"/>
  <c r="AO25" i="7" s="1"/>
  <c r="AP25" i="7" s="1"/>
  <c r="AM25" i="7"/>
  <c r="AN25" i="7"/>
  <c r="AL26" i="7"/>
  <c r="AO26" i="7" s="1"/>
  <c r="AP26" i="7" s="1"/>
  <c r="AM26" i="7"/>
  <c r="AN26" i="7"/>
  <c r="AL27" i="7"/>
  <c r="AM27" i="7"/>
  <c r="AN27" i="7"/>
  <c r="AO27" i="7"/>
  <c r="AP27" i="7" s="1"/>
  <c r="AL28" i="7"/>
  <c r="AO28" i="7" s="1"/>
  <c r="AP28" i="7" s="1"/>
  <c r="AM28" i="7"/>
  <c r="AN28" i="7"/>
  <c r="AL29" i="7"/>
  <c r="AO29" i="7" s="1"/>
  <c r="AP29" i="7" s="1"/>
  <c r="AM29" i="7"/>
  <c r="AN29" i="7"/>
  <c r="AL30" i="7"/>
  <c r="AO30" i="7" s="1"/>
  <c r="AP30" i="7" s="1"/>
  <c r="AQ30" i="7" s="1"/>
  <c r="AM30" i="7"/>
  <c r="AN30" i="7"/>
  <c r="AL31" i="7"/>
  <c r="AM31" i="7"/>
  <c r="AN31" i="7"/>
  <c r="AO31" i="7"/>
  <c r="AP31" i="7" s="1"/>
  <c r="AL32" i="7"/>
  <c r="AO32" i="7" s="1"/>
  <c r="AP32" i="7" s="1"/>
  <c r="AQ32" i="7" s="1"/>
  <c r="AM32" i="7"/>
  <c r="AN32" i="7"/>
  <c r="AL33" i="7"/>
  <c r="AO33" i="7" s="1"/>
  <c r="AP33" i="7" s="1"/>
  <c r="AM33" i="7"/>
  <c r="AN33" i="7"/>
  <c r="AL34" i="7"/>
  <c r="AO34" i="7" s="1"/>
  <c r="AP34" i="7" s="1"/>
  <c r="AM34" i="7"/>
  <c r="AN34" i="7"/>
  <c r="AL35" i="7"/>
  <c r="AO35" i="7" s="1"/>
  <c r="AP35" i="7" s="1"/>
  <c r="AM35" i="7"/>
  <c r="AN35" i="7"/>
  <c r="AL36" i="7"/>
  <c r="AO36" i="7" s="1"/>
  <c r="AP36" i="7" s="1"/>
  <c r="AQ36" i="7" s="1"/>
  <c r="AM36" i="7"/>
  <c r="AN36" i="7"/>
  <c r="AL37" i="7"/>
  <c r="AO37" i="7" s="1"/>
  <c r="AP37" i="7" s="1"/>
  <c r="AM37" i="7"/>
  <c r="AN37" i="7"/>
  <c r="AL38" i="7"/>
  <c r="AO38" i="7" s="1"/>
  <c r="AP38" i="7" s="1"/>
  <c r="AM38" i="7"/>
  <c r="AN38" i="7"/>
  <c r="AL39" i="7"/>
  <c r="AO39" i="7" s="1"/>
  <c r="AM39" i="7"/>
  <c r="AN39" i="7"/>
  <c r="AP39" i="7"/>
  <c r="AL40" i="7"/>
  <c r="AO40" i="7" s="1"/>
  <c r="AP40" i="7" s="1"/>
  <c r="AM40" i="7"/>
  <c r="AN40" i="7"/>
  <c r="AL41" i="7"/>
  <c r="AM41" i="7"/>
  <c r="AN41" i="7"/>
  <c r="AO41" i="7"/>
  <c r="AP41" i="7" s="1"/>
  <c r="AL42" i="7"/>
  <c r="AO42" i="7" s="1"/>
  <c r="AP42" i="7" s="1"/>
  <c r="AM42" i="7"/>
  <c r="AN42" i="7"/>
  <c r="AL43" i="7"/>
  <c r="AM43" i="7"/>
  <c r="AN43" i="7"/>
  <c r="AO43" i="7"/>
  <c r="AP43" i="7" s="1"/>
  <c r="AL44" i="7"/>
  <c r="AO44" i="7" s="1"/>
  <c r="AP44" i="7" s="1"/>
  <c r="AQ44" i="7" s="1"/>
  <c r="AM44" i="7"/>
  <c r="AN44" i="7"/>
  <c r="AL45" i="7"/>
  <c r="AO45" i="7" s="1"/>
  <c r="AP45" i="7" s="1"/>
  <c r="AM45" i="7"/>
  <c r="AN45" i="7"/>
  <c r="AL46" i="7"/>
  <c r="AO46" i="7" s="1"/>
  <c r="AP46" i="7" s="1"/>
  <c r="AM46" i="7"/>
  <c r="AN46" i="7"/>
  <c r="AL47" i="7"/>
  <c r="AO47" i="7" s="1"/>
  <c r="AP47" i="7" s="1"/>
  <c r="AM47" i="7"/>
  <c r="AN47" i="7"/>
  <c r="AL48" i="7"/>
  <c r="AO48" i="7" s="1"/>
  <c r="AP48" i="7" s="1"/>
  <c r="AM48" i="7"/>
  <c r="AN48" i="7"/>
  <c r="AQ48" i="7" s="1"/>
  <c r="AL49" i="7"/>
  <c r="AO49" i="7" s="1"/>
  <c r="AP49" i="7" s="1"/>
  <c r="AM49" i="7"/>
  <c r="AN49" i="7"/>
  <c r="AL50" i="7"/>
  <c r="AO50" i="7" s="1"/>
  <c r="AP50" i="7" s="1"/>
  <c r="AM50" i="7"/>
  <c r="AN50" i="7"/>
  <c r="AL51" i="7"/>
  <c r="AO51" i="7" s="1"/>
  <c r="AP51" i="7" s="1"/>
  <c r="AM51" i="7"/>
  <c r="AN51" i="7"/>
  <c r="AL52" i="7"/>
  <c r="AO52" i="7" s="1"/>
  <c r="AP52" i="7" s="1"/>
  <c r="AM52" i="7"/>
  <c r="AN52" i="7"/>
  <c r="AL53" i="7"/>
  <c r="AM53" i="7"/>
  <c r="AN53" i="7"/>
  <c r="AO53" i="7"/>
  <c r="AP53" i="7" s="1"/>
  <c r="AQ53" i="7" s="1"/>
  <c r="AL54" i="7"/>
  <c r="AO54" i="7" s="1"/>
  <c r="AP54" i="7" s="1"/>
  <c r="AM54" i="7"/>
  <c r="AN54" i="7"/>
  <c r="AL55" i="7"/>
  <c r="AO55" i="7" s="1"/>
  <c r="AP55" i="7" s="1"/>
  <c r="AM55" i="7"/>
  <c r="AN55" i="7"/>
  <c r="AL56" i="7"/>
  <c r="AM56" i="7"/>
  <c r="AN56" i="7"/>
  <c r="AO56" i="7"/>
  <c r="AP56" i="7" s="1"/>
  <c r="AL57" i="7"/>
  <c r="AM57" i="7"/>
  <c r="AN57" i="7"/>
  <c r="AO57" i="7"/>
  <c r="AP57" i="7" s="1"/>
  <c r="AL58" i="7"/>
  <c r="AO58" i="7" s="1"/>
  <c r="AP58" i="7" s="1"/>
  <c r="AM58" i="7"/>
  <c r="AN58" i="7"/>
  <c r="AL59" i="7"/>
  <c r="AM59" i="7"/>
  <c r="AN59" i="7"/>
  <c r="AO59" i="7"/>
  <c r="AP59" i="7" s="1"/>
  <c r="AL60" i="7"/>
  <c r="AM60" i="7"/>
  <c r="AN60" i="7"/>
  <c r="AO60" i="7"/>
  <c r="AP60" i="7" s="1"/>
  <c r="AL61" i="7"/>
  <c r="AO61" i="7" s="1"/>
  <c r="AP61" i="7" s="1"/>
  <c r="AM61" i="7"/>
  <c r="AN61" i="7"/>
  <c r="AL62" i="7"/>
  <c r="AM62" i="7"/>
  <c r="AN62" i="7"/>
  <c r="AO62" i="7"/>
  <c r="AP62" i="7" s="1"/>
  <c r="AL63" i="7"/>
  <c r="AO63" i="7" s="1"/>
  <c r="AP63" i="7" s="1"/>
  <c r="AM63" i="7"/>
  <c r="AN63" i="7"/>
  <c r="AL64" i="7"/>
  <c r="AO64" i="7" s="1"/>
  <c r="AP64" i="7" s="1"/>
  <c r="AM64" i="7"/>
  <c r="AN64" i="7"/>
  <c r="AL65" i="7"/>
  <c r="AM65" i="7"/>
  <c r="AN65" i="7"/>
  <c r="AO65" i="7"/>
  <c r="AP65" i="7" s="1"/>
  <c r="AL66" i="7"/>
  <c r="AO66" i="7" s="1"/>
  <c r="AM66" i="7"/>
  <c r="AN66" i="7"/>
  <c r="AP66" i="7"/>
  <c r="AL67" i="7"/>
  <c r="AO67" i="7" s="1"/>
  <c r="AP67" i="7" s="1"/>
  <c r="AM67" i="7"/>
  <c r="AN67" i="7"/>
  <c r="AL68" i="7"/>
  <c r="AO68" i="7" s="1"/>
  <c r="AP68" i="7" s="1"/>
  <c r="AM68" i="7"/>
  <c r="AN68" i="7"/>
  <c r="AL69" i="7"/>
  <c r="AM69" i="7"/>
  <c r="AN69" i="7"/>
  <c r="AO69" i="7"/>
  <c r="AP69" i="7" s="1"/>
  <c r="AL70" i="7"/>
  <c r="AM70" i="7"/>
  <c r="AN70" i="7"/>
  <c r="AO70" i="7"/>
  <c r="AP70" i="7" s="1"/>
  <c r="AL71" i="7"/>
  <c r="AO71" i="7" s="1"/>
  <c r="AP71" i="7" s="1"/>
  <c r="AM71" i="7"/>
  <c r="AN71" i="7"/>
  <c r="AL72" i="7"/>
  <c r="AO72" i="7" s="1"/>
  <c r="AP72" i="7" s="1"/>
  <c r="AM72" i="7"/>
  <c r="AN72" i="7"/>
  <c r="AL73" i="7"/>
  <c r="AM73" i="7"/>
  <c r="AN73" i="7"/>
  <c r="AO73" i="7"/>
  <c r="AP73" i="7" s="1"/>
  <c r="AL74" i="7"/>
  <c r="AM74" i="7"/>
  <c r="AN74" i="7"/>
  <c r="AO74" i="7"/>
  <c r="AP74" i="7" s="1"/>
  <c r="AL75" i="7"/>
  <c r="AO75" i="7" s="1"/>
  <c r="AP75" i="7" s="1"/>
  <c r="AM75" i="7"/>
  <c r="AN75" i="7"/>
  <c r="AL76" i="7"/>
  <c r="AO76" i="7" s="1"/>
  <c r="AP76" i="7" s="1"/>
  <c r="AM76" i="7"/>
  <c r="AN76" i="7"/>
  <c r="AL77" i="7"/>
  <c r="AO77" i="7" s="1"/>
  <c r="AP77" i="7" s="1"/>
  <c r="AM77" i="7"/>
  <c r="AN77" i="7"/>
  <c r="AL78" i="7"/>
  <c r="AO78" i="7" s="1"/>
  <c r="AP78" i="7" s="1"/>
  <c r="AM78" i="7"/>
  <c r="AN78" i="7"/>
  <c r="AL79" i="7"/>
  <c r="AM79" i="7"/>
  <c r="AN79" i="7"/>
  <c r="AQ79" i="7" s="1"/>
  <c r="AO79" i="7"/>
  <c r="AP79" i="7" s="1"/>
  <c r="AL80" i="7"/>
  <c r="AO80" i="7" s="1"/>
  <c r="AP80" i="7" s="1"/>
  <c r="AM80" i="7"/>
  <c r="AN80" i="7"/>
  <c r="AL81" i="7"/>
  <c r="AO81" i="7" s="1"/>
  <c r="AP81" i="7" s="1"/>
  <c r="AM81" i="7"/>
  <c r="AN81" i="7"/>
  <c r="AL82" i="7"/>
  <c r="AO82" i="7" s="1"/>
  <c r="AP82" i="7" s="1"/>
  <c r="AM82" i="7"/>
  <c r="AN82" i="7"/>
  <c r="AL83" i="7"/>
  <c r="AO83" i="7" s="1"/>
  <c r="AP83" i="7" s="1"/>
  <c r="AM83" i="7"/>
  <c r="AN83" i="7"/>
  <c r="AL84" i="7"/>
  <c r="AO84" i="7" s="1"/>
  <c r="AP84" i="7" s="1"/>
  <c r="AM84" i="7"/>
  <c r="AN84" i="7"/>
  <c r="AL85" i="7"/>
  <c r="AM85" i="7"/>
  <c r="AN85" i="7"/>
  <c r="AO85" i="7"/>
  <c r="AP85" i="7"/>
  <c r="AQ85" i="7" s="1"/>
  <c r="AL86" i="7"/>
  <c r="AO86" i="7" s="1"/>
  <c r="AP86" i="7" s="1"/>
  <c r="AM86" i="7"/>
  <c r="AN86" i="7"/>
  <c r="AL87" i="7"/>
  <c r="AO87" i="7" s="1"/>
  <c r="AP87" i="7" s="1"/>
  <c r="AM87" i="7"/>
  <c r="AN87" i="7"/>
  <c r="AL88" i="7"/>
  <c r="AO88" i="7" s="1"/>
  <c r="AM88" i="7"/>
  <c r="AN88" i="7"/>
  <c r="AP88" i="7"/>
  <c r="AL89" i="7"/>
  <c r="AO89" i="7" s="1"/>
  <c r="AP89" i="7" s="1"/>
  <c r="AM89" i="7"/>
  <c r="AN89" i="7"/>
  <c r="AL90" i="7"/>
  <c r="AO90" i="7" s="1"/>
  <c r="AP90" i="7" s="1"/>
  <c r="AM90" i="7"/>
  <c r="AN90" i="7"/>
  <c r="AL91" i="7"/>
  <c r="AO91" i="7" s="1"/>
  <c r="AP91" i="7" s="1"/>
  <c r="AM91" i="7"/>
  <c r="AN91" i="7"/>
  <c r="AL92" i="7"/>
  <c r="AO92" i="7" s="1"/>
  <c r="AP92" i="7" s="1"/>
  <c r="AM92" i="7"/>
  <c r="AN92" i="7"/>
  <c r="AL93" i="7"/>
  <c r="AM93" i="7"/>
  <c r="AN93" i="7"/>
  <c r="AO93" i="7"/>
  <c r="AP93" i="7" s="1"/>
  <c r="AL94" i="7"/>
  <c r="AO94" i="7" s="1"/>
  <c r="AP94" i="7" s="1"/>
  <c r="AM94" i="7"/>
  <c r="AN94" i="7"/>
  <c r="AL95" i="7"/>
  <c r="AO95" i="7" s="1"/>
  <c r="AP95" i="7" s="1"/>
  <c r="AQ95" i="7" s="1"/>
  <c r="AM95" i="7"/>
  <c r="AN95" i="7"/>
  <c r="AL96" i="7"/>
  <c r="AO96" i="7" s="1"/>
  <c r="AP96" i="7" s="1"/>
  <c r="AM96" i="7"/>
  <c r="AN96" i="7"/>
  <c r="AL97" i="7"/>
  <c r="AO97" i="7" s="1"/>
  <c r="AP97" i="7" s="1"/>
  <c r="AM97" i="7"/>
  <c r="AN97" i="7"/>
  <c r="AL98" i="7"/>
  <c r="AO98" i="7" s="1"/>
  <c r="AP98" i="7" s="1"/>
  <c r="AM98" i="7"/>
  <c r="AN98" i="7"/>
  <c r="AL99" i="7"/>
  <c r="AO99" i="7" s="1"/>
  <c r="AP99" i="7" s="1"/>
  <c r="AM99" i="7"/>
  <c r="AN99" i="7"/>
  <c r="AL100" i="7"/>
  <c r="AO100" i="7" s="1"/>
  <c r="AP100" i="7" s="1"/>
  <c r="AM100" i="7"/>
  <c r="AN100" i="7"/>
  <c r="AL101" i="7"/>
  <c r="AO101" i="7" s="1"/>
  <c r="AP101" i="7" s="1"/>
  <c r="AM101" i="7"/>
  <c r="AN101" i="7"/>
  <c r="AQ101" i="7"/>
  <c r="AL102" i="7"/>
  <c r="AO102" i="7" s="1"/>
  <c r="AP102" i="7" s="1"/>
  <c r="AM102" i="7"/>
  <c r="AN102" i="7"/>
  <c r="AL103" i="7"/>
  <c r="AO103" i="7" s="1"/>
  <c r="AP103" i="7" s="1"/>
  <c r="AM103" i="7"/>
  <c r="AN103" i="7"/>
  <c r="AL104" i="7"/>
  <c r="AO104" i="7" s="1"/>
  <c r="AP104" i="7" s="1"/>
  <c r="AQ104" i="7" s="1"/>
  <c r="AM104" i="7"/>
  <c r="AN104" i="7"/>
  <c r="AL105" i="7"/>
  <c r="AM105" i="7"/>
  <c r="AN105" i="7"/>
  <c r="AO105" i="7"/>
  <c r="AP105" i="7" s="1"/>
  <c r="AL106" i="7"/>
  <c r="AO106" i="7" s="1"/>
  <c r="AP106" i="7" s="1"/>
  <c r="AM106" i="7"/>
  <c r="AN106" i="7"/>
  <c r="AL107" i="7"/>
  <c r="AO107" i="7" s="1"/>
  <c r="AP107" i="7" s="1"/>
  <c r="AM107" i="7"/>
  <c r="AN107" i="7"/>
  <c r="AL108" i="7"/>
  <c r="AO108" i="7" s="1"/>
  <c r="AP108" i="7" s="1"/>
  <c r="AM108" i="7"/>
  <c r="AN108" i="7"/>
  <c r="AL109" i="7"/>
  <c r="AM109" i="7"/>
  <c r="AN109" i="7"/>
  <c r="AO109" i="7"/>
  <c r="AP109" i="7" s="1"/>
  <c r="AL110" i="7"/>
  <c r="AO110" i="7" s="1"/>
  <c r="AP110" i="7" s="1"/>
  <c r="AM110" i="7"/>
  <c r="AN110" i="7"/>
  <c r="AL111" i="7"/>
  <c r="AO111" i="7" s="1"/>
  <c r="AP111" i="7" s="1"/>
  <c r="AM111" i="7"/>
  <c r="AN111" i="7"/>
  <c r="AL112" i="7"/>
  <c r="AO112" i="7" s="1"/>
  <c r="AP112" i="7" s="1"/>
  <c r="AM112" i="7"/>
  <c r="AN112" i="7"/>
  <c r="AL113" i="7"/>
  <c r="AM113" i="7"/>
  <c r="AN113" i="7"/>
  <c r="AO113" i="7"/>
  <c r="AP113" i="7" s="1"/>
  <c r="AL114" i="7"/>
  <c r="AO114" i="7" s="1"/>
  <c r="AP114" i="7" s="1"/>
  <c r="AM114" i="7"/>
  <c r="AN114" i="7"/>
  <c r="AL115" i="7"/>
  <c r="AO115" i="7" s="1"/>
  <c r="AP115" i="7" s="1"/>
  <c r="AQ115" i="7" s="1"/>
  <c r="AM115" i="7"/>
  <c r="AN115" i="7"/>
  <c r="AL116" i="7"/>
  <c r="AO116" i="7" s="1"/>
  <c r="AP116" i="7" s="1"/>
  <c r="AM116" i="7"/>
  <c r="AN116" i="7"/>
  <c r="AL117" i="7"/>
  <c r="AO117" i="7" s="1"/>
  <c r="AP117" i="7" s="1"/>
  <c r="AM117" i="7"/>
  <c r="AN117" i="7"/>
  <c r="AL118" i="7"/>
  <c r="AO118" i="7" s="1"/>
  <c r="AP118" i="7" s="1"/>
  <c r="AM118" i="7"/>
  <c r="AN118" i="7"/>
  <c r="AL119" i="7"/>
  <c r="AO119" i="7" s="1"/>
  <c r="AP119" i="7" s="1"/>
  <c r="AM119" i="7"/>
  <c r="AN119" i="7"/>
  <c r="AL120" i="7"/>
  <c r="AM120" i="7"/>
  <c r="AN120" i="7"/>
  <c r="AO120" i="7"/>
  <c r="AP120" i="7" s="1"/>
  <c r="AL121" i="7"/>
  <c r="AM121" i="7"/>
  <c r="AN121" i="7"/>
  <c r="AQ121" i="7" s="1"/>
  <c r="AO121" i="7"/>
  <c r="AP121" i="7" s="1"/>
  <c r="AL122" i="7"/>
  <c r="AM122" i="7"/>
  <c r="AN122" i="7"/>
  <c r="AO122" i="7"/>
  <c r="AP122" i="7"/>
  <c r="AQ122" i="7" s="1"/>
  <c r="AL123" i="7"/>
  <c r="AO123" i="7" s="1"/>
  <c r="AP123" i="7" s="1"/>
  <c r="AM123" i="7"/>
  <c r="AN123" i="7"/>
  <c r="AL124" i="7"/>
  <c r="AO124" i="7" s="1"/>
  <c r="AP124" i="7" s="1"/>
  <c r="AM124" i="7"/>
  <c r="AN124" i="7"/>
  <c r="AL125" i="7"/>
  <c r="AO125" i="7" s="1"/>
  <c r="AP125" i="7" s="1"/>
  <c r="AM125" i="7"/>
  <c r="AN125" i="7"/>
  <c r="AL126" i="7"/>
  <c r="AO126" i="7" s="1"/>
  <c r="AP126" i="7" s="1"/>
  <c r="AM126" i="7"/>
  <c r="AN126" i="7"/>
  <c r="AL127" i="7"/>
  <c r="AO127" i="7" s="1"/>
  <c r="AP127" i="7" s="1"/>
  <c r="AQ127" i="7" s="1"/>
  <c r="AM127" i="7"/>
  <c r="AN127" i="7"/>
  <c r="AL128" i="7"/>
  <c r="AO128" i="7" s="1"/>
  <c r="AM128" i="7"/>
  <c r="AN128" i="7"/>
  <c r="AP128" i="7"/>
  <c r="AQ128" i="7" s="1"/>
  <c r="AL129" i="7"/>
  <c r="AO129" i="7" s="1"/>
  <c r="AP129" i="7" s="1"/>
  <c r="AM129" i="7"/>
  <c r="AN129" i="7"/>
  <c r="AL130" i="7"/>
  <c r="AO130" i="7" s="1"/>
  <c r="AP130" i="7" s="1"/>
  <c r="AM130" i="7"/>
  <c r="AN130" i="7"/>
  <c r="AL131" i="7"/>
  <c r="AO131" i="7" s="1"/>
  <c r="AP131" i="7" s="1"/>
  <c r="AM131" i="7"/>
  <c r="AN131" i="7"/>
  <c r="AL132" i="7"/>
  <c r="AO132" i="7" s="1"/>
  <c r="AP132" i="7" s="1"/>
  <c r="AM132" i="7"/>
  <c r="AN132" i="7"/>
  <c r="AQ132" i="7" s="1"/>
  <c r="AL133" i="7"/>
  <c r="AO133" i="7" s="1"/>
  <c r="AP133" i="7" s="1"/>
  <c r="AM133" i="7"/>
  <c r="AN133" i="7"/>
  <c r="AL134" i="7"/>
  <c r="AO134" i="7" s="1"/>
  <c r="AP134" i="7" s="1"/>
  <c r="AM134" i="7"/>
  <c r="AN134" i="7"/>
  <c r="AL135" i="7"/>
  <c r="AN135" i="7"/>
  <c r="AO135" i="7"/>
  <c r="AP135" i="7" s="1"/>
  <c r="AL136" i="7"/>
  <c r="AO136" i="7" s="1"/>
  <c r="AP136" i="7" s="1"/>
  <c r="AM136" i="7"/>
  <c r="AN136" i="7"/>
  <c r="AQ136" i="7" s="1"/>
  <c r="AL137" i="7"/>
  <c r="AO137" i="7" s="1"/>
  <c r="AM137" i="7"/>
  <c r="AN137" i="7"/>
  <c r="AP137" i="7"/>
  <c r="AL138" i="7"/>
  <c r="AO138" i="7" s="1"/>
  <c r="AP138" i="7" s="1"/>
  <c r="AM138" i="7"/>
  <c r="AN138" i="7"/>
  <c r="AL139" i="7"/>
  <c r="AO139" i="7" s="1"/>
  <c r="AP139" i="7" s="1"/>
  <c r="AM139" i="7"/>
  <c r="AN139" i="7"/>
  <c r="AL140" i="7"/>
  <c r="AO140" i="7" s="1"/>
  <c r="AP140" i="7" s="1"/>
  <c r="AM140" i="7"/>
  <c r="AN140" i="7"/>
  <c r="AL141" i="7"/>
  <c r="AO141" i="7" s="1"/>
  <c r="AP141" i="7" s="1"/>
  <c r="AM141" i="7"/>
  <c r="AN141" i="7"/>
  <c r="AL142" i="7"/>
  <c r="AO142" i="7" s="1"/>
  <c r="AP142" i="7" s="1"/>
  <c r="AM142" i="7"/>
  <c r="AN142" i="7"/>
  <c r="AL143" i="7"/>
  <c r="AM143" i="7"/>
  <c r="AN143" i="7"/>
  <c r="AO143" i="7"/>
  <c r="AP143" i="7"/>
  <c r="AQ143" i="7" s="1"/>
  <c r="AL144" i="7"/>
  <c r="AO144" i="7" s="1"/>
  <c r="AM144" i="7"/>
  <c r="AN144" i="7"/>
  <c r="AP144" i="7"/>
  <c r="AL145" i="7"/>
  <c r="AO145" i="7" s="1"/>
  <c r="AP145" i="7" s="1"/>
  <c r="AM145" i="7"/>
  <c r="AN145" i="7"/>
  <c r="AL146" i="7"/>
  <c r="AM146" i="7"/>
  <c r="AN146" i="7"/>
  <c r="AQ146" i="7" s="1"/>
  <c r="AO146" i="7"/>
  <c r="AP146" i="7" s="1"/>
  <c r="AL147" i="7"/>
  <c r="AO147" i="7" s="1"/>
  <c r="AP147" i="7" s="1"/>
  <c r="AM147" i="7"/>
  <c r="AN147" i="7"/>
  <c r="AL148" i="7"/>
  <c r="AO148" i="7" s="1"/>
  <c r="AP148" i="7" s="1"/>
  <c r="AM148" i="7"/>
  <c r="AN148" i="7"/>
  <c r="AL149" i="7"/>
  <c r="AO149" i="7" s="1"/>
  <c r="AP149" i="7" s="1"/>
  <c r="AM149" i="7"/>
  <c r="AN149" i="7"/>
  <c r="AL150" i="7"/>
  <c r="AM150" i="7"/>
  <c r="AN150" i="7"/>
  <c r="AO150" i="7"/>
  <c r="AP150" i="7" s="1"/>
  <c r="AQ150" i="7" s="1"/>
  <c r="AL151" i="7"/>
  <c r="AO151" i="7" s="1"/>
  <c r="AP151" i="7" s="1"/>
  <c r="AM151" i="7"/>
  <c r="AN151" i="7"/>
  <c r="AL152" i="7"/>
  <c r="AO152" i="7" s="1"/>
  <c r="AP152" i="7" s="1"/>
  <c r="AM152" i="7"/>
  <c r="AN152" i="7"/>
  <c r="AL153" i="7"/>
  <c r="AO153" i="7" s="1"/>
  <c r="AP153" i="7" s="1"/>
  <c r="AM153" i="7"/>
  <c r="AN153" i="7"/>
  <c r="AL154" i="7"/>
  <c r="AM154" i="7"/>
  <c r="AN154" i="7"/>
  <c r="AO154" i="7"/>
  <c r="AP154" i="7" s="1"/>
  <c r="AL155" i="7"/>
  <c r="AO155" i="7" s="1"/>
  <c r="AP155" i="7" s="1"/>
  <c r="AM155" i="7"/>
  <c r="AN155" i="7"/>
  <c r="AL156" i="7"/>
  <c r="AM156" i="7"/>
  <c r="AN156" i="7"/>
  <c r="AO156" i="7"/>
  <c r="AP156" i="7" s="1"/>
  <c r="AL157" i="7"/>
  <c r="AO157" i="7" s="1"/>
  <c r="AP157" i="7" s="1"/>
  <c r="AQ157" i="7" s="1"/>
  <c r="AM157" i="7"/>
  <c r="AN157" i="7"/>
  <c r="AL158" i="7"/>
  <c r="AO158" i="7" s="1"/>
  <c r="AP158" i="7" s="1"/>
  <c r="AM158" i="7"/>
  <c r="AN158" i="7"/>
  <c r="AL159" i="7"/>
  <c r="AO159" i="7" s="1"/>
  <c r="AP159" i="7" s="1"/>
  <c r="AM159" i="7"/>
  <c r="AN159" i="7"/>
  <c r="AL160" i="7"/>
  <c r="AM160" i="7"/>
  <c r="AN160" i="7"/>
  <c r="AO160" i="7"/>
  <c r="AP160" i="7" s="1"/>
  <c r="AL161" i="7"/>
  <c r="AO161" i="7" s="1"/>
  <c r="AP161" i="7" s="1"/>
  <c r="AM161" i="7"/>
  <c r="AN161" i="7"/>
  <c r="AL162" i="7"/>
  <c r="AO162" i="7" s="1"/>
  <c r="AP162" i="7" s="1"/>
  <c r="AM162" i="7"/>
  <c r="AN162" i="7"/>
  <c r="AL163" i="7"/>
  <c r="AO163" i="7" s="1"/>
  <c r="AP163" i="7" s="1"/>
  <c r="AM163" i="7"/>
  <c r="AN163" i="7"/>
  <c r="AL164" i="7"/>
  <c r="AM164" i="7"/>
  <c r="AN164" i="7"/>
  <c r="AO164" i="7"/>
  <c r="AP164" i="7" s="1"/>
  <c r="AQ164" i="7" s="1"/>
  <c r="AL165" i="7"/>
  <c r="AO165" i="7" s="1"/>
  <c r="AP165" i="7" s="1"/>
  <c r="AM165" i="7"/>
  <c r="AN165" i="7"/>
  <c r="AL166" i="7"/>
  <c r="AO166" i="7" s="1"/>
  <c r="AP166" i="7" s="1"/>
  <c r="AM166" i="7"/>
  <c r="AN166" i="7"/>
  <c r="AL167" i="7"/>
  <c r="AO167" i="7" s="1"/>
  <c r="AP167" i="7" s="1"/>
  <c r="AM167" i="7"/>
  <c r="AN167" i="7"/>
  <c r="AL168" i="7"/>
  <c r="AM168" i="7"/>
  <c r="AN168" i="7"/>
  <c r="AO168" i="7"/>
  <c r="AP168" i="7" s="1"/>
  <c r="AL169" i="7"/>
  <c r="AO169" i="7" s="1"/>
  <c r="AP169" i="7" s="1"/>
  <c r="AM169" i="7"/>
  <c r="AN169" i="7"/>
  <c r="AQ169" i="7" s="1"/>
  <c r="AL170" i="7"/>
  <c r="AM170" i="7"/>
  <c r="AN170" i="7"/>
  <c r="AO170" i="7"/>
  <c r="AP170" i="7" s="1"/>
  <c r="AL171" i="7"/>
  <c r="AO171" i="7" s="1"/>
  <c r="AP171" i="7" s="1"/>
  <c r="AM171" i="7"/>
  <c r="AN171" i="7"/>
  <c r="AL172" i="7"/>
  <c r="AM172" i="7"/>
  <c r="AN172" i="7"/>
  <c r="AO172" i="7"/>
  <c r="AP172" i="7"/>
  <c r="AQ172" i="7" s="1"/>
  <c r="AL173" i="7"/>
  <c r="AO173" i="7" s="1"/>
  <c r="AP173" i="7" s="1"/>
  <c r="AM173" i="7"/>
  <c r="AN173" i="7"/>
  <c r="AL174" i="7"/>
  <c r="AO174" i="7" s="1"/>
  <c r="AP174" i="7" s="1"/>
  <c r="AM174" i="7"/>
  <c r="AN174" i="7"/>
  <c r="AL175" i="7"/>
  <c r="AO175" i="7" s="1"/>
  <c r="AP175" i="7" s="1"/>
  <c r="AM175" i="7"/>
  <c r="AN175" i="7"/>
  <c r="AL176" i="7"/>
  <c r="AM176" i="7"/>
  <c r="AN176" i="7"/>
  <c r="AO176" i="7"/>
  <c r="AP176" i="7" s="1"/>
  <c r="AL177" i="7"/>
  <c r="AO177" i="7" s="1"/>
  <c r="AP177" i="7" s="1"/>
  <c r="AQ177" i="7" s="1"/>
  <c r="AM177" i="7"/>
  <c r="AN177" i="7"/>
  <c r="AL178" i="7"/>
  <c r="AO178" i="7" s="1"/>
  <c r="AP178" i="7" s="1"/>
  <c r="AM178" i="7"/>
  <c r="AN178" i="7"/>
  <c r="AL179" i="7"/>
  <c r="AO179" i="7" s="1"/>
  <c r="AP179" i="7" s="1"/>
  <c r="AM179" i="7"/>
  <c r="AN179" i="7"/>
  <c r="AL180" i="7"/>
  <c r="AO180" i="7" s="1"/>
  <c r="AP180" i="7" s="1"/>
  <c r="AM180" i="7"/>
  <c r="AN180" i="7"/>
  <c r="AL181" i="7"/>
  <c r="AO181" i="7" s="1"/>
  <c r="AP181" i="7" s="1"/>
  <c r="AM181" i="7"/>
  <c r="AN181" i="7"/>
  <c r="AQ181" i="7" s="1"/>
  <c r="AL182" i="7"/>
  <c r="AO182" i="7" s="1"/>
  <c r="AP182" i="7" s="1"/>
  <c r="AM182" i="7"/>
  <c r="AN182" i="7"/>
  <c r="AL183" i="7"/>
  <c r="AM183" i="7"/>
  <c r="AN183" i="7"/>
  <c r="AO183" i="7"/>
  <c r="AP183" i="7" s="1"/>
  <c r="AL184" i="7"/>
  <c r="AM184" i="7"/>
  <c r="AN184" i="7"/>
  <c r="AO184" i="7"/>
  <c r="AP184" i="7" s="1"/>
  <c r="AQ184" i="7" s="1"/>
  <c r="AL185" i="7"/>
  <c r="AO185" i="7" s="1"/>
  <c r="AP185" i="7" s="1"/>
  <c r="AM185" i="7"/>
  <c r="AN185" i="7"/>
  <c r="AL186" i="7"/>
  <c r="AO186" i="7" s="1"/>
  <c r="AP186" i="7" s="1"/>
  <c r="AM186" i="7"/>
  <c r="AN186" i="7"/>
  <c r="AL187" i="7"/>
  <c r="AO187" i="7" s="1"/>
  <c r="AP187" i="7" s="1"/>
  <c r="AM187" i="7"/>
  <c r="AN187" i="7"/>
  <c r="AL188" i="7"/>
  <c r="AO188" i="7" s="1"/>
  <c r="AP188" i="7" s="1"/>
  <c r="AM188" i="7"/>
  <c r="AN188" i="7"/>
  <c r="AQ188" i="7" s="1"/>
  <c r="AL189" i="7"/>
  <c r="AO189" i="7" s="1"/>
  <c r="AP189" i="7" s="1"/>
  <c r="AM189" i="7"/>
  <c r="AN189" i="7"/>
  <c r="AL190" i="7"/>
  <c r="AO190" i="7" s="1"/>
  <c r="AP190" i="7" s="1"/>
  <c r="AM190" i="7"/>
  <c r="AN190" i="7"/>
  <c r="AL191" i="7"/>
  <c r="AM191" i="7"/>
  <c r="AN191" i="7"/>
  <c r="AO191" i="7"/>
  <c r="AP191" i="7" s="1"/>
  <c r="AL192" i="7"/>
  <c r="AO192" i="7" s="1"/>
  <c r="AM192" i="7"/>
  <c r="AN192" i="7"/>
  <c r="AP192" i="7"/>
  <c r="AL193" i="7"/>
  <c r="AO193" i="7" s="1"/>
  <c r="AP193" i="7" s="1"/>
  <c r="AM193" i="7"/>
  <c r="AN193" i="7"/>
  <c r="AL194" i="7"/>
  <c r="AO194" i="7" s="1"/>
  <c r="AP194" i="7" s="1"/>
  <c r="AM194" i="7"/>
  <c r="AN194" i="7"/>
  <c r="AL195" i="7"/>
  <c r="AO195" i="7" s="1"/>
  <c r="AP195" i="7" s="1"/>
  <c r="AM195" i="7"/>
  <c r="AN195" i="7"/>
  <c r="AL196" i="7"/>
  <c r="AO196" i="7" s="1"/>
  <c r="AP196" i="7" s="1"/>
  <c r="AM196" i="7"/>
  <c r="AN196" i="7"/>
  <c r="AL197" i="7"/>
  <c r="AM197" i="7"/>
  <c r="AN197" i="7"/>
  <c r="AO197" i="7"/>
  <c r="AP197" i="7" s="1"/>
  <c r="AL198" i="7"/>
  <c r="AO198" i="7" s="1"/>
  <c r="AP198" i="7" s="1"/>
  <c r="AM198" i="7"/>
  <c r="AN198" i="7"/>
  <c r="AL199" i="7"/>
  <c r="AM199" i="7"/>
  <c r="AN199" i="7"/>
  <c r="AO199" i="7"/>
  <c r="AP199" i="7" s="1"/>
  <c r="AL200" i="7"/>
  <c r="AM200" i="7"/>
  <c r="AN200" i="7"/>
  <c r="AO200" i="7"/>
  <c r="AP200" i="7" s="1"/>
  <c r="AL201" i="7"/>
  <c r="AO201" i="7" s="1"/>
  <c r="AP201" i="7" s="1"/>
  <c r="AM201" i="7"/>
  <c r="AN201" i="7"/>
  <c r="AL202" i="7"/>
  <c r="AM202" i="7"/>
  <c r="AN202" i="7"/>
  <c r="AO202" i="7"/>
  <c r="AP202" i="7" s="1"/>
  <c r="AL203" i="7"/>
  <c r="AO203" i="7" s="1"/>
  <c r="AP203" i="7" s="1"/>
  <c r="AM203" i="7"/>
  <c r="AN203" i="7"/>
  <c r="AL204" i="7"/>
  <c r="AO204" i="7" s="1"/>
  <c r="AP204" i="7" s="1"/>
  <c r="AM204" i="7"/>
  <c r="AN204" i="7"/>
  <c r="AL205" i="7"/>
  <c r="AO205" i="7" s="1"/>
  <c r="AP205" i="7" s="1"/>
  <c r="AM205" i="7"/>
  <c r="AN205" i="7"/>
  <c r="AL206" i="7"/>
  <c r="AM206" i="7"/>
  <c r="AN206" i="7"/>
  <c r="AO206" i="7"/>
  <c r="AP206" i="7" s="1"/>
  <c r="AL207" i="7"/>
  <c r="AO207" i="7" s="1"/>
  <c r="AP207" i="7" s="1"/>
  <c r="AM207" i="7"/>
  <c r="AN207" i="7"/>
  <c r="AL208" i="7"/>
  <c r="AO208" i="7" s="1"/>
  <c r="AP208" i="7" s="1"/>
  <c r="AM208" i="7"/>
  <c r="AN208" i="7"/>
  <c r="AL209" i="7"/>
  <c r="AO209" i="7" s="1"/>
  <c r="AP209" i="7" s="1"/>
  <c r="AM209" i="7"/>
  <c r="AN209" i="7"/>
  <c r="AL210" i="7"/>
  <c r="AM210" i="7"/>
  <c r="AN210" i="7"/>
  <c r="AO210" i="7"/>
  <c r="AP210" i="7" s="1"/>
  <c r="AL211" i="7"/>
  <c r="AO211" i="7" s="1"/>
  <c r="AP211" i="7" s="1"/>
  <c r="AM211" i="7"/>
  <c r="AN211" i="7"/>
  <c r="AL212" i="7"/>
  <c r="AM212" i="7"/>
  <c r="AN212" i="7"/>
  <c r="AO212" i="7"/>
  <c r="AP212" i="7" s="1"/>
  <c r="AL213" i="7"/>
  <c r="AO213" i="7" s="1"/>
  <c r="AP213" i="7" s="1"/>
  <c r="AQ213" i="7" s="1"/>
  <c r="AM213" i="7"/>
  <c r="AN213" i="7"/>
  <c r="AL214" i="7"/>
  <c r="AO214" i="7" s="1"/>
  <c r="AP214" i="7" s="1"/>
  <c r="AM214" i="7"/>
  <c r="AN214" i="7"/>
  <c r="AL215" i="7"/>
  <c r="AO215" i="7" s="1"/>
  <c r="AP215" i="7" s="1"/>
  <c r="AM215" i="7"/>
  <c r="AN215" i="7"/>
  <c r="AL216" i="7"/>
  <c r="AM216" i="7"/>
  <c r="AN216" i="7"/>
  <c r="AO216" i="7"/>
  <c r="AP216" i="7" s="1"/>
  <c r="AL217" i="7"/>
  <c r="AO217" i="7" s="1"/>
  <c r="AP217" i="7" s="1"/>
  <c r="AM217" i="7"/>
  <c r="AN217" i="7"/>
  <c r="AL218" i="7"/>
  <c r="AO218" i="7" s="1"/>
  <c r="AP218" i="7" s="1"/>
  <c r="AM218" i="7"/>
  <c r="AN218" i="7"/>
  <c r="AQ218" i="7" s="1"/>
  <c r="AL219" i="7"/>
  <c r="AM219" i="7"/>
  <c r="AN219" i="7"/>
  <c r="AO219" i="7"/>
  <c r="AP219" i="7" s="1"/>
  <c r="AL220" i="7"/>
  <c r="AO220" i="7" s="1"/>
  <c r="AP220" i="7" s="1"/>
  <c r="AM220" i="7"/>
  <c r="AN220" i="7"/>
  <c r="AQ220" i="7" s="1"/>
  <c r="AL221" i="7"/>
  <c r="AM221" i="7"/>
  <c r="AN221" i="7"/>
  <c r="AO221" i="7"/>
  <c r="AP221" i="7" s="1"/>
  <c r="AL222" i="7"/>
  <c r="AO222" i="7" s="1"/>
  <c r="AP222" i="7" s="1"/>
  <c r="AM222" i="7"/>
  <c r="AN222" i="7"/>
  <c r="AL223" i="7"/>
  <c r="AO223" i="7" s="1"/>
  <c r="AP223" i="7" s="1"/>
  <c r="AM223" i="7"/>
  <c r="AN223" i="7"/>
  <c r="AL224" i="7"/>
  <c r="AO224" i="7" s="1"/>
  <c r="AP224" i="7" s="1"/>
  <c r="AM224" i="7"/>
  <c r="AN224" i="7"/>
  <c r="AL225" i="7"/>
  <c r="AO225" i="7" s="1"/>
  <c r="AP225" i="7" s="1"/>
  <c r="AM225" i="7"/>
  <c r="AN225" i="7"/>
  <c r="AL226" i="7"/>
  <c r="AO226" i="7" s="1"/>
  <c r="AP226" i="7" s="1"/>
  <c r="AM226" i="7"/>
  <c r="AN226" i="7"/>
  <c r="AL227" i="7"/>
  <c r="AO227" i="7" s="1"/>
  <c r="AM227" i="7"/>
  <c r="AN227" i="7"/>
  <c r="AP227" i="7"/>
  <c r="AQ227" i="7" s="1"/>
  <c r="AL228" i="7"/>
  <c r="AO228" i="7" s="1"/>
  <c r="AP228" i="7" s="1"/>
  <c r="AM228" i="7"/>
  <c r="AN228" i="7"/>
  <c r="AL229" i="7"/>
  <c r="AO229" i="7" s="1"/>
  <c r="AP229" i="7" s="1"/>
  <c r="AM229" i="7"/>
  <c r="AN229" i="7"/>
  <c r="AL230" i="7"/>
  <c r="AO230" i="7" s="1"/>
  <c r="AP230" i="7" s="1"/>
  <c r="AM230" i="7"/>
  <c r="AN230" i="7"/>
  <c r="AL231" i="7"/>
  <c r="AO231" i="7" s="1"/>
  <c r="AP231" i="7" s="1"/>
  <c r="AM231" i="7"/>
  <c r="AN231" i="7"/>
  <c r="AL232" i="7"/>
  <c r="AO232" i="7" s="1"/>
  <c r="AP232" i="7" s="1"/>
  <c r="AM232" i="7"/>
  <c r="AN232" i="7"/>
  <c r="AL233" i="7"/>
  <c r="AM233" i="7"/>
  <c r="AN233" i="7"/>
  <c r="AO233" i="7"/>
  <c r="AP233" i="7" s="1"/>
  <c r="AL234" i="7"/>
  <c r="AO234" i="7" s="1"/>
  <c r="AP234" i="7" s="1"/>
  <c r="AM234" i="7"/>
  <c r="AN234" i="7"/>
  <c r="AL235" i="7"/>
  <c r="AO235" i="7" s="1"/>
  <c r="AP235" i="7" s="1"/>
  <c r="AM235" i="7"/>
  <c r="AN235" i="7"/>
  <c r="AQ235" i="7"/>
  <c r="AL236" i="7"/>
  <c r="AO236" i="7" s="1"/>
  <c r="AP236" i="7" s="1"/>
  <c r="AM236" i="7"/>
  <c r="AN236" i="7"/>
  <c r="AL237" i="7"/>
  <c r="AO237" i="7" s="1"/>
  <c r="AP237" i="7" s="1"/>
  <c r="AM237" i="7"/>
  <c r="AN237" i="7"/>
  <c r="AL238" i="7"/>
  <c r="AO238" i="7" s="1"/>
  <c r="AP238" i="7" s="1"/>
  <c r="AM238" i="7"/>
  <c r="AN238" i="7"/>
  <c r="AL239" i="7"/>
  <c r="AM239" i="7"/>
  <c r="AN239" i="7"/>
  <c r="AO239" i="7"/>
  <c r="AP239" i="7" s="1"/>
  <c r="AL240" i="7"/>
  <c r="AO240" i="7" s="1"/>
  <c r="AP240" i="7" s="1"/>
  <c r="AM240" i="7"/>
  <c r="AN240" i="7"/>
  <c r="AL241" i="7"/>
  <c r="AO241" i="7" s="1"/>
  <c r="AP241" i="7" s="1"/>
  <c r="AM241" i="7"/>
  <c r="AN241" i="7"/>
  <c r="AL242" i="7"/>
  <c r="AO242" i="7" s="1"/>
  <c r="AP242" i="7" s="1"/>
  <c r="AM242" i="7"/>
  <c r="AN242" i="7"/>
  <c r="AL243" i="7"/>
  <c r="AO243" i="7" s="1"/>
  <c r="AP243" i="7" s="1"/>
  <c r="AM243" i="7"/>
  <c r="AN243" i="7"/>
  <c r="AL244" i="7"/>
  <c r="AM244" i="7"/>
  <c r="AN244" i="7"/>
  <c r="AO244" i="7"/>
  <c r="AP244" i="7" s="1"/>
  <c r="AL245" i="7"/>
  <c r="AO245" i="7" s="1"/>
  <c r="AP245" i="7" s="1"/>
  <c r="AM245" i="7"/>
  <c r="AN245" i="7"/>
  <c r="AL246" i="7"/>
  <c r="AM246" i="7"/>
  <c r="AN246" i="7"/>
  <c r="AO246" i="7"/>
  <c r="AP246" i="7" s="1"/>
  <c r="AL247" i="7"/>
  <c r="AM247" i="7"/>
  <c r="AN247" i="7"/>
  <c r="AO247" i="7"/>
  <c r="AP247" i="7"/>
  <c r="AL248" i="7"/>
  <c r="AO248" i="7" s="1"/>
  <c r="AP248" i="7" s="1"/>
  <c r="AM248" i="7"/>
  <c r="AN248" i="7"/>
  <c r="AL249" i="7"/>
  <c r="AO249" i="7" s="1"/>
  <c r="AP249" i="7" s="1"/>
  <c r="AM249" i="7"/>
  <c r="AN249" i="7"/>
  <c r="AL250" i="7"/>
  <c r="AO250" i="7" s="1"/>
  <c r="AP250" i="7" s="1"/>
  <c r="AM250" i="7"/>
  <c r="AN250" i="7"/>
  <c r="AL251" i="7"/>
  <c r="AO251" i="7" s="1"/>
  <c r="AP251" i="7" s="1"/>
  <c r="AM251" i="7"/>
  <c r="AN251" i="7"/>
  <c r="AQ251" i="7" s="1"/>
  <c r="AL252" i="7"/>
  <c r="AO252" i="7" s="1"/>
  <c r="AP252" i="7" s="1"/>
  <c r="AM252" i="7"/>
  <c r="AN252" i="7"/>
  <c r="AL253" i="7"/>
  <c r="AO253" i="7" s="1"/>
  <c r="AP253" i="7" s="1"/>
  <c r="AM253" i="7"/>
  <c r="AN253" i="7"/>
  <c r="AL254" i="7"/>
  <c r="AM254" i="7"/>
  <c r="AN254" i="7"/>
  <c r="AO254" i="7"/>
  <c r="AP254" i="7" s="1"/>
  <c r="AL255" i="7"/>
  <c r="AM255" i="7"/>
  <c r="AN255" i="7"/>
  <c r="AO255" i="7"/>
  <c r="AP255" i="7" s="1"/>
  <c r="AL256" i="7"/>
  <c r="AO256" i="7" s="1"/>
  <c r="AP256" i="7" s="1"/>
  <c r="AM256" i="7"/>
  <c r="AN256" i="7"/>
  <c r="AL257" i="7"/>
  <c r="AO257" i="7" s="1"/>
  <c r="AP257" i="7" s="1"/>
  <c r="AM257" i="7"/>
  <c r="AN257" i="7"/>
  <c r="AL258" i="7"/>
  <c r="AO258" i="7" s="1"/>
  <c r="AP258" i="7" s="1"/>
  <c r="AM258" i="7"/>
  <c r="AN258" i="7"/>
  <c r="AQ258" i="7" s="1"/>
  <c r="AL259" i="7"/>
  <c r="AM259" i="7"/>
  <c r="AN259" i="7"/>
  <c r="AO259" i="7"/>
  <c r="AP259" i="7" s="1"/>
  <c r="AL260" i="7"/>
  <c r="AO260" i="7" s="1"/>
  <c r="AP260" i="7" s="1"/>
  <c r="AM260" i="7"/>
  <c r="AN260" i="7"/>
  <c r="AL261" i="7"/>
  <c r="AO261" i="7" s="1"/>
  <c r="AP261" i="7" s="1"/>
  <c r="AM261" i="7"/>
  <c r="AN261" i="7"/>
  <c r="AL262" i="7"/>
  <c r="AO262" i="7" s="1"/>
  <c r="AP262" i="7" s="1"/>
  <c r="AM262" i="7"/>
  <c r="AN262" i="7"/>
  <c r="AL263" i="7"/>
  <c r="AO263" i="7" s="1"/>
  <c r="AP263" i="7" s="1"/>
  <c r="AM263" i="7"/>
  <c r="AN263" i="7"/>
  <c r="AL264" i="7"/>
  <c r="AO264" i="7" s="1"/>
  <c r="AP264" i="7" s="1"/>
  <c r="AM264" i="7"/>
  <c r="AN264" i="7"/>
  <c r="AL265" i="7"/>
  <c r="AO265" i="7" s="1"/>
  <c r="AP265" i="7" s="1"/>
  <c r="AM265" i="7"/>
  <c r="AN265" i="7"/>
  <c r="AL266" i="7"/>
  <c r="AO266" i="7" s="1"/>
  <c r="AP266" i="7" s="1"/>
  <c r="AM266" i="7"/>
  <c r="AN266" i="7"/>
  <c r="AL267" i="7"/>
  <c r="AM267" i="7"/>
  <c r="AN267" i="7"/>
  <c r="AO267" i="7"/>
  <c r="AP267" i="7" s="1"/>
  <c r="AL268" i="7"/>
  <c r="AO268" i="7" s="1"/>
  <c r="AP268" i="7" s="1"/>
  <c r="AM268" i="7"/>
  <c r="AN268" i="7"/>
  <c r="AL269" i="7"/>
  <c r="AO269" i="7" s="1"/>
  <c r="AP269" i="7" s="1"/>
  <c r="AM269" i="7"/>
  <c r="AN269" i="7"/>
  <c r="AL270" i="7"/>
  <c r="AO270" i="7" s="1"/>
  <c r="AP270" i="7" s="1"/>
  <c r="AM270" i="7"/>
  <c r="AN270" i="7"/>
  <c r="AL271" i="7"/>
  <c r="AO271" i="7" s="1"/>
  <c r="AP271" i="7" s="1"/>
  <c r="AM271" i="7"/>
  <c r="AN271" i="7"/>
  <c r="AL272" i="7"/>
  <c r="AO272" i="7" s="1"/>
  <c r="AP272" i="7" s="1"/>
  <c r="AM272" i="7"/>
  <c r="AN272" i="7"/>
  <c r="AL273" i="7"/>
  <c r="AO273" i="7" s="1"/>
  <c r="AP273" i="7" s="1"/>
  <c r="AM273" i="7"/>
  <c r="AN273" i="7"/>
  <c r="AL274" i="7"/>
  <c r="AO274" i="7" s="1"/>
  <c r="AP274" i="7" s="1"/>
  <c r="AM274" i="7"/>
  <c r="AN274" i="7"/>
  <c r="AL275" i="7"/>
  <c r="AO275" i="7" s="1"/>
  <c r="AP275" i="7" s="1"/>
  <c r="AM275" i="7"/>
  <c r="AN275" i="7"/>
  <c r="AL276" i="7"/>
  <c r="AM276" i="7"/>
  <c r="AN276" i="7"/>
  <c r="AO276" i="7"/>
  <c r="AP276" i="7"/>
  <c r="AQ276" i="7" s="1"/>
  <c r="AL277" i="7"/>
  <c r="AO277" i="7" s="1"/>
  <c r="AP277" i="7" s="1"/>
  <c r="AM277" i="7"/>
  <c r="AN277" i="7"/>
  <c r="AL278" i="7"/>
  <c r="AO278" i="7" s="1"/>
  <c r="AP278" i="7" s="1"/>
  <c r="AM278" i="7"/>
  <c r="AN278" i="7"/>
  <c r="AL279" i="7"/>
  <c r="AO279" i="7" s="1"/>
  <c r="AP279" i="7" s="1"/>
  <c r="AM279" i="7"/>
  <c r="AN279" i="7"/>
  <c r="AL280" i="7"/>
  <c r="AO280" i="7" s="1"/>
  <c r="AP280" i="7" s="1"/>
  <c r="AM280" i="7"/>
  <c r="AN280" i="7"/>
  <c r="AL281" i="7"/>
  <c r="AO281" i="7" s="1"/>
  <c r="AP281" i="7" s="1"/>
  <c r="AM281" i="7"/>
  <c r="AN281" i="7"/>
  <c r="AL282" i="7"/>
  <c r="AM282" i="7"/>
  <c r="AN282" i="7"/>
  <c r="AO282" i="7"/>
  <c r="AP282" i="7"/>
  <c r="AQ282" i="7" s="1"/>
  <c r="AL283" i="7"/>
  <c r="AM283" i="7"/>
  <c r="AN283" i="7"/>
  <c r="AO283" i="7"/>
  <c r="AP283" i="7" s="1"/>
  <c r="AL284" i="7"/>
  <c r="AO284" i="7" s="1"/>
  <c r="AP284" i="7" s="1"/>
  <c r="AM284" i="7"/>
  <c r="AN284" i="7"/>
  <c r="AL285" i="7"/>
  <c r="AO285" i="7" s="1"/>
  <c r="AP285" i="7" s="1"/>
  <c r="AM285" i="7"/>
  <c r="AN285" i="7"/>
  <c r="AL286" i="7"/>
  <c r="AO286" i="7" s="1"/>
  <c r="AP286" i="7" s="1"/>
  <c r="AM286" i="7"/>
  <c r="AN286" i="7"/>
  <c r="AQ286" i="7" s="1"/>
  <c r="AL287" i="7"/>
  <c r="AO287" i="7" s="1"/>
  <c r="AP287" i="7" s="1"/>
  <c r="AM287" i="7"/>
  <c r="AN287" i="7"/>
  <c r="AL288" i="7"/>
  <c r="AM288" i="7"/>
  <c r="AN288" i="7"/>
  <c r="AO288" i="7"/>
  <c r="AP288" i="7" s="1"/>
  <c r="AL289" i="7"/>
  <c r="AO289" i="7" s="1"/>
  <c r="AM289" i="7"/>
  <c r="AN289" i="7"/>
  <c r="AP289" i="7"/>
  <c r="AL290" i="7"/>
  <c r="AO290" i="7" s="1"/>
  <c r="AP290" i="7" s="1"/>
  <c r="AM290" i="7"/>
  <c r="AN290" i="7"/>
  <c r="AL291" i="7"/>
  <c r="AO291" i="7" s="1"/>
  <c r="AM291" i="7"/>
  <c r="AN291" i="7"/>
  <c r="AP291" i="7"/>
  <c r="AQ291" i="7"/>
  <c r="AL292" i="7"/>
  <c r="AO292" i="7" s="1"/>
  <c r="AP292" i="7" s="1"/>
  <c r="AM292" i="7"/>
  <c r="AN292" i="7"/>
  <c r="AL293" i="7"/>
  <c r="AO293" i="7" s="1"/>
  <c r="AP293" i="7" s="1"/>
  <c r="AM293" i="7"/>
  <c r="AN293" i="7"/>
  <c r="AL294" i="7"/>
  <c r="AO294" i="7" s="1"/>
  <c r="AP294" i="7" s="1"/>
  <c r="AM294" i="7"/>
  <c r="AN294" i="7"/>
  <c r="AL295" i="7"/>
  <c r="AM295" i="7"/>
  <c r="AN295" i="7"/>
  <c r="AO295" i="7"/>
  <c r="AP295" i="7"/>
  <c r="AQ295" i="7" s="1"/>
  <c r="AL296" i="7"/>
  <c r="AO296" i="7" s="1"/>
  <c r="AP296" i="7" s="1"/>
  <c r="AM296" i="7"/>
  <c r="AN296" i="7"/>
  <c r="AL297" i="7"/>
  <c r="AO297" i="7" s="1"/>
  <c r="AP297" i="7" s="1"/>
  <c r="AQ297" i="7" s="1"/>
  <c r="AM297" i="7"/>
  <c r="AN297" i="7"/>
  <c r="AL298" i="7"/>
  <c r="AM298" i="7"/>
  <c r="AN298" i="7"/>
  <c r="AO298" i="7"/>
  <c r="AP298" i="7" s="1"/>
  <c r="AL299" i="7"/>
  <c r="AO299" i="7" s="1"/>
  <c r="AP299" i="7" s="1"/>
  <c r="AM299" i="7"/>
  <c r="AN299" i="7"/>
  <c r="AL300" i="7"/>
  <c r="AO300" i="7" s="1"/>
  <c r="AP300" i="7" s="1"/>
  <c r="AM300" i="7"/>
  <c r="AN300" i="7"/>
  <c r="AL301" i="7"/>
  <c r="AO301" i="7" s="1"/>
  <c r="AP301" i="7" s="1"/>
  <c r="AM301" i="7"/>
  <c r="AN301" i="7"/>
  <c r="AL302" i="7"/>
  <c r="AO302" i="7" s="1"/>
  <c r="AP302" i="7" s="1"/>
  <c r="AM302" i="7"/>
  <c r="AN302" i="7"/>
  <c r="AL303" i="7"/>
  <c r="AO303" i="7" s="1"/>
  <c r="AP303" i="7" s="1"/>
  <c r="AM303" i="7"/>
  <c r="AN303" i="7"/>
  <c r="AL304" i="7"/>
  <c r="AO304" i="7" s="1"/>
  <c r="AP304" i="7" s="1"/>
  <c r="AM304" i="7"/>
  <c r="AN304" i="7"/>
  <c r="AL305" i="7"/>
  <c r="AM305" i="7"/>
  <c r="AN305" i="7"/>
  <c r="AO305" i="7"/>
  <c r="AP305" i="7" s="1"/>
  <c r="AQ305" i="7" s="1"/>
  <c r="AL306" i="7"/>
  <c r="AO306" i="7" s="1"/>
  <c r="AP306" i="7" s="1"/>
  <c r="AM306" i="7"/>
  <c r="AN306" i="7"/>
  <c r="AL307" i="7"/>
  <c r="AM307" i="7"/>
  <c r="AN307" i="7"/>
  <c r="AO307" i="7"/>
  <c r="AP307" i="7"/>
  <c r="AQ307" i="7"/>
  <c r="AL308" i="7"/>
  <c r="AM308" i="7"/>
  <c r="AN308" i="7"/>
  <c r="AO308" i="7"/>
  <c r="AP308" i="7" s="1"/>
  <c r="AL309" i="7"/>
  <c r="AO309" i="7" s="1"/>
  <c r="AP309" i="7" s="1"/>
  <c r="AM309" i="7"/>
  <c r="AN309" i="7"/>
  <c r="AL310" i="7"/>
  <c r="AO310" i="7" s="1"/>
  <c r="AP310" i="7" s="1"/>
  <c r="AM310" i="7"/>
  <c r="AN310" i="7"/>
  <c r="AQ310" i="7"/>
  <c r="AL311" i="7"/>
  <c r="AO311" i="7" s="1"/>
  <c r="AP311" i="7" s="1"/>
  <c r="AQ311" i="7" s="1"/>
  <c r="AM311" i="7"/>
  <c r="AN311" i="7"/>
  <c r="AL312" i="7"/>
  <c r="AO312" i="7" s="1"/>
  <c r="AP312" i="7" s="1"/>
  <c r="AM312" i="7"/>
  <c r="AN312" i="7"/>
  <c r="AL313" i="7"/>
  <c r="AO313" i="7" s="1"/>
  <c r="AP313" i="7" s="1"/>
  <c r="AQ313" i="7" s="1"/>
  <c r="AM313" i="7"/>
  <c r="AN313" i="7"/>
  <c r="AL314" i="7"/>
  <c r="AO314" i="7" s="1"/>
  <c r="AP314" i="7" s="1"/>
  <c r="AM314" i="7"/>
  <c r="AN314" i="7"/>
  <c r="AQ314" i="7"/>
  <c r="AL315" i="7"/>
  <c r="AO315" i="7" s="1"/>
  <c r="AP315" i="7" s="1"/>
  <c r="AM315" i="7"/>
  <c r="AN315" i="7"/>
  <c r="AL316" i="7"/>
  <c r="AM316" i="7"/>
  <c r="AN316" i="7"/>
  <c r="AO316" i="7"/>
  <c r="AP316" i="7" s="1"/>
  <c r="AL317" i="7"/>
  <c r="AM317" i="7"/>
  <c r="AN317" i="7"/>
  <c r="AO317" i="7"/>
  <c r="AP317" i="7" s="1"/>
  <c r="AL318" i="7"/>
  <c r="AO318" i="7" s="1"/>
  <c r="AP318" i="7" s="1"/>
  <c r="AM318" i="7"/>
  <c r="AN318" i="7"/>
  <c r="AL319" i="7"/>
  <c r="AM319" i="7"/>
  <c r="AN319" i="7"/>
  <c r="AO319" i="7"/>
  <c r="AP319" i="7" s="1"/>
  <c r="AL320" i="7"/>
  <c r="AO320" i="7" s="1"/>
  <c r="AP320" i="7" s="1"/>
  <c r="AM320" i="7"/>
  <c r="AN320" i="7"/>
  <c r="AL321" i="7"/>
  <c r="AM321" i="7"/>
  <c r="AN321" i="7"/>
  <c r="AO321" i="7"/>
  <c r="AP321" i="7" s="1"/>
  <c r="AL322" i="7"/>
  <c r="AO322" i="7" s="1"/>
  <c r="AP322" i="7" s="1"/>
  <c r="AM322" i="7"/>
  <c r="AN322" i="7"/>
  <c r="AL323" i="7"/>
  <c r="AO323" i="7" s="1"/>
  <c r="AM323" i="7"/>
  <c r="AN323" i="7"/>
  <c r="AP323" i="7"/>
  <c r="AL324" i="7"/>
  <c r="AO324" i="7" s="1"/>
  <c r="AP324" i="7" s="1"/>
  <c r="AM324" i="7"/>
  <c r="AN324" i="7"/>
  <c r="AL325" i="7"/>
  <c r="AO325" i="7" s="1"/>
  <c r="AP325" i="7" s="1"/>
  <c r="AM325" i="7"/>
  <c r="AN325" i="7"/>
  <c r="AL326" i="7"/>
  <c r="AO326" i="7" s="1"/>
  <c r="AP326" i="7" s="1"/>
  <c r="AM326" i="7"/>
  <c r="AN326" i="7"/>
  <c r="AQ326" i="7" s="1"/>
  <c r="AL327" i="7"/>
  <c r="AO327" i="7" s="1"/>
  <c r="AP327" i="7" s="1"/>
  <c r="AM327" i="7"/>
  <c r="AN327" i="7"/>
  <c r="AL328" i="7"/>
  <c r="AO328" i="7" s="1"/>
  <c r="AP328" i="7" s="1"/>
  <c r="AM328" i="7"/>
  <c r="AN328" i="7"/>
  <c r="AL329" i="7"/>
  <c r="AM329" i="7"/>
  <c r="AN329" i="7"/>
  <c r="AO329" i="7"/>
  <c r="AP329" i="7" s="1"/>
  <c r="AL330" i="7"/>
  <c r="AM330" i="7"/>
  <c r="AN330" i="7"/>
  <c r="AO330" i="7"/>
  <c r="AP330" i="7" s="1"/>
  <c r="AQ330" i="7" s="1"/>
  <c r="AL331" i="7"/>
  <c r="AO331" i="7" s="1"/>
  <c r="AP331" i="7" s="1"/>
  <c r="AM331" i="7"/>
  <c r="AN331" i="7"/>
  <c r="AL332" i="7"/>
  <c r="AO332" i="7" s="1"/>
  <c r="AP332" i="7" s="1"/>
  <c r="AM332" i="7"/>
  <c r="AN332" i="7"/>
  <c r="AL333" i="7"/>
  <c r="AM333" i="7"/>
  <c r="AN333" i="7"/>
  <c r="AO333" i="7"/>
  <c r="AP333" i="7" s="1"/>
  <c r="AL334" i="7"/>
  <c r="AM334" i="7"/>
  <c r="AN334" i="7"/>
  <c r="AO334" i="7"/>
  <c r="AP334" i="7" s="1"/>
  <c r="AL335" i="7"/>
  <c r="AO335" i="7" s="1"/>
  <c r="AP335" i="7" s="1"/>
  <c r="AM335" i="7"/>
  <c r="AN335" i="7"/>
  <c r="AQ335" i="7" s="1"/>
  <c r="AL336" i="7"/>
  <c r="AO336" i="7" s="1"/>
  <c r="AP336" i="7" s="1"/>
  <c r="AM336" i="7"/>
  <c r="AN336" i="7"/>
  <c r="AL337" i="7"/>
  <c r="AM337" i="7"/>
  <c r="AN337" i="7"/>
  <c r="AO337" i="7"/>
  <c r="AP337" i="7" s="1"/>
  <c r="AL338" i="7"/>
  <c r="AM338" i="7"/>
  <c r="AN338" i="7"/>
  <c r="AO338" i="7"/>
  <c r="AP338" i="7" s="1"/>
  <c r="AL339" i="7"/>
  <c r="AO339" i="7" s="1"/>
  <c r="AP339" i="7" s="1"/>
  <c r="AM339" i="7"/>
  <c r="AN339" i="7"/>
  <c r="AQ339" i="7" s="1"/>
  <c r="AL340" i="7"/>
  <c r="AO340" i="7" s="1"/>
  <c r="AP340" i="7" s="1"/>
  <c r="AM340" i="7"/>
  <c r="AN340" i="7"/>
  <c r="AL341" i="7"/>
  <c r="AO341" i="7" s="1"/>
  <c r="AP341" i="7" s="1"/>
  <c r="AM341" i="7"/>
  <c r="AN341" i="7"/>
  <c r="AL342" i="7"/>
  <c r="AO342" i="7" s="1"/>
  <c r="AP342" i="7" s="1"/>
  <c r="AM342" i="7"/>
  <c r="AN342" i="7"/>
  <c r="AL343" i="7"/>
  <c r="AO343" i="7" s="1"/>
  <c r="AP343" i="7" s="1"/>
  <c r="AM343" i="7"/>
  <c r="AN343" i="7"/>
  <c r="AL344" i="7"/>
  <c r="AO344" i="7" s="1"/>
  <c r="AP344" i="7" s="1"/>
  <c r="AM344" i="7"/>
  <c r="AN344" i="7"/>
  <c r="AL345" i="7"/>
  <c r="AO345" i="7" s="1"/>
  <c r="AP345" i="7" s="1"/>
  <c r="AQ345" i="7" s="1"/>
  <c r="AM345" i="7"/>
  <c r="AN345" i="7"/>
  <c r="AL346" i="7"/>
  <c r="AO346" i="7" s="1"/>
  <c r="AP346" i="7" s="1"/>
  <c r="AM346" i="7"/>
  <c r="AN346" i="7"/>
  <c r="AL347" i="7"/>
  <c r="AO347" i="7" s="1"/>
  <c r="AP347" i="7" s="1"/>
  <c r="AQ347" i="7" s="1"/>
  <c r="AM347" i="7"/>
  <c r="AN347" i="7"/>
  <c r="AL348" i="7"/>
  <c r="AO348" i="7" s="1"/>
  <c r="AP348" i="7" s="1"/>
  <c r="AM348" i="7"/>
  <c r="AN348" i="7"/>
  <c r="AL349" i="7"/>
  <c r="AO349" i="7" s="1"/>
  <c r="AP349" i="7" s="1"/>
  <c r="AM349" i="7"/>
  <c r="AN349" i="7"/>
  <c r="AL350" i="7"/>
  <c r="AO350" i="7" s="1"/>
  <c r="AP350" i="7" s="1"/>
  <c r="AM350" i="7"/>
  <c r="AN350" i="7"/>
  <c r="AQ350" i="7"/>
  <c r="AL351" i="7"/>
  <c r="AO351" i="7" s="1"/>
  <c r="AP351" i="7" s="1"/>
  <c r="AM351" i="7"/>
  <c r="AN351" i="7"/>
  <c r="AL352" i="7"/>
  <c r="AO352" i="7" s="1"/>
  <c r="AP352" i="7" s="1"/>
  <c r="AQ352" i="7" s="1"/>
  <c r="AM352" i="7"/>
  <c r="AN352" i="7"/>
  <c r="AL353" i="7"/>
  <c r="AO353" i="7" s="1"/>
  <c r="AP353" i="7" s="1"/>
  <c r="AM353" i="7"/>
  <c r="AN353" i="7"/>
  <c r="AL354" i="7"/>
  <c r="AM354" i="7"/>
  <c r="AN354" i="7"/>
  <c r="AO354" i="7"/>
  <c r="AP354" i="7" s="1"/>
  <c r="AL355" i="7"/>
  <c r="AO355" i="7" s="1"/>
  <c r="AP355" i="7" s="1"/>
  <c r="AM355" i="7"/>
  <c r="AN355" i="7"/>
  <c r="AL356" i="7"/>
  <c r="AO356" i="7" s="1"/>
  <c r="AP356" i="7" s="1"/>
  <c r="AM356" i="7"/>
  <c r="AN356" i="7"/>
  <c r="AL357" i="7"/>
  <c r="AO357" i="7" s="1"/>
  <c r="AP357" i="7" s="1"/>
  <c r="AM357" i="7"/>
  <c r="AN357" i="7"/>
  <c r="AL358" i="7"/>
  <c r="AO358" i="7" s="1"/>
  <c r="AP358" i="7" s="1"/>
  <c r="AM358" i="7"/>
  <c r="AN358" i="7"/>
  <c r="AL359" i="7"/>
  <c r="AO359" i="7" s="1"/>
  <c r="AP359" i="7" s="1"/>
  <c r="AM359" i="7"/>
  <c r="AN359" i="7"/>
  <c r="AL360" i="7"/>
  <c r="AM360" i="7"/>
  <c r="AN360" i="7"/>
  <c r="AO360" i="7"/>
  <c r="AP360" i="7" s="1"/>
  <c r="AL361" i="7"/>
  <c r="AO361" i="7" s="1"/>
  <c r="AP361" i="7" s="1"/>
  <c r="AQ361" i="7" s="1"/>
  <c r="AM361" i="7"/>
  <c r="AN361" i="7"/>
  <c r="AL362" i="7"/>
  <c r="AO362" i="7" s="1"/>
  <c r="AP362" i="7" s="1"/>
  <c r="AM362" i="7"/>
  <c r="AN362" i="7"/>
  <c r="AL363" i="7"/>
  <c r="AO363" i="7" s="1"/>
  <c r="AP363" i="7" s="1"/>
  <c r="AM363" i="7"/>
  <c r="AN363" i="7"/>
  <c r="AL364" i="7"/>
  <c r="AO364" i="7" s="1"/>
  <c r="AP364" i="7" s="1"/>
  <c r="AM364" i="7"/>
  <c r="AN364" i="7"/>
  <c r="AL365" i="7"/>
  <c r="AM365" i="7"/>
  <c r="AN365" i="7"/>
  <c r="AO365" i="7"/>
  <c r="AP365" i="7" s="1"/>
  <c r="AL366" i="7"/>
  <c r="AM366" i="7"/>
  <c r="AN366" i="7"/>
  <c r="AO366" i="7"/>
  <c r="AP366" i="7" s="1"/>
  <c r="AL367" i="7"/>
  <c r="AO367" i="7" s="1"/>
  <c r="AP367" i="7" s="1"/>
  <c r="AM367" i="7"/>
  <c r="AN367" i="7"/>
  <c r="AL368" i="7"/>
  <c r="AM368" i="7"/>
  <c r="AN368" i="7"/>
  <c r="AO368" i="7"/>
  <c r="AP368" i="7"/>
  <c r="AL369" i="7"/>
  <c r="AO369" i="7" s="1"/>
  <c r="AP369" i="7" s="1"/>
  <c r="AM369" i="7"/>
  <c r="AN369" i="7"/>
  <c r="AL370" i="7"/>
  <c r="AO370" i="7" s="1"/>
  <c r="AP370" i="7" s="1"/>
  <c r="AM370" i="7"/>
  <c r="AN370" i="7"/>
  <c r="AL371" i="7"/>
  <c r="AO371" i="7" s="1"/>
  <c r="AP371" i="7" s="1"/>
  <c r="AM371" i="7"/>
  <c r="AN371" i="7"/>
  <c r="AL372" i="7"/>
  <c r="AO372" i="7" s="1"/>
  <c r="AP372" i="7" s="1"/>
  <c r="AM372" i="7"/>
  <c r="AN372" i="7"/>
  <c r="AL373" i="7"/>
  <c r="AO373" i="7" s="1"/>
  <c r="AP373" i="7" s="1"/>
  <c r="AQ373" i="7" s="1"/>
  <c r="AM373" i="7"/>
  <c r="AN373" i="7"/>
  <c r="AL374" i="7"/>
  <c r="AO374" i="7" s="1"/>
  <c r="AM374" i="7"/>
  <c r="AN374" i="7"/>
  <c r="AP374" i="7"/>
  <c r="AQ374" i="7" s="1"/>
  <c r="AL375" i="7"/>
  <c r="AO375" i="7" s="1"/>
  <c r="AP375" i="7" s="1"/>
  <c r="AQ375" i="7" s="1"/>
  <c r="AM375" i="7"/>
  <c r="AN375" i="7"/>
  <c r="AL376" i="7"/>
  <c r="AO376" i="7" s="1"/>
  <c r="AP376" i="7" s="1"/>
  <c r="AM376" i="7"/>
  <c r="AN376" i="7"/>
  <c r="AL377" i="7"/>
  <c r="AO377" i="7" s="1"/>
  <c r="AP377" i="7" s="1"/>
  <c r="AM377" i="7"/>
  <c r="AN377" i="7"/>
  <c r="AL378" i="7"/>
  <c r="AM378" i="7"/>
  <c r="AN378" i="7"/>
  <c r="AO378" i="7"/>
  <c r="AP378" i="7" s="1"/>
  <c r="AQ378" i="7"/>
  <c r="AL379" i="7"/>
  <c r="AO379" i="7" s="1"/>
  <c r="AP379" i="7" s="1"/>
  <c r="AM379" i="7"/>
  <c r="AN379" i="7"/>
  <c r="AL380" i="7"/>
  <c r="AO380" i="7" s="1"/>
  <c r="AP380" i="7" s="1"/>
  <c r="AQ380" i="7" s="1"/>
  <c r="AM380" i="7"/>
  <c r="AN380" i="7"/>
  <c r="AL381" i="7"/>
  <c r="AM381" i="7"/>
  <c r="AN381" i="7"/>
  <c r="AO381" i="7"/>
  <c r="AP381" i="7" s="1"/>
  <c r="AL382" i="7"/>
  <c r="AO382" i="7" s="1"/>
  <c r="AP382" i="7" s="1"/>
  <c r="AM382" i="7"/>
  <c r="AN382" i="7"/>
  <c r="AL383" i="7"/>
  <c r="AO383" i="7" s="1"/>
  <c r="AP383" i="7" s="1"/>
  <c r="AQ383" i="7" s="1"/>
  <c r="AM383" i="7"/>
  <c r="AN383" i="7"/>
  <c r="AL384" i="7"/>
  <c r="AM384" i="7"/>
  <c r="AN384" i="7"/>
  <c r="AO384" i="7"/>
  <c r="AP384" i="7" s="1"/>
  <c r="AL385" i="7"/>
  <c r="AO385" i="7" s="1"/>
  <c r="AP385" i="7" s="1"/>
  <c r="AM385" i="7"/>
  <c r="AN385" i="7"/>
  <c r="AL386" i="7"/>
  <c r="AO386" i="7" s="1"/>
  <c r="AP386" i="7" s="1"/>
  <c r="AM386" i="7"/>
  <c r="AN386" i="7"/>
  <c r="AL387" i="7"/>
  <c r="AO387" i="7" s="1"/>
  <c r="AP387" i="7" s="1"/>
  <c r="AM387" i="7"/>
  <c r="AN387" i="7"/>
  <c r="AL388" i="7"/>
  <c r="AO388" i="7" s="1"/>
  <c r="AP388" i="7" s="1"/>
  <c r="AM388" i="7"/>
  <c r="AN388" i="7"/>
  <c r="AL389" i="7"/>
  <c r="AO389" i="7" s="1"/>
  <c r="AP389" i="7" s="1"/>
  <c r="AM389" i="7"/>
  <c r="AN389" i="7"/>
  <c r="AL390" i="7"/>
  <c r="AO390" i="7" s="1"/>
  <c r="AP390" i="7" s="1"/>
  <c r="AM390" i="7"/>
  <c r="AN390" i="7"/>
  <c r="AL391" i="7"/>
  <c r="AO391" i="7" s="1"/>
  <c r="AP391" i="7" s="1"/>
  <c r="AM391" i="7"/>
  <c r="AN391" i="7"/>
  <c r="AL392" i="7"/>
  <c r="AM392" i="7"/>
  <c r="AN392" i="7"/>
  <c r="AO392" i="7"/>
  <c r="AP392" i="7" s="1"/>
  <c r="AQ392" i="7"/>
  <c r="AL393" i="7"/>
  <c r="AO393" i="7" s="1"/>
  <c r="AP393" i="7" s="1"/>
  <c r="AM393" i="7"/>
  <c r="AN393" i="7"/>
  <c r="AQ393" i="7" s="1"/>
  <c r="AL394" i="7"/>
  <c r="AO394" i="7" s="1"/>
  <c r="AP394" i="7" s="1"/>
  <c r="AM394" i="7"/>
  <c r="AN394" i="7"/>
  <c r="AL395" i="7"/>
  <c r="AO395" i="7" s="1"/>
  <c r="AP395" i="7" s="1"/>
  <c r="AM395" i="7"/>
  <c r="AN395" i="7"/>
  <c r="AL396" i="7"/>
  <c r="AO396" i="7" s="1"/>
  <c r="AP396" i="7" s="1"/>
  <c r="AM396" i="7"/>
  <c r="AN396" i="7"/>
  <c r="AL397" i="7"/>
  <c r="AO397" i="7" s="1"/>
  <c r="AP397" i="7" s="1"/>
  <c r="AM397" i="7"/>
  <c r="AN397" i="7"/>
  <c r="AL398" i="7"/>
  <c r="AO398" i="7" s="1"/>
  <c r="AP398" i="7" s="1"/>
  <c r="AM398" i="7"/>
  <c r="AN398" i="7"/>
  <c r="AL399" i="7"/>
  <c r="AO399" i="7" s="1"/>
  <c r="AP399" i="7" s="1"/>
  <c r="AM399" i="7"/>
  <c r="AN399" i="7"/>
  <c r="AL400" i="7"/>
  <c r="AO400" i="7" s="1"/>
  <c r="AP400" i="7" s="1"/>
  <c r="AM400" i="7"/>
  <c r="AN400" i="7"/>
  <c r="AL401" i="7"/>
  <c r="AO401" i="7" s="1"/>
  <c r="AP401" i="7" s="1"/>
  <c r="AQ401" i="7" s="1"/>
  <c r="AM401" i="7"/>
  <c r="AN401" i="7"/>
  <c r="AL402" i="7"/>
  <c r="AM402" i="7"/>
  <c r="AN402" i="7"/>
  <c r="AO402" i="7"/>
  <c r="AP402" i="7" s="1"/>
  <c r="AL403" i="7"/>
  <c r="AO403" i="7" s="1"/>
  <c r="AP403" i="7" s="1"/>
  <c r="AM403" i="7"/>
  <c r="AN403" i="7"/>
  <c r="AL404" i="7"/>
  <c r="AO404" i="7" s="1"/>
  <c r="AP404" i="7" s="1"/>
  <c r="AM404" i="7"/>
  <c r="AN404" i="7"/>
  <c r="AL405" i="7"/>
  <c r="AO405" i="7" s="1"/>
  <c r="AP405" i="7" s="1"/>
  <c r="AM405" i="7"/>
  <c r="AN405" i="7"/>
  <c r="AL406" i="7"/>
  <c r="AO406" i="7" s="1"/>
  <c r="AP406" i="7" s="1"/>
  <c r="AM406" i="7"/>
  <c r="AN406" i="7"/>
  <c r="AL407" i="7"/>
  <c r="AO407" i="7" s="1"/>
  <c r="AM407" i="7"/>
  <c r="AN407" i="7"/>
  <c r="AP407" i="7"/>
  <c r="AQ407" i="7" s="1"/>
  <c r="AL408" i="7"/>
  <c r="AO408" i="7" s="1"/>
  <c r="AP408" i="7" s="1"/>
  <c r="AM408" i="7"/>
  <c r="AN408" i="7"/>
  <c r="AQ408" i="7" s="1"/>
  <c r="AL409" i="7"/>
  <c r="AM409" i="7"/>
  <c r="AN409" i="7"/>
  <c r="AO409" i="7"/>
  <c r="AP409" i="7" s="1"/>
  <c r="AQ409" i="7" s="1"/>
  <c r="AL410" i="7"/>
  <c r="AO410" i="7" s="1"/>
  <c r="AP410" i="7" s="1"/>
  <c r="AM410" i="7"/>
  <c r="AN410" i="7"/>
  <c r="AL411" i="7"/>
  <c r="AO411" i="7" s="1"/>
  <c r="AP411" i="7" s="1"/>
  <c r="AQ411" i="7" s="1"/>
  <c r="AM411" i="7"/>
  <c r="AN411" i="7"/>
  <c r="AL412" i="7"/>
  <c r="AO412" i="7" s="1"/>
  <c r="AP412" i="7" s="1"/>
  <c r="AM412" i="7"/>
  <c r="AN412" i="7"/>
  <c r="AL413" i="7"/>
  <c r="AO413" i="7" s="1"/>
  <c r="AP413" i="7" s="1"/>
  <c r="AM413" i="7"/>
  <c r="AN413" i="7"/>
  <c r="AL414" i="7"/>
  <c r="AM414" i="7"/>
  <c r="AN414" i="7"/>
  <c r="AO414" i="7"/>
  <c r="AP414" i="7" s="1"/>
  <c r="AQ414" i="7" s="1"/>
  <c r="AL415" i="7"/>
  <c r="AO415" i="7" s="1"/>
  <c r="AP415" i="7" s="1"/>
  <c r="AM415" i="7"/>
  <c r="AN415" i="7"/>
  <c r="AL416" i="7"/>
  <c r="AO416" i="7" s="1"/>
  <c r="AP416" i="7" s="1"/>
  <c r="AM416" i="7"/>
  <c r="AN416" i="7"/>
  <c r="AL417" i="7"/>
  <c r="AO417" i="7" s="1"/>
  <c r="AP417" i="7" s="1"/>
  <c r="AM417" i="7"/>
  <c r="AN417" i="7"/>
  <c r="AL418" i="7"/>
  <c r="AO418" i="7" s="1"/>
  <c r="AP418" i="7" s="1"/>
  <c r="AM418" i="7"/>
  <c r="AN418" i="7"/>
  <c r="AL419" i="7"/>
  <c r="AO419" i="7" s="1"/>
  <c r="AP419" i="7" s="1"/>
  <c r="AM419" i="7"/>
  <c r="AN419" i="7"/>
  <c r="AL420" i="7"/>
  <c r="AO420" i="7" s="1"/>
  <c r="AP420" i="7" s="1"/>
  <c r="AQ420" i="7" s="1"/>
  <c r="AM420" i="7"/>
  <c r="AN420" i="7"/>
  <c r="AL421" i="7"/>
  <c r="AO421" i="7" s="1"/>
  <c r="AP421" i="7" s="1"/>
  <c r="AM421" i="7"/>
  <c r="AN421" i="7"/>
  <c r="AL422" i="7"/>
  <c r="AO422" i="7" s="1"/>
  <c r="AP422" i="7" s="1"/>
  <c r="AM422" i="7"/>
  <c r="AN422" i="7"/>
  <c r="AL423" i="7"/>
  <c r="AO423" i="7" s="1"/>
  <c r="AP423" i="7" s="1"/>
  <c r="AM423" i="7"/>
  <c r="AN423" i="7"/>
  <c r="AL424" i="7"/>
  <c r="AO424" i="7" s="1"/>
  <c r="AP424" i="7" s="1"/>
  <c r="AM424" i="7"/>
  <c r="AN424" i="7"/>
  <c r="AL425" i="7"/>
  <c r="AO425" i="7" s="1"/>
  <c r="AP425" i="7" s="1"/>
  <c r="AM425" i="7"/>
  <c r="AN425" i="7"/>
  <c r="AL426" i="7"/>
  <c r="AO426" i="7" s="1"/>
  <c r="AP426" i="7" s="1"/>
  <c r="AM426" i="7"/>
  <c r="AN426" i="7"/>
  <c r="AQ426" i="7" s="1"/>
  <c r="AL427" i="7"/>
  <c r="AO427" i="7" s="1"/>
  <c r="AP427" i="7" s="1"/>
  <c r="AQ427" i="7" s="1"/>
  <c r="AM427" i="7"/>
  <c r="AN427" i="7"/>
  <c r="AL428" i="7"/>
  <c r="AO428" i="7" s="1"/>
  <c r="AP428" i="7" s="1"/>
  <c r="AM428" i="7"/>
  <c r="AN428" i="7"/>
  <c r="AL429" i="7"/>
  <c r="AO429" i="7" s="1"/>
  <c r="AP429" i="7" s="1"/>
  <c r="AM429" i="7"/>
  <c r="AN429" i="7"/>
  <c r="AL430" i="7"/>
  <c r="AO430" i="7" s="1"/>
  <c r="AP430" i="7" s="1"/>
  <c r="AM430" i="7"/>
  <c r="AN430" i="7"/>
  <c r="AQ430" i="7"/>
  <c r="AL431" i="7"/>
  <c r="AO431" i="7" s="1"/>
  <c r="AP431" i="7" s="1"/>
  <c r="AM431" i="7"/>
  <c r="AN431" i="7"/>
  <c r="AL432" i="7"/>
  <c r="AO432" i="7" s="1"/>
  <c r="AP432" i="7" s="1"/>
  <c r="AM432" i="7"/>
  <c r="AN432" i="7"/>
  <c r="AL433" i="7"/>
  <c r="AO433" i="7" s="1"/>
  <c r="AP433" i="7" s="1"/>
  <c r="AM433" i="7"/>
  <c r="AN433" i="7"/>
  <c r="AL434" i="7"/>
  <c r="AM434" i="7"/>
  <c r="AN434" i="7"/>
  <c r="AO434" i="7"/>
  <c r="AP434" i="7" s="1"/>
  <c r="AQ434" i="7"/>
  <c r="AL435" i="7"/>
  <c r="AM435" i="7"/>
  <c r="AN435" i="7"/>
  <c r="AQ435" i="7" s="1"/>
  <c r="AO435" i="7"/>
  <c r="AP435" i="7" s="1"/>
  <c r="AL436" i="7"/>
  <c r="AO436" i="7" s="1"/>
  <c r="AP436" i="7" s="1"/>
  <c r="AM436" i="7"/>
  <c r="AN436" i="7"/>
  <c r="AQ436" i="7" s="1"/>
  <c r="AL437" i="7"/>
  <c r="AO437" i="7" s="1"/>
  <c r="AP437" i="7" s="1"/>
  <c r="AM437" i="7"/>
  <c r="AN437" i="7"/>
  <c r="AL438" i="7"/>
  <c r="AO438" i="7" s="1"/>
  <c r="AP438" i="7" s="1"/>
  <c r="AM438" i="7"/>
  <c r="AN438" i="7"/>
  <c r="AL439" i="7"/>
  <c r="AO439" i="7" s="1"/>
  <c r="AP439" i="7" s="1"/>
  <c r="AM439" i="7"/>
  <c r="AN439" i="7"/>
  <c r="AQ439" i="7" s="1"/>
  <c r="AL440" i="7"/>
  <c r="AO440" i="7" s="1"/>
  <c r="AP440" i="7" s="1"/>
  <c r="AQ440" i="7" s="1"/>
  <c r="AM440" i="7"/>
  <c r="AN440" i="7"/>
  <c r="AL441" i="7"/>
  <c r="AO441" i="7" s="1"/>
  <c r="AP441" i="7" s="1"/>
  <c r="AM441" i="7"/>
  <c r="AN441" i="7"/>
  <c r="AQ441" i="7"/>
  <c r="AL442" i="7"/>
  <c r="AO442" i="7" s="1"/>
  <c r="AP442" i="7" s="1"/>
  <c r="AM442" i="7"/>
  <c r="AN442" i="7"/>
  <c r="AL443" i="7"/>
  <c r="AO443" i="7" s="1"/>
  <c r="AP443" i="7" s="1"/>
  <c r="AM443" i="7"/>
  <c r="AN443" i="7"/>
  <c r="AL444" i="7"/>
  <c r="AO444" i="7" s="1"/>
  <c r="AP444" i="7" s="1"/>
  <c r="AQ444" i="7" s="1"/>
  <c r="AM444" i="7"/>
  <c r="AN444" i="7"/>
  <c r="AL445" i="7"/>
  <c r="AO445" i="7" s="1"/>
  <c r="AP445" i="7" s="1"/>
  <c r="AM445" i="7"/>
  <c r="AN445" i="7"/>
  <c r="AL446" i="7"/>
  <c r="AO446" i="7" s="1"/>
  <c r="AP446" i="7" s="1"/>
  <c r="AM446" i="7"/>
  <c r="AN446" i="7"/>
  <c r="AL447" i="7"/>
  <c r="AM447" i="7"/>
  <c r="AN447" i="7"/>
  <c r="AO447" i="7"/>
  <c r="AP447" i="7" s="1"/>
  <c r="AL448" i="7"/>
  <c r="AO448" i="7" s="1"/>
  <c r="AP448" i="7" s="1"/>
  <c r="AM448" i="7"/>
  <c r="AN448" i="7"/>
  <c r="AL449" i="7"/>
  <c r="AO449" i="7" s="1"/>
  <c r="AP449" i="7" s="1"/>
  <c r="AM449" i="7"/>
  <c r="AN449" i="7"/>
  <c r="AL450" i="7"/>
  <c r="AO450" i="7" s="1"/>
  <c r="AP450" i="7" s="1"/>
  <c r="AM450" i="7"/>
  <c r="AN450" i="7"/>
  <c r="AQ450" i="7" s="1"/>
  <c r="AL451" i="7"/>
  <c r="AO451" i="7" s="1"/>
  <c r="AP451" i="7" s="1"/>
  <c r="AM451" i="7"/>
  <c r="AN451" i="7"/>
  <c r="AL452" i="7"/>
  <c r="AO452" i="7" s="1"/>
  <c r="AP452" i="7" s="1"/>
  <c r="AM452" i="7"/>
  <c r="AN452" i="7"/>
  <c r="AL453" i="7"/>
  <c r="AO453" i="7" s="1"/>
  <c r="AP453" i="7" s="1"/>
  <c r="AM453" i="7"/>
  <c r="AN453" i="7"/>
  <c r="AL454" i="7"/>
  <c r="AO454" i="7" s="1"/>
  <c r="AP454" i="7" s="1"/>
  <c r="AM454" i="7"/>
  <c r="AN454" i="7"/>
  <c r="AL455" i="7"/>
  <c r="AO455" i="7" s="1"/>
  <c r="AP455" i="7" s="1"/>
  <c r="AQ455" i="7" s="1"/>
  <c r="AM455" i="7"/>
  <c r="AN455" i="7"/>
  <c r="AL456" i="7"/>
  <c r="AO456" i="7" s="1"/>
  <c r="AP456" i="7" s="1"/>
  <c r="AM456" i="7"/>
  <c r="AN456" i="7"/>
  <c r="AL457" i="7"/>
  <c r="AO457" i="7" s="1"/>
  <c r="AP457" i="7" s="1"/>
  <c r="AM457" i="7"/>
  <c r="AN457" i="7"/>
  <c r="AQ457" i="7" s="1"/>
  <c r="AL458" i="7"/>
  <c r="AM458" i="7"/>
  <c r="AN458" i="7"/>
  <c r="AO458" i="7"/>
  <c r="AP458" i="7" s="1"/>
  <c r="AL459" i="7"/>
  <c r="AM459" i="7"/>
  <c r="AN459" i="7"/>
  <c r="AO459" i="7"/>
  <c r="AP459" i="7" s="1"/>
  <c r="AL460" i="7"/>
  <c r="AO460" i="7" s="1"/>
  <c r="AP460" i="7" s="1"/>
  <c r="AM460" i="7"/>
  <c r="AN460" i="7"/>
  <c r="AL461" i="7"/>
  <c r="AO461" i="7" s="1"/>
  <c r="AP461" i="7" s="1"/>
  <c r="AM461" i="7"/>
  <c r="AN461" i="7"/>
  <c r="AL462" i="7"/>
  <c r="AM462" i="7"/>
  <c r="AN462" i="7"/>
  <c r="AO462" i="7"/>
  <c r="AP462" i="7" s="1"/>
  <c r="AQ462" i="7" s="1"/>
  <c r="AL463" i="7"/>
  <c r="AO463" i="7" s="1"/>
  <c r="AP463" i="7" s="1"/>
  <c r="AM463" i="7"/>
  <c r="AN463" i="7"/>
  <c r="AL464" i="7"/>
  <c r="AO464" i="7" s="1"/>
  <c r="AP464" i="7" s="1"/>
  <c r="AM464" i="7"/>
  <c r="AN464" i="7"/>
  <c r="AL465" i="7"/>
  <c r="AO465" i="7" s="1"/>
  <c r="AP465" i="7" s="1"/>
  <c r="AM465" i="7"/>
  <c r="AN465" i="7"/>
  <c r="AL466" i="7"/>
  <c r="AO466" i="7" s="1"/>
  <c r="AP466" i="7" s="1"/>
  <c r="AM466" i="7"/>
  <c r="AN466" i="7"/>
  <c r="AL467" i="7"/>
  <c r="AO467" i="7" s="1"/>
  <c r="AP467" i="7" s="1"/>
  <c r="AM467" i="7"/>
  <c r="AN467" i="7"/>
  <c r="AL468" i="7"/>
  <c r="AO468" i="7" s="1"/>
  <c r="AP468" i="7" s="1"/>
  <c r="AM468" i="7"/>
  <c r="AN468" i="7"/>
  <c r="AL469" i="7"/>
  <c r="AO469" i="7" s="1"/>
  <c r="AP469" i="7" s="1"/>
  <c r="AQ469" i="7" s="1"/>
  <c r="AM469" i="7"/>
  <c r="AN469" i="7"/>
  <c r="AL470" i="7"/>
  <c r="AO470" i="7" s="1"/>
  <c r="AP470" i="7" s="1"/>
  <c r="AM470" i="7"/>
  <c r="AN470" i="7"/>
  <c r="AL471" i="7"/>
  <c r="AO471" i="7" s="1"/>
  <c r="AP471" i="7" s="1"/>
  <c r="AM471" i="7"/>
  <c r="AN471" i="7"/>
  <c r="AL472" i="7"/>
  <c r="AO472" i="7" s="1"/>
  <c r="AP472" i="7" s="1"/>
  <c r="AM472" i="7"/>
  <c r="AN472" i="7"/>
  <c r="AL473" i="7"/>
  <c r="AO473" i="7" s="1"/>
  <c r="AP473" i="7" s="1"/>
  <c r="AM473" i="7"/>
  <c r="AN473" i="7"/>
  <c r="AL474" i="7"/>
  <c r="AO474" i="7" s="1"/>
  <c r="AP474" i="7" s="1"/>
  <c r="AM474" i="7"/>
  <c r="AN474" i="7"/>
  <c r="AL475" i="7"/>
  <c r="AO475" i="7" s="1"/>
  <c r="AP475" i="7" s="1"/>
  <c r="AM475" i="7"/>
  <c r="AN475" i="7"/>
  <c r="AL476" i="7"/>
  <c r="AO476" i="7" s="1"/>
  <c r="AP476" i="7" s="1"/>
  <c r="AM476" i="7"/>
  <c r="AN476" i="7"/>
  <c r="AL477" i="7"/>
  <c r="AO477" i="7" s="1"/>
  <c r="AP477" i="7" s="1"/>
  <c r="AM477" i="7"/>
  <c r="AN477" i="7"/>
  <c r="AL478" i="7"/>
  <c r="AO478" i="7" s="1"/>
  <c r="AP478" i="7" s="1"/>
  <c r="AM478" i="7"/>
  <c r="AN478" i="7"/>
  <c r="AL479" i="7"/>
  <c r="AO479" i="7" s="1"/>
  <c r="AP479" i="7" s="1"/>
  <c r="AQ479" i="7" s="1"/>
  <c r="AM479" i="7"/>
  <c r="AN479" i="7"/>
  <c r="AL480" i="7"/>
  <c r="AO480" i="7" s="1"/>
  <c r="AP480" i="7" s="1"/>
  <c r="AM480" i="7"/>
  <c r="AN480" i="7"/>
  <c r="AL481" i="7"/>
  <c r="AO481" i="7" s="1"/>
  <c r="AP481" i="7" s="1"/>
  <c r="AM481" i="7"/>
  <c r="AN481" i="7"/>
  <c r="AQ481" i="7" s="1"/>
  <c r="AL482" i="7"/>
  <c r="AM482" i="7"/>
  <c r="AN482" i="7"/>
  <c r="AO482" i="7"/>
  <c r="AP482" i="7" s="1"/>
  <c r="AQ482" i="7" s="1"/>
  <c r="AL483" i="7"/>
  <c r="AO483" i="7" s="1"/>
  <c r="AP483" i="7" s="1"/>
  <c r="AQ483" i="7" s="1"/>
  <c r="AM483" i="7"/>
  <c r="AN483" i="7"/>
  <c r="AL484" i="7"/>
  <c r="AO484" i="7" s="1"/>
  <c r="AP484" i="7" s="1"/>
  <c r="AM484" i="7"/>
  <c r="AN484" i="7"/>
  <c r="AL485" i="7"/>
  <c r="AO485" i="7" s="1"/>
  <c r="AP485" i="7" s="1"/>
  <c r="AM485" i="7"/>
  <c r="AN485" i="7"/>
  <c r="AQ485" i="7" s="1"/>
  <c r="AL486" i="7"/>
  <c r="AO486" i="7" s="1"/>
  <c r="AP486" i="7" s="1"/>
  <c r="AM486" i="7"/>
  <c r="AN486" i="7"/>
  <c r="AL487" i="7"/>
  <c r="AM487" i="7"/>
  <c r="AN487" i="7"/>
  <c r="AO487" i="7"/>
  <c r="AP487" i="7" s="1"/>
  <c r="AL488" i="7"/>
  <c r="AM488" i="7"/>
  <c r="AN488" i="7"/>
  <c r="AO488" i="7"/>
  <c r="AP488" i="7"/>
  <c r="AL489" i="7"/>
  <c r="AO489" i="7" s="1"/>
  <c r="AP489" i="7" s="1"/>
  <c r="AM489" i="7"/>
  <c r="AN489" i="7"/>
  <c r="AL490" i="7"/>
  <c r="AO490" i="7" s="1"/>
  <c r="AP490" i="7" s="1"/>
  <c r="AM490" i="7"/>
  <c r="AN490" i="7"/>
  <c r="AL491" i="7"/>
  <c r="AO491" i="7" s="1"/>
  <c r="AP491" i="7" s="1"/>
  <c r="AM491" i="7"/>
  <c r="AN491" i="7"/>
  <c r="AL492" i="7"/>
  <c r="AO492" i="7" s="1"/>
  <c r="AP492" i="7" s="1"/>
  <c r="AM492" i="7"/>
  <c r="AN492" i="7"/>
  <c r="AL493" i="7"/>
  <c r="AO493" i="7" s="1"/>
  <c r="AP493" i="7" s="1"/>
  <c r="AQ493" i="7" s="1"/>
  <c r="AM493" i="7"/>
  <c r="AN493" i="7"/>
  <c r="AL494" i="7"/>
  <c r="AO494" i="7" s="1"/>
  <c r="AP494" i="7" s="1"/>
  <c r="AM494" i="7"/>
  <c r="AN494" i="7"/>
  <c r="AL495" i="7"/>
  <c r="AO495" i="7" s="1"/>
  <c r="AP495" i="7" s="1"/>
  <c r="AM495" i="7"/>
  <c r="AN495" i="7"/>
  <c r="AL496" i="7"/>
  <c r="AO496" i="7" s="1"/>
  <c r="AP496" i="7" s="1"/>
  <c r="AM496" i="7"/>
  <c r="AN496" i="7"/>
  <c r="AL497" i="7"/>
  <c r="AO497" i="7" s="1"/>
  <c r="AP497" i="7" s="1"/>
  <c r="AM497" i="7"/>
  <c r="AN497" i="7"/>
  <c r="AL498" i="7"/>
  <c r="AM498" i="7"/>
  <c r="AN498" i="7"/>
  <c r="AO498" i="7"/>
  <c r="AP498" i="7"/>
  <c r="AL499" i="7"/>
  <c r="AO499" i="7" s="1"/>
  <c r="AP499" i="7" s="1"/>
  <c r="AM499" i="7"/>
  <c r="AN499" i="7"/>
  <c r="AL500" i="7"/>
  <c r="AO500" i="7" s="1"/>
  <c r="AP500" i="7" s="1"/>
  <c r="AM500" i="7"/>
  <c r="AN500" i="7"/>
  <c r="AL501" i="7"/>
  <c r="AO501" i="7" s="1"/>
  <c r="AP501" i="7" s="1"/>
  <c r="AM501" i="7"/>
  <c r="AN501" i="7"/>
  <c r="AL502" i="7"/>
  <c r="AM502" i="7"/>
  <c r="AN502" i="7"/>
  <c r="AO502" i="7"/>
  <c r="AP502" i="7" s="1"/>
  <c r="AQ502" i="7"/>
  <c r="AL503" i="7"/>
  <c r="AO503" i="7" s="1"/>
  <c r="AP503" i="7" s="1"/>
  <c r="AM503" i="7"/>
  <c r="AN503" i="7"/>
  <c r="AQ503" i="7" s="1"/>
  <c r="AL504" i="7"/>
  <c r="AO504" i="7" s="1"/>
  <c r="AP504" i="7" s="1"/>
  <c r="AM504" i="7"/>
  <c r="AN504" i="7"/>
  <c r="AL505" i="7"/>
  <c r="AO505" i="7" s="1"/>
  <c r="AP505" i="7" s="1"/>
  <c r="AM505" i="7"/>
  <c r="AN505" i="7"/>
  <c r="AL506" i="7"/>
  <c r="AO506" i="7" s="1"/>
  <c r="AP506" i="7" s="1"/>
  <c r="AM506" i="7"/>
  <c r="AN506" i="7"/>
  <c r="AL507" i="7"/>
  <c r="AO507" i="7" s="1"/>
  <c r="AP507" i="7" s="1"/>
  <c r="AM507" i="7"/>
  <c r="AN507" i="7"/>
  <c r="AL508" i="7"/>
  <c r="AO508" i="7" s="1"/>
  <c r="AP508" i="7" s="1"/>
  <c r="AM508" i="7"/>
  <c r="AN508" i="7"/>
  <c r="AL509" i="7"/>
  <c r="AO509" i="7" s="1"/>
  <c r="AP509" i="7" s="1"/>
  <c r="AQ509" i="7" s="1"/>
  <c r="AM509" i="7"/>
  <c r="AN509" i="7"/>
  <c r="AL510" i="7"/>
  <c r="AO510" i="7" s="1"/>
  <c r="AP510" i="7" s="1"/>
  <c r="AM510" i="7"/>
  <c r="AN510" i="7"/>
  <c r="AL511" i="7"/>
  <c r="AO511" i="7" s="1"/>
  <c r="AP511" i="7" s="1"/>
  <c r="AM511" i="7"/>
  <c r="AN511" i="7"/>
  <c r="AL512" i="7"/>
  <c r="AO512" i="7" s="1"/>
  <c r="AP512" i="7" s="1"/>
  <c r="AM512" i="7"/>
  <c r="AN512" i="7"/>
  <c r="AL513" i="7"/>
  <c r="AM513" i="7"/>
  <c r="AN513" i="7"/>
  <c r="AO513" i="7"/>
  <c r="AP513" i="7" s="1"/>
  <c r="AL514" i="7"/>
  <c r="AO514" i="7" s="1"/>
  <c r="AP514" i="7" s="1"/>
  <c r="AQ514" i="7" s="1"/>
  <c r="AM514" i="7"/>
  <c r="AN514" i="7"/>
  <c r="AL515" i="7"/>
  <c r="AO515" i="7" s="1"/>
  <c r="AP515" i="7" s="1"/>
  <c r="AM515" i="7"/>
  <c r="AN515" i="7"/>
  <c r="AL516" i="7"/>
  <c r="AO516" i="7" s="1"/>
  <c r="AP516" i="7" s="1"/>
  <c r="AM516" i="7"/>
  <c r="AN516" i="7"/>
  <c r="AL517" i="7"/>
  <c r="AO517" i="7" s="1"/>
  <c r="AP517" i="7" s="1"/>
  <c r="AM517" i="7"/>
  <c r="AN517" i="7"/>
  <c r="AL518" i="7"/>
  <c r="AO518" i="7" s="1"/>
  <c r="AP518" i="7" s="1"/>
  <c r="AQ518" i="7" s="1"/>
  <c r="AM518" i="7"/>
  <c r="AN518" i="7"/>
  <c r="AL519" i="7"/>
  <c r="AM519" i="7"/>
  <c r="AN519" i="7"/>
  <c r="AO519" i="7"/>
  <c r="AP519" i="7" s="1"/>
  <c r="AL520" i="7"/>
  <c r="AO520" i="7" s="1"/>
  <c r="AP520" i="7" s="1"/>
  <c r="AM520" i="7"/>
  <c r="AN520" i="7"/>
  <c r="AL521" i="7"/>
  <c r="AO521" i="7" s="1"/>
  <c r="AM521" i="7"/>
  <c r="AN521" i="7"/>
  <c r="AP521" i="7"/>
  <c r="AQ521" i="7" s="1"/>
  <c r="AL522" i="7"/>
  <c r="AO522" i="7" s="1"/>
  <c r="AP522" i="7" s="1"/>
  <c r="AM522" i="7"/>
  <c r="AN522" i="7"/>
  <c r="AL523" i="7"/>
  <c r="AM523" i="7"/>
  <c r="AN523" i="7"/>
  <c r="AO523" i="7"/>
  <c r="AP523" i="7" s="1"/>
  <c r="AL524" i="7"/>
  <c r="AO524" i="7" s="1"/>
  <c r="AP524" i="7" s="1"/>
  <c r="AM524" i="7"/>
  <c r="AN524" i="7"/>
  <c r="AL525" i="7"/>
  <c r="AM525" i="7"/>
  <c r="AN525" i="7"/>
  <c r="AO525" i="7"/>
  <c r="AP525" i="7" s="1"/>
  <c r="AL526" i="7"/>
  <c r="AO526" i="7" s="1"/>
  <c r="AP526" i="7" s="1"/>
  <c r="AM526" i="7"/>
  <c r="AN526" i="7"/>
  <c r="AL527" i="7"/>
  <c r="AO527" i="7" s="1"/>
  <c r="AP527" i="7" s="1"/>
  <c r="AM527" i="7"/>
  <c r="AN527" i="7"/>
  <c r="AQ527" i="7" s="1"/>
  <c r="AL528" i="7"/>
  <c r="AO528" i="7" s="1"/>
  <c r="AP528" i="7" s="1"/>
  <c r="AM528" i="7"/>
  <c r="AN528" i="7"/>
  <c r="AL529" i="7"/>
  <c r="AO529" i="7" s="1"/>
  <c r="AP529" i="7" s="1"/>
  <c r="AM529" i="7"/>
  <c r="AN529" i="7"/>
  <c r="AL530" i="7"/>
  <c r="AO530" i="7" s="1"/>
  <c r="AP530" i="7" s="1"/>
  <c r="AM530" i="7"/>
  <c r="AN530" i="7"/>
  <c r="AL531" i="7"/>
  <c r="AO531" i="7" s="1"/>
  <c r="AP531" i="7" s="1"/>
  <c r="AM531" i="7"/>
  <c r="AN531" i="7"/>
  <c r="AL532" i="7"/>
  <c r="AO532" i="7" s="1"/>
  <c r="AP532" i="7" s="1"/>
  <c r="AM532" i="7"/>
  <c r="AN532" i="7"/>
  <c r="AQ532" i="7" s="1"/>
  <c r="AL533" i="7"/>
  <c r="AM533" i="7"/>
  <c r="AN533" i="7"/>
  <c r="AO533" i="7"/>
  <c r="AP533" i="7" s="1"/>
  <c r="AL534" i="7"/>
  <c r="AO534" i="7" s="1"/>
  <c r="AP534" i="7" s="1"/>
  <c r="AM534" i="7"/>
  <c r="AN534" i="7"/>
  <c r="AL535" i="7"/>
  <c r="AO535" i="7" s="1"/>
  <c r="AP535" i="7" s="1"/>
  <c r="AM535" i="7"/>
  <c r="AN535" i="7"/>
  <c r="AL536" i="7"/>
  <c r="AO536" i="7" s="1"/>
  <c r="AM536" i="7"/>
  <c r="AN536" i="7"/>
  <c r="AP536" i="7"/>
  <c r="AQ536" i="7" s="1"/>
  <c r="AL537" i="7"/>
  <c r="AM537" i="7"/>
  <c r="AN537" i="7"/>
  <c r="AO537" i="7"/>
  <c r="AP537" i="7" s="1"/>
  <c r="AL538" i="7"/>
  <c r="AO538" i="7" s="1"/>
  <c r="AP538" i="7" s="1"/>
  <c r="AM538" i="7"/>
  <c r="AN538" i="7"/>
  <c r="AL539" i="7"/>
  <c r="AO539" i="7" s="1"/>
  <c r="AP539" i="7" s="1"/>
  <c r="AM539" i="7"/>
  <c r="AN539" i="7"/>
  <c r="AL540" i="7"/>
  <c r="AM540" i="7"/>
  <c r="AN540" i="7"/>
  <c r="AO540" i="7"/>
  <c r="AP540" i="7" s="1"/>
  <c r="AL541" i="7"/>
  <c r="AM541" i="7"/>
  <c r="AN541" i="7"/>
  <c r="AO541" i="7"/>
  <c r="AP541" i="7" s="1"/>
  <c r="AL542" i="7"/>
  <c r="AO542" i="7" s="1"/>
  <c r="AP542" i="7" s="1"/>
  <c r="AM542" i="7"/>
  <c r="AN542" i="7"/>
  <c r="AL543" i="7"/>
  <c r="AO543" i="7" s="1"/>
  <c r="AP543" i="7" s="1"/>
  <c r="AM543" i="7"/>
  <c r="AN543" i="7"/>
  <c r="AL544" i="7"/>
  <c r="AM544" i="7"/>
  <c r="AN544" i="7"/>
  <c r="AO544" i="7"/>
  <c r="AP544" i="7" s="1"/>
  <c r="AQ544" i="7" s="1"/>
  <c r="AL545" i="7"/>
  <c r="AO545" i="7" s="1"/>
  <c r="AP545" i="7" s="1"/>
  <c r="AM545" i="7"/>
  <c r="AN545" i="7"/>
  <c r="AQ545" i="7" s="1"/>
  <c r="AL546" i="7"/>
  <c r="AO546" i="7" s="1"/>
  <c r="AP546" i="7" s="1"/>
  <c r="AM546" i="7"/>
  <c r="AN546" i="7"/>
  <c r="AL547" i="7"/>
  <c r="AO547" i="7" s="1"/>
  <c r="AP547" i="7" s="1"/>
  <c r="AM547" i="7"/>
  <c r="AN547" i="7"/>
  <c r="AL548" i="7"/>
  <c r="AO548" i="7" s="1"/>
  <c r="AP548" i="7" s="1"/>
  <c r="AM548" i="7"/>
  <c r="AN548" i="7"/>
  <c r="AQ548" i="7"/>
  <c r="AL549" i="7"/>
  <c r="AO549" i="7" s="1"/>
  <c r="AP549" i="7" s="1"/>
  <c r="AM549" i="7"/>
  <c r="AN549" i="7"/>
  <c r="AL550" i="7"/>
  <c r="AO550" i="7" s="1"/>
  <c r="AM550" i="7"/>
  <c r="AN550" i="7"/>
  <c r="AP550" i="7"/>
  <c r="AL551" i="7"/>
  <c r="AO551" i="7" s="1"/>
  <c r="AP551" i="7" s="1"/>
  <c r="AM551" i="7"/>
  <c r="AN551" i="7"/>
  <c r="AL552" i="7"/>
  <c r="AO552" i="7" s="1"/>
  <c r="AP552" i="7" s="1"/>
  <c r="AM552" i="7"/>
  <c r="AN552" i="7"/>
  <c r="AL553" i="7"/>
  <c r="AO553" i="7" s="1"/>
  <c r="AP553" i="7" s="1"/>
  <c r="AM553" i="7"/>
  <c r="AN553" i="7"/>
  <c r="AL554" i="7"/>
  <c r="AM554" i="7"/>
  <c r="AN554" i="7"/>
  <c r="AO554" i="7"/>
  <c r="AP554" i="7" s="1"/>
  <c r="AL555" i="7"/>
  <c r="AO555" i="7" s="1"/>
  <c r="AP555" i="7" s="1"/>
  <c r="AM555" i="7"/>
  <c r="AN555" i="7"/>
  <c r="AL556" i="7"/>
  <c r="AO556" i="7" s="1"/>
  <c r="AP556" i="7" s="1"/>
  <c r="AM556" i="7"/>
  <c r="AN556" i="7"/>
  <c r="AL557" i="7"/>
  <c r="AO557" i="7" s="1"/>
  <c r="AP557" i="7" s="1"/>
  <c r="AM557" i="7"/>
  <c r="AN557" i="7"/>
  <c r="AL558" i="7"/>
  <c r="AO558" i="7" s="1"/>
  <c r="AP558" i="7" s="1"/>
  <c r="AM558" i="7"/>
  <c r="AN558" i="7"/>
  <c r="AL559" i="7"/>
  <c r="AO559" i="7" s="1"/>
  <c r="AP559" i="7" s="1"/>
  <c r="AM559" i="7"/>
  <c r="AN559" i="7"/>
  <c r="AL560" i="7"/>
  <c r="AO560" i="7" s="1"/>
  <c r="AP560" i="7" s="1"/>
  <c r="AM560" i="7"/>
  <c r="AN560" i="7"/>
  <c r="AL561" i="7"/>
  <c r="AO561" i="7" s="1"/>
  <c r="AP561" i="7" s="1"/>
  <c r="AM561" i="7"/>
  <c r="AN561" i="7"/>
  <c r="AL562" i="7"/>
  <c r="AM562" i="7"/>
  <c r="AN562" i="7"/>
  <c r="AO562" i="7"/>
  <c r="AP562" i="7" s="1"/>
  <c r="AL563" i="7"/>
  <c r="AO563" i="7" s="1"/>
  <c r="AP563" i="7" s="1"/>
  <c r="AM563" i="7"/>
  <c r="AN563" i="7"/>
  <c r="AL564" i="7"/>
  <c r="AO564" i="7" s="1"/>
  <c r="AP564" i="7" s="1"/>
  <c r="AM564" i="7"/>
  <c r="AN564" i="7"/>
  <c r="AL565" i="7"/>
  <c r="AO565" i="7" s="1"/>
  <c r="AP565" i="7" s="1"/>
  <c r="AM565" i="7"/>
  <c r="AN565" i="7"/>
  <c r="AL566" i="7"/>
  <c r="AO566" i="7" s="1"/>
  <c r="AP566" i="7" s="1"/>
  <c r="AM566" i="7"/>
  <c r="AN566" i="7"/>
  <c r="AL567" i="7"/>
  <c r="AO567" i="7" s="1"/>
  <c r="AP567" i="7" s="1"/>
  <c r="AM567" i="7"/>
  <c r="AN567" i="7"/>
  <c r="AL568" i="7"/>
  <c r="AO568" i="7" s="1"/>
  <c r="AP568" i="7" s="1"/>
  <c r="AM568" i="7"/>
  <c r="AN568" i="7"/>
  <c r="AL569" i="7"/>
  <c r="AM569" i="7"/>
  <c r="AN569" i="7"/>
  <c r="AQ569" i="7" s="1"/>
  <c r="AO569" i="7"/>
  <c r="AP569" i="7" s="1"/>
  <c r="AL570" i="7"/>
  <c r="AO570" i="7" s="1"/>
  <c r="AP570" i="7" s="1"/>
  <c r="AM570" i="7"/>
  <c r="AN570" i="7"/>
  <c r="AL571" i="7"/>
  <c r="AO571" i="7" s="1"/>
  <c r="AP571" i="7" s="1"/>
  <c r="AM571" i="7"/>
  <c r="AN571" i="7"/>
  <c r="AQ571" i="7" s="1"/>
  <c r="AL572" i="7"/>
  <c r="AM572" i="7"/>
  <c r="AN572" i="7"/>
  <c r="AO572" i="7"/>
  <c r="AP572" i="7" s="1"/>
  <c r="AL573" i="7"/>
  <c r="AO573" i="7" s="1"/>
  <c r="AP573" i="7" s="1"/>
  <c r="AM573" i="7"/>
  <c r="AN573" i="7"/>
  <c r="AQ573" i="7" s="1"/>
  <c r="AL574" i="7"/>
  <c r="AO574" i="7" s="1"/>
  <c r="AP574" i="7" s="1"/>
  <c r="AM574" i="7"/>
  <c r="AN574" i="7"/>
  <c r="AL575" i="7"/>
  <c r="AO575" i="7" s="1"/>
  <c r="AP575" i="7" s="1"/>
  <c r="AM575" i="7"/>
  <c r="AN575" i="7"/>
  <c r="AL576" i="7"/>
  <c r="AO576" i="7" s="1"/>
  <c r="AP576" i="7" s="1"/>
  <c r="AM576" i="7"/>
  <c r="AN576" i="7"/>
  <c r="AL577" i="7"/>
  <c r="AM577" i="7"/>
  <c r="AN577" i="7"/>
  <c r="AO577" i="7"/>
  <c r="AP577" i="7" s="1"/>
  <c r="AL578" i="7"/>
  <c r="AO578" i="7" s="1"/>
  <c r="AP578" i="7" s="1"/>
  <c r="AM578" i="7"/>
  <c r="AN578" i="7"/>
  <c r="AQ578" i="7"/>
  <c r="AL579" i="7"/>
  <c r="AO579" i="7" s="1"/>
  <c r="AP579" i="7" s="1"/>
  <c r="AM579" i="7"/>
  <c r="AN579" i="7"/>
  <c r="AL580" i="7"/>
  <c r="AO580" i="7" s="1"/>
  <c r="AP580" i="7" s="1"/>
  <c r="AM580" i="7"/>
  <c r="AN580" i="7"/>
  <c r="AL581" i="7"/>
  <c r="AO581" i="7" s="1"/>
  <c r="AP581" i="7" s="1"/>
  <c r="AM581" i="7"/>
  <c r="AN581" i="7"/>
  <c r="AQ581" i="7" s="1"/>
  <c r="AL582" i="7"/>
  <c r="AO582" i="7" s="1"/>
  <c r="AP582" i="7" s="1"/>
  <c r="AM582" i="7"/>
  <c r="AN582" i="7"/>
  <c r="AL583" i="7"/>
  <c r="AO583" i="7" s="1"/>
  <c r="AP583" i="7" s="1"/>
  <c r="AM583" i="7"/>
  <c r="AN583" i="7"/>
  <c r="AL584" i="7"/>
  <c r="AO584" i="7" s="1"/>
  <c r="AP584" i="7" s="1"/>
  <c r="AM584" i="7"/>
  <c r="AN584" i="7"/>
  <c r="AL585" i="7"/>
  <c r="AO585" i="7" s="1"/>
  <c r="AP585" i="7" s="1"/>
  <c r="AM585" i="7"/>
  <c r="AN585" i="7"/>
  <c r="AL586" i="7"/>
  <c r="AM586" i="7"/>
  <c r="AN586" i="7"/>
  <c r="AO586" i="7"/>
  <c r="AP586" i="7"/>
  <c r="AQ586" i="7" s="1"/>
  <c r="AL587" i="7"/>
  <c r="AO587" i="7" s="1"/>
  <c r="AP587" i="7" s="1"/>
  <c r="AM587" i="7"/>
  <c r="AN587" i="7"/>
  <c r="AL588" i="7"/>
  <c r="AO588" i="7" s="1"/>
  <c r="AP588" i="7" s="1"/>
  <c r="AM588" i="7"/>
  <c r="AN588" i="7"/>
  <c r="AL589" i="7"/>
  <c r="AO589" i="7" s="1"/>
  <c r="AM589" i="7"/>
  <c r="AN589" i="7"/>
  <c r="AP589" i="7"/>
  <c r="AL590" i="7"/>
  <c r="AO590" i="7" s="1"/>
  <c r="AP590" i="7" s="1"/>
  <c r="AM590" i="7"/>
  <c r="AN590" i="7"/>
  <c r="AL591" i="7"/>
  <c r="AM591" i="7"/>
  <c r="AN591" i="7"/>
  <c r="AO591" i="7"/>
  <c r="AP591" i="7" s="1"/>
  <c r="AL592" i="7"/>
  <c r="AO592" i="7" s="1"/>
  <c r="AP592" i="7" s="1"/>
  <c r="AM592" i="7"/>
  <c r="AN592" i="7"/>
  <c r="AL593" i="7"/>
  <c r="AO593" i="7" s="1"/>
  <c r="AP593" i="7" s="1"/>
  <c r="AM593" i="7"/>
  <c r="AN593" i="7"/>
  <c r="AL594" i="7"/>
  <c r="AO594" i="7" s="1"/>
  <c r="AP594" i="7" s="1"/>
  <c r="AM594" i="7"/>
  <c r="AN594" i="7"/>
  <c r="AL595" i="7"/>
  <c r="AO595" i="7" s="1"/>
  <c r="AP595" i="7" s="1"/>
  <c r="AQ595" i="7" s="1"/>
  <c r="AM595" i="7"/>
  <c r="AN595" i="7"/>
  <c r="AL596" i="7"/>
  <c r="AO596" i="7" s="1"/>
  <c r="AP596" i="7" s="1"/>
  <c r="AM596" i="7"/>
  <c r="AN596" i="7"/>
  <c r="AL597" i="7"/>
  <c r="AO597" i="7" s="1"/>
  <c r="AM597" i="7"/>
  <c r="AN597" i="7"/>
  <c r="AP597" i="7"/>
  <c r="AQ597" i="7" s="1"/>
  <c r="AL598" i="7"/>
  <c r="AO598" i="7" s="1"/>
  <c r="AP598" i="7" s="1"/>
  <c r="AM598" i="7"/>
  <c r="AN598" i="7"/>
  <c r="AL599" i="7"/>
  <c r="AO599" i="7" s="1"/>
  <c r="AP599" i="7" s="1"/>
  <c r="AM599" i="7"/>
  <c r="AN599" i="7"/>
  <c r="AL600" i="7"/>
  <c r="AO600" i="7" s="1"/>
  <c r="AP600" i="7" s="1"/>
  <c r="AM600" i="7"/>
  <c r="AN600" i="7"/>
  <c r="AL601" i="7"/>
  <c r="AO601" i="7" s="1"/>
  <c r="AP601" i="7" s="1"/>
  <c r="AM601" i="7"/>
  <c r="AN601" i="7"/>
  <c r="AQ601" i="7" s="1"/>
  <c r="AL602" i="7"/>
  <c r="AM602" i="7"/>
  <c r="AN602" i="7"/>
  <c r="AO602" i="7"/>
  <c r="AP602" i="7" s="1"/>
  <c r="AL603" i="7"/>
  <c r="AO603" i="7" s="1"/>
  <c r="AP603" i="7" s="1"/>
  <c r="AM603" i="7"/>
  <c r="AN603" i="7"/>
  <c r="AL604" i="7"/>
  <c r="AM604" i="7"/>
  <c r="AN604" i="7"/>
  <c r="AQ604" i="7" s="1"/>
  <c r="AO604" i="7"/>
  <c r="AP604" i="7" s="1"/>
  <c r="AL605" i="7"/>
  <c r="AO605" i="7" s="1"/>
  <c r="AP605" i="7" s="1"/>
  <c r="AM605" i="7"/>
  <c r="AN605" i="7"/>
  <c r="AL606" i="7"/>
  <c r="AO606" i="7" s="1"/>
  <c r="AP606" i="7" s="1"/>
  <c r="AM606" i="7"/>
  <c r="AN606" i="7"/>
  <c r="AL607" i="7"/>
  <c r="AO607" i="7" s="1"/>
  <c r="AP607" i="7" s="1"/>
  <c r="AM607" i="7"/>
  <c r="AN607" i="7"/>
  <c r="AL608" i="7"/>
  <c r="AO608" i="7" s="1"/>
  <c r="AP608" i="7" s="1"/>
  <c r="AM608" i="7"/>
  <c r="AN608" i="7"/>
  <c r="AQ608" i="7" s="1"/>
  <c r="AL609" i="7"/>
  <c r="AM609" i="7"/>
  <c r="AN609" i="7"/>
  <c r="AO609" i="7"/>
  <c r="AP609" i="7" s="1"/>
  <c r="AQ609" i="7" s="1"/>
  <c r="AL610" i="7"/>
  <c r="AO610" i="7" s="1"/>
  <c r="AP610" i="7" s="1"/>
  <c r="AM610" i="7"/>
  <c r="AN610" i="7"/>
  <c r="AL611" i="7"/>
  <c r="AO611" i="7" s="1"/>
  <c r="AP611" i="7" s="1"/>
  <c r="AM611" i="7"/>
  <c r="AN611" i="7"/>
  <c r="AL612" i="7"/>
  <c r="AO612" i="7" s="1"/>
  <c r="AP612" i="7" s="1"/>
  <c r="AM612" i="7"/>
  <c r="AN612" i="7"/>
  <c r="AL613" i="7"/>
  <c r="AO613" i="7" s="1"/>
  <c r="AP613" i="7" s="1"/>
  <c r="AM613" i="7"/>
  <c r="AN613" i="7"/>
  <c r="AL614" i="7"/>
  <c r="AO614" i="7" s="1"/>
  <c r="AP614" i="7" s="1"/>
  <c r="AM614" i="7"/>
  <c r="AN614" i="7"/>
  <c r="AL615" i="7"/>
  <c r="AO615" i="7" s="1"/>
  <c r="AP615" i="7" s="1"/>
  <c r="AM615" i="7"/>
  <c r="AN615" i="7"/>
  <c r="AQ615" i="7" s="1"/>
  <c r="AL616" i="7"/>
  <c r="AO616" i="7" s="1"/>
  <c r="AM616" i="7"/>
  <c r="AN616" i="7"/>
  <c r="AQ616" i="7" s="1"/>
  <c r="AP616" i="7"/>
  <c r="AL617" i="7"/>
  <c r="AO617" i="7" s="1"/>
  <c r="AP617" i="7" s="1"/>
  <c r="AM617" i="7"/>
  <c r="AN617" i="7"/>
  <c r="AL618" i="7"/>
  <c r="AO618" i="7" s="1"/>
  <c r="AP618" i="7" s="1"/>
  <c r="AM618" i="7"/>
  <c r="AN618" i="7"/>
  <c r="AL619" i="7"/>
  <c r="AO619" i="7" s="1"/>
  <c r="AP619" i="7" s="1"/>
  <c r="AM619" i="7"/>
  <c r="AN619" i="7"/>
  <c r="AL620" i="7"/>
  <c r="AO620" i="7" s="1"/>
  <c r="AP620" i="7" s="1"/>
  <c r="AQ620" i="7" s="1"/>
  <c r="AM620" i="7"/>
  <c r="AN620" i="7"/>
  <c r="AL621" i="7"/>
  <c r="AO621" i="7" s="1"/>
  <c r="AP621" i="7" s="1"/>
  <c r="AM621" i="7"/>
  <c r="AN621" i="7"/>
  <c r="AL622" i="7"/>
  <c r="AO622" i="7" s="1"/>
  <c r="AP622" i="7" s="1"/>
  <c r="AM622" i="7"/>
  <c r="AN622" i="7"/>
  <c r="AQ622" i="7" s="1"/>
  <c r="AL623" i="7"/>
  <c r="AO623" i="7" s="1"/>
  <c r="AP623" i="7" s="1"/>
  <c r="AM623" i="7"/>
  <c r="AN623" i="7"/>
  <c r="AL624" i="7"/>
  <c r="AO624" i="7" s="1"/>
  <c r="AP624" i="7" s="1"/>
  <c r="AM624" i="7"/>
  <c r="AN624" i="7"/>
  <c r="AL625" i="7"/>
  <c r="AO625" i="7" s="1"/>
  <c r="AP625" i="7" s="1"/>
  <c r="AM625" i="7"/>
  <c r="AN625" i="7"/>
  <c r="AL626" i="7"/>
  <c r="AO626" i="7" s="1"/>
  <c r="AP626" i="7" s="1"/>
  <c r="AM626" i="7"/>
  <c r="AN626" i="7"/>
  <c r="AL627" i="7"/>
  <c r="AO627" i="7" s="1"/>
  <c r="AP627" i="7" s="1"/>
  <c r="AM627" i="7"/>
  <c r="AN627" i="7"/>
  <c r="AL628" i="7"/>
  <c r="AO628" i="7" s="1"/>
  <c r="AP628" i="7" s="1"/>
  <c r="AM628" i="7"/>
  <c r="AN628" i="7"/>
  <c r="AL629" i="7"/>
  <c r="AO629" i="7" s="1"/>
  <c r="AP629" i="7" s="1"/>
  <c r="AM629" i="7"/>
  <c r="AN629" i="7"/>
  <c r="AL630" i="7"/>
  <c r="AO630" i="7" s="1"/>
  <c r="AM630" i="7"/>
  <c r="AN630" i="7"/>
  <c r="AP630" i="7"/>
  <c r="AQ630" i="7"/>
  <c r="AL631" i="7"/>
  <c r="AO631" i="7" s="1"/>
  <c r="AP631" i="7" s="1"/>
  <c r="AM631" i="7"/>
  <c r="AN631" i="7"/>
  <c r="AL632" i="7"/>
  <c r="AO632" i="7" s="1"/>
  <c r="AP632" i="7" s="1"/>
  <c r="AM632" i="7"/>
  <c r="AN632" i="7"/>
  <c r="AL633" i="7"/>
  <c r="AO633" i="7" s="1"/>
  <c r="AP633" i="7" s="1"/>
  <c r="AM633" i="7"/>
  <c r="AN633" i="7"/>
  <c r="AL634" i="7"/>
  <c r="AO634" i="7" s="1"/>
  <c r="AP634" i="7" s="1"/>
  <c r="AM634" i="7"/>
  <c r="AN634" i="7"/>
  <c r="AL635" i="7"/>
  <c r="AO635" i="7" s="1"/>
  <c r="AP635" i="7" s="1"/>
  <c r="AM635" i="7"/>
  <c r="AN635" i="7"/>
  <c r="AL636" i="7"/>
  <c r="AO636" i="7" s="1"/>
  <c r="AP636" i="7" s="1"/>
  <c r="AM636" i="7"/>
  <c r="AN636" i="7"/>
  <c r="AL637" i="7"/>
  <c r="AO637" i="7" s="1"/>
  <c r="AP637" i="7" s="1"/>
  <c r="AM637" i="7"/>
  <c r="AN637" i="7"/>
  <c r="AL638" i="7"/>
  <c r="AM638" i="7"/>
  <c r="AN638" i="7"/>
  <c r="AO638" i="7"/>
  <c r="AP638" i="7" s="1"/>
  <c r="AL639" i="7"/>
  <c r="AO639" i="7" s="1"/>
  <c r="AP639" i="7" s="1"/>
  <c r="AM639" i="7"/>
  <c r="AN639" i="7"/>
  <c r="AL640" i="7"/>
  <c r="AO640" i="7" s="1"/>
  <c r="AP640" i="7" s="1"/>
  <c r="AM640" i="7"/>
  <c r="AN640" i="7"/>
  <c r="AL641" i="7"/>
  <c r="AO641" i="7" s="1"/>
  <c r="AP641" i="7" s="1"/>
  <c r="AM641" i="7"/>
  <c r="AN641" i="7"/>
  <c r="AL642" i="7"/>
  <c r="AM642" i="7"/>
  <c r="AN642" i="7"/>
  <c r="AO642" i="7"/>
  <c r="AP642" i="7" s="1"/>
  <c r="AL643" i="7"/>
  <c r="AO643" i="7" s="1"/>
  <c r="AP643" i="7" s="1"/>
  <c r="AM643" i="7"/>
  <c r="AN643" i="7"/>
  <c r="AQ643" i="7" s="1"/>
  <c r="AL644" i="7"/>
  <c r="AO644" i="7" s="1"/>
  <c r="AP644" i="7" s="1"/>
  <c r="AM644" i="7"/>
  <c r="AN644" i="7"/>
  <c r="AL645" i="7"/>
  <c r="AM645" i="7"/>
  <c r="AN645" i="7"/>
  <c r="AO645" i="7"/>
  <c r="AP645" i="7" s="1"/>
  <c r="AL646" i="7"/>
  <c r="AO646" i="7" s="1"/>
  <c r="AP646" i="7" s="1"/>
  <c r="AQ646" i="7" s="1"/>
  <c r="AM646" i="7"/>
  <c r="AN646" i="7"/>
  <c r="AL647" i="7"/>
  <c r="AO647" i="7" s="1"/>
  <c r="AM647" i="7"/>
  <c r="AN647" i="7"/>
  <c r="AP647" i="7"/>
  <c r="AL648" i="7"/>
  <c r="AO648" i="7" s="1"/>
  <c r="AP648" i="7" s="1"/>
  <c r="AM648" i="7"/>
  <c r="AN648" i="7"/>
  <c r="AL649" i="7"/>
  <c r="AO649" i="7" s="1"/>
  <c r="AP649" i="7" s="1"/>
  <c r="AM649" i="7"/>
  <c r="AN649" i="7"/>
  <c r="AL650" i="7"/>
  <c r="AO650" i="7" s="1"/>
  <c r="AP650" i="7" s="1"/>
  <c r="AM650" i="7"/>
  <c r="AN650" i="7"/>
  <c r="AL651" i="7"/>
  <c r="AO651" i="7" s="1"/>
  <c r="AP651" i="7" s="1"/>
  <c r="AM651" i="7"/>
  <c r="AN651" i="7"/>
  <c r="AL652" i="7"/>
  <c r="AO652" i="7" s="1"/>
  <c r="AP652" i="7" s="1"/>
  <c r="AM652" i="7"/>
  <c r="AN652" i="7"/>
  <c r="AL653" i="7"/>
  <c r="AM653" i="7"/>
  <c r="AN653" i="7"/>
  <c r="AO653" i="7"/>
  <c r="AP653" i="7" s="1"/>
  <c r="AQ653" i="7"/>
  <c r="AL654" i="7"/>
  <c r="AM654" i="7"/>
  <c r="AN654" i="7"/>
  <c r="AO654" i="7"/>
  <c r="AP654" i="7" s="1"/>
  <c r="AL655" i="7"/>
  <c r="AO655" i="7" s="1"/>
  <c r="AP655" i="7" s="1"/>
  <c r="AQ655" i="7" s="1"/>
  <c r="AM655" i="7"/>
  <c r="AN655" i="7"/>
  <c r="AL656" i="7"/>
  <c r="AO656" i="7" s="1"/>
  <c r="AP656" i="7" s="1"/>
  <c r="AM656" i="7"/>
  <c r="AN656" i="7"/>
  <c r="AL657" i="7"/>
  <c r="AO657" i="7" s="1"/>
  <c r="AP657" i="7" s="1"/>
  <c r="AM657" i="7"/>
  <c r="AN657" i="7"/>
  <c r="AQ657" i="7" s="1"/>
  <c r="AL658" i="7"/>
  <c r="AO658" i="7" s="1"/>
  <c r="AP658" i="7" s="1"/>
  <c r="AM658" i="7"/>
  <c r="AN658" i="7"/>
  <c r="AQ658" i="7" s="1"/>
  <c r="AL659" i="7"/>
  <c r="AO659" i="7" s="1"/>
  <c r="AP659" i="7" s="1"/>
  <c r="AM659" i="7"/>
  <c r="AN659" i="7"/>
  <c r="AL660" i="7"/>
  <c r="AO660" i="7" s="1"/>
  <c r="AP660" i="7" s="1"/>
  <c r="AM660" i="7"/>
  <c r="AN660" i="7"/>
  <c r="AL661" i="7"/>
  <c r="AM661" i="7"/>
  <c r="AN661" i="7"/>
  <c r="AO661" i="7"/>
  <c r="AP661" i="7" s="1"/>
  <c r="AL662" i="7"/>
  <c r="AO662" i="7" s="1"/>
  <c r="AP662" i="7" s="1"/>
  <c r="AM662" i="7"/>
  <c r="AN662" i="7"/>
  <c r="AL663" i="7"/>
  <c r="AO663" i="7" s="1"/>
  <c r="AP663" i="7" s="1"/>
  <c r="AM663" i="7"/>
  <c r="AN663" i="7"/>
  <c r="AL664" i="7"/>
  <c r="AO664" i="7" s="1"/>
  <c r="AP664" i="7" s="1"/>
  <c r="AM664" i="7"/>
  <c r="AN664" i="7"/>
  <c r="AL665" i="7"/>
  <c r="AM665" i="7"/>
  <c r="AN665" i="7"/>
  <c r="AO665" i="7"/>
  <c r="AP665" i="7" s="1"/>
  <c r="AL666" i="7"/>
  <c r="AO666" i="7" s="1"/>
  <c r="AP666" i="7" s="1"/>
  <c r="AM666" i="7"/>
  <c r="AN666" i="7"/>
  <c r="AL667" i="7"/>
  <c r="AO667" i="7" s="1"/>
  <c r="AP667" i="7" s="1"/>
  <c r="AQ667" i="7" s="1"/>
  <c r="AM667" i="7"/>
  <c r="AN667" i="7"/>
  <c r="AL668" i="7"/>
  <c r="AO668" i="7" s="1"/>
  <c r="AP668" i="7" s="1"/>
  <c r="AM668" i="7"/>
  <c r="AN668" i="7"/>
  <c r="AQ668" i="7"/>
  <c r="AL669" i="7"/>
  <c r="AO669" i="7" s="1"/>
  <c r="AP669" i="7" s="1"/>
  <c r="AM669" i="7"/>
  <c r="AN669" i="7"/>
  <c r="AL670" i="7"/>
  <c r="AM670" i="7"/>
  <c r="AN670" i="7"/>
  <c r="AO670" i="7"/>
  <c r="AP670" i="7" s="1"/>
  <c r="AL671" i="7"/>
  <c r="AO671" i="7" s="1"/>
  <c r="AP671" i="7" s="1"/>
  <c r="AM671" i="7"/>
  <c r="AN671" i="7"/>
  <c r="AL672" i="7"/>
  <c r="AO672" i="7" s="1"/>
  <c r="AP672" i="7" s="1"/>
  <c r="AM672" i="7"/>
  <c r="AN672" i="7"/>
  <c r="AQ672" i="7"/>
  <c r="AL673" i="7"/>
  <c r="AO673" i="7" s="1"/>
  <c r="AP673" i="7" s="1"/>
  <c r="AM673" i="7"/>
  <c r="AN673" i="7"/>
  <c r="AL674" i="7"/>
  <c r="AM674" i="7"/>
  <c r="AN674" i="7"/>
  <c r="AO674" i="7"/>
  <c r="AP674" i="7" s="1"/>
  <c r="AL675" i="7"/>
  <c r="AO675" i="7" s="1"/>
  <c r="AP675" i="7" s="1"/>
  <c r="AM675" i="7"/>
  <c r="AN675" i="7"/>
  <c r="AL676" i="7"/>
  <c r="AO676" i="7" s="1"/>
  <c r="AP676" i="7" s="1"/>
  <c r="AM676" i="7"/>
  <c r="AN676" i="7"/>
  <c r="AL677" i="7"/>
  <c r="AO677" i="7" s="1"/>
  <c r="AP677" i="7" s="1"/>
  <c r="AM677" i="7"/>
  <c r="AN677" i="7"/>
  <c r="AQ677" i="7" s="1"/>
  <c r="AL678" i="7"/>
  <c r="AO678" i="7" s="1"/>
  <c r="AP678" i="7" s="1"/>
  <c r="AM678" i="7"/>
  <c r="AN678" i="7"/>
  <c r="AL679" i="7"/>
  <c r="AO679" i="7" s="1"/>
  <c r="AP679" i="7" s="1"/>
  <c r="AM679" i="7"/>
  <c r="AN679" i="7"/>
  <c r="AL680" i="7"/>
  <c r="AO680" i="7" s="1"/>
  <c r="AP680" i="7" s="1"/>
  <c r="AM680" i="7"/>
  <c r="AN680" i="7"/>
  <c r="AQ680" i="7" s="1"/>
  <c r="AL681" i="7"/>
  <c r="AO681" i="7" s="1"/>
  <c r="AP681" i="7" s="1"/>
  <c r="AM681" i="7"/>
  <c r="AN681" i="7"/>
  <c r="AL682" i="7"/>
  <c r="AO682" i="7" s="1"/>
  <c r="AP682" i="7" s="1"/>
  <c r="AM682" i="7"/>
  <c r="AN682" i="7"/>
  <c r="AQ682" i="7" s="1"/>
  <c r="AL683" i="7"/>
  <c r="AO683" i="7" s="1"/>
  <c r="AP683" i="7" s="1"/>
  <c r="AM683" i="7"/>
  <c r="AN683" i="7"/>
  <c r="AL684" i="7"/>
  <c r="AO684" i="7" s="1"/>
  <c r="AP684" i="7" s="1"/>
  <c r="AM684" i="7"/>
  <c r="AN684" i="7"/>
  <c r="AL685" i="7"/>
  <c r="AO685" i="7" s="1"/>
  <c r="AP685" i="7" s="1"/>
  <c r="AM685" i="7"/>
  <c r="AN685" i="7"/>
  <c r="AQ685" i="7" s="1"/>
  <c r="AL686" i="7"/>
  <c r="AO686" i="7" s="1"/>
  <c r="AP686" i="7" s="1"/>
  <c r="AM686" i="7"/>
  <c r="AN686" i="7"/>
  <c r="AL687" i="7"/>
  <c r="AM687" i="7"/>
  <c r="AN687" i="7"/>
  <c r="AO687" i="7"/>
  <c r="AP687" i="7" s="1"/>
  <c r="AL688" i="7"/>
  <c r="AM688" i="7"/>
  <c r="AN688" i="7"/>
  <c r="AO688" i="7"/>
  <c r="AP688" i="7" s="1"/>
  <c r="AL689" i="7"/>
  <c r="AO689" i="7" s="1"/>
  <c r="AP689" i="7" s="1"/>
  <c r="AM689" i="7"/>
  <c r="AN689" i="7"/>
  <c r="AQ689" i="7" s="1"/>
  <c r="AL690" i="7"/>
  <c r="AO690" i="7" s="1"/>
  <c r="AP690" i="7" s="1"/>
  <c r="AM690" i="7"/>
  <c r="AN690" i="7"/>
  <c r="AL691" i="7"/>
  <c r="AO691" i="7" s="1"/>
  <c r="AP691" i="7" s="1"/>
  <c r="AM691" i="7"/>
  <c r="AN691" i="7"/>
  <c r="AL692" i="7"/>
  <c r="AO692" i="7" s="1"/>
  <c r="AP692" i="7" s="1"/>
  <c r="AM692" i="7"/>
  <c r="AN692" i="7"/>
  <c r="AL693" i="7"/>
  <c r="AO693" i="7" s="1"/>
  <c r="AP693" i="7" s="1"/>
  <c r="AM693" i="7"/>
  <c r="AN693" i="7"/>
  <c r="AL694" i="7"/>
  <c r="AO694" i="7" s="1"/>
  <c r="AP694" i="7" s="1"/>
  <c r="AM694" i="7"/>
  <c r="AN694" i="7"/>
  <c r="AL695" i="7"/>
  <c r="AO695" i="7" s="1"/>
  <c r="AP695" i="7" s="1"/>
  <c r="AM695" i="7"/>
  <c r="AN695" i="7"/>
  <c r="AQ695" i="7" s="1"/>
  <c r="AL696" i="7"/>
  <c r="AO696" i="7" s="1"/>
  <c r="AP696" i="7" s="1"/>
  <c r="AM696" i="7"/>
  <c r="AN696" i="7"/>
  <c r="AL697" i="7"/>
  <c r="AO697" i="7" s="1"/>
  <c r="AP697" i="7" s="1"/>
  <c r="AQ697" i="7" s="1"/>
  <c r="AM697" i="7"/>
  <c r="AN697" i="7"/>
  <c r="AL698" i="7"/>
  <c r="AO698" i="7" s="1"/>
  <c r="AP698" i="7" s="1"/>
  <c r="AM698" i="7"/>
  <c r="AN698" i="7"/>
  <c r="AL699" i="7"/>
  <c r="AO699" i="7" s="1"/>
  <c r="AP699" i="7" s="1"/>
  <c r="AM699" i="7"/>
  <c r="AN699" i="7"/>
  <c r="AL700" i="7"/>
  <c r="AO700" i="7" s="1"/>
  <c r="AP700" i="7" s="1"/>
  <c r="AM700" i="7"/>
  <c r="AN700" i="7"/>
  <c r="AL701" i="7"/>
  <c r="AM701" i="7"/>
  <c r="AN701" i="7"/>
  <c r="AO701" i="7"/>
  <c r="AP701" i="7" s="1"/>
  <c r="AL702" i="7"/>
  <c r="AM702" i="7"/>
  <c r="AN702" i="7"/>
  <c r="AO702" i="7"/>
  <c r="AP702" i="7"/>
  <c r="AL703" i="7"/>
  <c r="AO703" i="7" s="1"/>
  <c r="AP703" i="7" s="1"/>
  <c r="AM703" i="7"/>
  <c r="AN703" i="7"/>
  <c r="AL704" i="7"/>
  <c r="AM704" i="7"/>
  <c r="AN704" i="7"/>
  <c r="AO704" i="7"/>
  <c r="AP704" i="7"/>
  <c r="AQ704" i="7" s="1"/>
  <c r="AL705" i="7"/>
  <c r="AO705" i="7" s="1"/>
  <c r="AP705" i="7" s="1"/>
  <c r="AM705" i="7"/>
  <c r="AN705" i="7"/>
  <c r="AL706" i="7"/>
  <c r="AO706" i="7" s="1"/>
  <c r="AP706" i="7" s="1"/>
  <c r="AM706" i="7"/>
  <c r="AN706" i="7"/>
  <c r="AL707" i="7"/>
  <c r="AO707" i="7" s="1"/>
  <c r="AP707" i="7" s="1"/>
  <c r="AM707" i="7"/>
  <c r="AN707" i="7"/>
  <c r="AL708" i="7"/>
  <c r="AM708" i="7"/>
  <c r="AN708" i="7"/>
  <c r="AO708" i="7"/>
  <c r="AP708" i="7"/>
  <c r="AL709" i="7"/>
  <c r="AO709" i="7" s="1"/>
  <c r="AP709" i="7" s="1"/>
  <c r="AM709" i="7"/>
  <c r="AN709" i="7"/>
  <c r="AL710" i="7"/>
  <c r="AO710" i="7" s="1"/>
  <c r="AP710" i="7" s="1"/>
  <c r="AM710" i="7"/>
  <c r="AN710" i="7"/>
  <c r="AL711" i="7"/>
  <c r="AO711" i="7" s="1"/>
  <c r="AP711" i="7" s="1"/>
  <c r="AM711" i="7"/>
  <c r="AN711" i="7"/>
  <c r="AL712" i="7"/>
  <c r="AO712" i="7" s="1"/>
  <c r="AP712" i="7" s="1"/>
  <c r="AM712" i="7"/>
  <c r="AN712" i="7"/>
  <c r="AL713" i="7"/>
  <c r="AO713" i="7" s="1"/>
  <c r="AP713" i="7" s="1"/>
  <c r="AM713" i="7"/>
  <c r="AN713" i="7"/>
  <c r="AL714" i="7"/>
  <c r="AO714" i="7" s="1"/>
  <c r="AP714" i="7" s="1"/>
  <c r="AM714" i="7"/>
  <c r="AN714" i="7"/>
  <c r="AL715" i="7"/>
  <c r="AO715" i="7" s="1"/>
  <c r="AP715" i="7" s="1"/>
  <c r="AM715" i="7"/>
  <c r="AN715" i="7"/>
  <c r="AL716" i="7"/>
  <c r="AO716" i="7" s="1"/>
  <c r="AP716" i="7" s="1"/>
  <c r="AM716" i="7"/>
  <c r="AN716" i="7"/>
  <c r="AL717" i="7"/>
  <c r="AO717" i="7" s="1"/>
  <c r="AP717" i="7" s="1"/>
  <c r="AM717" i="7"/>
  <c r="AN717" i="7"/>
  <c r="AL718" i="7"/>
  <c r="AO718" i="7" s="1"/>
  <c r="AP718" i="7" s="1"/>
  <c r="AM718" i="7"/>
  <c r="AN718" i="7"/>
  <c r="AL719" i="7"/>
  <c r="AO719" i="7" s="1"/>
  <c r="AP719" i="7" s="1"/>
  <c r="AM719" i="7"/>
  <c r="AN719" i="7"/>
  <c r="AL720" i="7"/>
  <c r="AO720" i="7" s="1"/>
  <c r="AP720" i="7" s="1"/>
  <c r="AM720" i="7"/>
  <c r="AN720" i="7"/>
  <c r="AL721" i="7"/>
  <c r="AO721" i="7" s="1"/>
  <c r="AP721" i="7" s="1"/>
  <c r="AM721" i="7"/>
  <c r="AN721" i="7"/>
  <c r="AL722" i="7"/>
  <c r="AM722" i="7"/>
  <c r="AN722" i="7"/>
  <c r="AO722" i="7"/>
  <c r="AP722" i="7" s="1"/>
  <c r="AL723" i="7"/>
  <c r="AO723" i="7" s="1"/>
  <c r="AP723" i="7" s="1"/>
  <c r="AM723" i="7"/>
  <c r="AN723" i="7"/>
  <c r="AL724" i="7"/>
  <c r="AO724" i="7" s="1"/>
  <c r="AP724" i="7" s="1"/>
  <c r="AM724" i="7"/>
  <c r="AN724" i="7"/>
  <c r="AQ724" i="7" s="1"/>
  <c r="AL725" i="7"/>
  <c r="AO725" i="7" s="1"/>
  <c r="AP725" i="7" s="1"/>
  <c r="AM725" i="7"/>
  <c r="AN725" i="7"/>
  <c r="AL726" i="7"/>
  <c r="AO726" i="7" s="1"/>
  <c r="AP726" i="7" s="1"/>
  <c r="AM726" i="7"/>
  <c r="AN726" i="7"/>
  <c r="AL727" i="7"/>
  <c r="AO727" i="7" s="1"/>
  <c r="AP727" i="7" s="1"/>
  <c r="AM727" i="7"/>
  <c r="AN727" i="7"/>
  <c r="AQ727" i="7" s="1"/>
  <c r="AL728" i="7"/>
  <c r="AO728" i="7" s="1"/>
  <c r="AP728" i="7" s="1"/>
  <c r="AM728" i="7"/>
  <c r="AN728" i="7"/>
  <c r="AL729" i="7"/>
  <c r="AM729" i="7"/>
  <c r="AN729" i="7"/>
  <c r="AO729" i="7"/>
  <c r="AP729" i="7" s="1"/>
  <c r="AL730" i="7"/>
  <c r="AO730" i="7" s="1"/>
  <c r="AP730" i="7" s="1"/>
  <c r="AM730" i="7"/>
  <c r="AN730" i="7"/>
  <c r="AL731" i="7"/>
  <c r="AO731" i="7" s="1"/>
  <c r="AP731" i="7" s="1"/>
  <c r="AM731" i="7"/>
  <c r="AN731" i="7"/>
  <c r="AL732" i="7"/>
  <c r="AO732" i="7" s="1"/>
  <c r="AP732" i="7" s="1"/>
  <c r="AQ732" i="7" s="1"/>
  <c r="AM732" i="7"/>
  <c r="AN732" i="7"/>
  <c r="AL733" i="7"/>
  <c r="AM733" i="7"/>
  <c r="AN733" i="7"/>
  <c r="AO733" i="7"/>
  <c r="AP733" i="7" s="1"/>
  <c r="AL734" i="7"/>
  <c r="AO734" i="7" s="1"/>
  <c r="AP734" i="7" s="1"/>
  <c r="AM734" i="7"/>
  <c r="AN734" i="7"/>
  <c r="AL735" i="7"/>
  <c r="AO735" i="7" s="1"/>
  <c r="AP735" i="7" s="1"/>
  <c r="AM735" i="7"/>
  <c r="AN735" i="7"/>
  <c r="AL736" i="7"/>
  <c r="AO736" i="7" s="1"/>
  <c r="AP736" i="7" s="1"/>
  <c r="AM736" i="7"/>
  <c r="AN736" i="7"/>
  <c r="AL737" i="7"/>
  <c r="AM737" i="7"/>
  <c r="AN737" i="7"/>
  <c r="AO737" i="7"/>
  <c r="AP737" i="7"/>
  <c r="AL738" i="7"/>
  <c r="AO738" i="7" s="1"/>
  <c r="AP738" i="7" s="1"/>
  <c r="AM738" i="7"/>
  <c r="AN738" i="7"/>
  <c r="AQ738" i="7" s="1"/>
  <c r="AL739" i="7"/>
  <c r="AO739" i="7" s="1"/>
  <c r="AP739" i="7" s="1"/>
  <c r="AM739" i="7"/>
  <c r="AN739" i="7"/>
  <c r="AL740" i="7"/>
  <c r="AO740" i="7" s="1"/>
  <c r="AP740" i="7" s="1"/>
  <c r="AM740" i="7"/>
  <c r="AN740" i="7"/>
  <c r="AL741" i="7"/>
  <c r="AO741" i="7" s="1"/>
  <c r="AP741" i="7" s="1"/>
  <c r="AM741" i="7"/>
  <c r="AN741" i="7"/>
  <c r="AQ741" i="7" s="1"/>
  <c r="AL742" i="7"/>
  <c r="AO742" i="7" s="1"/>
  <c r="AP742" i="7" s="1"/>
  <c r="AQ742" i="7" s="1"/>
  <c r="AM742" i="7"/>
  <c r="AN742" i="7"/>
  <c r="AL743" i="7"/>
  <c r="AO743" i="7" s="1"/>
  <c r="AP743" i="7" s="1"/>
  <c r="AM743" i="7"/>
  <c r="AN743" i="7"/>
  <c r="AL744" i="7"/>
  <c r="AO744" i="7" s="1"/>
  <c r="AP744" i="7" s="1"/>
  <c r="AM744" i="7"/>
  <c r="AN744" i="7"/>
  <c r="AL745" i="7"/>
  <c r="AM745" i="7"/>
  <c r="AN745" i="7"/>
  <c r="AO745" i="7"/>
  <c r="AP745" i="7" s="1"/>
  <c r="AQ745" i="7" s="1"/>
  <c r="AL746" i="7"/>
  <c r="AO746" i="7" s="1"/>
  <c r="AP746" i="7" s="1"/>
  <c r="AM746" i="7"/>
  <c r="AN746" i="7"/>
  <c r="AL747" i="7"/>
  <c r="AO747" i="7" s="1"/>
  <c r="AP747" i="7" s="1"/>
  <c r="AM747" i="7"/>
  <c r="AN747" i="7"/>
  <c r="AL748" i="7"/>
  <c r="AO748" i="7" s="1"/>
  <c r="AP748" i="7" s="1"/>
  <c r="AM748" i="7"/>
  <c r="AN748" i="7"/>
  <c r="AL749" i="7"/>
  <c r="AO749" i="7" s="1"/>
  <c r="AM749" i="7"/>
  <c r="AN749" i="7"/>
  <c r="AP749" i="7"/>
  <c r="AQ749" i="7" s="1"/>
  <c r="AL750" i="7"/>
  <c r="AO750" i="7" s="1"/>
  <c r="AP750" i="7" s="1"/>
  <c r="AM750" i="7"/>
  <c r="AN750" i="7"/>
  <c r="AL751" i="7"/>
  <c r="AO751" i="7" s="1"/>
  <c r="AP751" i="7" s="1"/>
  <c r="AM751" i="7"/>
  <c r="AN751" i="7"/>
  <c r="AL752" i="7"/>
  <c r="AO752" i="7" s="1"/>
  <c r="AP752" i="7" s="1"/>
  <c r="AM752" i="7"/>
  <c r="AN752" i="7"/>
  <c r="AL753" i="7"/>
  <c r="AO753" i="7" s="1"/>
  <c r="AP753" i="7" s="1"/>
  <c r="AM753" i="7"/>
  <c r="AN753" i="7"/>
  <c r="AL754" i="7"/>
  <c r="AO754" i="7" s="1"/>
  <c r="AP754" i="7" s="1"/>
  <c r="AM754" i="7"/>
  <c r="AN754" i="7"/>
  <c r="AL755" i="7"/>
  <c r="AO755" i="7" s="1"/>
  <c r="AP755" i="7" s="1"/>
  <c r="AM755" i="7"/>
  <c r="AN755" i="7"/>
  <c r="AL756" i="7"/>
  <c r="AO756" i="7" s="1"/>
  <c r="AP756" i="7" s="1"/>
  <c r="AQ756" i="7" s="1"/>
  <c r="AM756" i="7"/>
  <c r="AN756" i="7"/>
  <c r="AL757" i="7"/>
  <c r="AO757" i="7" s="1"/>
  <c r="AP757" i="7" s="1"/>
  <c r="AM757" i="7"/>
  <c r="AN757" i="7"/>
  <c r="AL758" i="7"/>
  <c r="AO758" i="7" s="1"/>
  <c r="AP758" i="7" s="1"/>
  <c r="AQ758" i="7" s="1"/>
  <c r="AM758" i="7"/>
  <c r="AN758" i="7"/>
  <c r="AL759" i="7"/>
  <c r="AO759" i="7" s="1"/>
  <c r="AP759" i="7" s="1"/>
  <c r="AM759" i="7"/>
  <c r="AN759" i="7"/>
  <c r="AL760" i="7"/>
  <c r="AO760" i="7" s="1"/>
  <c r="AP760" i="7" s="1"/>
  <c r="AM760" i="7"/>
  <c r="AN760" i="7"/>
  <c r="AL761" i="7"/>
  <c r="AO761" i="7" s="1"/>
  <c r="AP761" i="7" s="1"/>
  <c r="AM761" i="7"/>
  <c r="AN761" i="7"/>
  <c r="AQ761" i="7" s="1"/>
  <c r="AL762" i="7"/>
  <c r="AO762" i="7" s="1"/>
  <c r="AP762" i="7" s="1"/>
  <c r="AM762" i="7"/>
  <c r="AN762" i="7"/>
  <c r="AQ762" i="7" s="1"/>
  <c r="AL763" i="7"/>
  <c r="AO763" i="7" s="1"/>
  <c r="AP763" i="7" s="1"/>
  <c r="AM763" i="7"/>
  <c r="AN763" i="7"/>
  <c r="AL764" i="7"/>
  <c r="AO764" i="7" s="1"/>
  <c r="AP764" i="7" s="1"/>
  <c r="AM764" i="7"/>
  <c r="AN764" i="7"/>
  <c r="AL765" i="7"/>
  <c r="AO765" i="7" s="1"/>
  <c r="AP765" i="7" s="1"/>
  <c r="AM765" i="7"/>
  <c r="AN765" i="7"/>
  <c r="AL766" i="7"/>
  <c r="AO766" i="7" s="1"/>
  <c r="AP766" i="7" s="1"/>
  <c r="AM766" i="7"/>
  <c r="AN766" i="7"/>
  <c r="AL767" i="7"/>
  <c r="AO767" i="7" s="1"/>
  <c r="AP767" i="7" s="1"/>
  <c r="AM767" i="7"/>
  <c r="AN767" i="7"/>
  <c r="AL768" i="7"/>
  <c r="AO768" i="7" s="1"/>
  <c r="AP768" i="7" s="1"/>
  <c r="AM768" i="7"/>
  <c r="AN768" i="7"/>
  <c r="AL769" i="7"/>
  <c r="AO769" i="7" s="1"/>
  <c r="AP769" i="7" s="1"/>
  <c r="AQ769" i="7" s="1"/>
  <c r="AM769" i="7"/>
  <c r="AN769" i="7"/>
  <c r="AL770" i="7"/>
  <c r="AO770" i="7" s="1"/>
  <c r="AP770" i="7" s="1"/>
  <c r="AM770" i="7"/>
  <c r="AN770" i="7"/>
  <c r="AL771" i="7"/>
  <c r="AO771" i="7" s="1"/>
  <c r="AP771" i="7" s="1"/>
  <c r="AM771" i="7"/>
  <c r="AN771" i="7"/>
  <c r="AL772" i="7"/>
  <c r="AM772" i="7"/>
  <c r="AN772" i="7"/>
  <c r="AO772" i="7"/>
  <c r="AP772" i="7" s="1"/>
  <c r="AQ772" i="7"/>
  <c r="AL773" i="7"/>
  <c r="AO773" i="7" s="1"/>
  <c r="AP773" i="7" s="1"/>
  <c r="AQ773" i="7" s="1"/>
  <c r="AM773" i="7"/>
  <c r="AN773" i="7"/>
  <c r="AL774" i="7"/>
  <c r="AO774" i="7" s="1"/>
  <c r="AP774" i="7" s="1"/>
  <c r="AM774" i="7"/>
  <c r="AN774" i="7"/>
  <c r="AL775" i="7"/>
  <c r="AM775" i="7"/>
  <c r="AN775" i="7"/>
  <c r="AO775" i="7"/>
  <c r="AP775" i="7" s="1"/>
  <c r="AL776" i="7"/>
  <c r="AO776" i="7" s="1"/>
  <c r="AP776" i="7" s="1"/>
  <c r="AM776" i="7"/>
  <c r="AN776" i="7"/>
  <c r="AQ776" i="7" s="1"/>
  <c r="AL777" i="7"/>
  <c r="AO777" i="7" s="1"/>
  <c r="AP777" i="7" s="1"/>
  <c r="AM777" i="7"/>
  <c r="AN777" i="7"/>
  <c r="AL778" i="7"/>
  <c r="AO778" i="7" s="1"/>
  <c r="AP778" i="7" s="1"/>
  <c r="AM778" i="7"/>
  <c r="AN778" i="7"/>
  <c r="AL779" i="7"/>
  <c r="AO779" i="7" s="1"/>
  <c r="AP779" i="7" s="1"/>
  <c r="AM779" i="7"/>
  <c r="AN779" i="7"/>
  <c r="AL780" i="7"/>
  <c r="AM780" i="7"/>
  <c r="AN780" i="7"/>
  <c r="AO780" i="7"/>
  <c r="AP780" i="7" s="1"/>
  <c r="AQ780" i="7" s="1"/>
  <c r="AL781" i="7"/>
  <c r="AO781" i="7" s="1"/>
  <c r="AP781" i="7" s="1"/>
  <c r="AM781" i="7"/>
  <c r="AN781" i="7"/>
  <c r="AL782" i="7"/>
  <c r="AO782" i="7" s="1"/>
  <c r="AP782" i="7" s="1"/>
  <c r="AM782" i="7"/>
  <c r="AN782" i="7"/>
  <c r="AL783" i="7"/>
  <c r="AO783" i="7" s="1"/>
  <c r="AP783" i="7" s="1"/>
  <c r="AM783" i="7"/>
  <c r="AN783" i="7"/>
  <c r="AL784" i="7"/>
  <c r="AO784" i="7" s="1"/>
  <c r="AP784" i="7" s="1"/>
  <c r="AQ784" i="7" s="1"/>
  <c r="AM784" i="7"/>
  <c r="AN784" i="7"/>
  <c r="AL785" i="7"/>
  <c r="AO785" i="7" s="1"/>
  <c r="AP785" i="7" s="1"/>
  <c r="AM785" i="7"/>
  <c r="AN785" i="7"/>
  <c r="AL786" i="7"/>
  <c r="AO786" i="7" s="1"/>
  <c r="AP786" i="7" s="1"/>
  <c r="AM786" i="7"/>
  <c r="AN786" i="7"/>
  <c r="AL787" i="7"/>
  <c r="AO787" i="7" s="1"/>
  <c r="AP787" i="7" s="1"/>
  <c r="AM787" i="7"/>
  <c r="AN787" i="7"/>
  <c r="AL788" i="7"/>
  <c r="AO788" i="7" s="1"/>
  <c r="AP788" i="7" s="1"/>
  <c r="AQ788" i="7" s="1"/>
  <c r="AM788" i="7"/>
  <c r="AN788" i="7"/>
  <c r="AL789" i="7"/>
  <c r="AO789" i="7" s="1"/>
  <c r="AP789" i="7" s="1"/>
  <c r="AM789" i="7"/>
  <c r="AN789" i="7"/>
  <c r="AQ789" i="7"/>
  <c r="AL790" i="7"/>
  <c r="AO790" i="7" s="1"/>
  <c r="AP790" i="7" s="1"/>
  <c r="AM790" i="7"/>
  <c r="AN790" i="7"/>
  <c r="AL791" i="7"/>
  <c r="AM791" i="7"/>
  <c r="AN791" i="7"/>
  <c r="AO791" i="7"/>
  <c r="AP791" i="7"/>
  <c r="AQ791" i="7" s="1"/>
  <c r="AL792" i="7"/>
  <c r="AO792" i="7" s="1"/>
  <c r="AP792" i="7" s="1"/>
  <c r="AM792" i="7"/>
  <c r="AN792" i="7"/>
  <c r="AL793" i="7"/>
  <c r="AM793" i="7"/>
  <c r="AN793" i="7"/>
  <c r="AO793" i="7"/>
  <c r="AP793" i="7" s="1"/>
  <c r="AL794" i="7"/>
  <c r="AO794" i="7" s="1"/>
  <c r="AP794" i="7" s="1"/>
  <c r="AM794" i="7"/>
  <c r="AN794" i="7"/>
  <c r="AL795" i="7"/>
  <c r="AM795" i="7"/>
  <c r="AN795" i="7"/>
  <c r="AO795" i="7"/>
  <c r="AP795" i="7" s="1"/>
  <c r="AQ795" i="7" s="1"/>
  <c r="AL796" i="7"/>
  <c r="AM796" i="7"/>
  <c r="AN796" i="7"/>
  <c r="AO796" i="7"/>
  <c r="AP796" i="7" s="1"/>
  <c r="AL797" i="7"/>
  <c r="AO797" i="7" s="1"/>
  <c r="AP797" i="7" s="1"/>
  <c r="AM797" i="7"/>
  <c r="AN797" i="7"/>
  <c r="AL798" i="7"/>
  <c r="AO798" i="7" s="1"/>
  <c r="AP798" i="7" s="1"/>
  <c r="AM798" i="7"/>
  <c r="AN798" i="7"/>
  <c r="AL799" i="7"/>
  <c r="AO799" i="7" s="1"/>
  <c r="AP799" i="7" s="1"/>
  <c r="AM799" i="7"/>
  <c r="AN799" i="7"/>
  <c r="AL800" i="7"/>
  <c r="AO800" i="7" s="1"/>
  <c r="AP800" i="7" s="1"/>
  <c r="AM800" i="7"/>
  <c r="AN800" i="7"/>
  <c r="AL801" i="7"/>
  <c r="AO801" i="7" s="1"/>
  <c r="AP801" i="7" s="1"/>
  <c r="AM801" i="7"/>
  <c r="AN801" i="7"/>
  <c r="AQ801" i="7" s="1"/>
  <c r="AL802" i="7"/>
  <c r="AO802" i="7" s="1"/>
  <c r="AP802" i="7" s="1"/>
  <c r="AM802" i="7"/>
  <c r="AN802" i="7"/>
  <c r="AL803" i="7"/>
  <c r="AO803" i="7" s="1"/>
  <c r="AP803" i="7" s="1"/>
  <c r="AM803" i="7"/>
  <c r="AN803" i="7"/>
  <c r="AL804" i="7"/>
  <c r="AO804" i="7" s="1"/>
  <c r="AP804" i="7" s="1"/>
  <c r="AM804" i="7"/>
  <c r="AN804" i="7"/>
  <c r="AQ804" i="7" s="1"/>
  <c r="AL805" i="7"/>
  <c r="AO805" i="7" s="1"/>
  <c r="AP805" i="7" s="1"/>
  <c r="AM805" i="7"/>
  <c r="AN805" i="7"/>
  <c r="AQ805" i="7"/>
  <c r="AL806" i="7"/>
  <c r="AO806" i="7" s="1"/>
  <c r="AP806" i="7" s="1"/>
  <c r="AM806" i="7"/>
  <c r="AN806" i="7"/>
  <c r="AL807" i="7"/>
  <c r="AO807" i="7" s="1"/>
  <c r="AP807" i="7" s="1"/>
  <c r="AM807" i="7"/>
  <c r="AN807" i="7"/>
  <c r="AL808" i="7"/>
  <c r="AO808" i="7" s="1"/>
  <c r="AM808" i="7"/>
  <c r="AN808" i="7"/>
  <c r="AP808" i="7"/>
  <c r="AQ808" i="7" s="1"/>
  <c r="AL809" i="7"/>
  <c r="AO809" i="7" s="1"/>
  <c r="AP809" i="7" s="1"/>
  <c r="AM809" i="7"/>
  <c r="AN809" i="7"/>
  <c r="AL810" i="7"/>
  <c r="AO810" i="7" s="1"/>
  <c r="AP810" i="7" s="1"/>
  <c r="AM810" i="7"/>
  <c r="AN810" i="7"/>
  <c r="AL811" i="7"/>
  <c r="AO811" i="7" s="1"/>
  <c r="AP811" i="7" s="1"/>
  <c r="AM811" i="7"/>
  <c r="AN811" i="7"/>
  <c r="AL812" i="7"/>
  <c r="AO812" i="7" s="1"/>
  <c r="AP812" i="7" s="1"/>
  <c r="AQ812" i="7" s="1"/>
  <c r="AM812" i="7"/>
  <c r="AN812" i="7"/>
  <c r="AL813" i="7"/>
  <c r="AO813" i="7" s="1"/>
  <c r="AP813" i="7" s="1"/>
  <c r="AM813" i="7"/>
  <c r="AN813" i="7"/>
  <c r="AL814" i="7"/>
  <c r="AM814" i="7"/>
  <c r="AN814" i="7"/>
  <c r="AO814" i="7"/>
  <c r="AP814" i="7" s="1"/>
  <c r="AL815" i="7"/>
  <c r="AO815" i="7" s="1"/>
  <c r="AP815" i="7" s="1"/>
  <c r="AM815" i="7"/>
  <c r="AN815" i="7"/>
  <c r="AL816" i="7"/>
  <c r="AO816" i="7" s="1"/>
  <c r="AP816" i="7" s="1"/>
  <c r="AM816" i="7"/>
  <c r="AN816" i="7"/>
  <c r="AL817" i="7"/>
  <c r="AO817" i="7" s="1"/>
  <c r="AP817" i="7" s="1"/>
  <c r="AM817" i="7"/>
  <c r="AN817" i="7"/>
  <c r="AL818" i="7"/>
  <c r="AO818" i="7" s="1"/>
  <c r="AP818" i="7" s="1"/>
  <c r="AM818" i="7"/>
  <c r="AN818" i="7"/>
  <c r="AL819" i="7"/>
  <c r="AO819" i="7" s="1"/>
  <c r="AP819" i="7" s="1"/>
  <c r="AQ819" i="7" s="1"/>
  <c r="AM819" i="7"/>
  <c r="AN819" i="7"/>
  <c r="AL820" i="7"/>
  <c r="AM820" i="7"/>
  <c r="AN820" i="7"/>
  <c r="AO820" i="7"/>
  <c r="AP820" i="7" s="1"/>
  <c r="AL821" i="7"/>
  <c r="AM821" i="7"/>
  <c r="AN821" i="7"/>
  <c r="AO821" i="7"/>
  <c r="AP821" i="7" s="1"/>
  <c r="AL822" i="7"/>
  <c r="AO822" i="7" s="1"/>
  <c r="AP822" i="7" s="1"/>
  <c r="AM822" i="7"/>
  <c r="AN822" i="7"/>
  <c r="AL823" i="7"/>
  <c r="AO823" i="7" s="1"/>
  <c r="AP823" i="7" s="1"/>
  <c r="AM823" i="7"/>
  <c r="AN823" i="7"/>
  <c r="AL824" i="7"/>
  <c r="AO824" i="7" s="1"/>
  <c r="AP824" i="7" s="1"/>
  <c r="AM824" i="7"/>
  <c r="AN824" i="7"/>
  <c r="AL825" i="7"/>
  <c r="AO825" i="7" s="1"/>
  <c r="AP825" i="7" s="1"/>
  <c r="AM825" i="7"/>
  <c r="AN825" i="7"/>
  <c r="AL826" i="7"/>
  <c r="AO826" i="7" s="1"/>
  <c r="AP826" i="7" s="1"/>
  <c r="AM826" i="7"/>
  <c r="AN826" i="7"/>
  <c r="AL827" i="7"/>
  <c r="AO827" i="7" s="1"/>
  <c r="AP827" i="7" s="1"/>
  <c r="AM827" i="7"/>
  <c r="AN827" i="7"/>
  <c r="AL828" i="7"/>
  <c r="AO828" i="7" s="1"/>
  <c r="AP828" i="7" s="1"/>
  <c r="AM828" i="7"/>
  <c r="AN828" i="7"/>
  <c r="AL829" i="7"/>
  <c r="AO829" i="7" s="1"/>
  <c r="AP829" i="7" s="1"/>
  <c r="AM829" i="7"/>
  <c r="AN829" i="7"/>
  <c r="AL830" i="7"/>
  <c r="AO830" i="7" s="1"/>
  <c r="AM830" i="7"/>
  <c r="AN830" i="7"/>
  <c r="AP830" i="7"/>
  <c r="AQ830" i="7" s="1"/>
  <c r="AL831" i="7"/>
  <c r="AO831" i="7" s="1"/>
  <c r="AP831" i="7" s="1"/>
  <c r="AM831" i="7"/>
  <c r="AN831" i="7"/>
  <c r="AL832" i="7"/>
  <c r="AO832" i="7" s="1"/>
  <c r="AP832" i="7" s="1"/>
  <c r="AM832" i="7"/>
  <c r="AN832" i="7"/>
  <c r="AL833" i="7"/>
  <c r="AO833" i="7" s="1"/>
  <c r="AP833" i="7" s="1"/>
  <c r="AM833" i="7"/>
  <c r="AN833" i="7"/>
  <c r="AL834" i="7"/>
  <c r="AM834" i="7"/>
  <c r="AN834" i="7"/>
  <c r="AO834" i="7"/>
  <c r="AP834" i="7" s="1"/>
  <c r="AL835" i="7"/>
  <c r="AO835" i="7" s="1"/>
  <c r="AP835" i="7" s="1"/>
  <c r="AM835" i="7"/>
  <c r="AN835" i="7"/>
  <c r="AL836" i="7"/>
  <c r="AM836" i="7"/>
  <c r="AN836" i="7"/>
  <c r="AO836" i="7"/>
  <c r="AP836" i="7" s="1"/>
  <c r="AL837" i="7"/>
  <c r="AO837" i="7" s="1"/>
  <c r="AM837" i="7"/>
  <c r="AN837" i="7"/>
  <c r="AP837" i="7"/>
  <c r="AQ837" i="7" s="1"/>
  <c r="AL838" i="7"/>
  <c r="AO838" i="7" s="1"/>
  <c r="AP838" i="7" s="1"/>
  <c r="AM838" i="7"/>
  <c r="AN838" i="7"/>
  <c r="AQ838" i="7" s="1"/>
  <c r="AL839" i="7"/>
  <c r="AO839" i="7" s="1"/>
  <c r="AP839" i="7" s="1"/>
  <c r="AM839" i="7"/>
  <c r="AN839" i="7"/>
  <c r="AL840" i="7"/>
  <c r="AO840" i="7" s="1"/>
  <c r="AM840" i="7"/>
  <c r="AN840" i="7"/>
  <c r="AP840" i="7"/>
  <c r="AQ840" i="7" s="1"/>
  <c r="AL841" i="7"/>
  <c r="AO841" i="7" s="1"/>
  <c r="AP841" i="7" s="1"/>
  <c r="AM841" i="7"/>
  <c r="AN841" i="7"/>
  <c r="AL842" i="7"/>
  <c r="AM842" i="7"/>
  <c r="AN842" i="7"/>
  <c r="AO842" i="7"/>
  <c r="AP842" i="7" s="1"/>
  <c r="AQ842" i="7" s="1"/>
  <c r="AL843" i="7"/>
  <c r="AM843" i="7"/>
  <c r="AN843" i="7"/>
  <c r="AO843" i="7"/>
  <c r="AP843" i="7" s="1"/>
  <c r="AL844" i="7"/>
  <c r="AO844" i="7" s="1"/>
  <c r="AP844" i="7" s="1"/>
  <c r="AM844" i="7"/>
  <c r="AN844" i="7"/>
  <c r="AL845" i="7"/>
  <c r="AO845" i="7" s="1"/>
  <c r="AP845" i="7" s="1"/>
  <c r="AM845" i="7"/>
  <c r="AN845" i="7"/>
  <c r="AQ845" i="7"/>
  <c r="AL846" i="7"/>
  <c r="AO846" i="7" s="1"/>
  <c r="AP846" i="7" s="1"/>
  <c r="AM846" i="7"/>
  <c r="AN846" i="7"/>
  <c r="AL847" i="7"/>
  <c r="AO847" i="7" s="1"/>
  <c r="AP847" i="7" s="1"/>
  <c r="AM847" i="7"/>
  <c r="AN847" i="7"/>
  <c r="AQ847" i="7" s="1"/>
  <c r="AL848" i="7"/>
  <c r="AO848" i="7" s="1"/>
  <c r="AP848" i="7" s="1"/>
  <c r="AM848" i="7"/>
  <c r="AN848" i="7"/>
  <c r="AL849" i="7"/>
  <c r="AO849" i="7" s="1"/>
  <c r="AP849" i="7" s="1"/>
  <c r="AQ849" i="7" s="1"/>
  <c r="AM849" i="7"/>
  <c r="AN849" i="7"/>
  <c r="AL850" i="7"/>
  <c r="AM850" i="7"/>
  <c r="AN850" i="7"/>
  <c r="AO850" i="7"/>
  <c r="AP850" i="7" s="1"/>
  <c r="AQ850" i="7" s="1"/>
  <c r="AL851" i="7"/>
  <c r="AO851" i="7" s="1"/>
  <c r="AP851" i="7" s="1"/>
  <c r="AM851" i="7"/>
  <c r="AN851" i="7"/>
  <c r="AL852" i="7"/>
  <c r="AO852" i="7" s="1"/>
  <c r="AP852" i="7" s="1"/>
  <c r="AM852" i="7"/>
  <c r="AN852" i="7"/>
  <c r="AQ852" i="7" s="1"/>
  <c r="AL853" i="7"/>
  <c r="AO853" i="7" s="1"/>
  <c r="AP853" i="7" s="1"/>
  <c r="AM853" i="7"/>
  <c r="AN853" i="7"/>
  <c r="AL854" i="7"/>
  <c r="AO854" i="7" s="1"/>
  <c r="AP854" i="7" s="1"/>
  <c r="AM854" i="7"/>
  <c r="AN854" i="7"/>
  <c r="AQ854" i="7"/>
  <c r="AL855" i="7"/>
  <c r="AO855" i="7" s="1"/>
  <c r="AP855" i="7" s="1"/>
  <c r="AM855" i="7"/>
  <c r="AN855" i="7"/>
  <c r="AL856" i="7"/>
  <c r="AM856" i="7"/>
  <c r="AN856" i="7"/>
  <c r="AO856" i="7"/>
  <c r="AP856" i="7" s="1"/>
  <c r="AL857" i="7"/>
  <c r="AM857" i="7"/>
  <c r="AN857" i="7"/>
  <c r="AO857" i="7"/>
  <c r="AP857" i="7"/>
  <c r="AQ857" i="7" s="1"/>
  <c r="AL858" i="7"/>
  <c r="AO858" i="7" s="1"/>
  <c r="AP858" i="7" s="1"/>
  <c r="AM858" i="7"/>
  <c r="AN858" i="7"/>
  <c r="AL859" i="7"/>
  <c r="AO859" i="7" s="1"/>
  <c r="AP859" i="7" s="1"/>
  <c r="AM859" i="7"/>
  <c r="AN859" i="7"/>
  <c r="AL860" i="7"/>
  <c r="AO860" i="7" s="1"/>
  <c r="AP860" i="7" s="1"/>
  <c r="AM860" i="7"/>
  <c r="AN860" i="7"/>
  <c r="AL861" i="7"/>
  <c r="AM861" i="7"/>
  <c r="AN861" i="7"/>
  <c r="AO861" i="7"/>
  <c r="AP861" i="7" s="1"/>
  <c r="AQ861" i="7" s="1"/>
  <c r="AL862" i="7"/>
  <c r="AO862" i="7" s="1"/>
  <c r="AP862" i="7" s="1"/>
  <c r="AM862" i="7"/>
  <c r="AN862" i="7"/>
  <c r="AL863" i="7"/>
  <c r="AM863" i="7"/>
  <c r="AN863" i="7"/>
  <c r="AO863" i="7"/>
  <c r="AP863" i="7"/>
  <c r="AQ863" i="7" s="1"/>
  <c r="AL864" i="7"/>
  <c r="AO864" i="7" s="1"/>
  <c r="AP864" i="7" s="1"/>
  <c r="AM864" i="7"/>
  <c r="AN864" i="7"/>
  <c r="AL865" i="7"/>
  <c r="AO865" i="7" s="1"/>
  <c r="AP865" i="7" s="1"/>
  <c r="AM865" i="7"/>
  <c r="AN865" i="7"/>
  <c r="AL866" i="7"/>
  <c r="AO866" i="7" s="1"/>
  <c r="AP866" i="7" s="1"/>
  <c r="AM866" i="7"/>
  <c r="AN866" i="7"/>
  <c r="AL867" i="7"/>
  <c r="AO867" i="7" s="1"/>
  <c r="AP867" i="7" s="1"/>
  <c r="AM867" i="7"/>
  <c r="AN867" i="7"/>
  <c r="AL868" i="7"/>
  <c r="AO868" i="7" s="1"/>
  <c r="AP868" i="7" s="1"/>
  <c r="AM868" i="7"/>
  <c r="AN868" i="7"/>
  <c r="AL869" i="7"/>
  <c r="AO869" i="7" s="1"/>
  <c r="AP869" i="7" s="1"/>
  <c r="AM869" i="7"/>
  <c r="AN869" i="7"/>
  <c r="AL870" i="7"/>
  <c r="AO870" i="7" s="1"/>
  <c r="AP870" i="7" s="1"/>
  <c r="AQ870" i="7" s="1"/>
  <c r="AM870" i="7"/>
  <c r="AN870" i="7"/>
  <c r="AL871" i="7"/>
  <c r="AO871" i="7" s="1"/>
  <c r="AP871" i="7" s="1"/>
  <c r="AM871" i="7"/>
  <c r="AN871" i="7"/>
  <c r="AL872" i="7"/>
  <c r="AO872" i="7" s="1"/>
  <c r="AP872" i="7" s="1"/>
  <c r="AQ872" i="7" s="1"/>
  <c r="AM872" i="7"/>
  <c r="AN872" i="7"/>
  <c r="AL873" i="7"/>
  <c r="AM873" i="7"/>
  <c r="AN873" i="7"/>
  <c r="AO873" i="7"/>
  <c r="AP873" i="7" s="1"/>
  <c r="AL874" i="7"/>
  <c r="AO874" i="7" s="1"/>
  <c r="AP874" i="7" s="1"/>
  <c r="AQ874" i="7" s="1"/>
  <c r="AM874" i="7"/>
  <c r="AN874" i="7"/>
  <c r="AL875" i="7"/>
  <c r="AO875" i="7" s="1"/>
  <c r="AP875" i="7" s="1"/>
  <c r="AM875" i="7"/>
  <c r="AN875" i="7"/>
  <c r="AL876" i="7"/>
  <c r="AO876" i="7" s="1"/>
  <c r="AP876" i="7" s="1"/>
  <c r="AM876" i="7"/>
  <c r="AN876" i="7"/>
  <c r="AL877" i="7"/>
  <c r="AO877" i="7" s="1"/>
  <c r="AP877" i="7" s="1"/>
  <c r="AM877" i="7"/>
  <c r="AN877" i="7"/>
  <c r="AL878" i="7"/>
  <c r="AO878" i="7" s="1"/>
  <c r="AP878" i="7" s="1"/>
  <c r="AM878" i="7"/>
  <c r="AN878" i="7"/>
  <c r="AL879" i="7"/>
  <c r="AO879" i="7" s="1"/>
  <c r="AP879" i="7" s="1"/>
  <c r="AQ879" i="7" s="1"/>
  <c r="AM879" i="7"/>
  <c r="AN879" i="7"/>
  <c r="AL880" i="7"/>
  <c r="AM880" i="7"/>
  <c r="AN880" i="7"/>
  <c r="AO880" i="7"/>
  <c r="AP880" i="7" s="1"/>
  <c r="AL881" i="7"/>
  <c r="AO881" i="7" s="1"/>
  <c r="AP881" i="7" s="1"/>
  <c r="AM881" i="7"/>
  <c r="AN881" i="7"/>
  <c r="AL882" i="7"/>
  <c r="AO882" i="7" s="1"/>
  <c r="AP882" i="7" s="1"/>
  <c r="AM882" i="7"/>
  <c r="AN882" i="7"/>
  <c r="AL883" i="7"/>
  <c r="AO883" i="7" s="1"/>
  <c r="AP883" i="7" s="1"/>
  <c r="AM883" i="7"/>
  <c r="AN883" i="7"/>
  <c r="AL884" i="7"/>
  <c r="AO884" i="7" s="1"/>
  <c r="AP884" i="7" s="1"/>
  <c r="AM884" i="7"/>
  <c r="AN884" i="7"/>
  <c r="AL885" i="7"/>
  <c r="AO885" i="7" s="1"/>
  <c r="AP885" i="7" s="1"/>
  <c r="AM885" i="7"/>
  <c r="AN885" i="7"/>
  <c r="AL886" i="7"/>
  <c r="AM886" i="7"/>
  <c r="AN886" i="7"/>
  <c r="AO886" i="7"/>
  <c r="AP886" i="7" s="1"/>
  <c r="AQ886" i="7" s="1"/>
  <c r="AL887" i="7"/>
  <c r="AO887" i="7" s="1"/>
  <c r="AP887" i="7" s="1"/>
  <c r="AM887" i="7"/>
  <c r="AN887" i="7"/>
  <c r="AQ887" i="7" s="1"/>
  <c r="AL888" i="7"/>
  <c r="AO888" i="7" s="1"/>
  <c r="AP888" i="7" s="1"/>
  <c r="AM888" i="7"/>
  <c r="AN888" i="7"/>
  <c r="AL889" i="7"/>
  <c r="AO889" i="7" s="1"/>
  <c r="AP889" i="7" s="1"/>
  <c r="AM889" i="7"/>
  <c r="AN889" i="7"/>
  <c r="AQ889" i="7" s="1"/>
  <c r="AL890" i="7"/>
  <c r="AM890" i="7"/>
  <c r="AN890" i="7"/>
  <c r="AO890" i="7"/>
  <c r="AP890" i="7" s="1"/>
  <c r="AL891" i="7"/>
  <c r="AO891" i="7" s="1"/>
  <c r="AP891" i="7" s="1"/>
  <c r="AM891" i="7"/>
  <c r="AN891" i="7"/>
  <c r="AL892" i="7"/>
  <c r="AO892" i="7" s="1"/>
  <c r="AP892" i="7" s="1"/>
  <c r="AM892" i="7"/>
  <c r="AN892" i="7"/>
  <c r="AL893" i="7"/>
  <c r="AO893" i="7" s="1"/>
  <c r="AP893" i="7" s="1"/>
  <c r="AM893" i="7"/>
  <c r="AN893" i="7"/>
  <c r="AL894" i="7"/>
  <c r="AO894" i="7" s="1"/>
  <c r="AP894" i="7" s="1"/>
  <c r="AM894" i="7"/>
  <c r="AN894" i="7"/>
  <c r="AL895" i="7"/>
  <c r="AO895" i="7" s="1"/>
  <c r="AP895" i="7" s="1"/>
  <c r="AM895" i="7"/>
  <c r="AN895" i="7"/>
  <c r="AQ895" i="7"/>
  <c r="AL896" i="7"/>
  <c r="AO896" i="7" s="1"/>
  <c r="AP896" i="7" s="1"/>
  <c r="AQ896" i="7" s="1"/>
  <c r="AM896" i="7"/>
  <c r="AN896" i="7"/>
  <c r="AL897" i="7"/>
  <c r="AO897" i="7" s="1"/>
  <c r="AP897" i="7" s="1"/>
  <c r="AM897" i="7"/>
  <c r="AN897" i="7"/>
  <c r="AL898" i="7"/>
  <c r="AM898" i="7"/>
  <c r="AN898" i="7"/>
  <c r="AO898" i="7"/>
  <c r="AP898" i="7" s="1"/>
  <c r="AL899" i="7"/>
  <c r="AO899" i="7" s="1"/>
  <c r="AP899" i="7" s="1"/>
  <c r="AM899" i="7"/>
  <c r="AN899" i="7"/>
  <c r="AQ899" i="7" s="1"/>
  <c r="AL900" i="7"/>
  <c r="AO900" i="7" s="1"/>
  <c r="AP900" i="7" s="1"/>
  <c r="AM900" i="7"/>
  <c r="AN900" i="7"/>
  <c r="AL901" i="7"/>
  <c r="AM901" i="7"/>
  <c r="AN901" i="7"/>
  <c r="AO901" i="7"/>
  <c r="AP901" i="7" s="1"/>
  <c r="AL902" i="7"/>
  <c r="AO902" i="7" s="1"/>
  <c r="AP902" i="7" s="1"/>
  <c r="AM902" i="7"/>
  <c r="AN902" i="7"/>
  <c r="AQ902" i="7"/>
  <c r="AL903" i="7"/>
  <c r="AO903" i="7" s="1"/>
  <c r="AP903" i="7" s="1"/>
  <c r="AM903" i="7"/>
  <c r="AN903" i="7"/>
  <c r="AL904" i="7"/>
  <c r="AO904" i="7" s="1"/>
  <c r="AP904" i="7" s="1"/>
  <c r="AM904" i="7"/>
  <c r="AN904" i="7"/>
  <c r="AQ904" i="7" s="1"/>
  <c r="AL905" i="7"/>
  <c r="AO905" i="7" s="1"/>
  <c r="AP905" i="7" s="1"/>
  <c r="AM905" i="7"/>
  <c r="AN905" i="7"/>
  <c r="AL906" i="7"/>
  <c r="AM906" i="7"/>
  <c r="AN906" i="7"/>
  <c r="AO906" i="7"/>
  <c r="AP906" i="7" s="1"/>
  <c r="AQ906" i="7" s="1"/>
  <c r="W699" i="3"/>
  <c r="W698" i="3"/>
  <c r="Z698" i="3" s="1"/>
  <c r="W697" i="3"/>
  <c r="AA697" i="3" s="1"/>
  <c r="W696" i="3"/>
  <c r="AA696" i="3" s="1"/>
  <c r="W695" i="3"/>
  <c r="AA695" i="3" s="1"/>
  <c r="W694" i="3"/>
  <c r="AA694" i="3" s="1"/>
  <c r="W693" i="3"/>
  <c r="AA693" i="3" s="1"/>
  <c r="W692" i="3"/>
  <c r="AA692" i="3" s="1"/>
  <c r="W683" i="3"/>
  <c r="W682" i="3"/>
  <c r="R17" i="2" s="1"/>
  <c r="W282" i="3"/>
  <c r="W281" i="3"/>
  <c r="Z281" i="3" s="1"/>
  <c r="W280" i="3"/>
  <c r="AA280" i="3" s="1"/>
  <c r="W279" i="3"/>
  <c r="W278" i="3"/>
  <c r="W277" i="3"/>
  <c r="W276" i="3"/>
  <c r="W275" i="3"/>
  <c r="AA275" i="3" s="1"/>
  <c r="W274" i="3"/>
  <c r="W273" i="3"/>
  <c r="W272" i="3"/>
  <c r="S699" i="3"/>
  <c r="U699" i="3" s="1"/>
  <c r="V699" i="3" s="1"/>
  <c r="S698" i="3"/>
  <c r="U698" i="3" s="1"/>
  <c r="V698" i="3" s="1"/>
  <c r="S697" i="3"/>
  <c r="U697" i="3" s="1"/>
  <c r="V697" i="3" s="1"/>
  <c r="S696" i="3"/>
  <c r="S695" i="3"/>
  <c r="U695" i="3" s="1"/>
  <c r="V695" i="3" s="1"/>
  <c r="S694" i="3"/>
  <c r="U694" i="3" s="1"/>
  <c r="V694" i="3" s="1"/>
  <c r="S693" i="3"/>
  <c r="U693" i="3" s="1"/>
  <c r="V693" i="3" s="1"/>
  <c r="S692" i="3"/>
  <c r="U692" i="3" s="1"/>
  <c r="V692" i="3" s="1"/>
  <c r="S683" i="3"/>
  <c r="U683" i="3" s="1"/>
  <c r="V683" i="3" s="1"/>
  <c r="S682" i="3"/>
  <c r="U682" i="3" s="1"/>
  <c r="V682" i="3" s="1"/>
  <c r="S281" i="3"/>
  <c r="U281" i="3" s="1"/>
  <c r="V281" i="3" s="1"/>
  <c r="AN907" i="7"/>
  <c r="AN908" i="7"/>
  <c r="AN909" i="7"/>
  <c r="AN910" i="7"/>
  <c r="AN911" i="7"/>
  <c r="AN912" i="7"/>
  <c r="AN913" i="7"/>
  <c r="AN914" i="7"/>
  <c r="AN915" i="7"/>
  <c r="AN916" i="7"/>
  <c r="AN917" i="7"/>
  <c r="AN918" i="7"/>
  <c r="AN919" i="7"/>
  <c r="AN920" i="7"/>
  <c r="AN921" i="7"/>
  <c r="AN922" i="7"/>
  <c r="AN923" i="7"/>
  <c r="AN924" i="7"/>
  <c r="AN925" i="7"/>
  <c r="AN926" i="7"/>
  <c r="AN927" i="7"/>
  <c r="AN928" i="7"/>
  <c r="AN929" i="7"/>
  <c r="AN930" i="7"/>
  <c r="AN931" i="7"/>
  <c r="AN932" i="7"/>
  <c r="AN933" i="7"/>
  <c r="AN934" i="7"/>
  <c r="AN935" i="7"/>
  <c r="AN936" i="7"/>
  <c r="AN937" i="7"/>
  <c r="AN938" i="7"/>
  <c r="AN939" i="7"/>
  <c r="AN940" i="7"/>
  <c r="AN941" i="7"/>
  <c r="AN942" i="7"/>
  <c r="AN943" i="7"/>
  <c r="AN944" i="7"/>
  <c r="AN945" i="7"/>
  <c r="AN946" i="7"/>
  <c r="AQ946" i="7" s="1"/>
  <c r="AN947" i="7"/>
  <c r="AN948" i="7"/>
  <c r="AN949" i="7"/>
  <c r="AN950" i="7"/>
  <c r="AQ950" i="7" s="1"/>
  <c r="AN951" i="7"/>
  <c r="AN952" i="7"/>
  <c r="AN953" i="7"/>
  <c r="AN954" i="7"/>
  <c r="AN955" i="7"/>
  <c r="AN956" i="7"/>
  <c r="AN957" i="7"/>
  <c r="AN958" i="7"/>
  <c r="AN959" i="7"/>
  <c r="AN960" i="7"/>
  <c r="AN961" i="7"/>
  <c r="AN962" i="7"/>
  <c r="AN963" i="7"/>
  <c r="AN964" i="7"/>
  <c r="AQ964" i="7" s="1"/>
  <c r="AN965" i="7"/>
  <c r="AN966" i="7"/>
  <c r="AN967" i="7"/>
  <c r="AN968" i="7"/>
  <c r="AN969" i="7"/>
  <c r="AN970" i="7"/>
  <c r="AN971" i="7"/>
  <c r="AN972" i="7"/>
  <c r="AN973" i="7"/>
  <c r="AN974" i="7"/>
  <c r="AN975" i="7"/>
  <c r="AN976" i="7"/>
  <c r="AN977" i="7"/>
  <c r="AN978" i="7"/>
  <c r="AQ978" i="7" s="1"/>
  <c r="AN979" i="7"/>
  <c r="AN980" i="7"/>
  <c r="AN981" i="7"/>
  <c r="AN982" i="7"/>
  <c r="AN983" i="7"/>
  <c r="AN984" i="7"/>
  <c r="AN985" i="7"/>
  <c r="AN986" i="7"/>
  <c r="AN987" i="7"/>
  <c r="AN988" i="7"/>
  <c r="AN989" i="7"/>
  <c r="AN990" i="7"/>
  <c r="AN991" i="7"/>
  <c r="AN992" i="7"/>
  <c r="AQ992" i="7" s="1"/>
  <c r="AN993" i="7"/>
  <c r="AN994" i="7"/>
  <c r="AN995" i="7"/>
  <c r="AN996" i="7"/>
  <c r="AN997" i="7"/>
  <c r="AN998" i="7"/>
  <c r="AN999" i="7"/>
  <c r="AN1000" i="7"/>
  <c r="AN1001" i="7"/>
  <c r="AN1002" i="7"/>
  <c r="AN1003" i="7"/>
  <c r="AN1004" i="7"/>
  <c r="AN1005" i="7"/>
  <c r="AN1006" i="7"/>
  <c r="AQ1006" i="7" s="1"/>
  <c r="AN1007" i="7"/>
  <c r="AN1008" i="7"/>
  <c r="AN1009" i="7"/>
  <c r="AN1010" i="7"/>
  <c r="AN1011" i="7"/>
  <c r="AN1012" i="7"/>
  <c r="AN1013" i="7"/>
  <c r="AN1014" i="7"/>
  <c r="AN1015" i="7"/>
  <c r="AN1016" i="7"/>
  <c r="AN1017" i="7"/>
  <c r="AN1018" i="7"/>
  <c r="AN1019" i="7"/>
  <c r="AN1020" i="7"/>
  <c r="AN1021" i="7"/>
  <c r="AN1022" i="7"/>
  <c r="AN1023" i="7"/>
  <c r="AN1024" i="7"/>
  <c r="AN1025" i="7"/>
  <c r="AN1026" i="7"/>
  <c r="AN1027" i="7"/>
  <c r="AN1028" i="7"/>
  <c r="AN1029" i="7"/>
  <c r="AN1030" i="7"/>
  <c r="AQ1030" i="7" s="1"/>
  <c r="AN1031" i="7"/>
  <c r="AN1032" i="7"/>
  <c r="AN1033" i="7"/>
  <c r="AN1034" i="7"/>
  <c r="AQ1034" i="7" s="1"/>
  <c r="AN1035" i="7"/>
  <c r="AN1036" i="7"/>
  <c r="AN1037" i="7"/>
  <c r="AN1038" i="7"/>
  <c r="AN1039" i="7"/>
  <c r="AN1040" i="7"/>
  <c r="AN1041" i="7"/>
  <c r="AN1042" i="7"/>
  <c r="AN1043" i="7"/>
  <c r="AN1044" i="7"/>
  <c r="AQ1044" i="7" s="1"/>
  <c r="AN1045" i="7"/>
  <c r="AN1046" i="7"/>
  <c r="AN1047" i="7"/>
  <c r="AN1048" i="7"/>
  <c r="AQ1048" i="7" s="1"/>
  <c r="AN1049" i="7"/>
  <c r="AN1050" i="7"/>
  <c r="AN1051" i="7"/>
  <c r="AN1052" i="7"/>
  <c r="AN1053" i="7"/>
  <c r="AN1054" i="7"/>
  <c r="AN1055" i="7"/>
  <c r="AN1056" i="7"/>
  <c r="AN1057" i="7"/>
  <c r="AN1058" i="7"/>
  <c r="AN1059" i="7"/>
  <c r="AN1060" i="7"/>
  <c r="AN1061" i="7"/>
  <c r="AN1062" i="7"/>
  <c r="AQ1062" i="7" s="1"/>
  <c r="AN1063" i="7"/>
  <c r="AN1064" i="7"/>
  <c r="AN1065" i="7"/>
  <c r="AN1066" i="7"/>
  <c r="AN1067" i="7"/>
  <c r="AN1068" i="7"/>
  <c r="AN1069" i="7"/>
  <c r="AN1070" i="7"/>
  <c r="AN1071" i="7"/>
  <c r="AN1072" i="7"/>
  <c r="AN1073" i="7"/>
  <c r="AN1074" i="7"/>
  <c r="AN1075" i="7"/>
  <c r="AN1076" i="7"/>
  <c r="AQ1076" i="7" s="1"/>
  <c r="AN1077" i="7"/>
  <c r="AN1078" i="7"/>
  <c r="AN1079" i="7"/>
  <c r="AN1080" i="7"/>
  <c r="AN1081" i="7"/>
  <c r="AN1082" i="7"/>
  <c r="AN1083" i="7"/>
  <c r="AN1084" i="7"/>
  <c r="AN1085" i="7"/>
  <c r="AN1086" i="7"/>
  <c r="AN1087" i="7"/>
  <c r="AN1088" i="7"/>
  <c r="AN1089" i="7"/>
  <c r="AN1090" i="7"/>
  <c r="AQ1090" i="7" s="1"/>
  <c r="AN1091" i="7"/>
  <c r="AN1092" i="7"/>
  <c r="AN1093" i="7"/>
  <c r="AN1094" i="7"/>
  <c r="AN1095" i="7"/>
  <c r="AN1096" i="7"/>
  <c r="AN1097" i="7"/>
  <c r="AN1098" i="7"/>
  <c r="AN1099" i="7"/>
  <c r="AN1100" i="7"/>
  <c r="AN1101" i="7"/>
  <c r="AN1102" i="7"/>
  <c r="AN1103" i="7"/>
  <c r="AN1104" i="7"/>
  <c r="AQ1104" i="7" s="1"/>
  <c r="AN1105" i="7"/>
  <c r="AN1106" i="7"/>
  <c r="AN1107" i="7"/>
  <c r="AN1108" i="7"/>
  <c r="AN1109" i="7"/>
  <c r="AN1110" i="7"/>
  <c r="AN1111" i="7"/>
  <c r="AN1112" i="7"/>
  <c r="AN1113" i="7"/>
  <c r="AN1114" i="7"/>
  <c r="AQ1114" i="7" s="1"/>
  <c r="AN1115" i="7"/>
  <c r="AN1116" i="7"/>
  <c r="AN1117" i="7"/>
  <c r="AN1118" i="7"/>
  <c r="AQ1118" i="7" s="1"/>
  <c r="AN1119" i="7"/>
  <c r="AN1120" i="7"/>
  <c r="AN1121" i="7"/>
  <c r="AN1122" i="7"/>
  <c r="AN1123" i="7"/>
  <c r="AN1124" i="7"/>
  <c r="AN1125" i="7"/>
  <c r="AN1126" i="7"/>
  <c r="AN1127" i="7"/>
  <c r="AN1128" i="7"/>
  <c r="AN1129" i="7"/>
  <c r="AN1130" i="7"/>
  <c r="AN1131" i="7"/>
  <c r="AN1132" i="7"/>
  <c r="AQ1132" i="7" s="1"/>
  <c r="AN1133" i="7"/>
  <c r="AN1134" i="7"/>
  <c r="AN1135" i="7"/>
  <c r="AN1136" i="7"/>
  <c r="AN1137" i="7"/>
  <c r="AN1138" i="7"/>
  <c r="AN1139" i="7"/>
  <c r="AN1140" i="7"/>
  <c r="AN1141" i="7"/>
  <c r="AN1142" i="7"/>
  <c r="AN1143" i="7"/>
  <c r="AN1144" i="7"/>
  <c r="AN1145" i="7"/>
  <c r="AN1146" i="7"/>
  <c r="AN1147" i="7"/>
  <c r="AN1148" i="7"/>
  <c r="AN1149" i="7"/>
  <c r="AN1150" i="7"/>
  <c r="AN1151" i="7"/>
  <c r="AN1152" i="7"/>
  <c r="AN1153" i="7"/>
  <c r="AN1154" i="7"/>
  <c r="AN1155" i="7"/>
  <c r="AN1156" i="7"/>
  <c r="AN1157" i="7"/>
  <c r="AN1158" i="7"/>
  <c r="AN1159" i="7"/>
  <c r="AN1160" i="7"/>
  <c r="AQ1160" i="7" s="1"/>
  <c r="AN1161" i="7"/>
  <c r="AN1162" i="7"/>
  <c r="AN1163" i="7"/>
  <c r="AN1164" i="7"/>
  <c r="AN1165" i="7"/>
  <c r="AN1166" i="7"/>
  <c r="AN1167" i="7"/>
  <c r="AN1168" i="7"/>
  <c r="AN1169" i="7"/>
  <c r="AN1170" i="7"/>
  <c r="AN1171" i="7"/>
  <c r="AN1172" i="7"/>
  <c r="AN1173" i="7"/>
  <c r="AN1174" i="7"/>
  <c r="AN1175" i="7"/>
  <c r="AN1176" i="7"/>
  <c r="AN1177" i="7"/>
  <c r="AN1178" i="7"/>
  <c r="AN1179" i="7"/>
  <c r="AN1180" i="7"/>
  <c r="AN1181" i="7"/>
  <c r="AN1182" i="7"/>
  <c r="AN1183" i="7"/>
  <c r="AN1184" i="7"/>
  <c r="AN1185" i="7"/>
  <c r="AN1186" i="7"/>
  <c r="AN1187" i="7"/>
  <c r="AN1188" i="7"/>
  <c r="AQ1188" i="7" s="1"/>
  <c r="AN1189" i="7"/>
  <c r="AN1190" i="7"/>
  <c r="AN1191" i="7"/>
  <c r="AN1192" i="7"/>
  <c r="AN1193" i="7"/>
  <c r="AN1194" i="7"/>
  <c r="AN1195" i="7"/>
  <c r="AN1196" i="7"/>
  <c r="AN1197" i="7"/>
  <c r="AN1198" i="7"/>
  <c r="AN1199" i="7"/>
  <c r="AN1200" i="7"/>
  <c r="AN1201" i="7"/>
  <c r="AN1202" i="7"/>
  <c r="AN1203" i="7"/>
  <c r="AN1204" i="7"/>
  <c r="AN1205" i="7"/>
  <c r="AN1206" i="7"/>
  <c r="AN1207" i="7"/>
  <c r="AN1208" i="7"/>
  <c r="AN1209" i="7"/>
  <c r="AN1210" i="7"/>
  <c r="AN1211" i="7"/>
  <c r="AN1212" i="7"/>
  <c r="AN1213" i="7"/>
  <c r="AN1214" i="7"/>
  <c r="AN1215" i="7"/>
  <c r="AN1216" i="7"/>
  <c r="AQ1216" i="7" s="1"/>
  <c r="AN1217" i="7"/>
  <c r="AN1218" i="7"/>
  <c r="AN1219" i="7"/>
  <c r="AN1220" i="7"/>
  <c r="AN1221" i="7"/>
  <c r="AN1222" i="7"/>
  <c r="AN1223" i="7"/>
  <c r="AN1224" i="7"/>
  <c r="AN1225" i="7"/>
  <c r="AN1226" i="7"/>
  <c r="AN1227" i="7"/>
  <c r="AN1228" i="7"/>
  <c r="AN1229" i="7"/>
  <c r="AN1230" i="7"/>
  <c r="AQ1230" i="7" s="1"/>
  <c r="AN1231" i="7"/>
  <c r="AN1232" i="7"/>
  <c r="AN1233" i="7"/>
  <c r="AN1234" i="7"/>
  <c r="AN1235" i="7"/>
  <c r="AN1236" i="7"/>
  <c r="AN1237" i="7"/>
  <c r="AN1238" i="7"/>
  <c r="AN1239" i="7"/>
  <c r="AN1240" i="7"/>
  <c r="AQ1240" i="7" s="1"/>
  <c r="AN1241" i="7"/>
  <c r="AN1242" i="7"/>
  <c r="AN1243" i="7"/>
  <c r="AN1244" i="7"/>
  <c r="AN1245" i="7"/>
  <c r="AN1246" i="7"/>
  <c r="AN1247" i="7"/>
  <c r="AN1248" i="7"/>
  <c r="AN1249" i="7"/>
  <c r="AN1250" i="7"/>
  <c r="AN1251" i="7"/>
  <c r="AN1252" i="7"/>
  <c r="AN1253" i="7"/>
  <c r="AN1254" i="7"/>
  <c r="AN1255" i="7"/>
  <c r="AN1256" i="7"/>
  <c r="AN1257" i="7"/>
  <c r="AN1258" i="7"/>
  <c r="AQ1258" i="7" s="1"/>
  <c r="AN1259" i="7"/>
  <c r="AN1260" i="7"/>
  <c r="AN1261" i="7"/>
  <c r="AN1262" i="7"/>
  <c r="AN1263" i="7"/>
  <c r="AN1264" i="7"/>
  <c r="AN1265" i="7"/>
  <c r="AN1266" i="7"/>
  <c r="AN1267" i="7"/>
  <c r="AN1268" i="7"/>
  <c r="AN1269" i="7"/>
  <c r="AN1270" i="7"/>
  <c r="AN1271" i="7"/>
  <c r="AN1272" i="7"/>
  <c r="AQ1272" i="7" s="1"/>
  <c r="AN1273" i="7"/>
  <c r="AN1274" i="7"/>
  <c r="AN1275" i="7"/>
  <c r="AN1276" i="7"/>
  <c r="AN1277" i="7"/>
  <c r="AN1278" i="7"/>
  <c r="AN1279" i="7"/>
  <c r="AN1280" i="7"/>
  <c r="AN1281" i="7"/>
  <c r="AN1282" i="7"/>
  <c r="AQ1282" i="7" s="1"/>
  <c r="AN1283" i="7"/>
  <c r="AN1284" i="7"/>
  <c r="AN1285" i="7"/>
  <c r="AN1286" i="7"/>
  <c r="AQ1286" i="7" s="1"/>
  <c r="AN1287" i="7"/>
  <c r="AN1288" i="7"/>
  <c r="AN1289" i="7"/>
  <c r="AN1290" i="7"/>
  <c r="AN1291" i="7"/>
  <c r="AN1292" i="7"/>
  <c r="AN1293" i="7"/>
  <c r="AN1294" i="7"/>
  <c r="AN1295" i="7"/>
  <c r="AN1296" i="7"/>
  <c r="AN1297" i="7"/>
  <c r="AN1298" i="7"/>
  <c r="AN1299" i="7"/>
  <c r="AN1300" i="7"/>
  <c r="AQ1300" i="7" s="1"/>
  <c r="AN1301" i="7"/>
  <c r="AN1302" i="7"/>
  <c r="AN1303" i="7"/>
  <c r="AN1304" i="7"/>
  <c r="AN1305" i="7"/>
  <c r="AN1306" i="7"/>
  <c r="AN1307" i="7"/>
  <c r="AN1308" i="7"/>
  <c r="AN1309" i="7"/>
  <c r="AN1310" i="7"/>
  <c r="AN1311" i="7"/>
  <c r="AN1312" i="7"/>
  <c r="AN1313" i="7"/>
  <c r="AN1314" i="7"/>
  <c r="AQ1314" i="7" s="1"/>
  <c r="AN1315" i="7"/>
  <c r="AN1316" i="7"/>
  <c r="AN1317" i="7"/>
  <c r="AN1318" i="7"/>
  <c r="AN1319" i="7"/>
  <c r="AN1320" i="7"/>
  <c r="AN1321" i="7"/>
  <c r="AN1322" i="7"/>
  <c r="AN1323" i="7"/>
  <c r="AN1324" i="7"/>
  <c r="AN1325" i="7"/>
  <c r="AN1326" i="7"/>
  <c r="AN1327" i="7"/>
  <c r="AN1328" i="7"/>
  <c r="AQ1328" i="7" s="1"/>
  <c r="AN1329" i="7"/>
  <c r="AN1330" i="7"/>
  <c r="AN1331" i="7"/>
  <c r="AN1332" i="7"/>
  <c r="AN1333" i="7"/>
  <c r="AN1334" i="7"/>
  <c r="AN1335" i="7"/>
  <c r="AN1336" i="7"/>
  <c r="AN1337" i="7"/>
  <c r="AN1338" i="7"/>
  <c r="AN1339" i="7"/>
  <c r="AN1340" i="7"/>
  <c r="AN1341" i="7"/>
  <c r="AN1342" i="7"/>
  <c r="AQ1342" i="7" s="1"/>
  <c r="AN1343" i="7"/>
  <c r="AN1344" i="7"/>
  <c r="AN1345" i="7"/>
  <c r="AN1346" i="7"/>
  <c r="AN1347" i="7"/>
  <c r="AN1348" i="7"/>
  <c r="AN1349" i="7"/>
  <c r="AN1350" i="7"/>
  <c r="AN1351" i="7"/>
  <c r="AN1352" i="7"/>
  <c r="AQ1352" i="7" s="1"/>
  <c r="AN1353" i="7"/>
  <c r="AN1354" i="7"/>
  <c r="AN1355" i="7"/>
  <c r="AN1356" i="7"/>
  <c r="AQ1356" i="7" s="1"/>
  <c r="AN1357" i="7"/>
  <c r="AN1358" i="7"/>
  <c r="AN1359" i="7"/>
  <c r="AN1360" i="7"/>
  <c r="AN1361" i="7"/>
  <c r="AN1362" i="7"/>
  <c r="AN1363" i="7"/>
  <c r="AN1364" i="7"/>
  <c r="AN1365" i="7"/>
  <c r="AN1366" i="7"/>
  <c r="AN1367" i="7"/>
  <c r="AN1368" i="7"/>
  <c r="AN1369" i="7"/>
  <c r="AN1370" i="7"/>
  <c r="AN1371" i="7"/>
  <c r="AN1372" i="7"/>
  <c r="AN1373" i="7"/>
  <c r="AN1374" i="7"/>
  <c r="AN1375" i="7"/>
  <c r="AN1376" i="7"/>
  <c r="AN1377" i="7"/>
  <c r="AN1378" i="7"/>
  <c r="AN1379" i="7"/>
  <c r="AN1380" i="7"/>
  <c r="AN1381" i="7"/>
  <c r="AN1382" i="7"/>
  <c r="AN1383" i="7"/>
  <c r="AN1384" i="7"/>
  <c r="AN1385" i="7"/>
  <c r="AN1386" i="7"/>
  <c r="AN1387" i="7"/>
  <c r="AN1388" i="7"/>
  <c r="AN1389" i="7"/>
  <c r="AN1390" i="7"/>
  <c r="AN1391" i="7"/>
  <c r="AN1392" i="7"/>
  <c r="AN1393" i="7"/>
  <c r="AN1394" i="7"/>
  <c r="AN1395" i="7"/>
  <c r="AN1396" i="7"/>
  <c r="AN1397" i="7"/>
  <c r="AN1398" i="7"/>
  <c r="AQ1398" i="7" s="1"/>
  <c r="AN1399" i="7"/>
  <c r="AN1400" i="7"/>
  <c r="AN1401" i="7"/>
  <c r="AN1402" i="7"/>
  <c r="AN1403" i="7"/>
  <c r="AN1404" i="7"/>
  <c r="AN1405" i="7"/>
  <c r="AN1406" i="7"/>
  <c r="AN1407" i="7"/>
  <c r="AN1408" i="7"/>
  <c r="AN1409" i="7"/>
  <c r="AN1410" i="7"/>
  <c r="AN1411" i="7"/>
  <c r="AN1412" i="7"/>
  <c r="AQ1412" i="7" s="1"/>
  <c r="AN1413" i="7"/>
  <c r="AN1414" i="7"/>
  <c r="AN1415" i="7"/>
  <c r="AN1416" i="7"/>
  <c r="AN1417" i="7"/>
  <c r="AN1418" i="7"/>
  <c r="AN1419" i="7"/>
  <c r="AN1420" i="7"/>
  <c r="AN1421" i="7"/>
  <c r="AN1422" i="7"/>
  <c r="AN1423" i="7"/>
  <c r="AN1424" i="7"/>
  <c r="AN1425" i="7"/>
  <c r="AN1426" i="7"/>
  <c r="AN1427" i="7"/>
  <c r="AN1428" i="7"/>
  <c r="AN1429" i="7"/>
  <c r="AN1430" i="7"/>
  <c r="AN1431" i="7"/>
  <c r="AN1432" i="7"/>
  <c r="AN1433" i="7"/>
  <c r="AN1434" i="7"/>
  <c r="AN1435" i="7"/>
  <c r="AN1436" i="7"/>
  <c r="AN1437" i="7"/>
  <c r="AN1438" i="7"/>
  <c r="AN1439" i="7"/>
  <c r="AN1440" i="7"/>
  <c r="AN1441" i="7"/>
  <c r="AN1442" i="7"/>
  <c r="AN1443" i="7"/>
  <c r="AN1444" i="7"/>
  <c r="AN1445" i="7"/>
  <c r="AN1446" i="7"/>
  <c r="AN1447" i="7"/>
  <c r="AQ1447" i="7" s="1"/>
  <c r="AN1448" i="7"/>
  <c r="AN1449" i="7"/>
  <c r="AN1450" i="7"/>
  <c r="AN1451" i="7"/>
  <c r="AN1452" i="7"/>
  <c r="AN1453" i="7"/>
  <c r="AN1454" i="7"/>
  <c r="AN1455" i="7"/>
  <c r="AN1456" i="7"/>
  <c r="AN1457" i="7"/>
  <c r="AN1458" i="7"/>
  <c r="AN1459" i="7"/>
  <c r="AN1460" i="7"/>
  <c r="AN1461" i="7"/>
  <c r="AN1462" i="7"/>
  <c r="AN1463" i="7"/>
  <c r="AN1464" i="7"/>
  <c r="AN1465" i="7"/>
  <c r="AN1466" i="7"/>
  <c r="AN1467" i="7"/>
  <c r="AN1468" i="7"/>
  <c r="AQ1468" i="7" s="1"/>
  <c r="AN1469" i="7"/>
  <c r="AN1470" i="7"/>
  <c r="AN1471" i="7"/>
  <c r="AN1472" i="7"/>
  <c r="AN1473" i="7"/>
  <c r="AN1474" i="7"/>
  <c r="AN1475" i="7"/>
  <c r="AN1476" i="7"/>
  <c r="AN1477" i="7"/>
  <c r="AN1478" i="7"/>
  <c r="AN1479" i="7"/>
  <c r="AN1480" i="7"/>
  <c r="AN1481" i="7"/>
  <c r="AN1482" i="7"/>
  <c r="AN1483" i="7"/>
  <c r="AN1484" i="7"/>
  <c r="AN1485" i="7"/>
  <c r="AN1486" i="7"/>
  <c r="AN1487" i="7"/>
  <c r="AN1488" i="7"/>
  <c r="AN1489" i="7"/>
  <c r="AN1490" i="7"/>
  <c r="AN1491" i="7"/>
  <c r="AN1492" i="7"/>
  <c r="AN1493" i="7"/>
  <c r="AN1494" i="7"/>
  <c r="AN1495" i="7"/>
  <c r="AN1496" i="7"/>
  <c r="AQ1496" i="7" s="1"/>
  <c r="AN1497" i="7"/>
  <c r="AN1498" i="7"/>
  <c r="AN1499" i="7"/>
  <c r="AN1500" i="7"/>
  <c r="AN1501" i="7"/>
  <c r="AN1502" i="7"/>
  <c r="AN1503" i="7"/>
  <c r="AN1504" i="7"/>
  <c r="AN1505" i="7"/>
  <c r="AQ1505" i="7" s="1"/>
  <c r="AN1506" i="7"/>
  <c r="AN1507" i="7"/>
  <c r="AN1508" i="7"/>
  <c r="AN1509" i="7"/>
  <c r="AN1510" i="7"/>
  <c r="AQ1510" i="7" s="1"/>
  <c r="AN1511" i="7"/>
  <c r="AN1512" i="7"/>
  <c r="AN1513" i="7"/>
  <c r="AN1514" i="7"/>
  <c r="AN1515" i="7"/>
  <c r="AN1516" i="7"/>
  <c r="AN1517" i="7"/>
  <c r="AN1518" i="7"/>
  <c r="AN1519" i="7"/>
  <c r="AN1520" i="7"/>
  <c r="AN1521" i="7"/>
  <c r="AN1522" i="7"/>
  <c r="AN1523" i="7"/>
  <c r="AN1524" i="7"/>
  <c r="AQ1524" i="7" s="1"/>
  <c r="AN1525" i="7"/>
  <c r="AN1526" i="7"/>
  <c r="AN1527" i="7"/>
  <c r="AN1528" i="7"/>
  <c r="AN1529" i="7"/>
  <c r="AN1530" i="7"/>
  <c r="AN1531" i="7"/>
  <c r="AN1532" i="7"/>
  <c r="AN1533" i="7"/>
  <c r="AN1534" i="7"/>
  <c r="AN1535" i="7"/>
  <c r="AN1536" i="7"/>
  <c r="AN1537" i="7"/>
  <c r="AN1538" i="7"/>
  <c r="AN1539" i="7"/>
  <c r="AN1540" i="7"/>
  <c r="AN1541" i="7"/>
  <c r="AN1542" i="7"/>
  <c r="AN1543" i="7"/>
  <c r="AN1544" i="7"/>
  <c r="AN1545" i="7"/>
  <c r="AN1546" i="7"/>
  <c r="AN1547" i="7"/>
  <c r="AN1548" i="7"/>
  <c r="AN1549" i="7"/>
  <c r="AN1550" i="7"/>
  <c r="AN1551" i="7"/>
  <c r="AN1552" i="7"/>
  <c r="AN1553" i="7"/>
  <c r="AN1554" i="7"/>
  <c r="AN1555" i="7"/>
  <c r="AN1556" i="7"/>
  <c r="AN1557" i="7"/>
  <c r="AN1558" i="7"/>
  <c r="AN1559" i="7"/>
  <c r="AN1560" i="7"/>
  <c r="AN1561" i="7"/>
  <c r="AN1562" i="7"/>
  <c r="AN1563" i="7"/>
  <c r="AN1564" i="7"/>
  <c r="AN1565" i="7"/>
  <c r="AN1566" i="7"/>
  <c r="AN1567" i="7"/>
  <c r="AN1568" i="7"/>
  <c r="AN1569" i="7"/>
  <c r="AN1570" i="7"/>
  <c r="AN1571" i="7"/>
  <c r="AN1572" i="7"/>
  <c r="AN1573" i="7"/>
  <c r="AN1574" i="7"/>
  <c r="AN1575" i="7"/>
  <c r="AQ1575" i="7" s="1"/>
  <c r="AN1576" i="7"/>
  <c r="AN1577" i="7"/>
  <c r="AN1578" i="7"/>
  <c r="AN1579" i="7"/>
  <c r="AN1580" i="7"/>
  <c r="AN1581" i="7"/>
  <c r="AN1582" i="7"/>
  <c r="AN1583" i="7"/>
  <c r="AN1584" i="7"/>
  <c r="AN1585" i="7"/>
  <c r="AN1586" i="7"/>
  <c r="AN1587" i="7"/>
  <c r="AN1588" i="7"/>
  <c r="AN1589" i="7"/>
  <c r="AN1590" i="7"/>
  <c r="AN1591" i="7"/>
  <c r="AN1592" i="7"/>
  <c r="AN1593" i="7"/>
  <c r="AN1594" i="7"/>
  <c r="AN1595" i="7"/>
  <c r="AN1596" i="7"/>
  <c r="AN1597" i="7"/>
  <c r="AN1598" i="7"/>
  <c r="AN1599" i="7"/>
  <c r="AN1600" i="7"/>
  <c r="AN1601" i="7"/>
  <c r="AN1602" i="7"/>
  <c r="AN1603" i="7"/>
  <c r="AQ1603" i="7" s="1"/>
  <c r="AN1604" i="7"/>
  <c r="AN1605" i="7"/>
  <c r="AN1606" i="7"/>
  <c r="AN1607" i="7"/>
  <c r="AN1608" i="7"/>
  <c r="AQ1608" i="7" s="1"/>
  <c r="AN1609" i="7"/>
  <c r="AN1610" i="7"/>
  <c r="AN1611" i="7"/>
  <c r="AN1612" i="7"/>
  <c r="AN1613" i="7"/>
  <c r="AN1614" i="7"/>
  <c r="AN1615" i="7"/>
  <c r="AN1616" i="7"/>
  <c r="AN1617" i="7"/>
  <c r="AN1618" i="7"/>
  <c r="AN1619" i="7"/>
  <c r="AN1620" i="7"/>
  <c r="AN1621" i="7"/>
  <c r="AN1622" i="7"/>
  <c r="AN1623" i="7"/>
  <c r="AN1624" i="7"/>
  <c r="AN1625" i="7"/>
  <c r="AN1626" i="7"/>
  <c r="AN1627" i="7"/>
  <c r="AN1628" i="7"/>
  <c r="AN1629" i="7"/>
  <c r="AN1630" i="7"/>
  <c r="AN1631" i="7"/>
  <c r="AN1632" i="7"/>
  <c r="AN1633" i="7"/>
  <c r="AN1634" i="7"/>
  <c r="AN1635" i="7"/>
  <c r="AN1636" i="7"/>
  <c r="AN1637" i="7"/>
  <c r="AN1638" i="7"/>
  <c r="AN1639" i="7"/>
  <c r="AN1640" i="7"/>
  <c r="AN1641" i="7"/>
  <c r="AN1642" i="7"/>
  <c r="AN1643" i="7"/>
  <c r="AN1644" i="7"/>
  <c r="AN1645" i="7"/>
  <c r="AN1646" i="7"/>
  <c r="AN1647" i="7"/>
  <c r="AN1648" i="7"/>
  <c r="AN1649" i="7"/>
  <c r="AN1650" i="7"/>
  <c r="AN1651" i="7"/>
  <c r="AN1652" i="7"/>
  <c r="AN1653" i="7"/>
  <c r="AN1654" i="7"/>
  <c r="AN1655" i="7"/>
  <c r="AN1656" i="7"/>
  <c r="AN1657" i="7"/>
  <c r="AN1658" i="7"/>
  <c r="AN1659" i="7"/>
  <c r="AN1660" i="7"/>
  <c r="AN1661" i="7"/>
  <c r="AN1662" i="7"/>
  <c r="AN1663" i="7"/>
  <c r="AN1664" i="7"/>
  <c r="AN1665" i="7"/>
  <c r="AN1666" i="7"/>
  <c r="AN1667" i="7"/>
  <c r="AN1668" i="7"/>
  <c r="AN1669" i="7"/>
  <c r="AN1670" i="7"/>
  <c r="AN1671" i="7"/>
  <c r="AN1672" i="7"/>
  <c r="AN1673" i="7"/>
  <c r="AN1674" i="7"/>
  <c r="AN1675" i="7"/>
  <c r="AN1676" i="7"/>
  <c r="AN1677" i="7"/>
  <c r="AN1678" i="7"/>
  <c r="AN1679" i="7"/>
  <c r="AN1680" i="7"/>
  <c r="AN1681" i="7"/>
  <c r="AN1682" i="7"/>
  <c r="AN1683" i="7"/>
  <c r="AN1684" i="7"/>
  <c r="AN1685" i="7"/>
  <c r="AN1686" i="7"/>
  <c r="AN1687" i="7"/>
  <c r="AN1688" i="7"/>
  <c r="AN1689" i="7"/>
  <c r="AN1690" i="7"/>
  <c r="AN1691" i="7"/>
  <c r="AN1692" i="7"/>
  <c r="AN1693" i="7"/>
  <c r="AN1694" i="7"/>
  <c r="AN1695" i="7"/>
  <c r="AN1696" i="7"/>
  <c r="AN1697" i="7"/>
  <c r="AN1698" i="7"/>
  <c r="AN1699" i="7"/>
  <c r="AN1700" i="7"/>
  <c r="AN1701" i="7"/>
  <c r="AN1702" i="7"/>
  <c r="AN1703" i="7"/>
  <c r="AN1704" i="7"/>
  <c r="AN1705" i="7"/>
  <c r="AN1706" i="7"/>
  <c r="AN1707" i="7"/>
  <c r="AQ1707" i="7" s="1"/>
  <c r="AN1708" i="7"/>
  <c r="AN1709" i="7"/>
  <c r="AN1710" i="7"/>
  <c r="AN1711" i="7"/>
  <c r="AN1712" i="7"/>
  <c r="AN1713" i="7"/>
  <c r="AN1714" i="7"/>
  <c r="AN1715" i="7"/>
  <c r="AN1716" i="7"/>
  <c r="AN1717" i="7"/>
  <c r="AN1718" i="7"/>
  <c r="AN1719" i="7"/>
  <c r="AN1720" i="7"/>
  <c r="AQ1720" i="7" s="1"/>
  <c r="AN1721" i="7"/>
  <c r="AN1722" i="7"/>
  <c r="AN1723" i="7"/>
  <c r="AN1724" i="7"/>
  <c r="AN1725" i="7"/>
  <c r="AN1726" i="7"/>
  <c r="AN1727" i="7"/>
  <c r="AN1728" i="7"/>
  <c r="AN1729" i="7"/>
  <c r="AN1730" i="7"/>
  <c r="AN1731" i="7"/>
  <c r="AN1732" i="7"/>
  <c r="AN1733" i="7"/>
  <c r="AN1734" i="7"/>
  <c r="AN1735" i="7"/>
  <c r="AN1736" i="7"/>
  <c r="AN1737" i="7"/>
  <c r="AN1738" i="7"/>
  <c r="AN1739" i="7"/>
  <c r="AN1740" i="7"/>
  <c r="AN1741" i="7"/>
  <c r="AN1742" i="7"/>
  <c r="AN1743" i="7"/>
  <c r="AN1744" i="7"/>
  <c r="AQ1744" i="7" s="1"/>
  <c r="AN1745" i="7"/>
  <c r="AN1746" i="7"/>
  <c r="AN1747" i="7"/>
  <c r="AN1748" i="7"/>
  <c r="AQ1748" i="7" s="1"/>
  <c r="AN1749" i="7"/>
  <c r="AQ1749" i="7" s="1"/>
  <c r="AN1750" i="7"/>
  <c r="AN1751" i="7"/>
  <c r="AN1752" i="7"/>
  <c r="AN1753" i="7"/>
  <c r="AN1754" i="7"/>
  <c r="AN1755" i="7"/>
  <c r="AN1756" i="7"/>
  <c r="AN1757" i="7"/>
  <c r="AQ1757" i="7" s="1"/>
  <c r="AN1758" i="7"/>
  <c r="AN1759" i="7"/>
  <c r="AN1760" i="7"/>
  <c r="AN1761" i="7"/>
  <c r="AN1762" i="7"/>
  <c r="AQ1762" i="7" s="1"/>
  <c r="AN1763" i="7"/>
  <c r="AN1764" i="7"/>
  <c r="AN1765" i="7"/>
  <c r="AN1766" i="7"/>
  <c r="AN1767" i="7"/>
  <c r="AN1768" i="7"/>
  <c r="AN1769" i="7"/>
  <c r="AN1770" i="7"/>
  <c r="AN1771" i="7"/>
  <c r="AN1772" i="7"/>
  <c r="AN1773" i="7"/>
  <c r="AN1774" i="7"/>
  <c r="AN1775" i="7"/>
  <c r="AN1776" i="7"/>
  <c r="AQ1776" i="7" s="1"/>
  <c r="AN1777" i="7"/>
  <c r="AN1778" i="7"/>
  <c r="AN1779" i="7"/>
  <c r="AN1780" i="7"/>
  <c r="AN1781" i="7"/>
  <c r="AN1782" i="7"/>
  <c r="AN1783" i="7"/>
  <c r="AQ1783" i="7" s="1"/>
  <c r="AN1784" i="7"/>
  <c r="AN1785" i="7"/>
  <c r="AN1786" i="7"/>
  <c r="AN1787" i="7"/>
  <c r="AN1788" i="7"/>
  <c r="AN1789" i="7"/>
  <c r="AN1790" i="7"/>
  <c r="AN1791" i="7"/>
  <c r="AN1792" i="7"/>
  <c r="AN1793" i="7"/>
  <c r="AN1794" i="7"/>
  <c r="AN1795" i="7"/>
  <c r="AN1796" i="7"/>
  <c r="AN1797" i="7"/>
  <c r="AN1798" i="7"/>
  <c r="AN1799" i="7"/>
  <c r="AN1800" i="7"/>
  <c r="AN1801" i="7"/>
  <c r="AN1802" i="7"/>
  <c r="AN1803" i="7"/>
  <c r="AN1804" i="7"/>
  <c r="AN1805" i="7"/>
  <c r="AQ1805" i="7" s="1"/>
  <c r="AN1806" i="7"/>
  <c r="AN1807" i="7"/>
  <c r="AN1808" i="7"/>
  <c r="AN1809" i="7"/>
  <c r="AN1810" i="7"/>
  <c r="AN1811" i="7"/>
  <c r="AN1812" i="7"/>
  <c r="AN1813" i="7"/>
  <c r="AN1814" i="7"/>
  <c r="AN1815" i="7"/>
  <c r="AN1816" i="7"/>
  <c r="AN1817" i="7"/>
  <c r="AN1818" i="7"/>
  <c r="AQ1818" i="7" s="1"/>
  <c r="AN1819" i="7"/>
  <c r="AN1820" i="7"/>
  <c r="AN1821" i="7"/>
  <c r="AN1822" i="7"/>
  <c r="AN1823" i="7"/>
  <c r="AN1824" i="7"/>
  <c r="AN1825" i="7"/>
  <c r="AN1826" i="7"/>
  <c r="AN1827" i="7"/>
  <c r="AQ1827" i="7" s="1"/>
  <c r="AN1828" i="7"/>
  <c r="AN1829" i="7"/>
  <c r="AN1830" i="7"/>
  <c r="AN1831" i="7"/>
  <c r="AN1832" i="7"/>
  <c r="AN1833" i="7"/>
  <c r="AN1834" i="7"/>
  <c r="AN1835" i="7"/>
  <c r="AN1836" i="7"/>
  <c r="AN1837" i="7"/>
  <c r="AN1838" i="7"/>
  <c r="AN1839" i="7"/>
  <c r="AN1840" i="7"/>
  <c r="AN1841" i="7"/>
  <c r="AQ1841" i="7" s="1"/>
  <c r="AN1842" i="7"/>
  <c r="AN1843" i="7"/>
  <c r="AN1844" i="7"/>
  <c r="AN1845" i="7"/>
  <c r="AN1846" i="7"/>
  <c r="AN1847" i="7"/>
  <c r="AN1848" i="7"/>
  <c r="AN1849" i="7"/>
  <c r="AN1850" i="7"/>
  <c r="AN1851" i="7"/>
  <c r="AN1852" i="7"/>
  <c r="AN1853" i="7"/>
  <c r="AN1854" i="7"/>
  <c r="AN1855" i="7"/>
  <c r="AN1856" i="7"/>
  <c r="AN1857" i="7"/>
  <c r="AN1858" i="7"/>
  <c r="AN1859" i="7"/>
  <c r="AN1860" i="7"/>
  <c r="AQ1860" i="7" s="1"/>
  <c r="AN1861" i="7"/>
  <c r="AN1862" i="7"/>
  <c r="AN1863" i="7"/>
  <c r="AN1864" i="7"/>
  <c r="AN1865" i="7"/>
  <c r="AN1866" i="7"/>
  <c r="AN1867" i="7"/>
  <c r="AN1868" i="7"/>
  <c r="AN1869" i="7"/>
  <c r="AN1870" i="7"/>
  <c r="AN1871" i="7"/>
  <c r="AN1872" i="7"/>
  <c r="AN1873" i="7"/>
  <c r="AN1874" i="7"/>
  <c r="AN1875" i="7"/>
  <c r="AN1876" i="7"/>
  <c r="AN1877" i="7"/>
  <c r="AN1878" i="7"/>
  <c r="AN1879" i="7"/>
  <c r="AN1880" i="7"/>
  <c r="AN1881" i="7"/>
  <c r="AN1882" i="7"/>
  <c r="AN1883" i="7"/>
  <c r="AN1884" i="7"/>
  <c r="AN1885" i="7"/>
  <c r="AN1886" i="7"/>
  <c r="AN1887" i="7"/>
  <c r="AN1888" i="7"/>
  <c r="AQ1888" i="7" s="1"/>
  <c r="AN1889" i="7"/>
  <c r="AN1890" i="7"/>
  <c r="AN1891" i="7"/>
  <c r="AN1892" i="7"/>
  <c r="AN1893" i="7"/>
  <c r="AN1894" i="7"/>
  <c r="AN1895" i="7"/>
  <c r="AN1896" i="7"/>
  <c r="AN1897" i="7"/>
  <c r="AN1898" i="7"/>
  <c r="AN1899" i="7"/>
  <c r="AN1900" i="7"/>
  <c r="AN1901" i="7"/>
  <c r="AN1902" i="7"/>
  <c r="AN1903" i="7"/>
  <c r="AN1904" i="7"/>
  <c r="AN1905" i="7"/>
  <c r="AN1906" i="7"/>
  <c r="AN1907" i="7"/>
  <c r="AN1908" i="7"/>
  <c r="AN1909" i="7"/>
  <c r="AN1910" i="7"/>
  <c r="AN1911" i="7"/>
  <c r="AN1912" i="7"/>
  <c r="AN1913" i="7"/>
  <c r="AN1914" i="7"/>
  <c r="AN1915" i="7"/>
  <c r="AN1916" i="7"/>
  <c r="AQ1916" i="7" s="1"/>
  <c r="AN1917" i="7"/>
  <c r="AN1918" i="7"/>
  <c r="AN1919" i="7"/>
  <c r="AN1920" i="7"/>
  <c r="AN1921" i="7"/>
  <c r="AN1922" i="7"/>
  <c r="AN1923" i="7"/>
  <c r="AN1924" i="7"/>
  <c r="AN1925" i="7"/>
  <c r="AN1926" i="7"/>
  <c r="AN1927" i="7"/>
  <c r="AN1928" i="7"/>
  <c r="AN1929" i="7"/>
  <c r="AN1930" i="7"/>
  <c r="AQ1930" i="7" s="1"/>
  <c r="AN1931" i="7"/>
  <c r="AN1932" i="7"/>
  <c r="AN1933" i="7"/>
  <c r="AN1934" i="7"/>
  <c r="AN1935" i="7"/>
  <c r="AN1936" i="7"/>
  <c r="AN1937" i="7"/>
  <c r="AN1938" i="7"/>
  <c r="AN1939" i="7"/>
  <c r="AN1940" i="7"/>
  <c r="AN1941" i="7"/>
  <c r="AN1942" i="7"/>
  <c r="AN1943" i="7"/>
  <c r="AN1944" i="7"/>
  <c r="AN1945" i="7"/>
  <c r="AN1946" i="7"/>
  <c r="AN1947" i="7"/>
  <c r="AN1948" i="7"/>
  <c r="AN1949" i="7"/>
  <c r="AN1950" i="7"/>
  <c r="AN1951" i="7"/>
  <c r="AN1952" i="7"/>
  <c r="AN1953" i="7"/>
  <c r="AN1954" i="7"/>
  <c r="AN1955" i="7"/>
  <c r="AN1956" i="7"/>
  <c r="AN1957" i="7"/>
  <c r="AN1958" i="7"/>
  <c r="AQ1958" i="7" s="1"/>
  <c r="AN1959" i="7"/>
  <c r="AN1960" i="7"/>
  <c r="AN1961" i="7"/>
  <c r="AN1962" i="7"/>
  <c r="AN1963" i="7"/>
  <c r="AN1964" i="7"/>
  <c r="AN1965" i="7"/>
  <c r="AN1966" i="7"/>
  <c r="AN1967" i="7"/>
  <c r="AN1968" i="7"/>
  <c r="AN1969" i="7"/>
  <c r="AN1970" i="7"/>
  <c r="AN1971" i="7"/>
  <c r="AN1972" i="7"/>
  <c r="AN1973" i="7"/>
  <c r="AN1974" i="7"/>
  <c r="AN1975" i="7"/>
  <c r="AN1976" i="7"/>
  <c r="AN1977" i="7"/>
  <c r="AN1978" i="7"/>
  <c r="AN1979" i="7"/>
  <c r="AN1980" i="7"/>
  <c r="AN1981" i="7"/>
  <c r="AN1982" i="7"/>
  <c r="AN1983" i="7"/>
  <c r="AN1984" i="7"/>
  <c r="AN1985" i="7"/>
  <c r="AN1986" i="7"/>
  <c r="AN1987" i="7"/>
  <c r="AN1988" i="7"/>
  <c r="AN1989" i="7"/>
  <c r="AN1990" i="7"/>
  <c r="AN1991" i="7"/>
  <c r="AN1992" i="7"/>
  <c r="AN1993" i="7"/>
  <c r="AN1994" i="7"/>
  <c r="AN1995" i="7"/>
  <c r="AN1996" i="7"/>
  <c r="AN1997" i="7"/>
  <c r="AN1998" i="7"/>
  <c r="AN1999" i="7"/>
  <c r="AN2000" i="7"/>
  <c r="AQ2000" i="7" s="1"/>
  <c r="AN2001" i="7"/>
  <c r="AN2002" i="7"/>
  <c r="AN2003" i="7"/>
  <c r="AN2004" i="7"/>
  <c r="AN2005" i="7"/>
  <c r="AN2006" i="7"/>
  <c r="AN2007" i="7"/>
  <c r="AN2008" i="7"/>
  <c r="AN2009" i="7"/>
  <c r="AN2010" i="7"/>
  <c r="AN2011" i="7"/>
  <c r="AN2012" i="7"/>
  <c r="AN2013" i="7"/>
  <c r="AN2014" i="7"/>
  <c r="AN2015" i="7"/>
  <c r="AN2016" i="7"/>
  <c r="AN2017" i="7"/>
  <c r="AN2018" i="7"/>
  <c r="AN2019" i="7"/>
  <c r="AN2020" i="7"/>
  <c r="AN2021" i="7"/>
  <c r="AN2022" i="7"/>
  <c r="AN2023" i="7"/>
  <c r="AN2024" i="7"/>
  <c r="AN2025" i="7"/>
  <c r="AN2026" i="7"/>
  <c r="AN2027" i="7"/>
  <c r="AN2028" i="7"/>
  <c r="AN2029" i="7"/>
  <c r="AN2030" i="7"/>
  <c r="AN2031" i="7"/>
  <c r="AN2032" i="7"/>
  <c r="AN2033" i="7"/>
  <c r="AN2034" i="7"/>
  <c r="AN2035" i="7"/>
  <c r="AN2036" i="7"/>
  <c r="AN2037" i="7"/>
  <c r="AN2038" i="7"/>
  <c r="AN2039" i="7"/>
  <c r="AN2040" i="7"/>
  <c r="AN2041" i="7"/>
  <c r="AN2042" i="7"/>
  <c r="AQ2042" i="7" s="1"/>
  <c r="AN2043" i="7"/>
  <c r="AN2044" i="7"/>
  <c r="AN2045" i="7"/>
  <c r="AN2046" i="7"/>
  <c r="AN2047" i="7"/>
  <c r="AN2048" i="7"/>
  <c r="AN2049" i="7"/>
  <c r="AN2050" i="7"/>
  <c r="AN2051" i="7"/>
  <c r="AN2052" i="7"/>
  <c r="AN2053" i="7"/>
  <c r="AN2054" i="7"/>
  <c r="AN2055" i="7"/>
  <c r="AN2056" i="7"/>
  <c r="AN2057" i="7"/>
  <c r="AN2058" i="7"/>
  <c r="AN2059" i="7"/>
  <c r="AN2060" i="7"/>
  <c r="AN2061" i="7"/>
  <c r="AN2062" i="7"/>
  <c r="AN2063" i="7"/>
  <c r="AN2064" i="7"/>
  <c r="AN2065" i="7"/>
  <c r="AN2066" i="7"/>
  <c r="AN2067" i="7"/>
  <c r="AN2068" i="7"/>
  <c r="AN2069" i="7"/>
  <c r="AN2070" i="7"/>
  <c r="AN2071" i="7"/>
  <c r="AN2072" i="7"/>
  <c r="AN2073" i="7"/>
  <c r="AN2074" i="7"/>
  <c r="AN2075" i="7"/>
  <c r="AN2076" i="7"/>
  <c r="AN2077" i="7"/>
  <c r="AN2078" i="7"/>
  <c r="AN2079" i="7"/>
  <c r="AN2080" i="7"/>
  <c r="AN2081" i="7"/>
  <c r="AN2082" i="7"/>
  <c r="AN2083" i="7"/>
  <c r="AN2084" i="7"/>
  <c r="AN2085" i="7"/>
  <c r="AN2086" i="7"/>
  <c r="AN2087" i="7"/>
  <c r="AN2088" i="7"/>
  <c r="AN2089" i="7"/>
  <c r="AN2090" i="7"/>
  <c r="AN2091" i="7"/>
  <c r="AN2092" i="7"/>
  <c r="AN2093" i="7"/>
  <c r="AN2094" i="7"/>
  <c r="AN2095" i="7"/>
  <c r="AN2096" i="7"/>
  <c r="AN2097" i="7"/>
  <c r="AN2098" i="7"/>
  <c r="AN2099" i="7"/>
  <c r="AN2100" i="7"/>
  <c r="AN2101" i="7"/>
  <c r="AN2102" i="7"/>
  <c r="AN2103" i="7"/>
  <c r="AN2104" i="7"/>
  <c r="AN2105" i="7"/>
  <c r="AN2106" i="7"/>
  <c r="AN2107" i="7"/>
  <c r="AN2108" i="7"/>
  <c r="AN2109" i="7"/>
  <c r="AN2110" i="7"/>
  <c r="AN2111" i="7"/>
  <c r="AN2112" i="7"/>
  <c r="AN2113" i="7"/>
  <c r="AN2114" i="7"/>
  <c r="AN2115" i="7"/>
  <c r="AN2116" i="7"/>
  <c r="AN2117" i="7"/>
  <c r="AN2118" i="7"/>
  <c r="AN2119" i="7"/>
  <c r="AN2120" i="7"/>
  <c r="AN2121" i="7"/>
  <c r="AN2122" i="7"/>
  <c r="AN2123" i="7"/>
  <c r="AN2124" i="7"/>
  <c r="AN2125" i="7"/>
  <c r="AN2126" i="7"/>
  <c r="AN2127" i="7"/>
  <c r="AN2128" i="7"/>
  <c r="AN2129" i="7"/>
  <c r="AN2130" i="7"/>
  <c r="AN2131" i="7"/>
  <c r="AN2132" i="7"/>
  <c r="AN2133" i="7"/>
  <c r="AN2134" i="7"/>
  <c r="AN2135" i="7"/>
  <c r="AN2136" i="7"/>
  <c r="AN2137" i="7"/>
  <c r="AN2138" i="7"/>
  <c r="AN2139" i="7"/>
  <c r="AN2140" i="7"/>
  <c r="AN2141" i="7"/>
  <c r="AN2142" i="7"/>
  <c r="AN2143" i="7"/>
  <c r="AN2144" i="7"/>
  <c r="AN2145" i="7"/>
  <c r="AN2146" i="7"/>
  <c r="AN2147" i="7"/>
  <c r="AQ2147" i="7" s="1"/>
  <c r="AN2148" i="7"/>
  <c r="AN2149" i="7"/>
  <c r="AN2150" i="7"/>
  <c r="AN2151" i="7"/>
  <c r="AN2152" i="7"/>
  <c r="AN2153" i="7"/>
  <c r="AN2154" i="7"/>
  <c r="AN2155" i="7"/>
  <c r="AN2156" i="7"/>
  <c r="AN2157" i="7"/>
  <c r="AN2158" i="7"/>
  <c r="AN2159" i="7"/>
  <c r="AN2160" i="7"/>
  <c r="AN2161" i="7"/>
  <c r="AN2162" i="7"/>
  <c r="AN2163" i="7"/>
  <c r="AN2164" i="7"/>
  <c r="AN2165" i="7"/>
  <c r="AN2166" i="7"/>
  <c r="AN2167" i="7"/>
  <c r="AN2168" i="7"/>
  <c r="AN2169" i="7"/>
  <c r="AN2170" i="7"/>
  <c r="AN2171" i="7"/>
  <c r="AN2172" i="7"/>
  <c r="AN2173" i="7"/>
  <c r="AN2174" i="7"/>
  <c r="AN2175" i="7"/>
  <c r="AN2176" i="7"/>
  <c r="AN2177" i="7"/>
  <c r="AN2178" i="7"/>
  <c r="AN2179" i="7"/>
  <c r="AN2180" i="7"/>
  <c r="AN2181" i="7"/>
  <c r="AN2182" i="7"/>
  <c r="AN2183" i="7"/>
  <c r="AN2184" i="7"/>
  <c r="AN2185" i="7"/>
  <c r="AN2186" i="7"/>
  <c r="AN2187" i="7"/>
  <c r="AN2188" i="7"/>
  <c r="AN2189" i="7"/>
  <c r="AN2190" i="7"/>
  <c r="AN2191" i="7"/>
  <c r="AN2192" i="7"/>
  <c r="AN2193" i="7"/>
  <c r="AN2194" i="7"/>
  <c r="AN2195" i="7"/>
  <c r="AN2196" i="7"/>
  <c r="AN2197" i="7"/>
  <c r="AN2198" i="7"/>
  <c r="AN2199" i="7"/>
  <c r="AN2200" i="7"/>
  <c r="AN2201" i="7"/>
  <c r="AN2202" i="7"/>
  <c r="AN2203" i="7"/>
  <c r="AN2204" i="7"/>
  <c r="AN2205" i="7"/>
  <c r="AN2206" i="7"/>
  <c r="AN2207" i="7"/>
  <c r="AN2208" i="7"/>
  <c r="AN2209" i="7"/>
  <c r="AN2210" i="7"/>
  <c r="AN2211" i="7"/>
  <c r="AN2212" i="7"/>
  <c r="AN2213" i="7"/>
  <c r="AN2214" i="7"/>
  <c r="AN2215" i="7"/>
  <c r="AN2216" i="7"/>
  <c r="AN2217" i="7"/>
  <c r="AQ2217" i="7" s="1"/>
  <c r="AN2218" i="7"/>
  <c r="AN2219" i="7"/>
  <c r="AN2220" i="7"/>
  <c r="AN2221" i="7"/>
  <c r="AN2222" i="7"/>
  <c r="AN2223" i="7"/>
  <c r="AN2224" i="7"/>
  <c r="AQ2224" i="7" s="1"/>
  <c r="AN2225" i="7"/>
  <c r="AN2226" i="7"/>
  <c r="AN2227" i="7"/>
  <c r="AN2228" i="7"/>
  <c r="AN2229" i="7"/>
  <c r="AN2230" i="7"/>
  <c r="AN2231" i="7"/>
  <c r="AQ2231" i="7" s="1"/>
  <c r="AN2232" i="7"/>
  <c r="AN2233" i="7"/>
  <c r="AN2234" i="7"/>
  <c r="AN2235" i="7"/>
  <c r="AN2236" i="7"/>
  <c r="AN2237" i="7"/>
  <c r="AN2238" i="7"/>
  <c r="AN2239" i="7"/>
  <c r="AN2240" i="7"/>
  <c r="AN2241" i="7"/>
  <c r="AN2242" i="7"/>
  <c r="AN2243" i="7"/>
  <c r="AN2244" i="7"/>
  <c r="AN2245" i="7"/>
  <c r="AN2246" i="7"/>
  <c r="AN2247" i="7"/>
  <c r="AN2248" i="7"/>
  <c r="AN2249" i="7"/>
  <c r="AN2250" i="7"/>
  <c r="AN2251" i="7"/>
  <c r="AN2252" i="7"/>
  <c r="AQ2252" i="7" s="1"/>
  <c r="AN2253" i="7"/>
  <c r="AN2254" i="7"/>
  <c r="AN2255" i="7"/>
  <c r="AN2256" i="7"/>
  <c r="AN2257" i="7"/>
  <c r="AN2258" i="7"/>
  <c r="AN2259" i="7"/>
  <c r="AN2260" i="7"/>
  <c r="AN2261" i="7"/>
  <c r="AN2262" i="7"/>
  <c r="AN2263" i="7"/>
  <c r="AN2264" i="7"/>
  <c r="AN2265" i="7"/>
  <c r="AN2266" i="7"/>
  <c r="AN2267" i="7"/>
  <c r="AN2268" i="7"/>
  <c r="AN2269" i="7"/>
  <c r="AN2270" i="7"/>
  <c r="AN2271" i="7"/>
  <c r="AN2272" i="7"/>
  <c r="AN2273" i="7"/>
  <c r="AN2274" i="7"/>
  <c r="AN2275" i="7"/>
  <c r="AN2276" i="7"/>
  <c r="AN2277" i="7"/>
  <c r="AN2278" i="7"/>
  <c r="AN2279" i="7"/>
  <c r="AN2280" i="7"/>
  <c r="AN2281" i="7"/>
  <c r="AN2282" i="7"/>
  <c r="AN2283" i="7"/>
  <c r="AN2284" i="7"/>
  <c r="AN2285" i="7"/>
  <c r="AN2286" i="7"/>
  <c r="AN2287" i="7"/>
  <c r="AN2288" i="7"/>
  <c r="AN2289" i="7"/>
  <c r="AN2290" i="7"/>
  <c r="AN2291" i="7"/>
  <c r="AN2292" i="7"/>
  <c r="AN2293" i="7"/>
  <c r="AN2294" i="7"/>
  <c r="AQ2294" i="7" s="1"/>
  <c r="AN2295" i="7"/>
  <c r="AN2296" i="7"/>
  <c r="AN2297" i="7"/>
  <c r="AN2298" i="7"/>
  <c r="AN2299" i="7"/>
  <c r="AN2300" i="7"/>
  <c r="AN2301" i="7"/>
  <c r="AQ2301" i="7" s="1"/>
  <c r="AN2302" i="7"/>
  <c r="AN2303" i="7"/>
  <c r="AN2304" i="7"/>
  <c r="AN2305" i="7"/>
  <c r="AN2306" i="7"/>
  <c r="AN2307" i="7"/>
  <c r="AN2308" i="7"/>
  <c r="AQ2308" i="7" s="1"/>
  <c r="AN2309" i="7"/>
  <c r="AN2310" i="7"/>
  <c r="AN2311" i="7"/>
  <c r="AN2312" i="7"/>
  <c r="AN2313" i="7"/>
  <c r="AN2314" i="7"/>
  <c r="AN2315" i="7"/>
  <c r="AN2316" i="7"/>
  <c r="AN2317" i="7"/>
  <c r="AN2318" i="7"/>
  <c r="AN2319" i="7"/>
  <c r="AN2320" i="7"/>
  <c r="AN2321" i="7"/>
  <c r="AN2322" i="7"/>
  <c r="AQ2322" i="7" s="1"/>
  <c r="AN2323" i="7"/>
  <c r="AN2324" i="7"/>
  <c r="AN2325" i="7"/>
  <c r="AN2326" i="7"/>
  <c r="AN2327" i="7"/>
  <c r="AN2328" i="7"/>
  <c r="AN2329" i="7"/>
  <c r="AN2330" i="7"/>
  <c r="AN2331" i="7"/>
  <c r="AN2332" i="7"/>
  <c r="AN2333" i="7"/>
  <c r="AN2334" i="7"/>
  <c r="AN2335" i="7"/>
  <c r="AN2336" i="7"/>
  <c r="AN2337" i="7"/>
  <c r="AN2338" i="7"/>
  <c r="AN2339" i="7"/>
  <c r="AN2340" i="7"/>
  <c r="AN2341" i="7"/>
  <c r="AN2342" i="7"/>
  <c r="AN2343" i="7"/>
  <c r="AN2344" i="7"/>
  <c r="AN2345" i="7"/>
  <c r="AN2346" i="7"/>
  <c r="AN2347" i="7"/>
  <c r="AN2348" i="7"/>
  <c r="AN2349" i="7"/>
  <c r="AN2350" i="7"/>
  <c r="AN2351" i="7"/>
  <c r="AN2352" i="7"/>
  <c r="AN2353" i="7"/>
  <c r="AN2354" i="7"/>
  <c r="AN2355" i="7"/>
  <c r="AN2356" i="7"/>
  <c r="AN2357" i="7"/>
  <c r="AN2358" i="7"/>
  <c r="AN2359" i="7"/>
  <c r="AN2360" i="7"/>
  <c r="AN2361" i="7"/>
  <c r="AN2362" i="7"/>
  <c r="AN2363" i="7"/>
  <c r="AN2364" i="7"/>
  <c r="AN2365" i="7"/>
  <c r="AN2366" i="7"/>
  <c r="AN2367" i="7"/>
  <c r="AN2368" i="7"/>
  <c r="AN2369" i="7"/>
  <c r="AN2370" i="7"/>
  <c r="AN2371" i="7"/>
  <c r="AN2372" i="7"/>
  <c r="AN2373" i="7"/>
  <c r="AN2374" i="7"/>
  <c r="AN2375" i="7"/>
  <c r="AN2376" i="7"/>
  <c r="AN2377" i="7"/>
  <c r="AN2378" i="7"/>
  <c r="AQ2378" i="7" s="1"/>
  <c r="AN2379" i="7"/>
  <c r="AN2380" i="7"/>
  <c r="AN2381" i="7"/>
  <c r="AN2382" i="7"/>
  <c r="AN2383" i="7"/>
  <c r="AN2384" i="7"/>
  <c r="AN2385" i="7"/>
  <c r="AN2386" i="7"/>
  <c r="AN2387" i="7"/>
  <c r="AN2388" i="7"/>
  <c r="AN2389" i="7"/>
  <c r="AN2390" i="7"/>
  <c r="AN2391" i="7"/>
  <c r="AN2392" i="7"/>
  <c r="AN2393" i="7"/>
  <c r="AN2394" i="7"/>
  <c r="AN2395" i="7"/>
  <c r="AN2396" i="7"/>
  <c r="AN2397" i="7"/>
  <c r="AN2398" i="7"/>
  <c r="AN2399" i="7"/>
  <c r="AN2400" i="7"/>
  <c r="AN2401" i="7"/>
  <c r="AN2402" i="7"/>
  <c r="AN2403" i="7"/>
  <c r="AN2404" i="7"/>
  <c r="AN2405" i="7"/>
  <c r="AN2406" i="7"/>
  <c r="AN2407" i="7"/>
  <c r="AN2408" i="7"/>
  <c r="AN2409" i="7"/>
  <c r="AN2410" i="7"/>
  <c r="AN2411" i="7"/>
  <c r="AN2412" i="7"/>
  <c r="AN2413" i="7"/>
  <c r="AN2414" i="7"/>
  <c r="AN2415" i="7"/>
  <c r="AN2416" i="7"/>
  <c r="AN2417" i="7"/>
  <c r="AN2418" i="7"/>
  <c r="AN2419" i="7"/>
  <c r="AN2420" i="7"/>
  <c r="AQ2420" i="7" s="1"/>
  <c r="AN2421" i="7"/>
  <c r="AN2422" i="7"/>
  <c r="AN2423" i="7"/>
  <c r="AN2424" i="7"/>
  <c r="AN2425" i="7"/>
  <c r="AN2426" i="7"/>
  <c r="AN2427" i="7"/>
  <c r="AQ2427" i="7" s="1"/>
  <c r="AN2428" i="7"/>
  <c r="AN2429" i="7"/>
  <c r="AN2430" i="7"/>
  <c r="AN2431" i="7"/>
  <c r="AN2432" i="7"/>
  <c r="AN2433" i="7"/>
  <c r="AN2434" i="7"/>
  <c r="AN2435" i="7"/>
  <c r="AN2436" i="7"/>
  <c r="AN2437" i="7"/>
  <c r="AN2438" i="7"/>
  <c r="AN2439" i="7"/>
  <c r="AN2440" i="7"/>
  <c r="AN2441" i="7"/>
  <c r="AN2442" i="7"/>
  <c r="AN2443" i="7"/>
  <c r="AN2444" i="7"/>
  <c r="AN2445" i="7"/>
  <c r="AN2446" i="7"/>
  <c r="AN2447" i="7"/>
  <c r="AN2448" i="7"/>
  <c r="AN2449" i="7"/>
  <c r="AN2450" i="7"/>
  <c r="AN2451" i="7"/>
  <c r="AN2452" i="7"/>
  <c r="AN2453" i="7"/>
  <c r="AN2454" i="7"/>
  <c r="AN2455" i="7"/>
  <c r="AN2456" i="7"/>
  <c r="AN2457" i="7"/>
  <c r="AN2458" i="7"/>
  <c r="AN2459" i="7"/>
  <c r="AN2460" i="7"/>
  <c r="AN2461" i="7"/>
  <c r="AN2462" i="7"/>
  <c r="AN2463" i="7"/>
  <c r="AN2464" i="7"/>
  <c r="AN2465" i="7"/>
  <c r="AN2466" i="7"/>
  <c r="AN2467" i="7"/>
  <c r="AN2468" i="7"/>
  <c r="AN2469" i="7"/>
  <c r="AN2470" i="7"/>
  <c r="AN2471" i="7"/>
  <c r="AN2472" i="7"/>
  <c r="AN2473" i="7"/>
  <c r="AN2474" i="7"/>
  <c r="AN2475" i="7"/>
  <c r="AN2476" i="7"/>
  <c r="AN2477" i="7"/>
  <c r="AN2478" i="7"/>
  <c r="AN2479" i="7"/>
  <c r="AN2480" i="7"/>
  <c r="AN2481" i="7"/>
  <c r="AN2482" i="7"/>
  <c r="AN2483" i="7"/>
  <c r="AN2484" i="7"/>
  <c r="AN2485" i="7"/>
  <c r="AN2486" i="7"/>
  <c r="AN2487" i="7"/>
  <c r="AN2488" i="7"/>
  <c r="AN2489" i="7"/>
  <c r="AN2490" i="7"/>
  <c r="AN2491" i="7"/>
  <c r="AN2492" i="7"/>
  <c r="AN2493" i="7"/>
  <c r="AN2494" i="7"/>
  <c r="AN2495" i="7"/>
  <c r="AN2496" i="7"/>
  <c r="AN2497" i="7"/>
  <c r="AN2498" i="7"/>
  <c r="AN2499" i="7"/>
  <c r="AN2500" i="7"/>
  <c r="AN2501" i="7"/>
  <c r="AN2502" i="7"/>
  <c r="AN2503" i="7"/>
  <c r="AN2504" i="7"/>
  <c r="AQ2504" i="7" s="1"/>
  <c r="AN2505" i="7"/>
  <c r="AN2506" i="7"/>
  <c r="AN2507" i="7"/>
  <c r="AN2508" i="7"/>
  <c r="AN2509" i="7"/>
  <c r="AN2510" i="7"/>
  <c r="AN2511" i="7"/>
  <c r="AN2512" i="7"/>
  <c r="AN2513" i="7"/>
  <c r="AN2514" i="7"/>
  <c r="AN2515" i="7"/>
  <c r="AN2516" i="7"/>
  <c r="AN2517" i="7"/>
  <c r="AN2518" i="7"/>
  <c r="AN2519" i="7"/>
  <c r="AN2520" i="7"/>
  <c r="AN2521" i="7"/>
  <c r="AN2522" i="7"/>
  <c r="AN2523" i="7"/>
  <c r="AN2524" i="7"/>
  <c r="AN2525" i="7"/>
  <c r="AN2526" i="7"/>
  <c r="AN2527" i="7"/>
  <c r="AN2528" i="7"/>
  <c r="AN2529" i="7"/>
  <c r="AN2530" i="7"/>
  <c r="AN2531" i="7"/>
  <c r="AN2532" i="7"/>
  <c r="AN2533" i="7"/>
  <c r="AN2534" i="7"/>
  <c r="AN2535" i="7"/>
  <c r="AN2536" i="7"/>
  <c r="AN2537" i="7"/>
  <c r="AN2538" i="7"/>
  <c r="AN2539" i="7"/>
  <c r="AN2540" i="7"/>
  <c r="AN2541" i="7"/>
  <c r="AN2542" i="7"/>
  <c r="AN2543" i="7"/>
  <c r="AN2544" i="7"/>
  <c r="AN2545" i="7"/>
  <c r="AN2546" i="7"/>
  <c r="AN2547" i="7"/>
  <c r="AN2548" i="7"/>
  <c r="AN2549" i="7"/>
  <c r="AN2550" i="7"/>
  <c r="AN2551" i="7"/>
  <c r="AN2552" i="7"/>
  <c r="AN2553" i="7"/>
  <c r="AN2554" i="7"/>
  <c r="AN2555" i="7"/>
  <c r="AN2556" i="7"/>
  <c r="AN2557" i="7"/>
  <c r="AN2558" i="7"/>
  <c r="AN2559" i="7"/>
  <c r="AN2560" i="7"/>
  <c r="AN2561" i="7"/>
  <c r="AN2562" i="7"/>
  <c r="AN2563" i="7"/>
  <c r="AN2564" i="7"/>
  <c r="AN2565" i="7"/>
  <c r="AN2566" i="7"/>
  <c r="AN2567" i="7"/>
  <c r="AN2568" i="7"/>
  <c r="AN2569" i="7"/>
  <c r="AN2570" i="7"/>
  <c r="AN2571" i="7"/>
  <c r="AN2572" i="7"/>
  <c r="AN2573" i="7"/>
  <c r="AN2574" i="7"/>
  <c r="AN2575" i="7"/>
  <c r="AN2576" i="7"/>
  <c r="AN2577" i="7"/>
  <c r="AN2578" i="7"/>
  <c r="AN2579" i="7"/>
  <c r="AN2580" i="7"/>
  <c r="AN2581" i="7"/>
  <c r="AN2582" i="7"/>
  <c r="AN2583" i="7"/>
  <c r="AN2584" i="7"/>
  <c r="AN2585" i="7"/>
  <c r="AN2586" i="7"/>
  <c r="AN2587" i="7"/>
  <c r="AN2588" i="7"/>
  <c r="AN2589" i="7"/>
  <c r="AN2590" i="7"/>
  <c r="AN2591" i="7"/>
  <c r="AN2592" i="7"/>
  <c r="AN2593" i="7"/>
  <c r="AN2594" i="7"/>
  <c r="AN2595" i="7"/>
  <c r="AN2596" i="7"/>
  <c r="AN2597" i="7"/>
  <c r="AN2598" i="7"/>
  <c r="AN2599" i="7"/>
  <c r="AN2600" i="7"/>
  <c r="AN2601" i="7"/>
  <c r="AN2602" i="7"/>
  <c r="AN2603" i="7"/>
  <c r="AN2604" i="7"/>
  <c r="AN2605" i="7"/>
  <c r="AN2606" i="7"/>
  <c r="AN2607" i="7"/>
  <c r="AN2608" i="7"/>
  <c r="AN2609" i="7"/>
  <c r="AN2610" i="7"/>
  <c r="AN2611" i="7"/>
  <c r="AN2612" i="7"/>
  <c r="AN2613" i="7"/>
  <c r="AN2614" i="7"/>
  <c r="AN2615" i="7"/>
  <c r="AN2616" i="7"/>
  <c r="AN2617" i="7"/>
  <c r="AN2618" i="7"/>
  <c r="AN2619" i="7"/>
  <c r="AN2620" i="7"/>
  <c r="AN2621" i="7"/>
  <c r="AN2622" i="7"/>
  <c r="AN2623" i="7"/>
  <c r="AN2624" i="7"/>
  <c r="AN2625" i="7"/>
  <c r="AN2626" i="7"/>
  <c r="AN2627" i="7"/>
  <c r="AN2628" i="7"/>
  <c r="AN2629" i="7"/>
  <c r="AN2630" i="7"/>
  <c r="AN2631" i="7"/>
  <c r="AN2632" i="7"/>
  <c r="AN2633" i="7"/>
  <c r="AN2634" i="7"/>
  <c r="AN2635" i="7"/>
  <c r="AN2636" i="7"/>
  <c r="AN2637" i="7"/>
  <c r="AN2638" i="7"/>
  <c r="AN2639" i="7"/>
  <c r="AN2640" i="7"/>
  <c r="AN2641" i="7"/>
  <c r="AN2642" i="7"/>
  <c r="AN2643" i="7"/>
  <c r="AN2644" i="7"/>
  <c r="AN2645" i="7"/>
  <c r="AN2646" i="7"/>
  <c r="AN2647" i="7"/>
  <c r="AN2648" i="7"/>
  <c r="AN2649" i="7"/>
  <c r="AN2650" i="7"/>
  <c r="AN2651" i="7"/>
  <c r="AN2652" i="7"/>
  <c r="AN2653" i="7"/>
  <c r="AN2654" i="7"/>
  <c r="AN2655" i="7"/>
  <c r="AN2656" i="7"/>
  <c r="AN2657" i="7"/>
  <c r="AN2658" i="7"/>
  <c r="AN2659" i="7"/>
  <c r="AN2660" i="7"/>
  <c r="AN2661" i="7"/>
  <c r="AN2662" i="7"/>
  <c r="AN2663" i="7"/>
  <c r="AN2664" i="7"/>
  <c r="AN2665" i="7"/>
  <c r="AN2666" i="7"/>
  <c r="AN2667" i="7"/>
  <c r="AN2668" i="7"/>
  <c r="AN2669" i="7"/>
  <c r="AN2670" i="7"/>
  <c r="AN2671" i="7"/>
  <c r="AN2672" i="7"/>
  <c r="AN2673" i="7"/>
  <c r="AN2674" i="7"/>
  <c r="AN2675" i="7"/>
  <c r="AN2676" i="7"/>
  <c r="AN2677" i="7"/>
  <c r="AN2678" i="7"/>
  <c r="AN2679" i="7"/>
  <c r="AN2680" i="7"/>
  <c r="AN2681" i="7"/>
  <c r="AN2682" i="7"/>
  <c r="AN2683" i="7"/>
  <c r="AN2684" i="7"/>
  <c r="AN2685" i="7"/>
  <c r="AN2686" i="7"/>
  <c r="AN2687" i="7"/>
  <c r="AN2688" i="7"/>
  <c r="AN2689" i="7"/>
  <c r="AN2690" i="7"/>
  <c r="AN2691" i="7"/>
  <c r="AN2692" i="7"/>
  <c r="AN2693" i="7"/>
  <c r="AN2694" i="7"/>
  <c r="AN2695" i="7"/>
  <c r="AN2696" i="7"/>
  <c r="AN2697" i="7"/>
  <c r="AN2698" i="7"/>
  <c r="AN2699" i="7"/>
  <c r="AN2700" i="7"/>
  <c r="AN2701" i="7"/>
  <c r="AN2702" i="7"/>
  <c r="AN2703" i="7"/>
  <c r="AN2704" i="7"/>
  <c r="AN2705" i="7"/>
  <c r="AN2706" i="7"/>
  <c r="AN2707" i="7"/>
  <c r="AN2708" i="7"/>
  <c r="AN2709" i="7"/>
  <c r="AN2710" i="7"/>
  <c r="AN2711" i="7"/>
  <c r="AN2712" i="7"/>
  <c r="AN2713" i="7"/>
  <c r="AN2714" i="7"/>
  <c r="AN2715" i="7"/>
  <c r="AN2716" i="7"/>
  <c r="AN2717" i="7"/>
  <c r="AN2718" i="7"/>
  <c r="AN2719" i="7"/>
  <c r="AN2720" i="7"/>
  <c r="AN2721" i="7"/>
  <c r="AN2722" i="7"/>
  <c r="AN2723" i="7"/>
  <c r="AN2724" i="7"/>
  <c r="AN2725" i="7"/>
  <c r="AN2726" i="7"/>
  <c r="AN2727" i="7"/>
  <c r="AN2728" i="7"/>
  <c r="AN2729" i="7"/>
  <c r="AN2730" i="7"/>
  <c r="AN2731" i="7"/>
  <c r="AN2732" i="7"/>
  <c r="AN2733" i="7"/>
  <c r="AN2734" i="7"/>
  <c r="AN2735" i="7"/>
  <c r="AN2736" i="7"/>
  <c r="AN2737" i="7"/>
  <c r="AN2738" i="7"/>
  <c r="AN2739" i="7"/>
  <c r="AN2740" i="7"/>
  <c r="AN2741" i="7"/>
  <c r="AN2742" i="7"/>
  <c r="AN2743" i="7"/>
  <c r="AN2744" i="7"/>
  <c r="AN2745" i="7"/>
  <c r="AN2746" i="7"/>
  <c r="AN2747" i="7"/>
  <c r="AN2748" i="7"/>
  <c r="AN2749" i="7"/>
  <c r="AN2750" i="7"/>
  <c r="AN2751" i="7"/>
  <c r="AN2752" i="7"/>
  <c r="AN2753" i="7"/>
  <c r="AN2754" i="7"/>
  <c r="AN2755" i="7"/>
  <c r="AN2756" i="7"/>
  <c r="AN2757" i="7"/>
  <c r="AN2758" i="7"/>
  <c r="AN2759" i="7"/>
  <c r="AN2760" i="7"/>
  <c r="AN2761" i="7"/>
  <c r="AN2762" i="7"/>
  <c r="AN2763" i="7"/>
  <c r="AN2764" i="7"/>
  <c r="AN2765" i="7"/>
  <c r="AN2766" i="7"/>
  <c r="AN2767" i="7"/>
  <c r="AN2768" i="7"/>
  <c r="AN2769" i="7"/>
  <c r="AN2770" i="7"/>
  <c r="AN2771" i="7"/>
  <c r="AN2772" i="7"/>
  <c r="AN2773" i="7"/>
  <c r="AN2774" i="7"/>
  <c r="AN2775" i="7"/>
  <c r="AN2776" i="7"/>
  <c r="AN2777" i="7"/>
  <c r="AN2778" i="7"/>
  <c r="AN2779" i="7"/>
  <c r="AN2780" i="7"/>
  <c r="AN2781" i="7"/>
  <c r="AN2782" i="7"/>
  <c r="AN2783" i="7"/>
  <c r="AN2784" i="7"/>
  <c r="AN2785" i="7"/>
  <c r="AN2786" i="7"/>
  <c r="AN2787" i="7"/>
  <c r="AN2788" i="7"/>
  <c r="AN2789" i="7"/>
  <c r="AN2790" i="7"/>
  <c r="AN2791" i="7"/>
  <c r="AN2792" i="7"/>
  <c r="AN2793" i="7"/>
  <c r="AN2794" i="7"/>
  <c r="AN2795" i="7"/>
  <c r="AN2796" i="7"/>
  <c r="AN2797" i="7"/>
  <c r="AN2798" i="7"/>
  <c r="AN2799" i="7"/>
  <c r="AN2800" i="7"/>
  <c r="AN2801" i="7"/>
  <c r="AN2802" i="7"/>
  <c r="AN2803" i="7"/>
  <c r="AN2804" i="7"/>
  <c r="AN2805" i="7"/>
  <c r="AN2806" i="7"/>
  <c r="AN2807" i="7"/>
  <c r="AN2808" i="7"/>
  <c r="AN2809" i="7"/>
  <c r="AN2810" i="7"/>
  <c r="AN2811" i="7"/>
  <c r="AN2812" i="7"/>
  <c r="AN2813" i="7"/>
  <c r="AN2814" i="7"/>
  <c r="AN2815" i="7"/>
  <c r="AN2816" i="7"/>
  <c r="AN2817" i="7"/>
  <c r="AN2818" i="7"/>
  <c r="AN2819" i="7"/>
  <c r="AN2820" i="7"/>
  <c r="AN2821" i="7"/>
  <c r="AN2822" i="7"/>
  <c r="AN2823" i="7"/>
  <c r="AN2824" i="7"/>
  <c r="AN2825" i="7"/>
  <c r="AN2826" i="7"/>
  <c r="AN2827" i="7"/>
  <c r="AN2828" i="7"/>
  <c r="AN2829" i="7"/>
  <c r="AN2830" i="7"/>
  <c r="AN2831" i="7"/>
  <c r="AN2832" i="7"/>
  <c r="AN2833" i="7"/>
  <c r="AN2834" i="7"/>
  <c r="AN2835" i="7"/>
  <c r="AN2836" i="7"/>
  <c r="AN2837" i="7"/>
  <c r="AN2838" i="7"/>
  <c r="AN2839" i="7"/>
  <c r="AN2840" i="7"/>
  <c r="AN2841" i="7"/>
  <c r="AN2842" i="7"/>
  <c r="AN2843" i="7"/>
  <c r="AN2844" i="7"/>
  <c r="AN2845" i="7"/>
  <c r="AN2846" i="7"/>
  <c r="AN2847" i="7"/>
  <c r="AN2848" i="7"/>
  <c r="AN2849" i="7"/>
  <c r="AN2850" i="7"/>
  <c r="AN2851" i="7"/>
  <c r="AN2852" i="7"/>
  <c r="AN2853" i="7"/>
  <c r="AN2854" i="7"/>
  <c r="AN2855" i="7"/>
  <c r="AN2856" i="7"/>
  <c r="AN2857" i="7"/>
  <c r="AN2858" i="7"/>
  <c r="AN2859" i="7"/>
  <c r="AN2860" i="7"/>
  <c r="AN2861" i="7"/>
  <c r="AN2862" i="7"/>
  <c r="AN2863" i="7"/>
  <c r="AN2864" i="7"/>
  <c r="AN2865" i="7"/>
  <c r="AN2866" i="7"/>
  <c r="AN2867" i="7"/>
  <c r="AN2868" i="7"/>
  <c r="AN2869" i="7"/>
  <c r="AN2870" i="7"/>
  <c r="AN2871" i="7"/>
  <c r="AN2872" i="7"/>
  <c r="AN2873" i="7"/>
  <c r="AN2874" i="7"/>
  <c r="AN2875" i="7"/>
  <c r="AN2876" i="7"/>
  <c r="AN2877" i="7"/>
  <c r="AN2878" i="7"/>
  <c r="AN2879" i="7"/>
  <c r="AN2880" i="7"/>
  <c r="AN2881" i="7"/>
  <c r="AN2882" i="7"/>
  <c r="AN2883" i="7"/>
  <c r="AN2884" i="7"/>
  <c r="AN2885" i="7"/>
  <c r="AN2886" i="7"/>
  <c r="AN2887" i="7"/>
  <c r="AN2888" i="7"/>
  <c r="AN2889" i="7"/>
  <c r="AN2890" i="7"/>
  <c r="AN2891" i="7"/>
  <c r="AN2892" i="7"/>
  <c r="AN2893" i="7"/>
  <c r="AN2894" i="7"/>
  <c r="AN2895" i="7"/>
  <c r="AN2896" i="7"/>
  <c r="AN2897" i="7"/>
  <c r="AN2898" i="7"/>
  <c r="AN2899" i="7"/>
  <c r="AN2900" i="7"/>
  <c r="AN2901" i="7"/>
  <c r="AN2902" i="7"/>
  <c r="AN2903" i="7"/>
  <c r="AN2904" i="7"/>
  <c r="AN2905" i="7"/>
  <c r="AN2906" i="7"/>
  <c r="AN2907" i="7"/>
  <c r="AN2908" i="7"/>
  <c r="AN2909" i="7"/>
  <c r="AN2910" i="7"/>
  <c r="AN2911" i="7"/>
  <c r="AN2912" i="7"/>
  <c r="AN2913" i="7"/>
  <c r="AN2914" i="7"/>
  <c r="AN2915" i="7"/>
  <c r="AN2916" i="7"/>
  <c r="AN2917" i="7"/>
  <c r="AN2918" i="7"/>
  <c r="AN2919" i="7"/>
  <c r="AN2920" i="7"/>
  <c r="AN2921" i="7"/>
  <c r="AN2922" i="7"/>
  <c r="AL944" i="7"/>
  <c r="AM944" i="7"/>
  <c r="AO944" i="7"/>
  <c r="AP944" i="7" s="1"/>
  <c r="AL945" i="7"/>
  <c r="AO945" i="7" s="1"/>
  <c r="AP945" i="7" s="1"/>
  <c r="AM945" i="7"/>
  <c r="AL946" i="7"/>
  <c r="AO946" i="7" s="1"/>
  <c r="AM946" i="7"/>
  <c r="AP946" i="7"/>
  <c r="AL947" i="7"/>
  <c r="AO947" i="7" s="1"/>
  <c r="AP947" i="7" s="1"/>
  <c r="AM947" i="7"/>
  <c r="AL948" i="7"/>
  <c r="AO948" i="7" s="1"/>
  <c r="AP948" i="7" s="1"/>
  <c r="AM948" i="7"/>
  <c r="AL949" i="7"/>
  <c r="AO949" i="7" s="1"/>
  <c r="AP949" i="7" s="1"/>
  <c r="AM949" i="7"/>
  <c r="AL950" i="7"/>
  <c r="AO950" i="7" s="1"/>
  <c r="AP950" i="7" s="1"/>
  <c r="AM950" i="7"/>
  <c r="AL951" i="7"/>
  <c r="AO951" i="7" s="1"/>
  <c r="AP951" i="7" s="1"/>
  <c r="AM951" i="7"/>
  <c r="AL952" i="7"/>
  <c r="AO952" i="7" s="1"/>
  <c r="AP952" i="7" s="1"/>
  <c r="AM952" i="7"/>
  <c r="AL953" i="7"/>
  <c r="AO953" i="7" s="1"/>
  <c r="AP953" i="7" s="1"/>
  <c r="AQ953" i="7" s="1"/>
  <c r="AM953" i="7"/>
  <c r="AL954" i="7"/>
  <c r="AO954" i="7" s="1"/>
  <c r="AP954" i="7" s="1"/>
  <c r="AQ954" i="7" s="1"/>
  <c r="AM954" i="7"/>
  <c r="AL955" i="7"/>
  <c r="AO955" i="7" s="1"/>
  <c r="AP955" i="7" s="1"/>
  <c r="AQ955" i="7" s="1"/>
  <c r="AM955" i="7"/>
  <c r="AL956" i="7"/>
  <c r="AM956" i="7"/>
  <c r="AO956" i="7"/>
  <c r="AP956" i="7" s="1"/>
  <c r="AL957" i="7"/>
  <c r="AO957" i="7" s="1"/>
  <c r="AP957" i="7" s="1"/>
  <c r="AM957" i="7"/>
  <c r="AL958" i="7"/>
  <c r="AO958" i="7" s="1"/>
  <c r="AP958" i="7" s="1"/>
  <c r="AQ958" i="7" s="1"/>
  <c r="AM958" i="7"/>
  <c r="AL959" i="7"/>
  <c r="AO959" i="7" s="1"/>
  <c r="AP959" i="7" s="1"/>
  <c r="AM959" i="7"/>
  <c r="AL960" i="7"/>
  <c r="AO960" i="7" s="1"/>
  <c r="AP960" i="7" s="1"/>
  <c r="AM960" i="7"/>
  <c r="AL961" i="7"/>
  <c r="AO961" i="7" s="1"/>
  <c r="AP961" i="7" s="1"/>
  <c r="AM961" i="7"/>
  <c r="AL962" i="7"/>
  <c r="AO962" i="7" s="1"/>
  <c r="AP962" i="7" s="1"/>
  <c r="AM962" i="7"/>
  <c r="AL963" i="7"/>
  <c r="AM963" i="7"/>
  <c r="AO963" i="7"/>
  <c r="AP963" i="7" s="1"/>
  <c r="AL964" i="7"/>
  <c r="AO964" i="7" s="1"/>
  <c r="AP964" i="7" s="1"/>
  <c r="AM964" i="7"/>
  <c r="AL965" i="7"/>
  <c r="AO965" i="7" s="1"/>
  <c r="AP965" i="7" s="1"/>
  <c r="AM965" i="7"/>
  <c r="AL966" i="7"/>
  <c r="AO966" i="7" s="1"/>
  <c r="AP966" i="7" s="1"/>
  <c r="AM966" i="7"/>
  <c r="AL967" i="7"/>
  <c r="AO967" i="7" s="1"/>
  <c r="AP967" i="7" s="1"/>
  <c r="AQ967" i="7" s="1"/>
  <c r="AM967" i="7"/>
  <c r="AL968" i="7"/>
  <c r="AO968" i="7" s="1"/>
  <c r="AP968" i="7" s="1"/>
  <c r="AQ968" i="7" s="1"/>
  <c r="AM968" i="7"/>
  <c r="AL969" i="7"/>
  <c r="AO969" i="7" s="1"/>
  <c r="AP969" i="7" s="1"/>
  <c r="AQ969" i="7" s="1"/>
  <c r="AM969" i="7"/>
  <c r="AL970" i="7"/>
  <c r="AO970" i="7" s="1"/>
  <c r="AP970" i="7" s="1"/>
  <c r="AQ970" i="7" s="1"/>
  <c r="AM970" i="7"/>
  <c r="AL971" i="7"/>
  <c r="AO971" i="7" s="1"/>
  <c r="AP971" i="7" s="1"/>
  <c r="AM971" i="7"/>
  <c r="AL972" i="7"/>
  <c r="AO972" i="7" s="1"/>
  <c r="AP972" i="7" s="1"/>
  <c r="AM972" i="7"/>
  <c r="AL973" i="7"/>
  <c r="AO973" i="7" s="1"/>
  <c r="AP973" i="7" s="1"/>
  <c r="AM973" i="7"/>
  <c r="AL974" i="7"/>
  <c r="AO974" i="7" s="1"/>
  <c r="AP974" i="7" s="1"/>
  <c r="AM974" i="7"/>
  <c r="AL975" i="7"/>
  <c r="AO975" i="7" s="1"/>
  <c r="AP975" i="7" s="1"/>
  <c r="AM975" i="7"/>
  <c r="AL976" i="7"/>
  <c r="AO976" i="7" s="1"/>
  <c r="AP976" i="7" s="1"/>
  <c r="AM976" i="7"/>
  <c r="AL977" i="7"/>
  <c r="AO977" i="7" s="1"/>
  <c r="AP977" i="7" s="1"/>
  <c r="AM977" i="7"/>
  <c r="AL978" i="7"/>
  <c r="AO978" i="7" s="1"/>
  <c r="AP978" i="7" s="1"/>
  <c r="AM978" i="7"/>
  <c r="AL979" i="7"/>
  <c r="AO979" i="7" s="1"/>
  <c r="AM979" i="7"/>
  <c r="AP979" i="7"/>
  <c r="AL980" i="7"/>
  <c r="AO980" i="7" s="1"/>
  <c r="AP980" i="7" s="1"/>
  <c r="AM980" i="7"/>
  <c r="AL981" i="7"/>
  <c r="AO981" i="7" s="1"/>
  <c r="AP981" i="7" s="1"/>
  <c r="AQ981" i="7" s="1"/>
  <c r="AM981" i="7"/>
  <c r="AL982" i="7"/>
  <c r="AO982" i="7" s="1"/>
  <c r="AP982" i="7" s="1"/>
  <c r="AQ982" i="7" s="1"/>
  <c r="AM982" i="7"/>
  <c r="AL983" i="7"/>
  <c r="AO983" i="7" s="1"/>
  <c r="AP983" i="7" s="1"/>
  <c r="AQ983" i="7" s="1"/>
  <c r="AM983" i="7"/>
  <c r="AL984" i="7"/>
  <c r="AO984" i="7" s="1"/>
  <c r="AP984" i="7" s="1"/>
  <c r="AM984" i="7"/>
  <c r="AL985" i="7"/>
  <c r="AM985" i="7"/>
  <c r="AO985" i="7"/>
  <c r="AP985" i="7" s="1"/>
  <c r="AL986" i="7"/>
  <c r="AO986" i="7" s="1"/>
  <c r="AP986" i="7" s="1"/>
  <c r="AM986" i="7"/>
  <c r="AL987" i="7"/>
  <c r="AO987" i="7" s="1"/>
  <c r="AP987" i="7" s="1"/>
  <c r="AM987" i="7"/>
  <c r="AL988" i="7"/>
  <c r="AO988" i="7" s="1"/>
  <c r="AP988" i="7" s="1"/>
  <c r="AM988" i="7"/>
  <c r="AL989" i="7"/>
  <c r="AO989" i="7" s="1"/>
  <c r="AP989" i="7" s="1"/>
  <c r="AM989" i="7"/>
  <c r="AL990" i="7"/>
  <c r="AO990" i="7" s="1"/>
  <c r="AP990" i="7" s="1"/>
  <c r="AM990" i="7"/>
  <c r="AL991" i="7"/>
  <c r="AO991" i="7" s="1"/>
  <c r="AP991" i="7" s="1"/>
  <c r="AM991" i="7"/>
  <c r="AL992" i="7"/>
  <c r="AO992" i="7" s="1"/>
  <c r="AP992" i="7" s="1"/>
  <c r="AM992" i="7"/>
  <c r="AL993" i="7"/>
  <c r="AO993" i="7" s="1"/>
  <c r="AP993" i="7" s="1"/>
  <c r="AM993" i="7"/>
  <c r="AL994" i="7"/>
  <c r="AO994" i="7" s="1"/>
  <c r="AP994" i="7" s="1"/>
  <c r="AM994" i="7"/>
  <c r="AL995" i="7"/>
  <c r="AO995" i="7" s="1"/>
  <c r="AP995" i="7" s="1"/>
  <c r="AQ995" i="7" s="1"/>
  <c r="AM995" i="7"/>
  <c r="AL996" i="7"/>
  <c r="AO996" i="7" s="1"/>
  <c r="AP996" i="7" s="1"/>
  <c r="AQ996" i="7" s="1"/>
  <c r="AM996" i="7"/>
  <c r="AL997" i="7"/>
  <c r="AO997" i="7" s="1"/>
  <c r="AP997" i="7" s="1"/>
  <c r="AQ997" i="7" s="1"/>
  <c r="AM997" i="7"/>
  <c r="AL998" i="7"/>
  <c r="AO998" i="7" s="1"/>
  <c r="AP998" i="7" s="1"/>
  <c r="AM998" i="7"/>
  <c r="AL999" i="7"/>
  <c r="AO999" i="7" s="1"/>
  <c r="AP999" i="7" s="1"/>
  <c r="AM999" i="7"/>
  <c r="AL1000" i="7"/>
  <c r="AO1000" i="7" s="1"/>
  <c r="AP1000" i="7" s="1"/>
  <c r="AM1000" i="7"/>
  <c r="AL1001" i="7"/>
  <c r="AO1001" i="7" s="1"/>
  <c r="AP1001" i="7" s="1"/>
  <c r="AM1001" i="7"/>
  <c r="AL1002" i="7"/>
  <c r="AO1002" i="7" s="1"/>
  <c r="AP1002" i="7" s="1"/>
  <c r="AM1002" i="7"/>
  <c r="AL1003" i="7"/>
  <c r="AO1003" i="7" s="1"/>
  <c r="AP1003" i="7" s="1"/>
  <c r="AM1003" i="7"/>
  <c r="AL1004" i="7"/>
  <c r="AO1004" i="7" s="1"/>
  <c r="AP1004" i="7" s="1"/>
  <c r="AM1004" i="7"/>
  <c r="AL1005" i="7"/>
  <c r="AO1005" i="7" s="1"/>
  <c r="AP1005" i="7" s="1"/>
  <c r="AM1005" i="7"/>
  <c r="AL1006" i="7"/>
  <c r="AO1006" i="7" s="1"/>
  <c r="AP1006" i="7" s="1"/>
  <c r="AM1006" i="7"/>
  <c r="AL1007" i="7"/>
  <c r="AO1007" i="7" s="1"/>
  <c r="AP1007" i="7" s="1"/>
  <c r="AM1007" i="7"/>
  <c r="AL1008" i="7"/>
  <c r="AO1008" i="7" s="1"/>
  <c r="AP1008" i="7" s="1"/>
  <c r="AM1008" i="7"/>
  <c r="AL1009" i="7"/>
  <c r="AO1009" i="7" s="1"/>
  <c r="AP1009" i="7" s="1"/>
  <c r="AQ1009" i="7" s="1"/>
  <c r="AM1009" i="7"/>
  <c r="AL1010" i="7"/>
  <c r="AO1010" i="7" s="1"/>
  <c r="AP1010" i="7" s="1"/>
  <c r="AQ1010" i="7" s="1"/>
  <c r="AM1010" i="7"/>
  <c r="AL1011" i="7"/>
  <c r="AM1011" i="7"/>
  <c r="AO1011" i="7"/>
  <c r="AP1011" i="7" s="1"/>
  <c r="AQ1011" i="7" s="1"/>
  <c r="AL1012" i="7"/>
  <c r="AO1012" i="7" s="1"/>
  <c r="AP1012" i="7" s="1"/>
  <c r="AM1012" i="7"/>
  <c r="AL1013" i="7"/>
  <c r="AO1013" i="7" s="1"/>
  <c r="AP1013" i="7" s="1"/>
  <c r="AM1013" i="7"/>
  <c r="AL1014" i="7"/>
  <c r="AM1014" i="7"/>
  <c r="AO1014" i="7"/>
  <c r="AP1014" i="7" s="1"/>
  <c r="AL1015" i="7"/>
  <c r="AO1015" i="7" s="1"/>
  <c r="AP1015" i="7" s="1"/>
  <c r="AM1015" i="7"/>
  <c r="AL1016" i="7"/>
  <c r="AO1016" i="7" s="1"/>
  <c r="AP1016" i="7" s="1"/>
  <c r="AM1016" i="7"/>
  <c r="AL1017" i="7"/>
  <c r="AM1017" i="7"/>
  <c r="AO1017" i="7"/>
  <c r="AP1017" i="7" s="1"/>
  <c r="AL1018" i="7"/>
  <c r="AO1018" i="7" s="1"/>
  <c r="AP1018" i="7" s="1"/>
  <c r="AM1018" i="7"/>
  <c r="AL1019" i="7"/>
  <c r="AO1019" i="7" s="1"/>
  <c r="AP1019" i="7" s="1"/>
  <c r="AM1019" i="7"/>
  <c r="AL1020" i="7"/>
  <c r="AO1020" i="7" s="1"/>
  <c r="AP1020" i="7" s="1"/>
  <c r="AM1020" i="7"/>
  <c r="AL1021" i="7"/>
  <c r="AO1021" i="7" s="1"/>
  <c r="AP1021" i="7" s="1"/>
  <c r="AM1021" i="7"/>
  <c r="AL1022" i="7"/>
  <c r="AO1022" i="7" s="1"/>
  <c r="AP1022" i="7" s="1"/>
  <c r="AM1022" i="7"/>
  <c r="AL1023" i="7"/>
  <c r="AO1023" i="7" s="1"/>
  <c r="AP1023" i="7" s="1"/>
  <c r="AQ1023" i="7" s="1"/>
  <c r="AM1023" i="7"/>
  <c r="AL1024" i="7"/>
  <c r="AO1024" i="7" s="1"/>
  <c r="AP1024" i="7" s="1"/>
  <c r="AQ1024" i="7" s="1"/>
  <c r="AM1024" i="7"/>
  <c r="AL1025" i="7"/>
  <c r="AO1025" i="7" s="1"/>
  <c r="AP1025" i="7" s="1"/>
  <c r="AM1025" i="7"/>
  <c r="AQ1025" i="7"/>
  <c r="AL1026" i="7"/>
  <c r="AO1026" i="7" s="1"/>
  <c r="AP1026" i="7" s="1"/>
  <c r="AQ1026" i="7" s="1"/>
  <c r="AM1026" i="7"/>
  <c r="AL1027" i="7"/>
  <c r="AO1027" i="7" s="1"/>
  <c r="AP1027" i="7" s="1"/>
  <c r="AM1027" i="7"/>
  <c r="AL1028" i="7"/>
  <c r="AO1028" i="7" s="1"/>
  <c r="AP1028" i="7" s="1"/>
  <c r="AM1028" i="7"/>
  <c r="AL1029" i="7"/>
  <c r="AM1029" i="7"/>
  <c r="AO1029" i="7"/>
  <c r="AP1029" i="7" s="1"/>
  <c r="AL1030" i="7"/>
  <c r="AO1030" i="7" s="1"/>
  <c r="AP1030" i="7" s="1"/>
  <c r="AM1030" i="7"/>
  <c r="AL1031" i="7"/>
  <c r="AO1031" i="7" s="1"/>
  <c r="AP1031" i="7" s="1"/>
  <c r="AM1031" i="7"/>
  <c r="AL1032" i="7"/>
  <c r="AO1032" i="7" s="1"/>
  <c r="AP1032" i="7" s="1"/>
  <c r="AM1032" i="7"/>
  <c r="AL1033" i="7"/>
  <c r="AO1033" i="7" s="1"/>
  <c r="AP1033" i="7" s="1"/>
  <c r="AM1033" i="7"/>
  <c r="AL1034" i="7"/>
  <c r="AO1034" i="7" s="1"/>
  <c r="AP1034" i="7" s="1"/>
  <c r="AM1034" i="7"/>
  <c r="AL1035" i="7"/>
  <c r="AO1035" i="7" s="1"/>
  <c r="AP1035" i="7" s="1"/>
  <c r="AM1035" i="7"/>
  <c r="AL1036" i="7"/>
  <c r="AO1036" i="7" s="1"/>
  <c r="AP1036" i="7" s="1"/>
  <c r="AM1036" i="7"/>
  <c r="AL1037" i="7"/>
  <c r="AO1037" i="7" s="1"/>
  <c r="AP1037" i="7" s="1"/>
  <c r="AQ1037" i="7" s="1"/>
  <c r="AM1037" i="7"/>
  <c r="AL1038" i="7"/>
  <c r="AO1038" i="7" s="1"/>
  <c r="AP1038" i="7" s="1"/>
  <c r="AQ1038" i="7" s="1"/>
  <c r="AM1038" i="7"/>
  <c r="AL1039" i="7"/>
  <c r="AO1039" i="7" s="1"/>
  <c r="AP1039" i="7" s="1"/>
  <c r="AQ1039" i="7" s="1"/>
  <c r="AM1039" i="7"/>
  <c r="AL1040" i="7"/>
  <c r="AO1040" i="7" s="1"/>
  <c r="AP1040" i="7" s="1"/>
  <c r="AQ1040" i="7" s="1"/>
  <c r="AM1040" i="7"/>
  <c r="AL1041" i="7"/>
  <c r="AM1041" i="7"/>
  <c r="AO1041" i="7"/>
  <c r="AP1041" i="7" s="1"/>
  <c r="AL1042" i="7"/>
  <c r="AO1042" i="7" s="1"/>
  <c r="AP1042" i="7" s="1"/>
  <c r="AM1042" i="7"/>
  <c r="AL1043" i="7"/>
  <c r="AM1043" i="7"/>
  <c r="AO1043" i="7"/>
  <c r="AP1043" i="7" s="1"/>
  <c r="AL1044" i="7"/>
  <c r="AO1044" i="7" s="1"/>
  <c r="AP1044" i="7" s="1"/>
  <c r="AM1044" i="7"/>
  <c r="AL1045" i="7"/>
  <c r="AO1045" i="7" s="1"/>
  <c r="AP1045" i="7" s="1"/>
  <c r="AM1045" i="7"/>
  <c r="AL1046" i="7"/>
  <c r="AM1046" i="7"/>
  <c r="AO1046" i="7"/>
  <c r="AP1046" i="7" s="1"/>
  <c r="AL1047" i="7"/>
  <c r="AO1047" i="7" s="1"/>
  <c r="AP1047" i="7" s="1"/>
  <c r="AM1047" i="7"/>
  <c r="AL1048" i="7"/>
  <c r="AO1048" i="7" s="1"/>
  <c r="AP1048" i="7" s="1"/>
  <c r="AM1048" i="7"/>
  <c r="AL1049" i="7"/>
  <c r="AO1049" i="7" s="1"/>
  <c r="AP1049" i="7" s="1"/>
  <c r="AM1049" i="7"/>
  <c r="AL1050" i="7"/>
  <c r="AO1050" i="7" s="1"/>
  <c r="AP1050" i="7" s="1"/>
  <c r="AQ1050" i="7" s="1"/>
  <c r="AM1050" i="7"/>
  <c r="AL1051" i="7"/>
  <c r="AO1051" i="7" s="1"/>
  <c r="AP1051" i="7" s="1"/>
  <c r="AQ1051" i="7" s="1"/>
  <c r="AM1051" i="7"/>
  <c r="AL1052" i="7"/>
  <c r="AO1052" i="7" s="1"/>
  <c r="AP1052" i="7" s="1"/>
  <c r="AQ1052" i="7" s="1"/>
  <c r="AM1052" i="7"/>
  <c r="AL1053" i="7"/>
  <c r="AO1053" i="7" s="1"/>
  <c r="AP1053" i="7" s="1"/>
  <c r="AQ1053" i="7" s="1"/>
  <c r="AM1053" i="7"/>
  <c r="AL1054" i="7"/>
  <c r="AO1054" i="7" s="1"/>
  <c r="AP1054" i="7" s="1"/>
  <c r="AQ1054" i="7" s="1"/>
  <c r="AM1054" i="7"/>
  <c r="AL1055" i="7"/>
  <c r="AO1055" i="7" s="1"/>
  <c r="AP1055" i="7" s="1"/>
  <c r="AM1055" i="7"/>
  <c r="AL1056" i="7"/>
  <c r="AM1056" i="7"/>
  <c r="AO1056" i="7"/>
  <c r="AP1056" i="7" s="1"/>
  <c r="AL1057" i="7"/>
  <c r="AM1057" i="7"/>
  <c r="AO1057" i="7"/>
  <c r="AP1057" i="7" s="1"/>
  <c r="AL1058" i="7"/>
  <c r="AO1058" i="7" s="1"/>
  <c r="AP1058" i="7" s="1"/>
  <c r="AM1058" i="7"/>
  <c r="AL1059" i="7"/>
  <c r="AM1059" i="7"/>
  <c r="AO1059" i="7"/>
  <c r="AP1059" i="7" s="1"/>
  <c r="AL1060" i="7"/>
  <c r="AO1060" i="7" s="1"/>
  <c r="AP1060" i="7" s="1"/>
  <c r="AQ1060" i="7" s="1"/>
  <c r="AM1060" i="7"/>
  <c r="AL1061" i="7"/>
  <c r="AO1061" i="7" s="1"/>
  <c r="AP1061" i="7" s="1"/>
  <c r="AM1061" i="7"/>
  <c r="AL1062" i="7"/>
  <c r="AO1062" i="7" s="1"/>
  <c r="AP1062" i="7" s="1"/>
  <c r="AM1062" i="7"/>
  <c r="AL1063" i="7"/>
  <c r="AO1063" i="7" s="1"/>
  <c r="AP1063" i="7" s="1"/>
  <c r="AM1063" i="7"/>
  <c r="AL1064" i="7"/>
  <c r="AO1064" i="7" s="1"/>
  <c r="AP1064" i="7" s="1"/>
  <c r="AQ1064" i="7" s="1"/>
  <c r="AM1064" i="7"/>
  <c r="AL1065" i="7"/>
  <c r="AO1065" i="7" s="1"/>
  <c r="AP1065" i="7" s="1"/>
  <c r="AQ1065" i="7" s="1"/>
  <c r="AM1065" i="7"/>
  <c r="AL1066" i="7"/>
  <c r="AO1066" i="7" s="1"/>
  <c r="AP1066" i="7" s="1"/>
  <c r="AQ1066" i="7" s="1"/>
  <c r="AM1066" i="7"/>
  <c r="AL1067" i="7"/>
  <c r="AO1067" i="7" s="1"/>
  <c r="AP1067" i="7" s="1"/>
  <c r="AQ1067" i="7" s="1"/>
  <c r="AM1067" i="7"/>
  <c r="AL1068" i="7"/>
  <c r="AO1068" i="7" s="1"/>
  <c r="AP1068" i="7" s="1"/>
  <c r="AM1068" i="7"/>
  <c r="AL1069" i="7"/>
  <c r="AO1069" i="7" s="1"/>
  <c r="AP1069" i="7" s="1"/>
  <c r="AM1069" i="7"/>
  <c r="AL1070" i="7"/>
  <c r="AO1070" i="7" s="1"/>
  <c r="AP1070" i="7" s="1"/>
  <c r="AM1070" i="7"/>
  <c r="AL1071" i="7"/>
  <c r="AO1071" i="7" s="1"/>
  <c r="AP1071" i="7" s="1"/>
  <c r="AM1071" i="7"/>
  <c r="AL1072" i="7"/>
  <c r="AO1072" i="7" s="1"/>
  <c r="AP1072" i="7" s="1"/>
  <c r="AM1072" i="7"/>
  <c r="AL1073" i="7"/>
  <c r="AO1073" i="7" s="1"/>
  <c r="AP1073" i="7" s="1"/>
  <c r="AM1073" i="7"/>
  <c r="AL1074" i="7"/>
  <c r="AO1074" i="7" s="1"/>
  <c r="AP1074" i="7" s="1"/>
  <c r="AM1074" i="7"/>
  <c r="AL1075" i="7"/>
  <c r="AM1075" i="7"/>
  <c r="AO1075" i="7"/>
  <c r="AP1075" i="7" s="1"/>
  <c r="AL1076" i="7"/>
  <c r="AO1076" i="7" s="1"/>
  <c r="AP1076" i="7" s="1"/>
  <c r="AM1076" i="7"/>
  <c r="AL1077" i="7"/>
  <c r="AO1077" i="7" s="1"/>
  <c r="AP1077" i="7" s="1"/>
  <c r="AM1077" i="7"/>
  <c r="AL1078" i="7"/>
  <c r="AO1078" i="7" s="1"/>
  <c r="AP1078" i="7" s="1"/>
  <c r="AM1078" i="7"/>
  <c r="AL1079" i="7"/>
  <c r="AO1079" i="7" s="1"/>
  <c r="AP1079" i="7" s="1"/>
  <c r="AQ1079" i="7" s="1"/>
  <c r="AM1079" i="7"/>
  <c r="AL1080" i="7"/>
  <c r="AO1080" i="7" s="1"/>
  <c r="AP1080" i="7" s="1"/>
  <c r="AQ1080" i="7" s="1"/>
  <c r="AM1080" i="7"/>
  <c r="AL1081" i="7"/>
  <c r="AO1081" i="7" s="1"/>
  <c r="AP1081" i="7" s="1"/>
  <c r="AQ1081" i="7" s="1"/>
  <c r="AM1081" i="7"/>
  <c r="AL1082" i="7"/>
  <c r="AO1082" i="7" s="1"/>
  <c r="AP1082" i="7" s="1"/>
  <c r="AQ1082" i="7" s="1"/>
  <c r="AM1082" i="7"/>
  <c r="AL1083" i="7"/>
  <c r="AO1083" i="7" s="1"/>
  <c r="AP1083" i="7" s="1"/>
  <c r="AM1083" i="7"/>
  <c r="AL1084" i="7"/>
  <c r="AO1084" i="7" s="1"/>
  <c r="AP1084" i="7" s="1"/>
  <c r="AM1084" i="7"/>
  <c r="AL1085" i="7"/>
  <c r="AO1085" i="7" s="1"/>
  <c r="AP1085" i="7" s="1"/>
  <c r="AM1085" i="7"/>
  <c r="AL1086" i="7"/>
  <c r="AO1086" i="7" s="1"/>
  <c r="AP1086" i="7" s="1"/>
  <c r="AM1086" i="7"/>
  <c r="AL1087" i="7"/>
  <c r="AO1087" i="7" s="1"/>
  <c r="AP1087" i="7" s="1"/>
  <c r="AM1087" i="7"/>
  <c r="AL1088" i="7"/>
  <c r="AO1088" i="7" s="1"/>
  <c r="AP1088" i="7" s="1"/>
  <c r="AM1088" i="7"/>
  <c r="AL1089" i="7"/>
  <c r="AO1089" i="7" s="1"/>
  <c r="AP1089" i="7" s="1"/>
  <c r="AM1089" i="7"/>
  <c r="AL1090" i="7"/>
  <c r="AO1090" i="7" s="1"/>
  <c r="AP1090" i="7" s="1"/>
  <c r="AM1090" i="7"/>
  <c r="AL1091" i="7"/>
  <c r="AO1091" i="7" s="1"/>
  <c r="AP1091" i="7" s="1"/>
  <c r="AM1091" i="7"/>
  <c r="AL1092" i="7"/>
  <c r="AO1092" i="7" s="1"/>
  <c r="AP1092" i="7" s="1"/>
  <c r="AM1092" i="7"/>
  <c r="AL1093" i="7"/>
  <c r="AO1093" i="7" s="1"/>
  <c r="AP1093" i="7" s="1"/>
  <c r="AQ1093" i="7" s="1"/>
  <c r="AM1093" i="7"/>
  <c r="AL1094" i="7"/>
  <c r="AO1094" i="7" s="1"/>
  <c r="AP1094" i="7" s="1"/>
  <c r="AQ1094" i="7" s="1"/>
  <c r="AM1094" i="7"/>
  <c r="AL1095" i="7"/>
  <c r="AO1095" i="7" s="1"/>
  <c r="AP1095" i="7" s="1"/>
  <c r="AQ1095" i="7" s="1"/>
  <c r="AM1095" i="7"/>
  <c r="AL1096" i="7"/>
  <c r="AO1096" i="7" s="1"/>
  <c r="AP1096" i="7" s="1"/>
  <c r="AQ1096" i="7" s="1"/>
  <c r="AM1096" i="7"/>
  <c r="AL1097" i="7"/>
  <c r="AO1097" i="7" s="1"/>
  <c r="AP1097" i="7" s="1"/>
  <c r="AM1097" i="7"/>
  <c r="AL1098" i="7"/>
  <c r="AO1098" i="7" s="1"/>
  <c r="AP1098" i="7" s="1"/>
  <c r="AM1098" i="7"/>
  <c r="AL1099" i="7"/>
  <c r="AO1099" i="7" s="1"/>
  <c r="AP1099" i="7" s="1"/>
  <c r="AM1099" i="7"/>
  <c r="AL1100" i="7"/>
  <c r="AO1100" i="7" s="1"/>
  <c r="AP1100" i="7" s="1"/>
  <c r="AM1100" i="7"/>
  <c r="AL1101" i="7"/>
  <c r="AO1101" i="7" s="1"/>
  <c r="AP1101" i="7" s="1"/>
  <c r="AM1101" i="7"/>
  <c r="AL1102" i="7"/>
  <c r="AM1102" i="7"/>
  <c r="AO1102" i="7"/>
  <c r="AP1102" i="7"/>
  <c r="AL1103" i="7"/>
  <c r="AO1103" i="7" s="1"/>
  <c r="AP1103" i="7" s="1"/>
  <c r="AM1103" i="7"/>
  <c r="AL1104" i="7"/>
  <c r="AO1104" i="7" s="1"/>
  <c r="AP1104" i="7" s="1"/>
  <c r="AM1104" i="7"/>
  <c r="AL1105" i="7"/>
  <c r="AO1105" i="7" s="1"/>
  <c r="AP1105" i="7" s="1"/>
  <c r="AM1105" i="7"/>
  <c r="AL1106" i="7"/>
  <c r="AO1106" i="7" s="1"/>
  <c r="AP1106" i="7" s="1"/>
  <c r="AQ1106" i="7" s="1"/>
  <c r="AM1106" i="7"/>
  <c r="AL1107" i="7"/>
  <c r="AO1107" i="7" s="1"/>
  <c r="AP1107" i="7" s="1"/>
  <c r="AQ1107" i="7" s="1"/>
  <c r="AM1107" i="7"/>
  <c r="AL1108" i="7"/>
  <c r="AO1108" i="7" s="1"/>
  <c r="AP1108" i="7" s="1"/>
  <c r="AQ1108" i="7" s="1"/>
  <c r="AM1108" i="7"/>
  <c r="AL1109" i="7"/>
  <c r="AO1109" i="7" s="1"/>
  <c r="AP1109" i="7" s="1"/>
  <c r="AQ1109" i="7" s="1"/>
  <c r="AM1109" i="7"/>
  <c r="AL1110" i="7"/>
  <c r="AM1110" i="7"/>
  <c r="AO1110" i="7"/>
  <c r="AP1110" i="7" s="1"/>
  <c r="AQ1110" i="7" s="1"/>
  <c r="AL1111" i="7"/>
  <c r="AO1111" i="7" s="1"/>
  <c r="AP1111" i="7" s="1"/>
  <c r="AM1111" i="7"/>
  <c r="AL1112" i="7"/>
  <c r="AO1112" i="7" s="1"/>
  <c r="AP1112" i="7" s="1"/>
  <c r="AQ1112" i="7" s="1"/>
  <c r="AM1112" i="7"/>
  <c r="AL1113" i="7"/>
  <c r="AO1113" i="7" s="1"/>
  <c r="AP1113" i="7" s="1"/>
  <c r="AM1113" i="7"/>
  <c r="AL1114" i="7"/>
  <c r="AO1114" i="7" s="1"/>
  <c r="AP1114" i="7" s="1"/>
  <c r="AM1114" i="7"/>
  <c r="AL1115" i="7"/>
  <c r="AO1115" i="7" s="1"/>
  <c r="AP1115" i="7" s="1"/>
  <c r="AM1115" i="7"/>
  <c r="AL1116" i="7"/>
  <c r="AM1116" i="7"/>
  <c r="AO1116" i="7"/>
  <c r="AP1116" i="7" s="1"/>
  <c r="AL1117" i="7"/>
  <c r="AO1117" i="7" s="1"/>
  <c r="AP1117" i="7" s="1"/>
  <c r="AM1117" i="7"/>
  <c r="AL1118" i="7"/>
  <c r="AO1118" i="7" s="1"/>
  <c r="AP1118" i="7" s="1"/>
  <c r="AM1118" i="7"/>
  <c r="AL1119" i="7"/>
  <c r="AO1119" i="7" s="1"/>
  <c r="AP1119" i="7" s="1"/>
  <c r="AM1119" i="7"/>
  <c r="AL1120" i="7"/>
  <c r="AO1120" i="7" s="1"/>
  <c r="AP1120" i="7" s="1"/>
  <c r="AM1120" i="7"/>
  <c r="AL1121" i="7"/>
  <c r="AO1121" i="7" s="1"/>
  <c r="AP1121" i="7" s="1"/>
  <c r="AQ1121" i="7" s="1"/>
  <c r="AM1121" i="7"/>
  <c r="AL1122" i="7"/>
  <c r="AO1122" i="7" s="1"/>
  <c r="AP1122" i="7" s="1"/>
  <c r="AQ1122" i="7" s="1"/>
  <c r="AM1122" i="7"/>
  <c r="AL1123" i="7"/>
  <c r="AO1123" i="7" s="1"/>
  <c r="AP1123" i="7" s="1"/>
  <c r="AQ1123" i="7" s="1"/>
  <c r="AM1123" i="7"/>
  <c r="AL1124" i="7"/>
  <c r="AM1124" i="7"/>
  <c r="AO1124" i="7"/>
  <c r="AP1124" i="7"/>
  <c r="AQ1124" i="7" s="1"/>
  <c r="AL1125" i="7"/>
  <c r="AO1125" i="7" s="1"/>
  <c r="AP1125" i="7" s="1"/>
  <c r="AM1125" i="7"/>
  <c r="AL1126" i="7"/>
  <c r="AO1126" i="7" s="1"/>
  <c r="AP1126" i="7" s="1"/>
  <c r="AM1126" i="7"/>
  <c r="AL1127" i="7"/>
  <c r="AO1127" i="7" s="1"/>
  <c r="AP1127" i="7" s="1"/>
  <c r="AM1127" i="7"/>
  <c r="AL1128" i="7"/>
  <c r="AO1128" i="7" s="1"/>
  <c r="AP1128" i="7" s="1"/>
  <c r="AM1128" i="7"/>
  <c r="AL1129" i="7"/>
  <c r="AO1129" i="7" s="1"/>
  <c r="AP1129" i="7" s="1"/>
  <c r="AM1129" i="7"/>
  <c r="AL1130" i="7"/>
  <c r="AO1130" i="7" s="1"/>
  <c r="AP1130" i="7" s="1"/>
  <c r="AM1130" i="7"/>
  <c r="AL1131" i="7"/>
  <c r="AO1131" i="7" s="1"/>
  <c r="AP1131" i="7" s="1"/>
  <c r="AM1131" i="7"/>
  <c r="AL1132" i="7"/>
  <c r="AO1132" i="7" s="1"/>
  <c r="AP1132" i="7" s="1"/>
  <c r="AM1132" i="7"/>
  <c r="AL1133" i="7"/>
  <c r="AO1133" i="7" s="1"/>
  <c r="AP1133" i="7" s="1"/>
  <c r="AM1133" i="7"/>
  <c r="AL1134" i="7"/>
  <c r="AO1134" i="7" s="1"/>
  <c r="AP1134" i="7" s="1"/>
  <c r="AM1134" i="7"/>
  <c r="AL1135" i="7"/>
  <c r="AO1135" i="7" s="1"/>
  <c r="AP1135" i="7" s="1"/>
  <c r="AQ1135" i="7" s="1"/>
  <c r="AM1135" i="7"/>
  <c r="AL1136" i="7"/>
  <c r="AO1136" i="7" s="1"/>
  <c r="AP1136" i="7" s="1"/>
  <c r="AQ1136" i="7" s="1"/>
  <c r="AM1136" i="7"/>
  <c r="AL1137" i="7"/>
  <c r="AO1137" i="7" s="1"/>
  <c r="AP1137" i="7" s="1"/>
  <c r="AQ1137" i="7" s="1"/>
  <c r="AM1137" i="7"/>
  <c r="AL1138" i="7"/>
  <c r="AO1138" i="7" s="1"/>
  <c r="AP1138" i="7" s="1"/>
  <c r="AM1138" i="7"/>
  <c r="AL1139" i="7"/>
  <c r="AO1139" i="7" s="1"/>
  <c r="AP1139" i="7" s="1"/>
  <c r="AM1139" i="7"/>
  <c r="AL1140" i="7"/>
  <c r="AO1140" i="7" s="1"/>
  <c r="AP1140" i="7" s="1"/>
  <c r="AQ1140" i="7" s="1"/>
  <c r="AM1140" i="7"/>
  <c r="AL1141" i="7"/>
  <c r="AO1141" i="7" s="1"/>
  <c r="AP1141" i="7" s="1"/>
  <c r="AM1141" i="7"/>
  <c r="AL1142" i="7"/>
  <c r="AO1142" i="7" s="1"/>
  <c r="AP1142" i="7" s="1"/>
  <c r="AM1142" i="7"/>
  <c r="AL1143" i="7"/>
  <c r="AO1143" i="7" s="1"/>
  <c r="AP1143" i="7" s="1"/>
  <c r="AM1143" i="7"/>
  <c r="AL1144" i="7"/>
  <c r="AO1144" i="7" s="1"/>
  <c r="AM1144" i="7"/>
  <c r="AP1144" i="7"/>
  <c r="AL1145" i="7"/>
  <c r="AO1145" i="7" s="1"/>
  <c r="AP1145" i="7" s="1"/>
  <c r="AM1145" i="7"/>
  <c r="AL1146" i="7"/>
  <c r="AO1146" i="7" s="1"/>
  <c r="AP1146" i="7" s="1"/>
  <c r="AM1146" i="7"/>
  <c r="AL1147" i="7"/>
  <c r="AO1147" i="7" s="1"/>
  <c r="AP1147" i="7" s="1"/>
  <c r="AM1147" i="7"/>
  <c r="AL1148" i="7"/>
  <c r="AO1148" i="7" s="1"/>
  <c r="AP1148" i="7" s="1"/>
  <c r="AM1148" i="7"/>
  <c r="AL1149" i="7"/>
  <c r="AO1149" i="7" s="1"/>
  <c r="AP1149" i="7" s="1"/>
  <c r="AQ1149" i="7" s="1"/>
  <c r="AM1149" i="7"/>
  <c r="AL1150" i="7"/>
  <c r="AO1150" i="7" s="1"/>
  <c r="AP1150" i="7" s="1"/>
  <c r="AQ1150" i="7" s="1"/>
  <c r="AM1150" i="7"/>
  <c r="AL1151" i="7"/>
  <c r="AO1151" i="7" s="1"/>
  <c r="AP1151" i="7" s="1"/>
  <c r="AQ1151" i="7" s="1"/>
  <c r="AM1151" i="7"/>
  <c r="AL1152" i="7"/>
  <c r="AO1152" i="7" s="1"/>
  <c r="AP1152" i="7" s="1"/>
  <c r="AQ1152" i="7" s="1"/>
  <c r="AM1152" i="7"/>
  <c r="AL1153" i="7"/>
  <c r="AO1153" i="7" s="1"/>
  <c r="AP1153" i="7" s="1"/>
  <c r="AM1153" i="7"/>
  <c r="AL1154" i="7"/>
  <c r="AO1154" i="7" s="1"/>
  <c r="AP1154" i="7" s="1"/>
  <c r="AM1154" i="7"/>
  <c r="AL1155" i="7"/>
  <c r="AM1155" i="7"/>
  <c r="AO1155" i="7"/>
  <c r="AP1155" i="7" s="1"/>
  <c r="AL1156" i="7"/>
  <c r="AM1156" i="7"/>
  <c r="AO1156" i="7"/>
  <c r="AP1156" i="7" s="1"/>
  <c r="AL1157" i="7"/>
  <c r="AO1157" i="7" s="1"/>
  <c r="AP1157" i="7" s="1"/>
  <c r="AM1157" i="7"/>
  <c r="AL1158" i="7"/>
  <c r="AO1158" i="7" s="1"/>
  <c r="AP1158" i="7" s="1"/>
  <c r="AM1158" i="7"/>
  <c r="AL1159" i="7"/>
  <c r="AO1159" i="7" s="1"/>
  <c r="AP1159" i="7" s="1"/>
  <c r="AM1159" i="7"/>
  <c r="AL1160" i="7"/>
  <c r="AO1160" i="7" s="1"/>
  <c r="AP1160" i="7" s="1"/>
  <c r="AM1160" i="7"/>
  <c r="AL1161" i="7"/>
  <c r="AO1161" i="7" s="1"/>
  <c r="AP1161" i="7" s="1"/>
  <c r="AM1161" i="7"/>
  <c r="AL1162" i="7"/>
  <c r="AO1162" i="7" s="1"/>
  <c r="AP1162" i="7" s="1"/>
  <c r="AM1162" i="7"/>
  <c r="AL1163" i="7"/>
  <c r="AO1163" i="7" s="1"/>
  <c r="AP1163" i="7" s="1"/>
  <c r="AQ1163" i="7" s="1"/>
  <c r="AM1163" i="7"/>
  <c r="AL1164" i="7"/>
  <c r="AO1164" i="7" s="1"/>
  <c r="AP1164" i="7" s="1"/>
  <c r="AQ1164" i="7" s="1"/>
  <c r="AM1164" i="7"/>
  <c r="AL1165" i="7"/>
  <c r="AO1165" i="7" s="1"/>
  <c r="AP1165" i="7" s="1"/>
  <c r="AQ1165" i="7" s="1"/>
  <c r="AM1165" i="7"/>
  <c r="AL1166" i="7"/>
  <c r="AO1166" i="7" s="1"/>
  <c r="AP1166" i="7" s="1"/>
  <c r="AQ1166" i="7" s="1"/>
  <c r="AM1166" i="7"/>
  <c r="AL1167" i="7"/>
  <c r="AO1167" i="7" s="1"/>
  <c r="AP1167" i="7" s="1"/>
  <c r="AM1167" i="7"/>
  <c r="AL1168" i="7"/>
  <c r="AO1168" i="7" s="1"/>
  <c r="AP1168" i="7" s="1"/>
  <c r="AM1168" i="7"/>
  <c r="AL1169" i="7"/>
  <c r="AO1169" i="7" s="1"/>
  <c r="AP1169" i="7" s="1"/>
  <c r="AM1169" i="7"/>
  <c r="AL1170" i="7"/>
  <c r="AO1170" i="7" s="1"/>
  <c r="AP1170" i="7" s="1"/>
  <c r="AM1170" i="7"/>
  <c r="AL1171" i="7"/>
  <c r="AO1171" i="7" s="1"/>
  <c r="AP1171" i="7" s="1"/>
  <c r="AM1171" i="7"/>
  <c r="AL1172" i="7"/>
  <c r="AO1172" i="7" s="1"/>
  <c r="AP1172" i="7" s="1"/>
  <c r="AM1172" i="7"/>
  <c r="AL1173" i="7"/>
  <c r="AO1173" i="7" s="1"/>
  <c r="AP1173" i="7" s="1"/>
  <c r="AM1173" i="7"/>
  <c r="AL1174" i="7"/>
  <c r="AO1174" i="7" s="1"/>
  <c r="AP1174" i="7" s="1"/>
  <c r="AM1174" i="7"/>
  <c r="AL1175" i="7"/>
  <c r="AO1175" i="7" s="1"/>
  <c r="AP1175" i="7" s="1"/>
  <c r="AM1175" i="7"/>
  <c r="AL1176" i="7"/>
  <c r="AM1176" i="7"/>
  <c r="AO1176" i="7"/>
  <c r="AP1176" i="7"/>
  <c r="AQ1176" i="7" s="1"/>
  <c r="AL1177" i="7"/>
  <c r="AO1177" i="7" s="1"/>
  <c r="AP1177" i="7" s="1"/>
  <c r="AQ1177" i="7" s="1"/>
  <c r="AM1177" i="7"/>
  <c r="AL1178" i="7"/>
  <c r="AO1178" i="7" s="1"/>
  <c r="AM1178" i="7"/>
  <c r="AP1178" i="7"/>
  <c r="AQ1178" i="7" s="1"/>
  <c r="AL1179" i="7"/>
  <c r="AO1179" i="7" s="1"/>
  <c r="AP1179" i="7" s="1"/>
  <c r="AQ1179" i="7" s="1"/>
  <c r="AM1179" i="7"/>
  <c r="AL1180" i="7"/>
  <c r="AO1180" i="7" s="1"/>
  <c r="AP1180" i="7" s="1"/>
  <c r="AQ1180" i="7" s="1"/>
  <c r="AM1180" i="7"/>
  <c r="AL1181" i="7"/>
  <c r="AO1181" i="7" s="1"/>
  <c r="AP1181" i="7" s="1"/>
  <c r="AM1181" i="7"/>
  <c r="AL1182" i="7"/>
  <c r="AO1182" i="7" s="1"/>
  <c r="AP1182" i="7" s="1"/>
  <c r="AM1182" i="7"/>
  <c r="AL1183" i="7"/>
  <c r="AO1183" i="7" s="1"/>
  <c r="AP1183" i="7" s="1"/>
  <c r="AM1183" i="7"/>
  <c r="AL1184" i="7"/>
  <c r="AO1184" i="7" s="1"/>
  <c r="AP1184" i="7" s="1"/>
  <c r="AM1184" i="7"/>
  <c r="AL1185" i="7"/>
  <c r="AO1185" i="7" s="1"/>
  <c r="AP1185" i="7" s="1"/>
  <c r="AM1185" i="7"/>
  <c r="AL1186" i="7"/>
  <c r="AM1186" i="7"/>
  <c r="AO1186" i="7"/>
  <c r="AP1186" i="7" s="1"/>
  <c r="AL1187" i="7"/>
  <c r="AO1187" i="7" s="1"/>
  <c r="AP1187" i="7" s="1"/>
  <c r="AQ1187" i="7" s="1"/>
  <c r="AM1187" i="7"/>
  <c r="AL1188" i="7"/>
  <c r="AO1188" i="7" s="1"/>
  <c r="AP1188" i="7" s="1"/>
  <c r="AM1188" i="7"/>
  <c r="AL1189" i="7"/>
  <c r="AO1189" i="7" s="1"/>
  <c r="AP1189" i="7" s="1"/>
  <c r="AM1189" i="7"/>
  <c r="AL1190" i="7"/>
  <c r="AO1190" i="7" s="1"/>
  <c r="AP1190" i="7" s="1"/>
  <c r="AM1190" i="7"/>
  <c r="AL1191" i="7"/>
  <c r="AO1191" i="7" s="1"/>
  <c r="AP1191" i="7" s="1"/>
  <c r="AQ1191" i="7" s="1"/>
  <c r="AM1191" i="7"/>
  <c r="AL1192" i="7"/>
  <c r="AO1192" i="7" s="1"/>
  <c r="AP1192" i="7" s="1"/>
  <c r="AQ1192" i="7" s="1"/>
  <c r="AM1192" i="7"/>
  <c r="AL1193" i="7"/>
  <c r="AO1193" i="7" s="1"/>
  <c r="AP1193" i="7" s="1"/>
  <c r="AQ1193" i="7" s="1"/>
  <c r="AM1193" i="7"/>
  <c r="AL1194" i="7"/>
  <c r="AM1194" i="7"/>
  <c r="AO1194" i="7"/>
  <c r="AP1194" i="7" s="1"/>
  <c r="AQ1194" i="7" s="1"/>
  <c r="AL1195" i="7"/>
  <c r="AO1195" i="7" s="1"/>
  <c r="AP1195" i="7" s="1"/>
  <c r="AM1195" i="7"/>
  <c r="AL1196" i="7"/>
  <c r="AO1196" i="7" s="1"/>
  <c r="AP1196" i="7" s="1"/>
  <c r="AM1196" i="7"/>
  <c r="AL1197" i="7"/>
  <c r="AO1197" i="7" s="1"/>
  <c r="AP1197" i="7" s="1"/>
  <c r="AM1197" i="7"/>
  <c r="AL1198" i="7"/>
  <c r="AM1198" i="7"/>
  <c r="AO1198" i="7"/>
  <c r="AP1198" i="7" s="1"/>
  <c r="AL1199" i="7"/>
  <c r="AO1199" i="7" s="1"/>
  <c r="AP1199" i="7" s="1"/>
  <c r="AM1199" i="7"/>
  <c r="AL1200" i="7"/>
  <c r="AO1200" i="7" s="1"/>
  <c r="AP1200" i="7" s="1"/>
  <c r="AM1200" i="7"/>
  <c r="AL1201" i="7"/>
  <c r="AO1201" i="7" s="1"/>
  <c r="AP1201" i="7" s="1"/>
  <c r="AM1201" i="7"/>
  <c r="AL1202" i="7"/>
  <c r="AO1202" i="7" s="1"/>
  <c r="AP1202" i="7" s="1"/>
  <c r="AM1202" i="7"/>
  <c r="AL1203" i="7"/>
  <c r="AO1203" i="7" s="1"/>
  <c r="AP1203" i="7" s="1"/>
  <c r="AM1203" i="7"/>
  <c r="AL1204" i="7"/>
  <c r="AO1204" i="7" s="1"/>
  <c r="AP1204" i="7" s="1"/>
  <c r="AM1204" i="7"/>
  <c r="AL1205" i="7"/>
  <c r="AO1205" i="7" s="1"/>
  <c r="AP1205" i="7" s="1"/>
  <c r="AQ1205" i="7" s="1"/>
  <c r="AM1205" i="7"/>
  <c r="AL1206" i="7"/>
  <c r="AO1206" i="7" s="1"/>
  <c r="AP1206" i="7" s="1"/>
  <c r="AQ1206" i="7" s="1"/>
  <c r="AM1206" i="7"/>
  <c r="AL1207" i="7"/>
  <c r="AO1207" i="7" s="1"/>
  <c r="AP1207" i="7" s="1"/>
  <c r="AQ1207" i="7" s="1"/>
  <c r="AM1207" i="7"/>
  <c r="AL1208" i="7"/>
  <c r="AO1208" i="7" s="1"/>
  <c r="AP1208" i="7" s="1"/>
  <c r="AM1208" i="7"/>
  <c r="AL1209" i="7"/>
  <c r="AO1209" i="7" s="1"/>
  <c r="AP1209" i="7" s="1"/>
  <c r="AM1209" i="7"/>
  <c r="AL1210" i="7"/>
  <c r="AO1210" i="7" s="1"/>
  <c r="AP1210" i="7" s="1"/>
  <c r="AM1210" i="7"/>
  <c r="AL1211" i="7"/>
  <c r="AO1211" i="7" s="1"/>
  <c r="AP1211" i="7" s="1"/>
  <c r="AM1211" i="7"/>
  <c r="AL1212" i="7"/>
  <c r="AM1212" i="7"/>
  <c r="AO1212" i="7"/>
  <c r="AP1212" i="7" s="1"/>
  <c r="AL1213" i="7"/>
  <c r="AO1213" i="7" s="1"/>
  <c r="AP1213" i="7" s="1"/>
  <c r="AM1213" i="7"/>
  <c r="AL1214" i="7"/>
  <c r="AM1214" i="7"/>
  <c r="AO1214" i="7"/>
  <c r="AP1214" i="7" s="1"/>
  <c r="AL1215" i="7"/>
  <c r="AO1215" i="7" s="1"/>
  <c r="AP1215" i="7" s="1"/>
  <c r="AM1215" i="7"/>
  <c r="AL1216" i="7"/>
  <c r="AO1216" i="7" s="1"/>
  <c r="AP1216" i="7" s="1"/>
  <c r="AM1216" i="7"/>
  <c r="AL1217" i="7"/>
  <c r="AO1217" i="7" s="1"/>
  <c r="AP1217" i="7" s="1"/>
  <c r="AM1217" i="7"/>
  <c r="AL1218" i="7"/>
  <c r="AO1218" i="7" s="1"/>
  <c r="AP1218" i="7" s="1"/>
  <c r="AM1218" i="7"/>
  <c r="AL1219" i="7"/>
  <c r="AO1219" i="7" s="1"/>
  <c r="AP1219" i="7" s="1"/>
  <c r="AQ1219" i="7" s="1"/>
  <c r="AM1219" i="7"/>
  <c r="AL1220" i="7"/>
  <c r="AO1220" i="7" s="1"/>
  <c r="AP1220" i="7" s="1"/>
  <c r="AQ1220" i="7" s="1"/>
  <c r="AM1220" i="7"/>
  <c r="AL1221" i="7"/>
  <c r="AO1221" i="7" s="1"/>
  <c r="AP1221" i="7" s="1"/>
  <c r="AQ1221" i="7" s="1"/>
  <c r="AM1221" i="7"/>
  <c r="AL1222" i="7"/>
  <c r="AO1222" i="7" s="1"/>
  <c r="AP1222" i="7" s="1"/>
  <c r="AM1222" i="7"/>
  <c r="AL1223" i="7"/>
  <c r="AO1223" i="7" s="1"/>
  <c r="AP1223" i="7" s="1"/>
  <c r="AM1223" i="7"/>
  <c r="AL1224" i="7"/>
  <c r="AO1224" i="7" s="1"/>
  <c r="AP1224" i="7" s="1"/>
  <c r="AM1224" i="7"/>
  <c r="AL1225" i="7"/>
  <c r="AO1225" i="7" s="1"/>
  <c r="AP1225" i="7" s="1"/>
  <c r="AM1225" i="7"/>
  <c r="AL1226" i="7"/>
  <c r="AO1226" i="7" s="1"/>
  <c r="AP1226" i="7" s="1"/>
  <c r="AM1226" i="7"/>
  <c r="AL1227" i="7"/>
  <c r="AO1227" i="7" s="1"/>
  <c r="AP1227" i="7" s="1"/>
  <c r="AM1227" i="7"/>
  <c r="AL1228" i="7"/>
  <c r="AM1228" i="7"/>
  <c r="AO1228" i="7"/>
  <c r="AP1228" i="7" s="1"/>
  <c r="AL1229" i="7"/>
  <c r="AO1229" i="7" s="1"/>
  <c r="AP1229" i="7" s="1"/>
  <c r="AM1229" i="7"/>
  <c r="AL1230" i="7"/>
  <c r="AO1230" i="7" s="1"/>
  <c r="AP1230" i="7" s="1"/>
  <c r="AM1230" i="7"/>
  <c r="AL1231" i="7"/>
  <c r="AO1231" i="7" s="1"/>
  <c r="AP1231" i="7" s="1"/>
  <c r="AM1231" i="7"/>
  <c r="AL1232" i="7"/>
  <c r="AO1232" i="7" s="1"/>
  <c r="AP1232" i="7" s="1"/>
  <c r="AM1232" i="7"/>
  <c r="AL1233" i="7"/>
  <c r="AO1233" i="7" s="1"/>
  <c r="AP1233" i="7" s="1"/>
  <c r="AQ1233" i="7" s="1"/>
  <c r="AM1233" i="7"/>
  <c r="AL1234" i="7"/>
  <c r="AO1234" i="7" s="1"/>
  <c r="AP1234" i="7" s="1"/>
  <c r="AQ1234" i="7" s="1"/>
  <c r="AM1234" i="7"/>
  <c r="AL1235" i="7"/>
  <c r="AO1235" i="7" s="1"/>
  <c r="AP1235" i="7" s="1"/>
  <c r="AQ1235" i="7" s="1"/>
  <c r="AM1235" i="7"/>
  <c r="AL1236" i="7"/>
  <c r="AO1236" i="7" s="1"/>
  <c r="AP1236" i="7" s="1"/>
  <c r="AQ1236" i="7" s="1"/>
  <c r="AM1236" i="7"/>
  <c r="AL1237" i="7"/>
  <c r="AO1237" i="7" s="1"/>
  <c r="AP1237" i="7" s="1"/>
  <c r="AM1237" i="7"/>
  <c r="AL1238" i="7"/>
  <c r="AO1238" i="7" s="1"/>
  <c r="AM1238" i="7"/>
  <c r="AP1238" i="7"/>
  <c r="AL1239" i="7"/>
  <c r="AO1239" i="7" s="1"/>
  <c r="AP1239" i="7" s="1"/>
  <c r="AM1239" i="7"/>
  <c r="AL1240" i="7"/>
  <c r="AO1240" i="7" s="1"/>
  <c r="AP1240" i="7" s="1"/>
  <c r="AM1240" i="7"/>
  <c r="AL1241" i="7"/>
  <c r="AO1241" i="7" s="1"/>
  <c r="AP1241" i="7" s="1"/>
  <c r="AM1241" i="7"/>
  <c r="AL1242" i="7"/>
  <c r="AO1242" i="7" s="1"/>
  <c r="AP1242" i="7" s="1"/>
  <c r="AM1242" i="7"/>
  <c r="AL1243" i="7"/>
  <c r="AO1243" i="7" s="1"/>
  <c r="AP1243" i="7" s="1"/>
  <c r="AM1243" i="7"/>
  <c r="AL1244" i="7"/>
  <c r="AO1244" i="7" s="1"/>
  <c r="AP1244" i="7" s="1"/>
  <c r="AM1244" i="7"/>
  <c r="AL1245" i="7"/>
  <c r="AO1245" i="7" s="1"/>
  <c r="AP1245" i="7" s="1"/>
  <c r="AM1245" i="7"/>
  <c r="AL1246" i="7"/>
  <c r="AO1246" i="7" s="1"/>
  <c r="AP1246" i="7" s="1"/>
  <c r="AM1246" i="7"/>
  <c r="AL1247" i="7"/>
  <c r="AO1247" i="7" s="1"/>
  <c r="AP1247" i="7" s="1"/>
  <c r="AQ1247" i="7" s="1"/>
  <c r="AM1247" i="7"/>
  <c r="AL1248" i="7"/>
  <c r="AO1248" i="7" s="1"/>
  <c r="AP1248" i="7" s="1"/>
  <c r="AQ1248" i="7" s="1"/>
  <c r="AM1248" i="7"/>
  <c r="AL1249" i="7"/>
  <c r="AO1249" i="7" s="1"/>
  <c r="AP1249" i="7" s="1"/>
  <c r="AQ1249" i="7" s="1"/>
  <c r="AM1249" i="7"/>
  <c r="AL1250" i="7"/>
  <c r="AO1250" i="7" s="1"/>
  <c r="AP1250" i="7" s="1"/>
  <c r="AM1250" i="7"/>
  <c r="AL1251" i="7"/>
  <c r="AO1251" i="7" s="1"/>
  <c r="AP1251" i="7" s="1"/>
  <c r="AM1251" i="7"/>
  <c r="AL1252" i="7"/>
  <c r="AO1252" i="7" s="1"/>
  <c r="AP1252" i="7" s="1"/>
  <c r="AM1252" i="7"/>
  <c r="AL1253" i="7"/>
  <c r="AO1253" i="7" s="1"/>
  <c r="AP1253" i="7" s="1"/>
  <c r="AM1253" i="7"/>
  <c r="AL1254" i="7"/>
  <c r="AO1254" i="7" s="1"/>
  <c r="AP1254" i="7" s="1"/>
  <c r="AM1254" i="7"/>
  <c r="AL1255" i="7"/>
  <c r="AO1255" i="7" s="1"/>
  <c r="AP1255" i="7" s="1"/>
  <c r="AM1255" i="7"/>
  <c r="AL1256" i="7"/>
  <c r="AO1256" i="7" s="1"/>
  <c r="AP1256" i="7" s="1"/>
  <c r="AM1256" i="7"/>
  <c r="AL1257" i="7"/>
  <c r="AM1257" i="7"/>
  <c r="AO1257" i="7"/>
  <c r="AP1257" i="7" s="1"/>
  <c r="AL1258" i="7"/>
  <c r="AO1258" i="7" s="1"/>
  <c r="AP1258" i="7" s="1"/>
  <c r="AM1258" i="7"/>
  <c r="AL1259" i="7"/>
  <c r="AO1259" i="7" s="1"/>
  <c r="AP1259" i="7" s="1"/>
  <c r="AM1259" i="7"/>
  <c r="AL1260" i="7"/>
  <c r="AO1260" i="7" s="1"/>
  <c r="AP1260" i="7" s="1"/>
  <c r="AQ1260" i="7" s="1"/>
  <c r="AM1260" i="7"/>
  <c r="AL1261" i="7"/>
  <c r="AO1261" i="7" s="1"/>
  <c r="AP1261" i="7" s="1"/>
  <c r="AQ1261" i="7" s="1"/>
  <c r="AM1261" i="7"/>
  <c r="AL1262" i="7"/>
  <c r="AO1262" i="7" s="1"/>
  <c r="AP1262" i="7" s="1"/>
  <c r="AQ1262" i="7" s="1"/>
  <c r="AM1262" i="7"/>
  <c r="AL1263" i="7"/>
  <c r="AO1263" i="7" s="1"/>
  <c r="AP1263" i="7" s="1"/>
  <c r="AQ1263" i="7" s="1"/>
  <c r="AM1263" i="7"/>
  <c r="AL1264" i="7"/>
  <c r="AO1264" i="7" s="1"/>
  <c r="AP1264" i="7" s="1"/>
  <c r="AM1264" i="7"/>
  <c r="AL1265" i="7"/>
  <c r="AO1265" i="7" s="1"/>
  <c r="AP1265" i="7" s="1"/>
  <c r="AM1265" i="7"/>
  <c r="AL1266" i="7"/>
  <c r="AO1266" i="7" s="1"/>
  <c r="AP1266" i="7" s="1"/>
  <c r="AM1266" i="7"/>
  <c r="AL1267" i="7"/>
  <c r="AO1267" i="7" s="1"/>
  <c r="AP1267" i="7" s="1"/>
  <c r="AM1267" i="7"/>
  <c r="AL1268" i="7"/>
  <c r="AO1268" i="7" s="1"/>
  <c r="AP1268" i="7" s="1"/>
  <c r="AM1268" i="7"/>
  <c r="AL1269" i="7"/>
  <c r="AO1269" i="7" s="1"/>
  <c r="AP1269" i="7" s="1"/>
  <c r="AM1269" i="7"/>
  <c r="AL1270" i="7"/>
  <c r="AO1270" i="7" s="1"/>
  <c r="AP1270" i="7" s="1"/>
  <c r="AQ1270" i="7" s="1"/>
  <c r="AM1270" i="7"/>
  <c r="AL1271" i="7"/>
  <c r="AO1271" i="7" s="1"/>
  <c r="AP1271" i="7" s="1"/>
  <c r="AM1271" i="7"/>
  <c r="AL1272" i="7"/>
  <c r="AO1272" i="7" s="1"/>
  <c r="AP1272" i="7" s="1"/>
  <c r="AM1272" i="7"/>
  <c r="AL1273" i="7"/>
  <c r="AO1273" i="7" s="1"/>
  <c r="AP1273" i="7" s="1"/>
  <c r="AM1273" i="7"/>
  <c r="AL1274" i="7"/>
  <c r="AO1274" i="7" s="1"/>
  <c r="AP1274" i="7" s="1"/>
  <c r="AM1274" i="7"/>
  <c r="AL1275" i="7"/>
  <c r="AO1275" i="7" s="1"/>
  <c r="AP1275" i="7" s="1"/>
  <c r="AQ1275" i="7" s="1"/>
  <c r="AM1275" i="7"/>
  <c r="AL1276" i="7"/>
  <c r="AO1276" i="7" s="1"/>
  <c r="AP1276" i="7" s="1"/>
  <c r="AQ1276" i="7" s="1"/>
  <c r="AM1276" i="7"/>
  <c r="AL1277" i="7"/>
  <c r="AO1277" i="7" s="1"/>
  <c r="AP1277" i="7" s="1"/>
  <c r="AQ1277" i="7" s="1"/>
  <c r="AM1277" i="7"/>
  <c r="AL1278" i="7"/>
  <c r="AO1278" i="7" s="1"/>
  <c r="AP1278" i="7" s="1"/>
  <c r="AQ1278" i="7" s="1"/>
  <c r="AM1278" i="7"/>
  <c r="AL1279" i="7"/>
  <c r="AO1279" i="7" s="1"/>
  <c r="AP1279" i="7" s="1"/>
  <c r="AM1279" i="7"/>
  <c r="AL1280" i="7"/>
  <c r="AO1280" i="7" s="1"/>
  <c r="AP1280" i="7" s="1"/>
  <c r="AM1280" i="7"/>
  <c r="AL1281" i="7"/>
  <c r="AO1281" i="7" s="1"/>
  <c r="AP1281" i="7" s="1"/>
  <c r="AM1281" i="7"/>
  <c r="AL1282" i="7"/>
  <c r="AO1282" i="7" s="1"/>
  <c r="AP1282" i="7" s="1"/>
  <c r="AM1282" i="7"/>
  <c r="AL1283" i="7"/>
  <c r="AO1283" i="7" s="1"/>
  <c r="AP1283" i="7" s="1"/>
  <c r="AM1283" i="7"/>
  <c r="AL1284" i="7"/>
  <c r="AO1284" i="7" s="1"/>
  <c r="AP1284" i="7" s="1"/>
  <c r="AM1284" i="7"/>
  <c r="AL1285" i="7"/>
  <c r="AO1285" i="7" s="1"/>
  <c r="AP1285" i="7" s="1"/>
  <c r="AM1285" i="7"/>
  <c r="AL1286" i="7"/>
  <c r="AO1286" i="7" s="1"/>
  <c r="AP1286" i="7" s="1"/>
  <c r="AM1286" i="7"/>
  <c r="AL1287" i="7"/>
  <c r="AO1287" i="7" s="1"/>
  <c r="AP1287" i="7" s="1"/>
  <c r="AM1287" i="7"/>
  <c r="AL1288" i="7"/>
  <c r="AO1288" i="7" s="1"/>
  <c r="AP1288" i="7" s="1"/>
  <c r="AM1288" i="7"/>
  <c r="AL1289" i="7"/>
  <c r="AO1289" i="7" s="1"/>
  <c r="AP1289" i="7" s="1"/>
  <c r="AM1289" i="7"/>
  <c r="AQ1289" i="7"/>
  <c r="AL1290" i="7"/>
  <c r="AO1290" i="7" s="1"/>
  <c r="AP1290" i="7" s="1"/>
  <c r="AQ1290" i="7" s="1"/>
  <c r="AM1290" i="7"/>
  <c r="AL1291" i="7"/>
  <c r="AO1291" i="7" s="1"/>
  <c r="AP1291" i="7" s="1"/>
  <c r="AQ1291" i="7" s="1"/>
  <c r="AM1291" i="7"/>
  <c r="AL1292" i="7"/>
  <c r="AO1292" i="7" s="1"/>
  <c r="AP1292" i="7" s="1"/>
  <c r="AQ1292" i="7" s="1"/>
  <c r="AM1292" i="7"/>
  <c r="AL1293" i="7"/>
  <c r="AO1293" i="7" s="1"/>
  <c r="AP1293" i="7" s="1"/>
  <c r="AM1293" i="7"/>
  <c r="AL1294" i="7"/>
  <c r="AO1294" i="7" s="1"/>
  <c r="AP1294" i="7" s="1"/>
  <c r="AM1294" i="7"/>
  <c r="AL1295" i="7"/>
  <c r="AO1295" i="7" s="1"/>
  <c r="AP1295" i="7" s="1"/>
  <c r="AM1295" i="7"/>
  <c r="AL1296" i="7"/>
  <c r="AO1296" i="7" s="1"/>
  <c r="AP1296" i="7" s="1"/>
  <c r="AM1296" i="7"/>
  <c r="AL1297" i="7"/>
  <c r="AO1297" i="7" s="1"/>
  <c r="AP1297" i="7" s="1"/>
  <c r="AM1297" i="7"/>
  <c r="AL1298" i="7"/>
  <c r="AO1298" i="7" s="1"/>
  <c r="AP1298" i="7" s="1"/>
  <c r="AM1298" i="7"/>
  <c r="AL1299" i="7"/>
  <c r="AO1299" i="7" s="1"/>
  <c r="AP1299" i="7" s="1"/>
  <c r="AM1299" i="7"/>
  <c r="AL1300" i="7"/>
  <c r="AO1300" i="7" s="1"/>
  <c r="AP1300" i="7" s="1"/>
  <c r="AM1300" i="7"/>
  <c r="AL1301" i="7"/>
  <c r="AO1301" i="7" s="1"/>
  <c r="AP1301" i="7" s="1"/>
  <c r="AM1301" i="7"/>
  <c r="AL1302" i="7"/>
  <c r="AO1302" i="7" s="1"/>
  <c r="AP1302" i="7" s="1"/>
  <c r="AM1302" i="7"/>
  <c r="AL1303" i="7"/>
  <c r="AO1303" i="7" s="1"/>
  <c r="AP1303" i="7" s="1"/>
  <c r="AQ1303" i="7" s="1"/>
  <c r="AM1303" i="7"/>
  <c r="AL1304" i="7"/>
  <c r="AO1304" i="7" s="1"/>
  <c r="AP1304" i="7" s="1"/>
  <c r="AQ1304" i="7" s="1"/>
  <c r="AM1304" i="7"/>
  <c r="AL1305" i="7"/>
  <c r="AO1305" i="7" s="1"/>
  <c r="AP1305" i="7" s="1"/>
  <c r="AQ1305" i="7" s="1"/>
  <c r="AM1305" i="7"/>
  <c r="AL1306" i="7"/>
  <c r="AO1306" i="7" s="1"/>
  <c r="AP1306" i="7" s="1"/>
  <c r="AQ1306" i="7" s="1"/>
  <c r="AM1306" i="7"/>
  <c r="AL1307" i="7"/>
  <c r="AO1307" i="7" s="1"/>
  <c r="AP1307" i="7" s="1"/>
  <c r="AM1307" i="7"/>
  <c r="AL1308" i="7"/>
  <c r="AO1308" i="7" s="1"/>
  <c r="AP1308" i="7" s="1"/>
  <c r="AM1308" i="7"/>
  <c r="AL1309" i="7"/>
  <c r="AO1309" i="7" s="1"/>
  <c r="AP1309" i="7" s="1"/>
  <c r="AM1309" i="7"/>
  <c r="AL1310" i="7"/>
  <c r="AO1310" i="7" s="1"/>
  <c r="AP1310" i="7" s="1"/>
  <c r="AM1310" i="7"/>
  <c r="AL1311" i="7"/>
  <c r="AO1311" i="7" s="1"/>
  <c r="AP1311" i="7" s="1"/>
  <c r="AM1311" i="7"/>
  <c r="AL1312" i="7"/>
  <c r="AO1312" i="7" s="1"/>
  <c r="AP1312" i="7" s="1"/>
  <c r="AM1312" i="7"/>
  <c r="AL1313" i="7"/>
  <c r="AO1313" i="7" s="1"/>
  <c r="AP1313" i="7" s="1"/>
  <c r="AM1313" i="7"/>
  <c r="AL1314" i="7"/>
  <c r="AO1314" i="7" s="1"/>
  <c r="AP1314" i="7" s="1"/>
  <c r="AM1314" i="7"/>
  <c r="AL1315" i="7"/>
  <c r="AO1315" i="7" s="1"/>
  <c r="AP1315" i="7" s="1"/>
  <c r="AM1315" i="7"/>
  <c r="AL1316" i="7"/>
  <c r="AO1316" i="7" s="1"/>
  <c r="AP1316" i="7" s="1"/>
  <c r="AM1316" i="7"/>
  <c r="AL1317" i="7"/>
  <c r="AO1317" i="7" s="1"/>
  <c r="AP1317" i="7" s="1"/>
  <c r="AM1317" i="7"/>
  <c r="AQ1317" i="7"/>
  <c r="AL1318" i="7"/>
  <c r="AO1318" i="7" s="1"/>
  <c r="AP1318" i="7" s="1"/>
  <c r="AQ1318" i="7" s="1"/>
  <c r="AM1318" i="7"/>
  <c r="AL1319" i="7"/>
  <c r="AO1319" i="7" s="1"/>
  <c r="AP1319" i="7" s="1"/>
  <c r="AQ1319" i="7" s="1"/>
  <c r="AM1319" i="7"/>
  <c r="AL1320" i="7"/>
  <c r="AO1320" i="7" s="1"/>
  <c r="AP1320" i="7" s="1"/>
  <c r="AQ1320" i="7" s="1"/>
  <c r="AM1320" i="7"/>
  <c r="AL1321" i="7"/>
  <c r="AO1321" i="7" s="1"/>
  <c r="AP1321" i="7" s="1"/>
  <c r="AM1321" i="7"/>
  <c r="AL1322" i="7"/>
  <c r="AO1322" i="7" s="1"/>
  <c r="AP1322" i="7" s="1"/>
  <c r="AM1322" i="7"/>
  <c r="AL1323" i="7"/>
  <c r="AO1323" i="7" s="1"/>
  <c r="AP1323" i="7" s="1"/>
  <c r="AM1323" i="7"/>
  <c r="AL1324" i="7"/>
  <c r="AO1324" i="7" s="1"/>
  <c r="AP1324" i="7" s="1"/>
  <c r="AM1324" i="7"/>
  <c r="AL1325" i="7"/>
  <c r="AO1325" i="7" s="1"/>
  <c r="AP1325" i="7" s="1"/>
  <c r="AM1325" i="7"/>
  <c r="AL1326" i="7"/>
  <c r="AM1326" i="7"/>
  <c r="AO1326" i="7"/>
  <c r="AP1326" i="7" s="1"/>
  <c r="AL1327" i="7"/>
  <c r="AO1327" i="7" s="1"/>
  <c r="AP1327" i="7" s="1"/>
  <c r="AM1327" i="7"/>
  <c r="AL1328" i="7"/>
  <c r="AO1328" i="7" s="1"/>
  <c r="AP1328" i="7" s="1"/>
  <c r="AM1328" i="7"/>
  <c r="AL1329" i="7"/>
  <c r="AO1329" i="7" s="1"/>
  <c r="AP1329" i="7" s="1"/>
  <c r="AM1329" i="7"/>
  <c r="AL1330" i="7"/>
  <c r="AO1330" i="7" s="1"/>
  <c r="AP1330" i="7" s="1"/>
  <c r="AM1330" i="7"/>
  <c r="AL1331" i="7"/>
  <c r="AO1331" i="7" s="1"/>
  <c r="AP1331" i="7" s="1"/>
  <c r="AQ1331" i="7" s="1"/>
  <c r="AM1331" i="7"/>
  <c r="AL1332" i="7"/>
  <c r="AO1332" i="7" s="1"/>
  <c r="AP1332" i="7" s="1"/>
  <c r="AQ1332" i="7" s="1"/>
  <c r="AM1332" i="7"/>
  <c r="AL1333" i="7"/>
  <c r="AO1333" i="7" s="1"/>
  <c r="AP1333" i="7" s="1"/>
  <c r="AQ1333" i="7" s="1"/>
  <c r="AM1333" i="7"/>
  <c r="AL1334" i="7"/>
  <c r="AO1334" i="7" s="1"/>
  <c r="AP1334" i="7" s="1"/>
  <c r="AM1334" i="7"/>
  <c r="AL1335" i="7"/>
  <c r="AO1335" i="7" s="1"/>
  <c r="AP1335" i="7" s="1"/>
  <c r="AM1335" i="7"/>
  <c r="AL1336" i="7"/>
  <c r="AO1336" i="7" s="1"/>
  <c r="AP1336" i="7" s="1"/>
  <c r="AM1336" i="7"/>
  <c r="AL1337" i="7"/>
  <c r="AO1337" i="7" s="1"/>
  <c r="AP1337" i="7" s="1"/>
  <c r="AM1337" i="7"/>
  <c r="AL1338" i="7"/>
  <c r="AO1338" i="7" s="1"/>
  <c r="AP1338" i="7" s="1"/>
  <c r="AM1338" i="7"/>
  <c r="AL1339" i="7"/>
  <c r="AO1339" i="7" s="1"/>
  <c r="AP1339" i="7" s="1"/>
  <c r="AM1339" i="7"/>
  <c r="AL1340" i="7"/>
  <c r="AM1340" i="7"/>
  <c r="AO1340" i="7"/>
  <c r="AP1340" i="7" s="1"/>
  <c r="AL1341" i="7"/>
  <c r="AO1341" i="7" s="1"/>
  <c r="AP1341" i="7" s="1"/>
  <c r="AM1341" i="7"/>
  <c r="AL1342" i="7"/>
  <c r="AO1342" i="7" s="1"/>
  <c r="AP1342" i="7" s="1"/>
  <c r="AM1342" i="7"/>
  <c r="AL1343" i="7"/>
  <c r="AO1343" i="7" s="1"/>
  <c r="AP1343" i="7" s="1"/>
  <c r="AM1343" i="7"/>
  <c r="AL1344" i="7"/>
  <c r="AM1344" i="7"/>
  <c r="AO1344" i="7"/>
  <c r="AP1344" i="7" s="1"/>
  <c r="AQ1344" i="7" s="1"/>
  <c r="AL1345" i="7"/>
  <c r="AO1345" i="7" s="1"/>
  <c r="AP1345" i="7" s="1"/>
  <c r="AQ1345" i="7" s="1"/>
  <c r="AM1345" i="7"/>
  <c r="AL1346" i="7"/>
  <c r="AO1346" i="7" s="1"/>
  <c r="AP1346" i="7" s="1"/>
  <c r="AQ1346" i="7" s="1"/>
  <c r="AM1346" i="7"/>
  <c r="AL1347" i="7"/>
  <c r="AO1347" i="7" s="1"/>
  <c r="AP1347" i="7" s="1"/>
  <c r="AQ1347" i="7" s="1"/>
  <c r="AM1347" i="7"/>
  <c r="AL1348" i="7"/>
  <c r="AO1348" i="7" s="1"/>
  <c r="AP1348" i="7" s="1"/>
  <c r="AQ1348" i="7" s="1"/>
  <c r="AM1348" i="7"/>
  <c r="AL1349" i="7"/>
  <c r="AO1349" i="7" s="1"/>
  <c r="AP1349" i="7" s="1"/>
  <c r="AM1349" i="7"/>
  <c r="AL1350" i="7"/>
  <c r="AM1350" i="7"/>
  <c r="AO1350" i="7"/>
  <c r="AP1350" i="7" s="1"/>
  <c r="AL1351" i="7"/>
  <c r="AO1351" i="7" s="1"/>
  <c r="AP1351" i="7" s="1"/>
  <c r="AM1351" i="7"/>
  <c r="AL1352" i="7"/>
  <c r="AO1352" i="7" s="1"/>
  <c r="AP1352" i="7" s="1"/>
  <c r="AM1352" i="7"/>
  <c r="AL1353" i="7"/>
  <c r="AO1353" i="7" s="1"/>
  <c r="AP1353" i="7" s="1"/>
  <c r="AM1353" i="7"/>
  <c r="AL1354" i="7"/>
  <c r="AO1354" i="7" s="1"/>
  <c r="AP1354" i="7" s="1"/>
  <c r="AM1354" i="7"/>
  <c r="AL1355" i="7"/>
  <c r="AO1355" i="7" s="1"/>
  <c r="AP1355" i="7" s="1"/>
  <c r="AM1355" i="7"/>
  <c r="AL1356" i="7"/>
  <c r="AO1356" i="7" s="1"/>
  <c r="AP1356" i="7" s="1"/>
  <c r="AM1356" i="7"/>
  <c r="AL1357" i="7"/>
  <c r="AO1357" i="7" s="1"/>
  <c r="AP1357" i="7" s="1"/>
  <c r="AM1357" i="7"/>
  <c r="AL1358" i="7"/>
  <c r="AM1358" i="7"/>
  <c r="AO1358" i="7"/>
  <c r="AP1358" i="7" s="1"/>
  <c r="AQ1358" i="7" s="1"/>
  <c r="AL1359" i="7"/>
  <c r="AO1359" i="7" s="1"/>
  <c r="AP1359" i="7" s="1"/>
  <c r="AQ1359" i="7" s="1"/>
  <c r="AM1359" i="7"/>
  <c r="AL1360" i="7"/>
  <c r="AM1360" i="7"/>
  <c r="AO1360" i="7"/>
  <c r="AP1360" i="7" s="1"/>
  <c r="AQ1360" i="7" s="1"/>
  <c r="AL1361" i="7"/>
  <c r="AO1361" i="7" s="1"/>
  <c r="AP1361" i="7" s="1"/>
  <c r="AQ1361" i="7" s="1"/>
  <c r="AM1361" i="7"/>
  <c r="AL1362" i="7"/>
  <c r="AO1362" i="7" s="1"/>
  <c r="AP1362" i="7" s="1"/>
  <c r="AM1362" i="7"/>
  <c r="AL1363" i="7"/>
  <c r="AO1363" i="7" s="1"/>
  <c r="AP1363" i="7" s="1"/>
  <c r="AM1363" i="7"/>
  <c r="AL1364" i="7"/>
  <c r="AO1364" i="7" s="1"/>
  <c r="AP1364" i="7" s="1"/>
  <c r="AM1364" i="7"/>
  <c r="AL1365" i="7"/>
  <c r="AO1365" i="7" s="1"/>
  <c r="AP1365" i="7" s="1"/>
  <c r="AM1365" i="7"/>
  <c r="AL1366" i="7"/>
  <c r="AO1366" i="7" s="1"/>
  <c r="AP1366" i="7" s="1"/>
  <c r="AM1366" i="7"/>
  <c r="AL1367" i="7"/>
  <c r="AO1367" i="7" s="1"/>
  <c r="AP1367" i="7" s="1"/>
  <c r="AM1367" i="7"/>
  <c r="AL1368" i="7"/>
  <c r="AO1368" i="7" s="1"/>
  <c r="AP1368" i="7" s="1"/>
  <c r="AM1368" i="7"/>
  <c r="AL1369" i="7"/>
  <c r="AO1369" i="7" s="1"/>
  <c r="AP1369" i="7" s="1"/>
  <c r="AM1369" i="7"/>
  <c r="AL1370" i="7"/>
  <c r="AO1370" i="7" s="1"/>
  <c r="AP1370" i="7" s="1"/>
  <c r="AM1370" i="7"/>
  <c r="AL1371" i="7"/>
  <c r="AO1371" i="7" s="1"/>
  <c r="AM1371" i="7"/>
  <c r="AP1371" i="7"/>
  <c r="AL1372" i="7"/>
  <c r="AO1372" i="7" s="1"/>
  <c r="AP1372" i="7" s="1"/>
  <c r="AM1372" i="7"/>
  <c r="AL1373" i="7"/>
  <c r="AO1373" i="7" s="1"/>
  <c r="AP1373" i="7" s="1"/>
  <c r="AQ1373" i="7" s="1"/>
  <c r="AM1373" i="7"/>
  <c r="AL1374" i="7"/>
  <c r="AM1374" i="7"/>
  <c r="AO1374" i="7"/>
  <c r="AP1374" i="7"/>
  <c r="AQ1374" i="7" s="1"/>
  <c r="AL1375" i="7"/>
  <c r="AO1375" i="7" s="1"/>
  <c r="AP1375" i="7" s="1"/>
  <c r="AQ1375" i="7" s="1"/>
  <c r="AM1375" i="7"/>
  <c r="AL1376" i="7"/>
  <c r="AO1376" i="7" s="1"/>
  <c r="AM1376" i="7"/>
  <c r="AP1376" i="7"/>
  <c r="AQ1376" i="7" s="1"/>
  <c r="AL1377" i="7"/>
  <c r="AO1377" i="7" s="1"/>
  <c r="AP1377" i="7" s="1"/>
  <c r="AQ1377" i="7" s="1"/>
  <c r="AM1377" i="7"/>
  <c r="AL1378" i="7"/>
  <c r="AO1378" i="7" s="1"/>
  <c r="AP1378" i="7" s="1"/>
  <c r="AM1378" i="7"/>
  <c r="AL1379" i="7"/>
  <c r="AO1379" i="7" s="1"/>
  <c r="AP1379" i="7" s="1"/>
  <c r="AM1379" i="7"/>
  <c r="AL1380" i="7"/>
  <c r="AO1380" i="7" s="1"/>
  <c r="AP1380" i="7" s="1"/>
  <c r="AM1380" i="7"/>
  <c r="AL1381" i="7"/>
  <c r="AO1381" i="7" s="1"/>
  <c r="AP1381" i="7" s="1"/>
  <c r="AM1381" i="7"/>
  <c r="AL1382" i="7"/>
  <c r="AM1382" i="7"/>
  <c r="AO1382" i="7"/>
  <c r="AP1382" i="7" s="1"/>
  <c r="AL1383" i="7"/>
  <c r="AO1383" i="7" s="1"/>
  <c r="AP1383" i="7" s="1"/>
  <c r="AM1383" i="7"/>
  <c r="AL1384" i="7"/>
  <c r="AO1384" i="7" s="1"/>
  <c r="AP1384" i="7" s="1"/>
  <c r="AM1384" i="7"/>
  <c r="AL1385" i="7"/>
  <c r="AO1385" i="7" s="1"/>
  <c r="AP1385" i="7" s="1"/>
  <c r="AM1385" i="7"/>
  <c r="AL1386" i="7"/>
  <c r="AO1386" i="7" s="1"/>
  <c r="AP1386" i="7" s="1"/>
  <c r="AQ1386" i="7" s="1"/>
  <c r="AM1386" i="7"/>
  <c r="AL1387" i="7"/>
  <c r="AO1387" i="7" s="1"/>
  <c r="AP1387" i="7" s="1"/>
  <c r="AQ1387" i="7" s="1"/>
  <c r="AM1387" i="7"/>
  <c r="AL1388" i="7"/>
  <c r="AO1388" i="7" s="1"/>
  <c r="AP1388" i="7" s="1"/>
  <c r="AQ1388" i="7" s="1"/>
  <c r="AM1388" i="7"/>
  <c r="AL1389" i="7"/>
  <c r="AO1389" i="7" s="1"/>
  <c r="AP1389" i="7" s="1"/>
  <c r="AQ1389" i="7" s="1"/>
  <c r="AM1389" i="7"/>
  <c r="AL1390" i="7"/>
  <c r="AO1390" i="7" s="1"/>
  <c r="AP1390" i="7" s="1"/>
  <c r="AM1390" i="7"/>
  <c r="AL1391" i="7"/>
  <c r="AO1391" i="7" s="1"/>
  <c r="AP1391" i="7" s="1"/>
  <c r="AM1391" i="7"/>
  <c r="AL1392" i="7"/>
  <c r="AO1392" i="7" s="1"/>
  <c r="AP1392" i="7" s="1"/>
  <c r="AM1392" i="7"/>
  <c r="AL1393" i="7"/>
  <c r="AO1393" i="7" s="1"/>
  <c r="AP1393" i="7" s="1"/>
  <c r="AM1393" i="7"/>
  <c r="AL1394" i="7"/>
  <c r="AO1394" i="7" s="1"/>
  <c r="AP1394" i="7" s="1"/>
  <c r="AM1394" i="7"/>
  <c r="AL1395" i="7"/>
  <c r="AO1395" i="7" s="1"/>
  <c r="AP1395" i="7" s="1"/>
  <c r="AM1395" i="7"/>
  <c r="AL1396" i="7"/>
  <c r="AO1396" i="7" s="1"/>
  <c r="AP1396" i="7" s="1"/>
  <c r="AM1396" i="7"/>
  <c r="AL1397" i="7"/>
  <c r="AO1397" i="7" s="1"/>
  <c r="AP1397" i="7" s="1"/>
  <c r="AM1397" i="7"/>
  <c r="AL1398" i="7"/>
  <c r="AO1398" i="7" s="1"/>
  <c r="AP1398" i="7" s="1"/>
  <c r="AM1398" i="7"/>
  <c r="AL1399" i="7"/>
  <c r="AO1399" i="7" s="1"/>
  <c r="AM1399" i="7"/>
  <c r="AP1399" i="7"/>
  <c r="AL1400" i="7"/>
  <c r="AO1400" i="7" s="1"/>
  <c r="AP1400" i="7" s="1"/>
  <c r="AM1400" i="7"/>
  <c r="AL1401" i="7"/>
  <c r="AO1401" i="7" s="1"/>
  <c r="AP1401" i="7" s="1"/>
  <c r="AQ1401" i="7" s="1"/>
  <c r="AM1401" i="7"/>
  <c r="AL1402" i="7"/>
  <c r="AO1402" i="7" s="1"/>
  <c r="AP1402" i="7" s="1"/>
  <c r="AQ1402" i="7" s="1"/>
  <c r="AM1402" i="7"/>
  <c r="AL1403" i="7"/>
  <c r="AM1403" i="7"/>
  <c r="AO1403" i="7"/>
  <c r="AP1403" i="7" s="1"/>
  <c r="AQ1403" i="7" s="1"/>
  <c r="AL1404" i="7"/>
  <c r="AO1404" i="7" s="1"/>
  <c r="AP1404" i="7" s="1"/>
  <c r="AM1404" i="7"/>
  <c r="AL1405" i="7"/>
  <c r="AM1405" i="7"/>
  <c r="AO1405" i="7"/>
  <c r="AP1405" i="7" s="1"/>
  <c r="AL1406" i="7"/>
  <c r="AO1406" i="7" s="1"/>
  <c r="AP1406" i="7" s="1"/>
  <c r="AM1406" i="7"/>
  <c r="AL1407" i="7"/>
  <c r="AO1407" i="7" s="1"/>
  <c r="AP1407" i="7" s="1"/>
  <c r="AM1407" i="7"/>
  <c r="AL1408" i="7"/>
  <c r="AM1408" i="7"/>
  <c r="AO1408" i="7"/>
  <c r="AP1408" i="7" s="1"/>
  <c r="AL1409" i="7"/>
  <c r="AO1409" i="7" s="1"/>
  <c r="AP1409" i="7" s="1"/>
  <c r="AQ1409" i="7" s="1"/>
  <c r="AM1409" i="7"/>
  <c r="AL1410" i="7"/>
  <c r="AM1410" i="7"/>
  <c r="AO1410" i="7"/>
  <c r="AP1410" i="7"/>
  <c r="AL1411" i="7"/>
  <c r="AO1411" i="7" s="1"/>
  <c r="AP1411" i="7" s="1"/>
  <c r="AM1411" i="7"/>
  <c r="AL1412" i="7"/>
  <c r="AO1412" i="7" s="1"/>
  <c r="AP1412" i="7" s="1"/>
  <c r="AM1412" i="7"/>
  <c r="AL1413" i="7"/>
  <c r="AM1413" i="7"/>
  <c r="AO1413" i="7"/>
  <c r="AP1413" i="7" s="1"/>
  <c r="AL1414" i="7"/>
  <c r="AO1414" i="7" s="1"/>
  <c r="AP1414" i="7" s="1"/>
  <c r="AQ1414" i="7" s="1"/>
  <c r="AM1414" i="7"/>
  <c r="AL1415" i="7"/>
  <c r="AO1415" i="7" s="1"/>
  <c r="AP1415" i="7" s="1"/>
  <c r="AQ1415" i="7" s="1"/>
  <c r="AM1415" i="7"/>
  <c r="AL1416" i="7"/>
  <c r="AO1416" i="7" s="1"/>
  <c r="AP1416" i="7" s="1"/>
  <c r="AQ1416" i="7" s="1"/>
  <c r="AM1416" i="7"/>
  <c r="AL1417" i="7"/>
  <c r="AO1417" i="7" s="1"/>
  <c r="AP1417" i="7" s="1"/>
  <c r="AQ1417" i="7" s="1"/>
  <c r="AM1417" i="7"/>
  <c r="AL1418" i="7"/>
  <c r="AO1418" i="7" s="1"/>
  <c r="AP1418" i="7" s="1"/>
  <c r="AQ1418" i="7" s="1"/>
  <c r="AM1418" i="7"/>
  <c r="AL1419" i="7"/>
  <c r="AO1419" i="7" s="1"/>
  <c r="AP1419" i="7" s="1"/>
  <c r="AM1419" i="7"/>
  <c r="AL1420" i="7"/>
  <c r="AO1420" i="7" s="1"/>
  <c r="AP1420" i="7" s="1"/>
  <c r="AM1420" i="7"/>
  <c r="AL1421" i="7"/>
  <c r="AO1421" i="7" s="1"/>
  <c r="AP1421" i="7" s="1"/>
  <c r="AM1421" i="7"/>
  <c r="AL1422" i="7"/>
  <c r="AO1422" i="7" s="1"/>
  <c r="AP1422" i="7" s="1"/>
  <c r="AM1422" i="7"/>
  <c r="AL1423" i="7"/>
  <c r="AO1423" i="7" s="1"/>
  <c r="AP1423" i="7" s="1"/>
  <c r="AQ1423" i="7" s="1"/>
  <c r="AM1423" i="7"/>
  <c r="AL1424" i="7"/>
  <c r="AO1424" i="7" s="1"/>
  <c r="AP1424" i="7" s="1"/>
  <c r="AM1424" i="7"/>
  <c r="AL1425" i="7"/>
  <c r="AO1425" i="7" s="1"/>
  <c r="AP1425" i="7" s="1"/>
  <c r="AM1425" i="7"/>
  <c r="AL1426" i="7"/>
  <c r="AO1426" i="7" s="1"/>
  <c r="AP1426" i="7" s="1"/>
  <c r="AM1426" i="7"/>
  <c r="AL1427" i="7"/>
  <c r="AO1427" i="7" s="1"/>
  <c r="AP1427" i="7" s="1"/>
  <c r="AM1427" i="7"/>
  <c r="AL1428" i="7"/>
  <c r="AO1428" i="7" s="1"/>
  <c r="AP1428" i="7" s="1"/>
  <c r="AM1428" i="7"/>
  <c r="AL1429" i="7"/>
  <c r="AO1429" i="7" s="1"/>
  <c r="AP1429" i="7" s="1"/>
  <c r="AQ1429" i="7" s="1"/>
  <c r="AM1429" i="7"/>
  <c r="AL1430" i="7"/>
  <c r="AO1430" i="7" s="1"/>
  <c r="AP1430" i="7" s="1"/>
  <c r="AQ1430" i="7" s="1"/>
  <c r="AM1430" i="7"/>
  <c r="AL1431" i="7"/>
  <c r="AO1431" i="7" s="1"/>
  <c r="AP1431" i="7" s="1"/>
  <c r="AQ1431" i="7" s="1"/>
  <c r="AM1431" i="7"/>
  <c r="AL1432" i="7"/>
  <c r="AO1432" i="7" s="1"/>
  <c r="AP1432" i="7" s="1"/>
  <c r="AQ1432" i="7" s="1"/>
  <c r="AM1432" i="7"/>
  <c r="AL1433" i="7"/>
  <c r="AO1433" i="7" s="1"/>
  <c r="AP1433" i="7" s="1"/>
  <c r="AM1433" i="7"/>
  <c r="AL1434" i="7"/>
  <c r="AM1434" i="7"/>
  <c r="AO1434" i="7"/>
  <c r="AP1434" i="7" s="1"/>
  <c r="AL1435" i="7"/>
  <c r="AM1435" i="7"/>
  <c r="AO1435" i="7"/>
  <c r="AP1435" i="7" s="1"/>
  <c r="AL1436" i="7"/>
  <c r="AO1436" i="7" s="1"/>
  <c r="AP1436" i="7" s="1"/>
  <c r="AM1436" i="7"/>
  <c r="AL1437" i="7"/>
  <c r="AO1437" i="7" s="1"/>
  <c r="AP1437" i="7" s="1"/>
  <c r="AM1437" i="7"/>
  <c r="AL1438" i="7"/>
  <c r="AO1438" i="7" s="1"/>
  <c r="AP1438" i="7" s="1"/>
  <c r="AM1438" i="7"/>
  <c r="AL1439" i="7"/>
  <c r="AM1439" i="7"/>
  <c r="AO1439" i="7"/>
  <c r="AP1439" i="7" s="1"/>
  <c r="AL1440" i="7"/>
  <c r="AO1440" i="7" s="1"/>
  <c r="AP1440" i="7" s="1"/>
  <c r="AM1440" i="7"/>
  <c r="AL1441" i="7"/>
  <c r="AO1441" i="7" s="1"/>
  <c r="AP1441" i="7" s="1"/>
  <c r="AM1441" i="7"/>
  <c r="AL1442" i="7"/>
  <c r="AM1442" i="7"/>
  <c r="AO1442" i="7"/>
  <c r="AP1442" i="7"/>
  <c r="AQ1442" i="7" s="1"/>
  <c r="AL1443" i="7"/>
  <c r="AO1443" i="7" s="1"/>
  <c r="AP1443" i="7" s="1"/>
  <c r="AQ1443" i="7" s="1"/>
  <c r="AM1443" i="7"/>
  <c r="AL1444" i="7"/>
  <c r="AM1444" i="7"/>
  <c r="AO1444" i="7"/>
  <c r="AP1444" i="7" s="1"/>
  <c r="AQ1444" i="7" s="1"/>
  <c r="AL1445" i="7"/>
  <c r="AO1445" i="7" s="1"/>
  <c r="AP1445" i="7" s="1"/>
  <c r="AQ1445" i="7" s="1"/>
  <c r="AM1445" i="7"/>
  <c r="AL1446" i="7"/>
  <c r="AO1446" i="7" s="1"/>
  <c r="AP1446" i="7" s="1"/>
  <c r="AQ1446" i="7" s="1"/>
  <c r="AM1446" i="7"/>
  <c r="AL1447" i="7"/>
  <c r="AO1447" i="7" s="1"/>
  <c r="AP1447" i="7" s="1"/>
  <c r="AM1447" i="7"/>
  <c r="AL1448" i="7"/>
  <c r="AM1448" i="7"/>
  <c r="AO1448" i="7"/>
  <c r="AP1448" i="7" s="1"/>
  <c r="AQ1448" i="7" s="1"/>
  <c r="AL1449" i="7"/>
  <c r="AO1449" i="7" s="1"/>
  <c r="AP1449" i="7" s="1"/>
  <c r="AM1449" i="7"/>
  <c r="AL1450" i="7"/>
  <c r="AO1450" i="7" s="1"/>
  <c r="AP1450" i="7" s="1"/>
  <c r="AM1450" i="7"/>
  <c r="AL1451" i="7"/>
  <c r="AO1451" i="7" s="1"/>
  <c r="AP1451" i="7" s="1"/>
  <c r="AM1451" i="7"/>
  <c r="AL1452" i="7"/>
  <c r="AO1452" i="7" s="1"/>
  <c r="AP1452" i="7" s="1"/>
  <c r="AM1452" i="7"/>
  <c r="AL1453" i="7"/>
  <c r="AO1453" i="7" s="1"/>
  <c r="AP1453" i="7" s="1"/>
  <c r="AM1453" i="7"/>
  <c r="AL1454" i="7"/>
  <c r="AO1454" i="7" s="1"/>
  <c r="AP1454" i="7" s="1"/>
  <c r="AM1454" i="7"/>
  <c r="AL1455" i="7"/>
  <c r="AO1455" i="7" s="1"/>
  <c r="AP1455" i="7" s="1"/>
  <c r="AM1455" i="7"/>
  <c r="AL1456" i="7"/>
  <c r="AO1456" i="7" s="1"/>
  <c r="AP1456" i="7" s="1"/>
  <c r="AM1456" i="7"/>
  <c r="AL1457" i="7"/>
  <c r="AO1457" i="7" s="1"/>
  <c r="AP1457" i="7" s="1"/>
  <c r="AQ1457" i="7" s="1"/>
  <c r="AM1457" i="7"/>
  <c r="AL1458" i="7"/>
  <c r="AO1458" i="7" s="1"/>
  <c r="AP1458" i="7" s="1"/>
  <c r="AQ1458" i="7" s="1"/>
  <c r="AM1458" i="7"/>
  <c r="AL1459" i="7"/>
  <c r="AO1459" i="7" s="1"/>
  <c r="AP1459" i="7" s="1"/>
  <c r="AQ1459" i="7" s="1"/>
  <c r="AM1459" i="7"/>
  <c r="AL1460" i="7"/>
  <c r="AO1460" i="7" s="1"/>
  <c r="AP1460" i="7" s="1"/>
  <c r="AM1460" i="7"/>
  <c r="AL1461" i="7"/>
  <c r="AO1461" i="7" s="1"/>
  <c r="AP1461" i="7" s="1"/>
  <c r="AM1461" i="7"/>
  <c r="AL1462" i="7"/>
  <c r="AO1462" i="7" s="1"/>
  <c r="AP1462" i="7" s="1"/>
  <c r="AM1462" i="7"/>
  <c r="AL1463" i="7"/>
  <c r="AO1463" i="7" s="1"/>
  <c r="AP1463" i="7" s="1"/>
  <c r="AM1463" i="7"/>
  <c r="AL1464" i="7"/>
  <c r="AO1464" i="7" s="1"/>
  <c r="AP1464" i="7" s="1"/>
  <c r="AM1464" i="7"/>
  <c r="AL1465" i="7"/>
  <c r="AO1465" i="7" s="1"/>
  <c r="AP1465" i="7" s="1"/>
  <c r="AM1465" i="7"/>
  <c r="AL1466" i="7"/>
  <c r="AO1466" i="7" s="1"/>
  <c r="AP1466" i="7" s="1"/>
  <c r="AM1466" i="7"/>
  <c r="AL1467" i="7"/>
  <c r="AO1467" i="7" s="1"/>
  <c r="AP1467" i="7" s="1"/>
  <c r="AM1467" i="7"/>
  <c r="AL1468" i="7"/>
  <c r="AO1468" i="7" s="1"/>
  <c r="AP1468" i="7" s="1"/>
  <c r="AM1468" i="7"/>
  <c r="AL1469" i="7"/>
  <c r="AM1469" i="7"/>
  <c r="AO1469" i="7"/>
  <c r="AP1469" i="7" s="1"/>
  <c r="AL1470" i="7"/>
  <c r="AO1470" i="7" s="1"/>
  <c r="AP1470" i="7" s="1"/>
  <c r="AM1470" i="7"/>
  <c r="AL1471" i="7"/>
  <c r="AO1471" i="7" s="1"/>
  <c r="AP1471" i="7" s="1"/>
  <c r="AQ1471" i="7" s="1"/>
  <c r="AM1471" i="7"/>
  <c r="AL1472" i="7"/>
  <c r="AO1472" i="7" s="1"/>
  <c r="AP1472" i="7" s="1"/>
  <c r="AQ1472" i="7" s="1"/>
  <c r="AM1472" i="7"/>
  <c r="AL1473" i="7"/>
  <c r="AO1473" i="7" s="1"/>
  <c r="AP1473" i="7" s="1"/>
  <c r="AQ1473" i="7" s="1"/>
  <c r="AM1473" i="7"/>
  <c r="AL1474" i="7"/>
  <c r="AO1474" i="7" s="1"/>
  <c r="AP1474" i="7" s="1"/>
  <c r="AQ1474" i="7" s="1"/>
  <c r="AM1474" i="7"/>
  <c r="AL1475" i="7"/>
  <c r="AO1475" i="7" s="1"/>
  <c r="AP1475" i="7" s="1"/>
  <c r="AM1475" i="7"/>
  <c r="AL1476" i="7"/>
  <c r="AO1476" i="7" s="1"/>
  <c r="AP1476" i="7" s="1"/>
  <c r="AM1476" i="7"/>
  <c r="AL1477" i="7"/>
  <c r="AO1477" i="7" s="1"/>
  <c r="AP1477" i="7" s="1"/>
  <c r="AM1477" i="7"/>
  <c r="AL1478" i="7"/>
  <c r="AO1478" i="7" s="1"/>
  <c r="AP1478" i="7" s="1"/>
  <c r="AM1478" i="7"/>
  <c r="AL1479" i="7"/>
  <c r="AO1479" i="7" s="1"/>
  <c r="AP1479" i="7" s="1"/>
  <c r="AQ1479" i="7" s="1"/>
  <c r="AM1479" i="7"/>
  <c r="AL1480" i="7"/>
  <c r="AO1480" i="7" s="1"/>
  <c r="AP1480" i="7" s="1"/>
  <c r="AM1480" i="7"/>
  <c r="AL1481" i="7"/>
  <c r="AO1481" i="7" s="1"/>
  <c r="AP1481" i="7" s="1"/>
  <c r="AM1481" i="7"/>
  <c r="AL1482" i="7"/>
  <c r="AO1482" i="7" s="1"/>
  <c r="AP1482" i="7" s="1"/>
  <c r="AM1482" i="7"/>
  <c r="AL1483" i="7"/>
  <c r="AO1483" i="7" s="1"/>
  <c r="AP1483" i="7" s="1"/>
  <c r="AM1483" i="7"/>
  <c r="AL1484" i="7"/>
  <c r="AO1484" i="7" s="1"/>
  <c r="AP1484" i="7" s="1"/>
  <c r="AM1484" i="7"/>
  <c r="AL1485" i="7"/>
  <c r="AO1485" i="7" s="1"/>
  <c r="AP1485" i="7" s="1"/>
  <c r="AQ1485" i="7" s="1"/>
  <c r="AM1485" i="7"/>
  <c r="AL1486" i="7"/>
  <c r="AO1486" i="7" s="1"/>
  <c r="AP1486" i="7" s="1"/>
  <c r="AQ1486" i="7" s="1"/>
  <c r="AM1486" i="7"/>
  <c r="AL1487" i="7"/>
  <c r="AM1487" i="7"/>
  <c r="AO1487" i="7"/>
  <c r="AP1487" i="7" s="1"/>
  <c r="AQ1487" i="7" s="1"/>
  <c r="AL1488" i="7"/>
  <c r="AO1488" i="7" s="1"/>
  <c r="AP1488" i="7" s="1"/>
  <c r="AM1488" i="7"/>
  <c r="AL1489" i="7"/>
  <c r="AO1489" i="7" s="1"/>
  <c r="AP1489" i="7" s="1"/>
  <c r="AM1489" i="7"/>
  <c r="AL1490" i="7"/>
  <c r="AO1490" i="7" s="1"/>
  <c r="AP1490" i="7" s="1"/>
  <c r="AM1490" i="7"/>
  <c r="AL1491" i="7"/>
  <c r="AM1491" i="7"/>
  <c r="AO1491" i="7"/>
  <c r="AP1491" i="7"/>
  <c r="AL1492" i="7"/>
  <c r="AO1492" i="7" s="1"/>
  <c r="AP1492" i="7" s="1"/>
  <c r="AM1492" i="7"/>
  <c r="AL1493" i="7"/>
  <c r="AO1493" i="7" s="1"/>
  <c r="AP1493" i="7" s="1"/>
  <c r="AM1493" i="7"/>
  <c r="AL1494" i="7"/>
  <c r="AO1494" i="7" s="1"/>
  <c r="AP1494" i="7" s="1"/>
  <c r="AQ1494" i="7" s="1"/>
  <c r="AM1494" i="7"/>
  <c r="AL1495" i="7"/>
  <c r="AO1495" i="7" s="1"/>
  <c r="AP1495" i="7" s="1"/>
  <c r="AM1495" i="7"/>
  <c r="AL1496" i="7"/>
  <c r="AO1496" i="7" s="1"/>
  <c r="AP1496" i="7" s="1"/>
  <c r="AM1496" i="7"/>
  <c r="AL1497" i="7"/>
  <c r="AO1497" i="7" s="1"/>
  <c r="AP1497" i="7" s="1"/>
  <c r="AM1497" i="7"/>
  <c r="AL1498" i="7"/>
  <c r="AO1498" i="7" s="1"/>
  <c r="AP1498" i="7" s="1"/>
  <c r="AM1498" i="7"/>
  <c r="AL1499" i="7"/>
  <c r="AO1499" i="7" s="1"/>
  <c r="AP1499" i="7" s="1"/>
  <c r="AQ1499" i="7" s="1"/>
  <c r="AM1499" i="7"/>
  <c r="AL1500" i="7"/>
  <c r="AO1500" i="7" s="1"/>
  <c r="AM1500" i="7"/>
  <c r="AP1500" i="7"/>
  <c r="AQ1500" i="7" s="1"/>
  <c r="AL1501" i="7"/>
  <c r="AO1501" i="7" s="1"/>
  <c r="AP1501" i="7" s="1"/>
  <c r="AQ1501" i="7" s="1"/>
  <c r="AM1501" i="7"/>
  <c r="AL1502" i="7"/>
  <c r="AO1502" i="7" s="1"/>
  <c r="AP1502" i="7" s="1"/>
  <c r="AQ1502" i="7" s="1"/>
  <c r="AM1502" i="7"/>
  <c r="AL1503" i="7"/>
  <c r="AO1503" i="7" s="1"/>
  <c r="AP1503" i="7" s="1"/>
  <c r="AM1503" i="7"/>
  <c r="AL1504" i="7"/>
  <c r="AM1504" i="7"/>
  <c r="AO1504" i="7"/>
  <c r="AP1504" i="7" s="1"/>
  <c r="AL1505" i="7"/>
  <c r="AO1505" i="7" s="1"/>
  <c r="AP1505" i="7" s="1"/>
  <c r="AM1505" i="7"/>
  <c r="AL1506" i="7"/>
  <c r="AM1506" i="7"/>
  <c r="AO1506" i="7"/>
  <c r="AP1506" i="7" s="1"/>
  <c r="AL1507" i="7"/>
  <c r="AO1507" i="7" s="1"/>
  <c r="AP1507" i="7" s="1"/>
  <c r="AQ1507" i="7" s="1"/>
  <c r="AM1507" i="7"/>
  <c r="AL1508" i="7"/>
  <c r="AO1508" i="7" s="1"/>
  <c r="AP1508" i="7" s="1"/>
  <c r="AM1508" i="7"/>
  <c r="AL1509" i="7"/>
  <c r="AO1509" i="7" s="1"/>
  <c r="AP1509" i="7" s="1"/>
  <c r="AM1509" i="7"/>
  <c r="AL1510" i="7"/>
  <c r="AO1510" i="7" s="1"/>
  <c r="AP1510" i="7" s="1"/>
  <c r="AM1510" i="7"/>
  <c r="AL1511" i="7"/>
  <c r="AO1511" i="7" s="1"/>
  <c r="AP1511" i="7" s="1"/>
  <c r="AM1511" i="7"/>
  <c r="AL1512" i="7"/>
  <c r="AO1512" i="7" s="1"/>
  <c r="AP1512" i="7" s="1"/>
  <c r="AM1512" i="7"/>
  <c r="AL1513" i="7"/>
  <c r="AO1513" i="7" s="1"/>
  <c r="AP1513" i="7" s="1"/>
  <c r="AQ1513" i="7" s="1"/>
  <c r="AM1513" i="7"/>
  <c r="AL1514" i="7"/>
  <c r="AO1514" i="7" s="1"/>
  <c r="AP1514" i="7" s="1"/>
  <c r="AQ1514" i="7" s="1"/>
  <c r="AM1514" i="7"/>
  <c r="AL1515" i="7"/>
  <c r="AO1515" i="7" s="1"/>
  <c r="AP1515" i="7" s="1"/>
  <c r="AQ1515" i="7" s="1"/>
  <c r="AM1515" i="7"/>
  <c r="AL1516" i="7"/>
  <c r="AO1516" i="7" s="1"/>
  <c r="AP1516" i="7" s="1"/>
  <c r="AQ1516" i="7" s="1"/>
  <c r="AM1516" i="7"/>
  <c r="AL1517" i="7"/>
  <c r="AO1517" i="7" s="1"/>
  <c r="AP1517" i="7" s="1"/>
  <c r="AM1517" i="7"/>
  <c r="AL1518" i="7"/>
  <c r="AO1518" i="7" s="1"/>
  <c r="AP1518" i="7" s="1"/>
  <c r="AM1518" i="7"/>
  <c r="AL1519" i="7"/>
  <c r="AO1519" i="7" s="1"/>
  <c r="AP1519" i="7" s="1"/>
  <c r="AM1519" i="7"/>
  <c r="AL1520" i="7"/>
  <c r="AO1520" i="7" s="1"/>
  <c r="AP1520" i="7" s="1"/>
  <c r="AM1520" i="7"/>
  <c r="AL1521" i="7"/>
  <c r="AO1521" i="7" s="1"/>
  <c r="AP1521" i="7" s="1"/>
  <c r="AM1521" i="7"/>
  <c r="AL1522" i="7"/>
  <c r="AO1522" i="7" s="1"/>
  <c r="AP1522" i="7" s="1"/>
  <c r="AM1522" i="7"/>
  <c r="AL1523" i="7"/>
  <c r="AO1523" i="7" s="1"/>
  <c r="AP1523" i="7" s="1"/>
  <c r="AM1523" i="7"/>
  <c r="AL1524" i="7"/>
  <c r="AO1524" i="7" s="1"/>
  <c r="AP1524" i="7" s="1"/>
  <c r="AM1524" i="7"/>
  <c r="AL1525" i="7"/>
  <c r="AO1525" i="7" s="1"/>
  <c r="AP1525" i="7" s="1"/>
  <c r="AM1525" i="7"/>
  <c r="AL1526" i="7"/>
  <c r="AO1526" i="7" s="1"/>
  <c r="AP1526" i="7" s="1"/>
  <c r="AM1526" i="7"/>
  <c r="AL1527" i="7"/>
  <c r="AO1527" i="7" s="1"/>
  <c r="AP1527" i="7" s="1"/>
  <c r="AQ1527" i="7" s="1"/>
  <c r="AM1527" i="7"/>
  <c r="AL1528" i="7"/>
  <c r="AM1528" i="7"/>
  <c r="AO1528" i="7"/>
  <c r="AP1528" i="7" s="1"/>
  <c r="AQ1528" i="7" s="1"/>
  <c r="AL1529" i="7"/>
  <c r="AO1529" i="7" s="1"/>
  <c r="AP1529" i="7" s="1"/>
  <c r="AQ1529" i="7" s="1"/>
  <c r="AM1529" i="7"/>
  <c r="AL1530" i="7"/>
  <c r="AO1530" i="7" s="1"/>
  <c r="AP1530" i="7" s="1"/>
  <c r="AQ1530" i="7" s="1"/>
  <c r="AM1530" i="7"/>
  <c r="AL1531" i="7"/>
  <c r="AM1531" i="7"/>
  <c r="AO1531" i="7"/>
  <c r="AP1531" i="7" s="1"/>
  <c r="AL1532" i="7"/>
  <c r="AO1532" i="7" s="1"/>
  <c r="AP1532" i="7" s="1"/>
  <c r="AM1532" i="7"/>
  <c r="AL1533" i="7"/>
  <c r="AO1533" i="7" s="1"/>
  <c r="AP1533" i="7" s="1"/>
  <c r="AM1533" i="7"/>
  <c r="AL1534" i="7"/>
  <c r="AO1534" i="7" s="1"/>
  <c r="AP1534" i="7" s="1"/>
  <c r="AM1534" i="7"/>
  <c r="AL1535" i="7"/>
  <c r="AO1535" i="7" s="1"/>
  <c r="AP1535" i="7" s="1"/>
  <c r="AM1535" i="7"/>
  <c r="AL1536" i="7"/>
  <c r="AO1536" i="7" s="1"/>
  <c r="AP1536" i="7" s="1"/>
  <c r="AM1536" i="7"/>
  <c r="AL1537" i="7"/>
  <c r="AO1537" i="7" s="1"/>
  <c r="AP1537" i="7" s="1"/>
  <c r="AM1537" i="7"/>
  <c r="AL1538" i="7"/>
  <c r="AO1538" i="7" s="1"/>
  <c r="AP1538" i="7" s="1"/>
  <c r="AM1538" i="7"/>
  <c r="AL1539" i="7"/>
  <c r="AO1539" i="7" s="1"/>
  <c r="AP1539" i="7" s="1"/>
  <c r="AM1539" i="7"/>
  <c r="AL1540" i="7"/>
  <c r="AO1540" i="7" s="1"/>
  <c r="AP1540" i="7" s="1"/>
  <c r="AM1540" i="7"/>
  <c r="AL1541" i="7"/>
  <c r="AO1541" i="7" s="1"/>
  <c r="AP1541" i="7" s="1"/>
  <c r="AQ1541" i="7" s="1"/>
  <c r="AM1541" i="7"/>
  <c r="AL1542" i="7"/>
  <c r="AO1542" i="7" s="1"/>
  <c r="AP1542" i="7" s="1"/>
  <c r="AQ1542" i="7" s="1"/>
  <c r="AM1542" i="7"/>
  <c r="AL1543" i="7"/>
  <c r="AO1543" i="7" s="1"/>
  <c r="AP1543" i="7" s="1"/>
  <c r="AQ1543" i="7" s="1"/>
  <c r="AM1543" i="7"/>
  <c r="AL1544" i="7"/>
  <c r="AO1544" i="7" s="1"/>
  <c r="AP1544" i="7" s="1"/>
  <c r="AQ1544" i="7" s="1"/>
  <c r="AM1544" i="7"/>
  <c r="AL1545" i="7"/>
  <c r="AO1545" i="7" s="1"/>
  <c r="AP1545" i="7" s="1"/>
  <c r="AM1545" i="7"/>
  <c r="AL1546" i="7"/>
  <c r="AO1546" i="7" s="1"/>
  <c r="AP1546" i="7" s="1"/>
  <c r="AQ1546" i="7" s="1"/>
  <c r="AM1546" i="7"/>
  <c r="AL1547" i="7"/>
  <c r="AO1547" i="7" s="1"/>
  <c r="AP1547" i="7" s="1"/>
  <c r="AM1547" i="7"/>
  <c r="AL1548" i="7"/>
  <c r="AO1548" i="7" s="1"/>
  <c r="AP1548" i="7" s="1"/>
  <c r="AM1548" i="7"/>
  <c r="AL1549" i="7"/>
  <c r="AO1549" i="7" s="1"/>
  <c r="AP1549" i="7" s="1"/>
  <c r="AQ1549" i="7" s="1"/>
  <c r="AM1549" i="7"/>
  <c r="AL1550" i="7"/>
  <c r="AO1550" i="7" s="1"/>
  <c r="AP1550" i="7" s="1"/>
  <c r="AM1550" i="7"/>
  <c r="AL1551" i="7"/>
  <c r="AO1551" i="7" s="1"/>
  <c r="AP1551" i="7" s="1"/>
  <c r="AM1551" i="7"/>
  <c r="AL1552" i="7"/>
  <c r="AM1552" i="7"/>
  <c r="AO1552" i="7"/>
  <c r="AP1552" i="7" s="1"/>
  <c r="AL1553" i="7"/>
  <c r="AO1553" i="7" s="1"/>
  <c r="AP1553" i="7" s="1"/>
  <c r="AM1553" i="7"/>
  <c r="AL1554" i="7"/>
  <c r="AO1554" i="7" s="1"/>
  <c r="AP1554" i="7" s="1"/>
  <c r="AM1554" i="7"/>
  <c r="AL1555" i="7"/>
  <c r="AO1555" i="7" s="1"/>
  <c r="AP1555" i="7" s="1"/>
  <c r="AQ1555" i="7" s="1"/>
  <c r="AM1555" i="7"/>
  <c r="AL1556" i="7"/>
  <c r="AO1556" i="7" s="1"/>
  <c r="AP1556" i="7" s="1"/>
  <c r="AQ1556" i="7" s="1"/>
  <c r="AM1556" i="7"/>
  <c r="AL1557" i="7"/>
  <c r="AO1557" i="7" s="1"/>
  <c r="AP1557" i="7" s="1"/>
  <c r="AQ1557" i="7" s="1"/>
  <c r="AM1557" i="7"/>
  <c r="AL1558" i="7"/>
  <c r="AO1558" i="7" s="1"/>
  <c r="AP1558" i="7" s="1"/>
  <c r="AQ1558" i="7" s="1"/>
  <c r="AM1558" i="7"/>
  <c r="AL1559" i="7"/>
  <c r="AO1559" i="7" s="1"/>
  <c r="AP1559" i="7" s="1"/>
  <c r="AM1559" i="7"/>
  <c r="AL1560" i="7"/>
  <c r="AO1560" i="7" s="1"/>
  <c r="AP1560" i="7" s="1"/>
  <c r="AM1560" i="7"/>
  <c r="AL1561" i="7"/>
  <c r="AO1561" i="7" s="1"/>
  <c r="AP1561" i="7" s="1"/>
  <c r="AM1561" i="7"/>
  <c r="AL1562" i="7"/>
  <c r="AO1562" i="7" s="1"/>
  <c r="AP1562" i="7" s="1"/>
  <c r="AM1562" i="7"/>
  <c r="AL1563" i="7"/>
  <c r="AO1563" i="7" s="1"/>
  <c r="AP1563" i="7" s="1"/>
  <c r="AQ1563" i="7" s="1"/>
  <c r="AM1563" i="7"/>
  <c r="AL1564" i="7"/>
  <c r="AO1564" i="7" s="1"/>
  <c r="AP1564" i="7" s="1"/>
  <c r="AM1564" i="7"/>
  <c r="AL1565" i="7"/>
  <c r="AO1565" i="7" s="1"/>
  <c r="AP1565" i="7" s="1"/>
  <c r="AM1565" i="7"/>
  <c r="AL1566" i="7"/>
  <c r="AO1566" i="7" s="1"/>
  <c r="AP1566" i="7" s="1"/>
  <c r="AM1566" i="7"/>
  <c r="AL1567" i="7"/>
  <c r="AO1567" i="7" s="1"/>
  <c r="AP1567" i="7" s="1"/>
  <c r="AM1567" i="7"/>
  <c r="AL1568" i="7"/>
  <c r="AO1568" i="7" s="1"/>
  <c r="AP1568" i="7" s="1"/>
  <c r="AM1568" i="7"/>
  <c r="AL1569" i="7"/>
  <c r="AO1569" i="7" s="1"/>
  <c r="AP1569" i="7" s="1"/>
  <c r="AQ1569" i="7" s="1"/>
  <c r="AM1569" i="7"/>
  <c r="AL1570" i="7"/>
  <c r="AO1570" i="7" s="1"/>
  <c r="AP1570" i="7" s="1"/>
  <c r="AQ1570" i="7" s="1"/>
  <c r="AM1570" i="7"/>
  <c r="AL1571" i="7"/>
  <c r="AO1571" i="7" s="1"/>
  <c r="AP1571" i="7" s="1"/>
  <c r="AM1571" i="7"/>
  <c r="AQ1571" i="7"/>
  <c r="AL1572" i="7"/>
  <c r="AO1572" i="7" s="1"/>
  <c r="AP1572" i="7" s="1"/>
  <c r="AQ1572" i="7" s="1"/>
  <c r="AM1572" i="7"/>
  <c r="AL1573" i="7"/>
  <c r="AO1573" i="7" s="1"/>
  <c r="AP1573" i="7" s="1"/>
  <c r="AM1573" i="7"/>
  <c r="AL1574" i="7"/>
  <c r="AO1574" i="7" s="1"/>
  <c r="AP1574" i="7" s="1"/>
  <c r="AM1574" i="7"/>
  <c r="AL1575" i="7"/>
  <c r="AO1575" i="7" s="1"/>
  <c r="AP1575" i="7" s="1"/>
  <c r="AM1575" i="7"/>
  <c r="AL1576" i="7"/>
  <c r="AO1576" i="7" s="1"/>
  <c r="AP1576" i="7" s="1"/>
  <c r="AM1576" i="7"/>
  <c r="AL1577" i="7"/>
  <c r="AO1577" i="7" s="1"/>
  <c r="AP1577" i="7" s="1"/>
  <c r="AM1577" i="7"/>
  <c r="AL1578" i="7"/>
  <c r="AO1578" i="7" s="1"/>
  <c r="AP1578" i="7" s="1"/>
  <c r="AQ1578" i="7" s="1"/>
  <c r="AM1578" i="7"/>
  <c r="AL1579" i="7"/>
  <c r="AO1579" i="7" s="1"/>
  <c r="AP1579" i="7" s="1"/>
  <c r="AM1579" i="7"/>
  <c r="AL1580" i="7"/>
  <c r="AO1580" i="7" s="1"/>
  <c r="AP1580" i="7" s="1"/>
  <c r="AM1580" i="7"/>
  <c r="AL1581" i="7"/>
  <c r="AO1581" i="7" s="1"/>
  <c r="AP1581" i="7" s="1"/>
  <c r="AM1581" i="7"/>
  <c r="AL1582" i="7"/>
  <c r="AO1582" i="7" s="1"/>
  <c r="AP1582" i="7" s="1"/>
  <c r="AM1582" i="7"/>
  <c r="AL1583" i="7"/>
  <c r="AO1583" i="7" s="1"/>
  <c r="AM1583" i="7"/>
  <c r="AP1583" i="7"/>
  <c r="AQ1583" i="7"/>
  <c r="AL1584" i="7"/>
  <c r="AO1584" i="7" s="1"/>
  <c r="AP1584" i="7" s="1"/>
  <c r="AQ1584" i="7" s="1"/>
  <c r="AM1584" i="7"/>
  <c r="AL1585" i="7"/>
  <c r="AO1585" i="7" s="1"/>
  <c r="AP1585" i="7" s="1"/>
  <c r="AQ1585" i="7" s="1"/>
  <c r="AM1585" i="7"/>
  <c r="AL1586" i="7"/>
  <c r="AO1586" i="7" s="1"/>
  <c r="AP1586" i="7" s="1"/>
  <c r="AQ1586" i="7" s="1"/>
  <c r="AM1586" i="7"/>
  <c r="AL1587" i="7"/>
  <c r="AO1587" i="7" s="1"/>
  <c r="AP1587" i="7" s="1"/>
  <c r="AM1587" i="7"/>
  <c r="AL1588" i="7"/>
  <c r="AO1588" i="7" s="1"/>
  <c r="AP1588" i="7" s="1"/>
  <c r="AM1588" i="7"/>
  <c r="AL1589" i="7"/>
  <c r="AM1589" i="7"/>
  <c r="AO1589" i="7"/>
  <c r="AP1589" i="7"/>
  <c r="AL1590" i="7"/>
  <c r="AO1590" i="7" s="1"/>
  <c r="AP1590" i="7" s="1"/>
  <c r="AM1590" i="7"/>
  <c r="AL1591" i="7"/>
  <c r="AO1591" i="7" s="1"/>
  <c r="AP1591" i="7" s="1"/>
  <c r="AM1591" i="7"/>
  <c r="AL1592" i="7"/>
  <c r="AM1592" i="7"/>
  <c r="AO1592" i="7"/>
  <c r="AP1592" i="7" s="1"/>
  <c r="AQ1592" i="7" s="1"/>
  <c r="AL1593" i="7"/>
  <c r="AO1593" i="7" s="1"/>
  <c r="AP1593" i="7" s="1"/>
  <c r="AM1593" i="7"/>
  <c r="AL1594" i="7"/>
  <c r="AM1594" i="7"/>
  <c r="AO1594" i="7"/>
  <c r="AP1594" i="7" s="1"/>
  <c r="AL1595" i="7"/>
  <c r="AO1595" i="7" s="1"/>
  <c r="AP1595" i="7" s="1"/>
  <c r="AM1595" i="7"/>
  <c r="AL1596" i="7"/>
  <c r="AO1596" i="7" s="1"/>
  <c r="AP1596" i="7" s="1"/>
  <c r="AM1596" i="7"/>
  <c r="AL1597" i="7"/>
  <c r="AO1597" i="7" s="1"/>
  <c r="AP1597" i="7" s="1"/>
  <c r="AQ1597" i="7" s="1"/>
  <c r="AM1597" i="7"/>
  <c r="AL1598" i="7"/>
  <c r="AO1598" i="7" s="1"/>
  <c r="AP1598" i="7" s="1"/>
  <c r="AQ1598" i="7" s="1"/>
  <c r="AM1598" i="7"/>
  <c r="AL1599" i="7"/>
  <c r="AO1599" i="7" s="1"/>
  <c r="AP1599" i="7" s="1"/>
  <c r="AQ1599" i="7" s="1"/>
  <c r="AM1599" i="7"/>
  <c r="AL1600" i="7"/>
  <c r="AO1600" i="7" s="1"/>
  <c r="AP1600" i="7" s="1"/>
  <c r="AQ1600" i="7" s="1"/>
  <c r="AM1600" i="7"/>
  <c r="AL1601" i="7"/>
  <c r="AM1601" i="7"/>
  <c r="AO1601" i="7"/>
  <c r="AP1601" i="7" s="1"/>
  <c r="AL1602" i="7"/>
  <c r="AO1602" i="7" s="1"/>
  <c r="AP1602" i="7" s="1"/>
  <c r="AM1602" i="7"/>
  <c r="AL1603" i="7"/>
  <c r="AO1603" i="7" s="1"/>
  <c r="AP1603" i="7" s="1"/>
  <c r="AM1603" i="7"/>
  <c r="AL1604" i="7"/>
  <c r="AO1604" i="7" s="1"/>
  <c r="AP1604" i="7" s="1"/>
  <c r="AM1604" i="7"/>
  <c r="AL1605" i="7"/>
  <c r="AO1605" i="7" s="1"/>
  <c r="AP1605" i="7" s="1"/>
  <c r="AM1605" i="7"/>
  <c r="AL1606" i="7"/>
  <c r="AO1606" i="7" s="1"/>
  <c r="AP1606" i="7" s="1"/>
  <c r="AM1606" i="7"/>
  <c r="AL1607" i="7"/>
  <c r="AO1607" i="7" s="1"/>
  <c r="AP1607" i="7" s="1"/>
  <c r="AM1607" i="7"/>
  <c r="AL1608" i="7"/>
  <c r="AO1608" i="7" s="1"/>
  <c r="AP1608" i="7" s="1"/>
  <c r="AM1608" i="7"/>
  <c r="AL1609" i="7"/>
  <c r="AO1609" i="7" s="1"/>
  <c r="AP1609" i="7" s="1"/>
  <c r="AM1609" i="7"/>
  <c r="AL1610" i="7"/>
  <c r="AO1610" i="7" s="1"/>
  <c r="AP1610" i="7" s="1"/>
  <c r="AM1610" i="7"/>
  <c r="AL1611" i="7"/>
  <c r="AO1611" i="7" s="1"/>
  <c r="AP1611" i="7" s="1"/>
  <c r="AQ1611" i="7" s="1"/>
  <c r="AM1611" i="7"/>
  <c r="AL1612" i="7"/>
  <c r="AO1612" i="7" s="1"/>
  <c r="AP1612" i="7" s="1"/>
  <c r="AQ1612" i="7" s="1"/>
  <c r="AM1612" i="7"/>
  <c r="AL1613" i="7"/>
  <c r="AM1613" i="7"/>
  <c r="AO1613" i="7"/>
  <c r="AP1613" i="7" s="1"/>
  <c r="AQ1613" i="7" s="1"/>
  <c r="AL1614" i="7"/>
  <c r="AO1614" i="7" s="1"/>
  <c r="AP1614" i="7" s="1"/>
  <c r="AM1614" i="7"/>
  <c r="AL1615" i="7"/>
  <c r="AO1615" i="7" s="1"/>
  <c r="AP1615" i="7" s="1"/>
  <c r="AM1615" i="7"/>
  <c r="AL1616" i="7"/>
  <c r="AO1616" i="7" s="1"/>
  <c r="AP1616" i="7" s="1"/>
  <c r="AM1616" i="7"/>
  <c r="AL1617" i="7"/>
  <c r="AO1617" i="7" s="1"/>
  <c r="AP1617" i="7" s="1"/>
  <c r="AM1617" i="7"/>
  <c r="AL1618" i="7"/>
  <c r="AO1618" i="7" s="1"/>
  <c r="AP1618" i="7" s="1"/>
  <c r="AM1618" i="7"/>
  <c r="AL1619" i="7"/>
  <c r="AO1619" i="7" s="1"/>
  <c r="AP1619" i="7" s="1"/>
  <c r="AM1619" i="7"/>
  <c r="AL1620" i="7"/>
  <c r="AO1620" i="7" s="1"/>
  <c r="AP1620" i="7" s="1"/>
  <c r="AQ1620" i="7" s="1"/>
  <c r="AM1620" i="7"/>
  <c r="AL1621" i="7"/>
  <c r="AO1621" i="7" s="1"/>
  <c r="AP1621" i="7" s="1"/>
  <c r="AM1621" i="7"/>
  <c r="AL1622" i="7"/>
  <c r="AO1622" i="7" s="1"/>
  <c r="AP1622" i="7" s="1"/>
  <c r="AM1622" i="7"/>
  <c r="AL1623" i="7"/>
  <c r="AO1623" i="7" s="1"/>
  <c r="AP1623" i="7" s="1"/>
  <c r="AM1623" i="7"/>
  <c r="AL1624" i="7"/>
  <c r="AO1624" i="7" s="1"/>
  <c r="AP1624" i="7" s="1"/>
  <c r="AM1624" i="7"/>
  <c r="AL1625" i="7"/>
  <c r="AO1625" i="7" s="1"/>
  <c r="AP1625" i="7" s="1"/>
  <c r="AQ1625" i="7" s="1"/>
  <c r="AM1625" i="7"/>
  <c r="AL1626" i="7"/>
  <c r="AO1626" i="7" s="1"/>
  <c r="AP1626" i="7" s="1"/>
  <c r="AQ1626" i="7" s="1"/>
  <c r="AM1626" i="7"/>
  <c r="AL1627" i="7"/>
  <c r="AO1627" i="7" s="1"/>
  <c r="AP1627" i="7" s="1"/>
  <c r="AQ1627" i="7" s="1"/>
  <c r="AM1627" i="7"/>
  <c r="AL1628" i="7"/>
  <c r="AO1628" i="7" s="1"/>
  <c r="AP1628" i="7" s="1"/>
  <c r="AQ1628" i="7" s="1"/>
  <c r="AM1628" i="7"/>
  <c r="AL1629" i="7"/>
  <c r="AO1629" i="7" s="1"/>
  <c r="AP1629" i="7" s="1"/>
  <c r="AM1629" i="7"/>
  <c r="AL1630" i="7"/>
  <c r="AO1630" i="7" s="1"/>
  <c r="AP1630" i="7" s="1"/>
  <c r="AM1630" i="7"/>
  <c r="AL1631" i="7"/>
  <c r="AO1631" i="7" s="1"/>
  <c r="AP1631" i="7" s="1"/>
  <c r="AM1631" i="7"/>
  <c r="AL1632" i="7"/>
  <c r="AO1632" i="7" s="1"/>
  <c r="AP1632" i="7" s="1"/>
  <c r="AM1632" i="7"/>
  <c r="AL1633" i="7"/>
  <c r="AO1633" i="7" s="1"/>
  <c r="AP1633" i="7" s="1"/>
  <c r="AM1633" i="7"/>
  <c r="AL1634" i="7"/>
  <c r="AO1634" i="7" s="1"/>
  <c r="AP1634" i="7" s="1"/>
  <c r="AM1634" i="7"/>
  <c r="AL1635" i="7"/>
  <c r="AO1635" i="7" s="1"/>
  <c r="AP1635" i="7" s="1"/>
  <c r="AM1635" i="7"/>
  <c r="AL1636" i="7"/>
  <c r="AM1636" i="7"/>
  <c r="AO1636" i="7"/>
  <c r="AP1636" i="7" s="1"/>
  <c r="AL1637" i="7"/>
  <c r="AO1637" i="7" s="1"/>
  <c r="AP1637" i="7" s="1"/>
  <c r="AM1637" i="7"/>
  <c r="AL1638" i="7"/>
  <c r="AO1638" i="7" s="1"/>
  <c r="AP1638" i="7" s="1"/>
  <c r="AM1638" i="7"/>
  <c r="AL1639" i="7"/>
  <c r="AO1639" i="7" s="1"/>
  <c r="AP1639" i="7" s="1"/>
  <c r="AQ1639" i="7" s="1"/>
  <c r="AM1639" i="7"/>
  <c r="AL1640" i="7"/>
  <c r="AO1640" i="7" s="1"/>
  <c r="AP1640" i="7" s="1"/>
  <c r="AQ1640" i="7" s="1"/>
  <c r="AM1640" i="7"/>
  <c r="AL1641" i="7"/>
  <c r="AO1641" i="7" s="1"/>
  <c r="AP1641" i="7" s="1"/>
  <c r="AQ1641" i="7" s="1"/>
  <c r="AM1641" i="7"/>
  <c r="AL1642" i="7"/>
  <c r="AO1642" i="7" s="1"/>
  <c r="AP1642" i="7" s="1"/>
  <c r="AQ1642" i="7" s="1"/>
  <c r="AM1642" i="7"/>
  <c r="AL1643" i="7"/>
  <c r="AO1643" i="7" s="1"/>
  <c r="AP1643" i="7" s="1"/>
  <c r="AM1643" i="7"/>
  <c r="AL1644" i="7"/>
  <c r="AO1644" i="7" s="1"/>
  <c r="AP1644" i="7" s="1"/>
  <c r="AM1644" i="7"/>
  <c r="AL1645" i="7"/>
  <c r="AO1645" i="7" s="1"/>
  <c r="AP1645" i="7" s="1"/>
  <c r="AM1645" i="7"/>
  <c r="AL1646" i="7"/>
  <c r="AO1646" i="7" s="1"/>
  <c r="AP1646" i="7" s="1"/>
  <c r="AM1646" i="7"/>
  <c r="AL1647" i="7"/>
  <c r="AO1647" i="7" s="1"/>
  <c r="AP1647" i="7" s="1"/>
  <c r="AM1647" i="7"/>
  <c r="AL1648" i="7"/>
  <c r="AO1648" i="7" s="1"/>
  <c r="AP1648" i="7" s="1"/>
  <c r="AM1648" i="7"/>
  <c r="AL1649" i="7"/>
  <c r="AO1649" i="7" s="1"/>
  <c r="AP1649" i="7" s="1"/>
  <c r="AM1649" i="7"/>
  <c r="AL1650" i="7"/>
  <c r="AO1650" i="7" s="1"/>
  <c r="AP1650" i="7" s="1"/>
  <c r="AM1650" i="7"/>
  <c r="AL1651" i="7"/>
  <c r="AO1651" i="7" s="1"/>
  <c r="AP1651" i="7" s="1"/>
  <c r="AM1651" i="7"/>
  <c r="AL1652" i="7"/>
  <c r="AO1652" i="7" s="1"/>
  <c r="AP1652" i="7" s="1"/>
  <c r="AM1652" i="7"/>
  <c r="AL1653" i="7"/>
  <c r="AO1653" i="7" s="1"/>
  <c r="AP1653" i="7" s="1"/>
  <c r="AQ1653" i="7" s="1"/>
  <c r="AM1653" i="7"/>
  <c r="AL1654" i="7"/>
  <c r="AO1654" i="7" s="1"/>
  <c r="AP1654" i="7" s="1"/>
  <c r="AQ1654" i="7" s="1"/>
  <c r="AM1654" i="7"/>
  <c r="AL1655" i="7"/>
  <c r="AO1655" i="7" s="1"/>
  <c r="AP1655" i="7" s="1"/>
  <c r="AQ1655" i="7" s="1"/>
  <c r="AM1655" i="7"/>
  <c r="AL1656" i="7"/>
  <c r="AO1656" i="7" s="1"/>
  <c r="AP1656" i="7" s="1"/>
  <c r="AQ1656" i="7" s="1"/>
  <c r="AM1656" i="7"/>
  <c r="AL1657" i="7"/>
  <c r="AO1657" i="7" s="1"/>
  <c r="AP1657" i="7" s="1"/>
  <c r="AM1657" i="7"/>
  <c r="AL1658" i="7"/>
  <c r="AO1658" i="7" s="1"/>
  <c r="AP1658" i="7" s="1"/>
  <c r="AM1658" i="7"/>
  <c r="AL1659" i="7"/>
  <c r="AO1659" i="7" s="1"/>
  <c r="AP1659" i="7" s="1"/>
  <c r="AM1659" i="7"/>
  <c r="AL1660" i="7"/>
  <c r="AO1660" i="7" s="1"/>
  <c r="AP1660" i="7" s="1"/>
  <c r="AM1660" i="7"/>
  <c r="AL1661" i="7"/>
  <c r="AO1661" i="7" s="1"/>
  <c r="AP1661" i="7" s="1"/>
  <c r="AM1661" i="7"/>
  <c r="AL1662" i="7"/>
  <c r="AO1662" i="7" s="1"/>
  <c r="AP1662" i="7" s="1"/>
  <c r="AM1662" i="7"/>
  <c r="AL1663" i="7"/>
  <c r="AO1663" i="7" s="1"/>
  <c r="AP1663" i="7" s="1"/>
  <c r="AM1663" i="7"/>
  <c r="AL1664" i="7"/>
  <c r="AM1664" i="7"/>
  <c r="AO1664" i="7"/>
  <c r="AP1664" i="7" s="1"/>
  <c r="AL1665" i="7"/>
  <c r="AO1665" i="7" s="1"/>
  <c r="AP1665" i="7" s="1"/>
  <c r="AM1665" i="7"/>
  <c r="AL1666" i="7"/>
  <c r="AO1666" i="7" s="1"/>
  <c r="AP1666" i="7" s="1"/>
  <c r="AM1666" i="7"/>
  <c r="AL1667" i="7"/>
  <c r="AM1667" i="7"/>
  <c r="AO1667" i="7"/>
  <c r="AP1667" i="7" s="1"/>
  <c r="AQ1667" i="7" s="1"/>
  <c r="AL1668" i="7"/>
  <c r="AO1668" i="7" s="1"/>
  <c r="AP1668" i="7" s="1"/>
  <c r="AQ1668" i="7" s="1"/>
  <c r="AM1668" i="7"/>
  <c r="AL1669" i="7"/>
  <c r="AO1669" i="7" s="1"/>
  <c r="AP1669" i="7" s="1"/>
  <c r="AQ1669" i="7" s="1"/>
  <c r="AM1669" i="7"/>
  <c r="AL1670" i="7"/>
  <c r="AO1670" i="7" s="1"/>
  <c r="AP1670" i="7" s="1"/>
  <c r="AQ1670" i="7" s="1"/>
  <c r="AM1670" i="7"/>
  <c r="AL1671" i="7"/>
  <c r="AO1671" i="7" s="1"/>
  <c r="AP1671" i="7" s="1"/>
  <c r="AM1671" i="7"/>
  <c r="AL1672" i="7"/>
  <c r="AO1672" i="7" s="1"/>
  <c r="AP1672" i="7" s="1"/>
  <c r="AM1672" i="7"/>
  <c r="AL1673" i="7"/>
  <c r="AO1673" i="7" s="1"/>
  <c r="AP1673" i="7" s="1"/>
  <c r="AM1673" i="7"/>
  <c r="AL1674" i="7"/>
  <c r="AM1674" i="7"/>
  <c r="AO1674" i="7"/>
  <c r="AP1674" i="7" s="1"/>
  <c r="AL1675" i="7"/>
  <c r="AM1675" i="7"/>
  <c r="AO1675" i="7"/>
  <c r="AP1675" i="7" s="1"/>
  <c r="AQ1675" i="7" s="1"/>
  <c r="AL1676" i="7"/>
  <c r="AO1676" i="7" s="1"/>
  <c r="AP1676" i="7" s="1"/>
  <c r="AM1676" i="7"/>
  <c r="AL1677" i="7"/>
  <c r="AO1677" i="7" s="1"/>
  <c r="AP1677" i="7" s="1"/>
  <c r="AM1677" i="7"/>
  <c r="AL1678" i="7"/>
  <c r="AO1678" i="7" s="1"/>
  <c r="AP1678" i="7" s="1"/>
  <c r="AM1678" i="7"/>
  <c r="AL1679" i="7"/>
  <c r="AO1679" i="7" s="1"/>
  <c r="AP1679" i="7" s="1"/>
  <c r="AM1679" i="7"/>
  <c r="AL1680" i="7"/>
  <c r="AO1680" i="7" s="1"/>
  <c r="AP1680" i="7" s="1"/>
  <c r="AQ1680" i="7" s="1"/>
  <c r="AM1680" i="7"/>
  <c r="AL1681" i="7"/>
  <c r="AO1681" i="7" s="1"/>
  <c r="AP1681" i="7" s="1"/>
  <c r="AQ1681" i="7" s="1"/>
  <c r="AM1681" i="7"/>
  <c r="AL1682" i="7"/>
  <c r="AO1682" i="7" s="1"/>
  <c r="AP1682" i="7" s="1"/>
  <c r="AQ1682" i="7" s="1"/>
  <c r="AM1682" i="7"/>
  <c r="AL1683" i="7"/>
  <c r="AO1683" i="7" s="1"/>
  <c r="AP1683" i="7" s="1"/>
  <c r="AQ1683" i="7" s="1"/>
  <c r="AM1683" i="7"/>
  <c r="AL1684" i="7"/>
  <c r="AO1684" i="7" s="1"/>
  <c r="AP1684" i="7" s="1"/>
  <c r="AQ1684" i="7" s="1"/>
  <c r="AM1684" i="7"/>
  <c r="AL1685" i="7"/>
  <c r="AO1685" i="7" s="1"/>
  <c r="AP1685" i="7" s="1"/>
  <c r="AM1685" i="7"/>
  <c r="AL1686" i="7"/>
  <c r="AO1686" i="7" s="1"/>
  <c r="AP1686" i="7" s="1"/>
  <c r="AM1686" i="7"/>
  <c r="AL1687" i="7"/>
  <c r="AO1687" i="7" s="1"/>
  <c r="AP1687" i="7" s="1"/>
  <c r="AM1687" i="7"/>
  <c r="AL1688" i="7"/>
  <c r="AO1688" i="7" s="1"/>
  <c r="AP1688" i="7" s="1"/>
  <c r="AM1688" i="7"/>
  <c r="AL1689" i="7"/>
  <c r="AO1689" i="7" s="1"/>
  <c r="AP1689" i="7" s="1"/>
  <c r="AQ1689" i="7" s="1"/>
  <c r="AM1689" i="7"/>
  <c r="AL1690" i="7"/>
  <c r="AO1690" i="7" s="1"/>
  <c r="AP1690" i="7" s="1"/>
  <c r="AM1690" i="7"/>
  <c r="AL1691" i="7"/>
  <c r="AO1691" i="7" s="1"/>
  <c r="AP1691" i="7" s="1"/>
  <c r="AM1691" i="7"/>
  <c r="AL1692" i="7"/>
  <c r="AO1692" i="7" s="1"/>
  <c r="AP1692" i="7" s="1"/>
  <c r="AM1692" i="7"/>
  <c r="AL1693" i="7"/>
  <c r="AM1693" i="7"/>
  <c r="AO1693" i="7"/>
  <c r="AP1693" i="7" s="1"/>
  <c r="AL1694" i="7"/>
  <c r="AO1694" i="7" s="1"/>
  <c r="AP1694" i="7" s="1"/>
  <c r="AM1694" i="7"/>
  <c r="AL1695" i="7"/>
  <c r="AM1695" i="7"/>
  <c r="AO1695" i="7"/>
  <c r="AP1695" i="7" s="1"/>
  <c r="AQ1695" i="7" s="1"/>
  <c r="AL1696" i="7"/>
  <c r="AO1696" i="7" s="1"/>
  <c r="AP1696" i="7" s="1"/>
  <c r="AQ1696" i="7" s="1"/>
  <c r="AM1696" i="7"/>
  <c r="AL1697" i="7"/>
  <c r="AO1697" i="7" s="1"/>
  <c r="AP1697" i="7" s="1"/>
  <c r="AQ1697" i="7" s="1"/>
  <c r="AM1697" i="7"/>
  <c r="AL1698" i="7"/>
  <c r="AO1698" i="7" s="1"/>
  <c r="AP1698" i="7" s="1"/>
  <c r="AQ1698" i="7" s="1"/>
  <c r="AM1698" i="7"/>
  <c r="AL1699" i="7"/>
  <c r="AO1699" i="7" s="1"/>
  <c r="AP1699" i="7" s="1"/>
  <c r="AM1699" i="7"/>
  <c r="AL1700" i="7"/>
  <c r="AO1700" i="7" s="1"/>
  <c r="AP1700" i="7" s="1"/>
  <c r="AM1700" i="7"/>
  <c r="AL1701" i="7"/>
  <c r="AO1701" i="7" s="1"/>
  <c r="AP1701" i="7" s="1"/>
  <c r="AM1701" i="7"/>
  <c r="AL1702" i="7"/>
  <c r="AO1702" i="7" s="1"/>
  <c r="AP1702" i="7" s="1"/>
  <c r="AM1702" i="7"/>
  <c r="AL1703" i="7"/>
  <c r="AO1703" i="7" s="1"/>
  <c r="AP1703" i="7" s="1"/>
  <c r="AQ1703" i="7" s="1"/>
  <c r="AM1703" i="7"/>
  <c r="AL1704" i="7"/>
  <c r="AO1704" i="7" s="1"/>
  <c r="AP1704" i="7" s="1"/>
  <c r="AQ1704" i="7" s="1"/>
  <c r="AM1704" i="7"/>
  <c r="AL1705" i="7"/>
  <c r="AO1705" i="7" s="1"/>
  <c r="AP1705" i="7" s="1"/>
  <c r="AM1705" i="7"/>
  <c r="AL1706" i="7"/>
  <c r="AO1706" i="7" s="1"/>
  <c r="AP1706" i="7" s="1"/>
  <c r="AM1706" i="7"/>
  <c r="AL1707" i="7"/>
  <c r="AO1707" i="7" s="1"/>
  <c r="AP1707" i="7" s="1"/>
  <c r="AM1707" i="7"/>
  <c r="AL1708" i="7"/>
  <c r="AO1708" i="7" s="1"/>
  <c r="AP1708" i="7" s="1"/>
  <c r="AM1708" i="7"/>
  <c r="AL1709" i="7"/>
  <c r="AO1709" i="7" s="1"/>
  <c r="AP1709" i="7" s="1"/>
  <c r="AQ1709" i="7" s="1"/>
  <c r="AM1709" i="7"/>
  <c r="AL1710" i="7"/>
  <c r="AM1710" i="7"/>
  <c r="AO1710" i="7"/>
  <c r="AP1710" i="7" s="1"/>
  <c r="AQ1710" i="7" s="1"/>
  <c r="AL1711" i="7"/>
  <c r="AO1711" i="7" s="1"/>
  <c r="AP1711" i="7" s="1"/>
  <c r="AQ1711" i="7" s="1"/>
  <c r="AM1711" i="7"/>
  <c r="AL1712" i="7"/>
  <c r="AO1712" i="7" s="1"/>
  <c r="AP1712" i="7" s="1"/>
  <c r="AQ1712" i="7" s="1"/>
  <c r="AM1712" i="7"/>
  <c r="AL1713" i="7"/>
  <c r="AO1713" i="7" s="1"/>
  <c r="AP1713" i="7" s="1"/>
  <c r="AM1713" i="7"/>
  <c r="AL1714" i="7"/>
  <c r="AO1714" i="7" s="1"/>
  <c r="AP1714" i="7" s="1"/>
  <c r="AM1714" i="7"/>
  <c r="AL1715" i="7"/>
  <c r="AO1715" i="7" s="1"/>
  <c r="AP1715" i="7" s="1"/>
  <c r="AM1715" i="7"/>
  <c r="AL1716" i="7"/>
  <c r="AO1716" i="7" s="1"/>
  <c r="AP1716" i="7" s="1"/>
  <c r="AM1716" i="7"/>
  <c r="AL1717" i="7"/>
  <c r="AO1717" i="7" s="1"/>
  <c r="AP1717" i="7" s="1"/>
  <c r="AQ1717" i="7" s="1"/>
  <c r="AM1717" i="7"/>
  <c r="AL1718" i="7"/>
  <c r="AO1718" i="7" s="1"/>
  <c r="AP1718" i="7" s="1"/>
  <c r="AM1718" i="7"/>
  <c r="AL1719" i="7"/>
  <c r="AO1719" i="7" s="1"/>
  <c r="AP1719" i="7" s="1"/>
  <c r="AM1719" i="7"/>
  <c r="AL1720" i="7"/>
  <c r="AO1720" i="7" s="1"/>
  <c r="AP1720" i="7" s="1"/>
  <c r="AM1720" i="7"/>
  <c r="AL1721" i="7"/>
  <c r="AO1721" i="7" s="1"/>
  <c r="AP1721" i="7" s="1"/>
  <c r="AM1721" i="7"/>
  <c r="AL1722" i="7"/>
  <c r="AO1722" i="7" s="1"/>
  <c r="AP1722" i="7" s="1"/>
  <c r="AM1722" i="7"/>
  <c r="AL1723" i="7"/>
  <c r="AO1723" i="7" s="1"/>
  <c r="AM1723" i="7"/>
  <c r="AP1723" i="7"/>
  <c r="AQ1723" i="7" s="1"/>
  <c r="AL1724" i="7"/>
  <c r="AO1724" i="7" s="1"/>
  <c r="AP1724" i="7" s="1"/>
  <c r="AQ1724" i="7" s="1"/>
  <c r="AM1724" i="7"/>
  <c r="AL1725" i="7"/>
  <c r="AO1725" i="7" s="1"/>
  <c r="AP1725" i="7" s="1"/>
  <c r="AQ1725" i="7" s="1"/>
  <c r="AM1725" i="7"/>
  <c r="AL1726" i="7"/>
  <c r="AO1726" i="7" s="1"/>
  <c r="AP1726" i="7" s="1"/>
  <c r="AQ1726" i="7" s="1"/>
  <c r="AM1726" i="7"/>
  <c r="AL1727" i="7"/>
  <c r="AO1727" i="7" s="1"/>
  <c r="AP1727" i="7" s="1"/>
  <c r="AM1727" i="7"/>
  <c r="AL1728" i="7"/>
  <c r="AO1728" i="7" s="1"/>
  <c r="AP1728" i="7" s="1"/>
  <c r="AM1728" i="7"/>
  <c r="AL1729" i="7"/>
  <c r="AO1729" i="7" s="1"/>
  <c r="AP1729" i="7" s="1"/>
  <c r="AM1729" i="7"/>
  <c r="AL1730" i="7"/>
  <c r="AO1730" i="7" s="1"/>
  <c r="AP1730" i="7" s="1"/>
  <c r="AM1730" i="7"/>
  <c r="AL1731" i="7"/>
  <c r="AM1731" i="7"/>
  <c r="AO1731" i="7"/>
  <c r="AP1731" i="7" s="1"/>
  <c r="AQ1731" i="7" s="1"/>
  <c r="AL1732" i="7"/>
  <c r="AO1732" i="7" s="1"/>
  <c r="AP1732" i="7" s="1"/>
  <c r="AQ1732" i="7" s="1"/>
  <c r="AM1732" i="7"/>
  <c r="AL1733" i="7"/>
  <c r="AO1733" i="7" s="1"/>
  <c r="AP1733" i="7" s="1"/>
  <c r="AM1733" i="7"/>
  <c r="AL1734" i="7"/>
  <c r="AM1734" i="7"/>
  <c r="AO1734" i="7"/>
  <c r="AP1734" i="7" s="1"/>
  <c r="AL1735" i="7"/>
  <c r="AO1735" i="7" s="1"/>
  <c r="AP1735" i="7" s="1"/>
  <c r="AM1735" i="7"/>
  <c r="AL1736" i="7"/>
  <c r="AO1736" i="7" s="1"/>
  <c r="AP1736" i="7" s="1"/>
  <c r="AM1736" i="7"/>
  <c r="AL1737" i="7"/>
  <c r="AO1737" i="7" s="1"/>
  <c r="AP1737" i="7" s="1"/>
  <c r="AQ1737" i="7" s="1"/>
  <c r="AM1737" i="7"/>
  <c r="AL1738" i="7"/>
  <c r="AO1738" i="7" s="1"/>
  <c r="AP1738" i="7" s="1"/>
  <c r="AQ1738" i="7" s="1"/>
  <c r="AM1738" i="7"/>
  <c r="AL1739" i="7"/>
  <c r="AO1739" i="7" s="1"/>
  <c r="AP1739" i="7" s="1"/>
  <c r="AQ1739" i="7" s="1"/>
  <c r="AM1739" i="7"/>
  <c r="AL1740" i="7"/>
  <c r="AO1740" i="7" s="1"/>
  <c r="AP1740" i="7" s="1"/>
  <c r="AQ1740" i="7" s="1"/>
  <c r="AM1740" i="7"/>
  <c r="AL1741" i="7"/>
  <c r="AO1741" i="7" s="1"/>
  <c r="AP1741" i="7" s="1"/>
  <c r="AM1741" i="7"/>
  <c r="AL1742" i="7"/>
  <c r="AO1742" i="7" s="1"/>
  <c r="AP1742" i="7" s="1"/>
  <c r="AM1742" i="7"/>
  <c r="AL1743" i="7"/>
  <c r="AM1743" i="7"/>
  <c r="AO1743" i="7"/>
  <c r="AP1743" i="7" s="1"/>
  <c r="AL1744" i="7"/>
  <c r="AO1744" i="7" s="1"/>
  <c r="AP1744" i="7" s="1"/>
  <c r="AM1744" i="7"/>
  <c r="AL1745" i="7"/>
  <c r="AM1745" i="7"/>
  <c r="AO1745" i="7"/>
  <c r="AP1745" i="7" s="1"/>
  <c r="AL1746" i="7"/>
  <c r="AO1746" i="7" s="1"/>
  <c r="AP1746" i="7" s="1"/>
  <c r="AM1746" i="7"/>
  <c r="AL1747" i="7"/>
  <c r="AO1747" i="7" s="1"/>
  <c r="AP1747" i="7" s="1"/>
  <c r="AM1747" i="7"/>
  <c r="AL1748" i="7"/>
  <c r="AO1748" i="7" s="1"/>
  <c r="AP1748" i="7" s="1"/>
  <c r="AM1748" i="7"/>
  <c r="AL1749" i="7"/>
  <c r="AO1749" i="7" s="1"/>
  <c r="AP1749" i="7" s="1"/>
  <c r="AM1749" i="7"/>
  <c r="AL1750" i="7"/>
  <c r="AO1750" i="7" s="1"/>
  <c r="AP1750" i="7" s="1"/>
  <c r="AQ1750" i="7" s="1"/>
  <c r="AM1750" i="7"/>
  <c r="AL1751" i="7"/>
  <c r="AO1751" i="7" s="1"/>
  <c r="AP1751" i="7" s="1"/>
  <c r="AQ1751" i="7" s="1"/>
  <c r="AM1751" i="7"/>
  <c r="AL1752" i="7"/>
  <c r="AO1752" i="7" s="1"/>
  <c r="AP1752" i="7" s="1"/>
  <c r="AQ1752" i="7" s="1"/>
  <c r="AM1752" i="7"/>
  <c r="AL1753" i="7"/>
  <c r="AO1753" i="7" s="1"/>
  <c r="AP1753" i="7" s="1"/>
  <c r="AQ1753" i="7" s="1"/>
  <c r="AM1753" i="7"/>
  <c r="AL1754" i="7"/>
  <c r="AO1754" i="7" s="1"/>
  <c r="AP1754" i="7" s="1"/>
  <c r="AQ1754" i="7" s="1"/>
  <c r="AM1754" i="7"/>
  <c r="AL1755" i="7"/>
  <c r="AO1755" i="7" s="1"/>
  <c r="AP1755" i="7" s="1"/>
  <c r="AM1755" i="7"/>
  <c r="AL1756" i="7"/>
  <c r="AO1756" i="7" s="1"/>
  <c r="AP1756" i="7" s="1"/>
  <c r="AM1756" i="7"/>
  <c r="AL1757" i="7"/>
  <c r="AO1757" i="7" s="1"/>
  <c r="AP1757" i="7" s="1"/>
  <c r="AM1757" i="7"/>
  <c r="AL1758" i="7"/>
  <c r="AO1758" i="7" s="1"/>
  <c r="AP1758" i="7" s="1"/>
  <c r="AM1758" i="7"/>
  <c r="AL1759" i="7"/>
  <c r="AO1759" i="7" s="1"/>
  <c r="AP1759" i="7" s="1"/>
  <c r="AQ1759" i="7" s="1"/>
  <c r="AM1759" i="7"/>
  <c r="AL1760" i="7"/>
  <c r="AO1760" i="7" s="1"/>
  <c r="AP1760" i="7" s="1"/>
  <c r="AM1760" i="7"/>
  <c r="AL1761" i="7"/>
  <c r="AO1761" i="7" s="1"/>
  <c r="AP1761" i="7" s="1"/>
  <c r="AM1761" i="7"/>
  <c r="AL1762" i="7"/>
  <c r="AO1762" i="7" s="1"/>
  <c r="AP1762" i="7" s="1"/>
  <c r="AM1762" i="7"/>
  <c r="AL1763" i="7"/>
  <c r="AM1763" i="7"/>
  <c r="AO1763" i="7"/>
  <c r="AP1763" i="7"/>
  <c r="AL1764" i="7"/>
  <c r="AO1764" i="7" s="1"/>
  <c r="AP1764" i="7" s="1"/>
  <c r="AM1764" i="7"/>
  <c r="AL1765" i="7"/>
  <c r="AO1765" i="7" s="1"/>
  <c r="AP1765" i="7" s="1"/>
  <c r="AQ1765" i="7" s="1"/>
  <c r="AM1765" i="7"/>
  <c r="AL1766" i="7"/>
  <c r="AO1766" i="7" s="1"/>
  <c r="AP1766" i="7" s="1"/>
  <c r="AQ1766" i="7" s="1"/>
  <c r="AM1766" i="7"/>
  <c r="AL1767" i="7"/>
  <c r="AO1767" i="7" s="1"/>
  <c r="AP1767" i="7" s="1"/>
  <c r="AQ1767" i="7" s="1"/>
  <c r="AM1767" i="7"/>
  <c r="AL1768" i="7"/>
  <c r="AO1768" i="7" s="1"/>
  <c r="AP1768" i="7" s="1"/>
  <c r="AM1768" i="7"/>
  <c r="AL1769" i="7"/>
  <c r="AO1769" i="7" s="1"/>
  <c r="AP1769" i="7" s="1"/>
  <c r="AM1769" i="7"/>
  <c r="AL1770" i="7"/>
  <c r="AO1770" i="7" s="1"/>
  <c r="AP1770" i="7" s="1"/>
  <c r="AM1770" i="7"/>
  <c r="AL1771" i="7"/>
  <c r="AO1771" i="7" s="1"/>
  <c r="AP1771" i="7" s="1"/>
  <c r="AM1771" i="7"/>
  <c r="AL1772" i="7"/>
  <c r="AO1772" i="7" s="1"/>
  <c r="AP1772" i="7" s="1"/>
  <c r="AM1772" i="7"/>
  <c r="AL1773" i="7"/>
  <c r="AO1773" i="7" s="1"/>
  <c r="AP1773" i="7" s="1"/>
  <c r="AQ1773" i="7" s="1"/>
  <c r="AM1773" i="7"/>
  <c r="AL1774" i="7"/>
  <c r="AO1774" i="7" s="1"/>
  <c r="AP1774" i="7" s="1"/>
  <c r="AM1774" i="7"/>
  <c r="AL1775" i="7"/>
  <c r="AO1775" i="7" s="1"/>
  <c r="AP1775" i="7" s="1"/>
  <c r="AM1775" i="7"/>
  <c r="AL1776" i="7"/>
  <c r="AO1776" i="7" s="1"/>
  <c r="AP1776" i="7" s="1"/>
  <c r="AM1776" i="7"/>
  <c r="AL1777" i="7"/>
  <c r="AO1777" i="7" s="1"/>
  <c r="AP1777" i="7" s="1"/>
  <c r="AM1777" i="7"/>
  <c r="AL1778" i="7"/>
  <c r="AO1778" i="7" s="1"/>
  <c r="AP1778" i="7" s="1"/>
  <c r="AQ1778" i="7" s="1"/>
  <c r="AM1778" i="7"/>
  <c r="AL1779" i="7"/>
  <c r="AO1779" i="7" s="1"/>
  <c r="AP1779" i="7" s="1"/>
  <c r="AQ1779" i="7" s="1"/>
  <c r="AM1779" i="7"/>
  <c r="AL1780" i="7"/>
  <c r="AO1780" i="7" s="1"/>
  <c r="AP1780" i="7" s="1"/>
  <c r="AQ1780" i="7" s="1"/>
  <c r="AM1780" i="7"/>
  <c r="AL1781" i="7"/>
  <c r="AO1781" i="7" s="1"/>
  <c r="AP1781" i="7" s="1"/>
  <c r="AQ1781" i="7" s="1"/>
  <c r="AM1781" i="7"/>
  <c r="AL1782" i="7"/>
  <c r="AO1782" i="7" s="1"/>
  <c r="AP1782" i="7" s="1"/>
  <c r="AQ1782" i="7" s="1"/>
  <c r="AM1782" i="7"/>
  <c r="AL1783" i="7"/>
  <c r="AO1783" i="7" s="1"/>
  <c r="AP1783" i="7" s="1"/>
  <c r="AM1783" i="7"/>
  <c r="AL1784" i="7"/>
  <c r="AO1784" i="7" s="1"/>
  <c r="AP1784" i="7" s="1"/>
  <c r="AM1784" i="7"/>
  <c r="AL1785" i="7"/>
  <c r="AO1785" i="7" s="1"/>
  <c r="AP1785" i="7" s="1"/>
  <c r="AM1785" i="7"/>
  <c r="AL1786" i="7"/>
  <c r="AO1786" i="7" s="1"/>
  <c r="AP1786" i="7" s="1"/>
  <c r="AM1786" i="7"/>
  <c r="AL1787" i="7"/>
  <c r="AO1787" i="7" s="1"/>
  <c r="AP1787" i="7" s="1"/>
  <c r="AQ1787" i="7" s="1"/>
  <c r="AM1787" i="7"/>
  <c r="AL1788" i="7"/>
  <c r="AO1788" i="7" s="1"/>
  <c r="AP1788" i="7" s="1"/>
  <c r="AQ1788" i="7" s="1"/>
  <c r="AM1788" i="7"/>
  <c r="AL1789" i="7"/>
  <c r="AO1789" i="7" s="1"/>
  <c r="AP1789" i="7" s="1"/>
  <c r="AM1789" i="7"/>
  <c r="AL1790" i="7"/>
  <c r="AO1790" i="7" s="1"/>
  <c r="AP1790" i="7" s="1"/>
  <c r="AM1790" i="7"/>
  <c r="AL1791" i="7"/>
  <c r="AO1791" i="7" s="1"/>
  <c r="AP1791" i="7" s="1"/>
  <c r="AM1791" i="7"/>
  <c r="AL1792" i="7"/>
  <c r="AO1792" i="7" s="1"/>
  <c r="AP1792" i="7" s="1"/>
  <c r="AM1792" i="7"/>
  <c r="AL1793" i="7"/>
  <c r="AM1793" i="7"/>
  <c r="AO1793" i="7"/>
  <c r="AP1793" i="7" s="1"/>
  <c r="AQ1793" i="7" s="1"/>
  <c r="AL1794" i="7"/>
  <c r="AO1794" i="7" s="1"/>
  <c r="AP1794" i="7" s="1"/>
  <c r="AQ1794" i="7" s="1"/>
  <c r="AM1794" i="7"/>
  <c r="AL1795" i="7"/>
  <c r="AO1795" i="7" s="1"/>
  <c r="AP1795" i="7" s="1"/>
  <c r="AQ1795" i="7" s="1"/>
  <c r="AM1795" i="7"/>
  <c r="AL1796" i="7"/>
  <c r="AO1796" i="7" s="1"/>
  <c r="AP1796" i="7" s="1"/>
  <c r="AQ1796" i="7" s="1"/>
  <c r="AM1796" i="7"/>
  <c r="AL1797" i="7"/>
  <c r="AO1797" i="7" s="1"/>
  <c r="AP1797" i="7" s="1"/>
  <c r="AM1797" i="7"/>
  <c r="AL1798" i="7"/>
  <c r="AO1798" i="7" s="1"/>
  <c r="AP1798" i="7" s="1"/>
  <c r="AM1798" i="7"/>
  <c r="AL1799" i="7"/>
  <c r="AO1799" i="7" s="1"/>
  <c r="AP1799" i="7" s="1"/>
  <c r="AM1799" i="7"/>
  <c r="AL1800" i="7"/>
  <c r="AO1800" i="7" s="1"/>
  <c r="AP1800" i="7" s="1"/>
  <c r="AM1800" i="7"/>
  <c r="AL1801" i="7"/>
  <c r="AO1801" i="7" s="1"/>
  <c r="AP1801" i="7" s="1"/>
  <c r="AQ1801" i="7" s="1"/>
  <c r="AM1801" i="7"/>
  <c r="AL1802" i="7"/>
  <c r="AO1802" i="7" s="1"/>
  <c r="AP1802" i="7" s="1"/>
  <c r="AM1802" i="7"/>
  <c r="AL1803" i="7"/>
  <c r="AO1803" i="7" s="1"/>
  <c r="AM1803" i="7"/>
  <c r="AP1803" i="7"/>
  <c r="AL1804" i="7"/>
  <c r="AO1804" i="7" s="1"/>
  <c r="AP1804" i="7" s="1"/>
  <c r="AM1804" i="7"/>
  <c r="AL1805" i="7"/>
  <c r="AO1805" i="7" s="1"/>
  <c r="AP1805" i="7" s="1"/>
  <c r="AM1805" i="7"/>
  <c r="AL1806" i="7"/>
  <c r="AM1806" i="7"/>
  <c r="AO1806" i="7"/>
  <c r="AP1806" i="7" s="1"/>
  <c r="AL1807" i="7"/>
  <c r="AO1807" i="7" s="1"/>
  <c r="AP1807" i="7" s="1"/>
  <c r="AQ1807" i="7" s="1"/>
  <c r="AM1807" i="7"/>
  <c r="AL1808" i="7"/>
  <c r="AM1808" i="7"/>
  <c r="AO1808" i="7"/>
  <c r="AP1808" i="7" s="1"/>
  <c r="AQ1808" i="7" s="1"/>
  <c r="AL1809" i="7"/>
  <c r="AO1809" i="7" s="1"/>
  <c r="AP1809" i="7" s="1"/>
  <c r="AQ1809" i="7" s="1"/>
  <c r="AM1809" i="7"/>
  <c r="AL1810" i="7"/>
  <c r="AO1810" i="7" s="1"/>
  <c r="AP1810" i="7" s="1"/>
  <c r="AM1810" i="7"/>
  <c r="AL1811" i="7"/>
  <c r="AO1811" i="7" s="1"/>
  <c r="AP1811" i="7" s="1"/>
  <c r="AM1811" i="7"/>
  <c r="AL1812" i="7"/>
  <c r="AO1812" i="7" s="1"/>
  <c r="AP1812" i="7" s="1"/>
  <c r="AM1812" i="7"/>
  <c r="AL1813" i="7"/>
  <c r="AO1813" i="7" s="1"/>
  <c r="AP1813" i="7" s="1"/>
  <c r="AM1813" i="7"/>
  <c r="AL1814" i="7"/>
  <c r="AO1814" i="7" s="1"/>
  <c r="AP1814" i="7" s="1"/>
  <c r="AM1814" i="7"/>
  <c r="AL1815" i="7"/>
  <c r="AO1815" i="7" s="1"/>
  <c r="AP1815" i="7" s="1"/>
  <c r="AQ1815" i="7" s="1"/>
  <c r="AM1815" i="7"/>
  <c r="AL1816" i="7"/>
  <c r="AO1816" i="7" s="1"/>
  <c r="AP1816" i="7" s="1"/>
  <c r="AM1816" i="7"/>
  <c r="AL1817" i="7"/>
  <c r="AO1817" i="7" s="1"/>
  <c r="AP1817" i="7" s="1"/>
  <c r="AM1817" i="7"/>
  <c r="AL1818" i="7"/>
  <c r="AO1818" i="7" s="1"/>
  <c r="AP1818" i="7" s="1"/>
  <c r="AM1818" i="7"/>
  <c r="AL1819" i="7"/>
  <c r="AO1819" i="7" s="1"/>
  <c r="AP1819" i="7" s="1"/>
  <c r="AM1819" i="7"/>
  <c r="AL1820" i="7"/>
  <c r="AO1820" i="7" s="1"/>
  <c r="AP1820" i="7" s="1"/>
  <c r="AM1820" i="7"/>
  <c r="AL1821" i="7"/>
  <c r="AO1821" i="7" s="1"/>
  <c r="AP1821" i="7" s="1"/>
  <c r="AQ1821" i="7" s="1"/>
  <c r="AM1821" i="7"/>
  <c r="AL1822" i="7"/>
  <c r="AO1822" i="7" s="1"/>
  <c r="AP1822" i="7" s="1"/>
  <c r="AQ1822" i="7" s="1"/>
  <c r="AM1822" i="7"/>
  <c r="AL1823" i="7"/>
  <c r="AO1823" i="7" s="1"/>
  <c r="AP1823" i="7" s="1"/>
  <c r="AQ1823" i="7" s="1"/>
  <c r="AM1823" i="7"/>
  <c r="AL1824" i="7"/>
  <c r="AO1824" i="7" s="1"/>
  <c r="AP1824" i="7" s="1"/>
  <c r="AQ1824" i="7" s="1"/>
  <c r="AM1824" i="7"/>
  <c r="AL1825" i="7"/>
  <c r="AM1825" i="7"/>
  <c r="AO1825" i="7"/>
  <c r="AP1825" i="7" s="1"/>
  <c r="AQ1825" i="7" s="1"/>
  <c r="AL1826" i="7"/>
  <c r="AO1826" i="7" s="1"/>
  <c r="AP1826" i="7" s="1"/>
  <c r="AM1826" i="7"/>
  <c r="AL1827" i="7"/>
  <c r="AO1827" i="7" s="1"/>
  <c r="AP1827" i="7" s="1"/>
  <c r="AM1827" i="7"/>
  <c r="AL1828" i="7"/>
  <c r="AO1828" i="7" s="1"/>
  <c r="AP1828" i="7" s="1"/>
  <c r="AM1828" i="7"/>
  <c r="AL1829" i="7"/>
  <c r="AO1829" i="7" s="1"/>
  <c r="AP1829" i="7" s="1"/>
  <c r="AQ1829" i="7" s="1"/>
  <c r="AM1829" i="7"/>
  <c r="AL1830" i="7"/>
  <c r="AO1830" i="7" s="1"/>
  <c r="AP1830" i="7" s="1"/>
  <c r="AM1830" i="7"/>
  <c r="AL1831" i="7"/>
  <c r="AO1831" i="7" s="1"/>
  <c r="AP1831" i="7" s="1"/>
  <c r="AM1831" i="7"/>
  <c r="AL1832" i="7"/>
  <c r="AO1832" i="7" s="1"/>
  <c r="AP1832" i="7" s="1"/>
  <c r="AM1832" i="7"/>
  <c r="AL1833" i="7"/>
  <c r="AO1833" i="7" s="1"/>
  <c r="AP1833" i="7" s="1"/>
  <c r="AM1833" i="7"/>
  <c r="AL1834" i="7"/>
  <c r="AO1834" i="7" s="1"/>
  <c r="AP1834" i="7" s="1"/>
  <c r="AM1834" i="7"/>
  <c r="AL1835" i="7"/>
  <c r="AO1835" i="7" s="1"/>
  <c r="AP1835" i="7" s="1"/>
  <c r="AQ1835" i="7" s="1"/>
  <c r="AM1835" i="7"/>
  <c r="AL1836" i="7"/>
  <c r="AO1836" i="7" s="1"/>
  <c r="AP1836" i="7" s="1"/>
  <c r="AQ1836" i="7" s="1"/>
  <c r="AM1836" i="7"/>
  <c r="AL1837" i="7"/>
  <c r="AO1837" i="7" s="1"/>
  <c r="AP1837" i="7" s="1"/>
  <c r="AQ1837" i="7" s="1"/>
  <c r="AM1837" i="7"/>
  <c r="AL1838" i="7"/>
  <c r="AM1838" i="7"/>
  <c r="AO1838" i="7"/>
  <c r="AP1838" i="7" s="1"/>
  <c r="AQ1838" i="7" s="1"/>
  <c r="AL1839" i="7"/>
  <c r="AO1839" i="7" s="1"/>
  <c r="AP1839" i="7" s="1"/>
  <c r="AM1839" i="7"/>
  <c r="AL1840" i="7"/>
  <c r="AO1840" i="7" s="1"/>
  <c r="AP1840" i="7" s="1"/>
  <c r="AQ1840" i="7" s="1"/>
  <c r="AM1840" i="7"/>
  <c r="AL1841" i="7"/>
  <c r="AO1841" i="7" s="1"/>
  <c r="AP1841" i="7" s="1"/>
  <c r="AM1841" i="7"/>
  <c r="AL1842" i="7"/>
  <c r="AO1842" i="7" s="1"/>
  <c r="AP1842" i="7" s="1"/>
  <c r="AM1842" i="7"/>
  <c r="AL1843" i="7"/>
  <c r="AM1843" i="7"/>
  <c r="AO1843" i="7"/>
  <c r="AP1843" i="7" s="1"/>
  <c r="AL1844" i="7"/>
  <c r="AO1844" i="7" s="1"/>
  <c r="AP1844" i="7" s="1"/>
  <c r="AM1844" i="7"/>
  <c r="AL1845" i="7"/>
  <c r="AO1845" i="7" s="1"/>
  <c r="AP1845" i="7" s="1"/>
  <c r="AM1845" i="7"/>
  <c r="AL1846" i="7"/>
  <c r="AO1846" i="7" s="1"/>
  <c r="AP1846" i="7" s="1"/>
  <c r="AM1846" i="7"/>
  <c r="AL1847" i="7"/>
  <c r="AO1847" i="7" s="1"/>
  <c r="AP1847" i="7" s="1"/>
  <c r="AM1847" i="7"/>
  <c r="AL1848" i="7"/>
  <c r="AO1848" i="7" s="1"/>
  <c r="AP1848" i="7" s="1"/>
  <c r="AQ1848" i="7" s="1"/>
  <c r="AM1848" i="7"/>
  <c r="AL1849" i="7"/>
  <c r="AO1849" i="7" s="1"/>
  <c r="AP1849" i="7" s="1"/>
  <c r="AQ1849" i="7" s="1"/>
  <c r="AM1849" i="7"/>
  <c r="AL1850" i="7"/>
  <c r="AO1850" i="7" s="1"/>
  <c r="AP1850" i="7" s="1"/>
  <c r="AQ1850" i="7" s="1"/>
  <c r="AM1850" i="7"/>
  <c r="AL1851" i="7"/>
  <c r="AO1851" i="7" s="1"/>
  <c r="AP1851" i="7" s="1"/>
  <c r="AQ1851" i="7" s="1"/>
  <c r="AM1851" i="7"/>
  <c r="AL1852" i="7"/>
  <c r="AO1852" i="7" s="1"/>
  <c r="AP1852" i="7" s="1"/>
  <c r="AM1852" i="7"/>
  <c r="AL1853" i="7"/>
  <c r="AO1853" i="7" s="1"/>
  <c r="AP1853" i="7" s="1"/>
  <c r="AM1853" i="7"/>
  <c r="AL1854" i="7"/>
  <c r="AO1854" i="7" s="1"/>
  <c r="AP1854" i="7" s="1"/>
  <c r="AQ1854" i="7" s="1"/>
  <c r="AM1854" i="7"/>
  <c r="AL1855" i="7"/>
  <c r="AM1855" i="7"/>
  <c r="AO1855" i="7"/>
  <c r="AP1855" i="7" s="1"/>
  <c r="AL1856" i="7"/>
  <c r="AO1856" i="7" s="1"/>
  <c r="AP1856" i="7" s="1"/>
  <c r="AM1856" i="7"/>
  <c r="AL1857" i="7"/>
  <c r="AM1857" i="7"/>
  <c r="AO1857" i="7"/>
  <c r="AP1857" i="7" s="1"/>
  <c r="AQ1857" i="7"/>
  <c r="AL1858" i="7"/>
  <c r="AO1858" i="7" s="1"/>
  <c r="AM1858" i="7"/>
  <c r="AP1858" i="7"/>
  <c r="AL1859" i="7"/>
  <c r="AO1859" i="7" s="1"/>
  <c r="AP1859" i="7" s="1"/>
  <c r="AM1859" i="7"/>
  <c r="AL1860" i="7"/>
  <c r="AO1860" i="7" s="1"/>
  <c r="AP1860" i="7" s="1"/>
  <c r="AM1860" i="7"/>
  <c r="AL1861" i="7"/>
  <c r="AO1861" i="7" s="1"/>
  <c r="AP1861" i="7" s="1"/>
  <c r="AM1861" i="7"/>
  <c r="AL1862" i="7"/>
  <c r="AO1862" i="7" s="1"/>
  <c r="AP1862" i="7" s="1"/>
  <c r="AM1862" i="7"/>
  <c r="AL1863" i="7"/>
  <c r="AM1863" i="7"/>
  <c r="AO1863" i="7"/>
  <c r="AP1863" i="7" s="1"/>
  <c r="AQ1863" i="7" s="1"/>
  <c r="AL1864" i="7"/>
  <c r="AO1864" i="7" s="1"/>
  <c r="AP1864" i="7" s="1"/>
  <c r="AQ1864" i="7" s="1"/>
  <c r="AM1864" i="7"/>
  <c r="AL1865" i="7"/>
  <c r="AO1865" i="7" s="1"/>
  <c r="AP1865" i="7" s="1"/>
  <c r="AQ1865" i="7" s="1"/>
  <c r="AM1865" i="7"/>
  <c r="AL1866" i="7"/>
  <c r="AO1866" i="7" s="1"/>
  <c r="AP1866" i="7" s="1"/>
  <c r="AQ1866" i="7" s="1"/>
  <c r="AM1866" i="7"/>
  <c r="AL1867" i="7"/>
  <c r="AO1867" i="7" s="1"/>
  <c r="AP1867" i="7" s="1"/>
  <c r="AM1867" i="7"/>
  <c r="AL1868" i="7"/>
  <c r="AO1868" i="7" s="1"/>
  <c r="AP1868" i="7" s="1"/>
  <c r="AM1868" i="7"/>
  <c r="AL1869" i="7"/>
  <c r="AO1869" i="7" s="1"/>
  <c r="AP1869" i="7" s="1"/>
  <c r="AM1869" i="7"/>
  <c r="AL1870" i="7"/>
  <c r="AO1870" i="7" s="1"/>
  <c r="AP1870" i="7" s="1"/>
  <c r="AM1870" i="7"/>
  <c r="AL1871" i="7"/>
  <c r="AO1871" i="7" s="1"/>
  <c r="AP1871" i="7" s="1"/>
  <c r="AM1871" i="7"/>
  <c r="AQ1871" i="7"/>
  <c r="AL1872" i="7"/>
  <c r="AO1872" i="7" s="1"/>
  <c r="AP1872" i="7" s="1"/>
  <c r="AM1872" i="7"/>
  <c r="AL1873" i="7"/>
  <c r="AO1873" i="7" s="1"/>
  <c r="AP1873" i="7" s="1"/>
  <c r="AM1873" i="7"/>
  <c r="AL1874" i="7"/>
  <c r="AO1874" i="7" s="1"/>
  <c r="AP1874" i="7" s="1"/>
  <c r="AM1874" i="7"/>
  <c r="AL1875" i="7"/>
  <c r="AO1875" i="7" s="1"/>
  <c r="AP1875" i="7" s="1"/>
  <c r="AM1875" i="7"/>
  <c r="AL1876" i="7"/>
  <c r="AO1876" i="7" s="1"/>
  <c r="AP1876" i="7" s="1"/>
  <c r="AQ1876" i="7" s="1"/>
  <c r="AM1876" i="7"/>
  <c r="AL1877" i="7"/>
  <c r="AM1877" i="7"/>
  <c r="AO1877" i="7"/>
  <c r="AP1877" i="7" s="1"/>
  <c r="AQ1877" i="7" s="1"/>
  <c r="AL1878" i="7"/>
  <c r="AO1878" i="7" s="1"/>
  <c r="AP1878" i="7" s="1"/>
  <c r="AQ1878" i="7" s="1"/>
  <c r="AM1878" i="7"/>
  <c r="AL1879" i="7"/>
  <c r="AO1879" i="7" s="1"/>
  <c r="AP1879" i="7" s="1"/>
  <c r="AQ1879" i="7" s="1"/>
  <c r="AM1879" i="7"/>
  <c r="AL1880" i="7"/>
  <c r="AO1880" i="7" s="1"/>
  <c r="AP1880" i="7" s="1"/>
  <c r="AQ1880" i="7" s="1"/>
  <c r="AM1880" i="7"/>
  <c r="AL1881" i="7"/>
  <c r="AO1881" i="7" s="1"/>
  <c r="AP1881" i="7" s="1"/>
  <c r="AM1881" i="7"/>
  <c r="AL1882" i="7"/>
  <c r="AO1882" i="7" s="1"/>
  <c r="AP1882" i="7" s="1"/>
  <c r="AM1882" i="7"/>
  <c r="AL1883" i="7"/>
  <c r="AM1883" i="7"/>
  <c r="AO1883" i="7"/>
  <c r="AP1883" i="7" s="1"/>
  <c r="AL1884" i="7"/>
  <c r="AO1884" i="7" s="1"/>
  <c r="AP1884" i="7" s="1"/>
  <c r="AM1884" i="7"/>
  <c r="AL1885" i="7"/>
  <c r="AM1885" i="7"/>
  <c r="AO1885" i="7"/>
  <c r="AP1885" i="7" s="1"/>
  <c r="AQ1885" i="7" s="1"/>
  <c r="AL1886" i="7"/>
  <c r="AO1886" i="7" s="1"/>
  <c r="AP1886" i="7" s="1"/>
  <c r="AQ1886" i="7" s="1"/>
  <c r="AM1886" i="7"/>
  <c r="AL1887" i="7"/>
  <c r="AO1887" i="7" s="1"/>
  <c r="AP1887" i="7" s="1"/>
  <c r="AM1887" i="7"/>
  <c r="AL1888" i="7"/>
  <c r="AO1888" i="7" s="1"/>
  <c r="AP1888" i="7" s="1"/>
  <c r="AM1888" i="7"/>
  <c r="AL1889" i="7"/>
  <c r="AO1889" i="7" s="1"/>
  <c r="AP1889" i="7" s="1"/>
  <c r="AM1889" i="7"/>
  <c r="AL1890" i="7"/>
  <c r="AO1890" i="7" s="1"/>
  <c r="AP1890" i="7" s="1"/>
  <c r="AM1890" i="7"/>
  <c r="AL1891" i="7"/>
  <c r="AO1891" i="7" s="1"/>
  <c r="AP1891" i="7" s="1"/>
  <c r="AQ1891" i="7" s="1"/>
  <c r="AM1891" i="7"/>
  <c r="AL1892" i="7"/>
  <c r="AO1892" i="7" s="1"/>
  <c r="AP1892" i="7" s="1"/>
  <c r="AQ1892" i="7" s="1"/>
  <c r="AM1892" i="7"/>
  <c r="AL1893" i="7"/>
  <c r="AO1893" i="7" s="1"/>
  <c r="AP1893" i="7" s="1"/>
  <c r="AQ1893" i="7" s="1"/>
  <c r="AM1893" i="7"/>
  <c r="AL1894" i="7"/>
  <c r="AO1894" i="7" s="1"/>
  <c r="AP1894" i="7" s="1"/>
  <c r="AQ1894" i="7" s="1"/>
  <c r="AM1894" i="7"/>
  <c r="AL1895" i="7"/>
  <c r="AO1895" i="7" s="1"/>
  <c r="AP1895" i="7" s="1"/>
  <c r="AM1895" i="7"/>
  <c r="AL1896" i="7"/>
  <c r="AO1896" i="7" s="1"/>
  <c r="AP1896" i="7" s="1"/>
  <c r="AM1896" i="7"/>
  <c r="AL1897" i="7"/>
  <c r="AO1897" i="7" s="1"/>
  <c r="AP1897" i="7" s="1"/>
  <c r="AM1897" i="7"/>
  <c r="AL1898" i="7"/>
  <c r="AO1898" i="7" s="1"/>
  <c r="AP1898" i="7" s="1"/>
  <c r="AM1898" i="7"/>
  <c r="AL1899" i="7"/>
  <c r="AO1899" i="7" s="1"/>
  <c r="AP1899" i="7" s="1"/>
  <c r="AM1899" i="7"/>
  <c r="AL1900" i="7"/>
  <c r="AO1900" i="7" s="1"/>
  <c r="AP1900" i="7" s="1"/>
  <c r="AM1900" i="7"/>
  <c r="AL1901" i="7"/>
  <c r="AO1901" i="7" s="1"/>
  <c r="AP1901" i="7" s="1"/>
  <c r="AM1901" i="7"/>
  <c r="AL1902" i="7"/>
  <c r="AO1902" i="7" s="1"/>
  <c r="AM1902" i="7"/>
  <c r="AP1902" i="7"/>
  <c r="AL1903" i="7"/>
  <c r="AO1903" i="7" s="1"/>
  <c r="AP1903" i="7" s="1"/>
  <c r="AM1903" i="7"/>
  <c r="AL1904" i="7"/>
  <c r="AO1904" i="7" s="1"/>
  <c r="AP1904" i="7" s="1"/>
  <c r="AM1904" i="7"/>
  <c r="AL1905" i="7"/>
  <c r="AO1905" i="7" s="1"/>
  <c r="AP1905" i="7" s="1"/>
  <c r="AQ1905" i="7" s="1"/>
  <c r="AM1905" i="7"/>
  <c r="AL1906" i="7"/>
  <c r="AO1906" i="7" s="1"/>
  <c r="AM1906" i="7"/>
  <c r="AP1906" i="7"/>
  <c r="AQ1906" i="7" s="1"/>
  <c r="AL1907" i="7"/>
  <c r="AO1907" i="7" s="1"/>
  <c r="AP1907" i="7" s="1"/>
  <c r="AQ1907" i="7" s="1"/>
  <c r="AM1907" i="7"/>
  <c r="AL1908" i="7"/>
  <c r="AO1908" i="7" s="1"/>
  <c r="AP1908" i="7" s="1"/>
  <c r="AM1908" i="7"/>
  <c r="AL1909" i="7"/>
  <c r="AO1909" i="7" s="1"/>
  <c r="AP1909" i="7" s="1"/>
  <c r="AM1909" i="7"/>
  <c r="AL1910" i="7"/>
  <c r="AO1910" i="7" s="1"/>
  <c r="AP1910" i="7" s="1"/>
  <c r="AM1910" i="7"/>
  <c r="AL1911" i="7"/>
  <c r="AO1911" i="7" s="1"/>
  <c r="AP1911" i="7" s="1"/>
  <c r="AM1911" i="7"/>
  <c r="AL1912" i="7"/>
  <c r="AO1912" i="7" s="1"/>
  <c r="AP1912" i="7" s="1"/>
  <c r="AM1912" i="7"/>
  <c r="AL1913" i="7"/>
  <c r="AO1913" i="7" s="1"/>
  <c r="AP1913" i="7" s="1"/>
  <c r="AM1913" i="7"/>
  <c r="AL1914" i="7"/>
  <c r="AO1914" i="7" s="1"/>
  <c r="AP1914" i="7" s="1"/>
  <c r="AQ1914" i="7" s="1"/>
  <c r="AM1914" i="7"/>
  <c r="AL1915" i="7"/>
  <c r="AO1915" i="7" s="1"/>
  <c r="AP1915" i="7" s="1"/>
  <c r="AM1915" i="7"/>
  <c r="AL1916" i="7"/>
  <c r="AO1916" i="7" s="1"/>
  <c r="AP1916" i="7" s="1"/>
  <c r="AM1916" i="7"/>
  <c r="AL1917" i="7"/>
  <c r="AO1917" i="7" s="1"/>
  <c r="AM1917" i="7"/>
  <c r="AP1917" i="7"/>
  <c r="AL1918" i="7"/>
  <c r="AO1918" i="7" s="1"/>
  <c r="AP1918" i="7" s="1"/>
  <c r="AQ1918" i="7" s="1"/>
  <c r="AM1918" i="7"/>
  <c r="AL1919" i="7"/>
  <c r="AO1919" i="7" s="1"/>
  <c r="AP1919" i="7" s="1"/>
  <c r="AQ1919" i="7" s="1"/>
  <c r="AM1919" i="7"/>
  <c r="AL1920" i="7"/>
  <c r="AO1920" i="7" s="1"/>
  <c r="AP1920" i="7" s="1"/>
  <c r="AQ1920" i="7" s="1"/>
  <c r="AM1920" i="7"/>
  <c r="AL1921" i="7"/>
  <c r="AO1921" i="7" s="1"/>
  <c r="AP1921" i="7" s="1"/>
  <c r="AQ1921" i="7" s="1"/>
  <c r="AM1921" i="7"/>
  <c r="AL1922" i="7"/>
  <c r="AO1922" i="7" s="1"/>
  <c r="AP1922" i="7" s="1"/>
  <c r="AQ1922" i="7" s="1"/>
  <c r="AM1922" i="7"/>
  <c r="AL1923" i="7"/>
  <c r="AO1923" i="7" s="1"/>
  <c r="AP1923" i="7" s="1"/>
  <c r="AM1923" i="7"/>
  <c r="AL1924" i="7"/>
  <c r="AO1924" i="7" s="1"/>
  <c r="AP1924" i="7" s="1"/>
  <c r="AM1924" i="7"/>
  <c r="AL1925" i="7"/>
  <c r="AO1925" i="7" s="1"/>
  <c r="AP1925" i="7" s="1"/>
  <c r="AM1925" i="7"/>
  <c r="AL1926" i="7"/>
  <c r="AO1926" i="7" s="1"/>
  <c r="AP1926" i="7" s="1"/>
  <c r="AM1926" i="7"/>
  <c r="AL1927" i="7"/>
  <c r="AO1927" i="7" s="1"/>
  <c r="AP1927" i="7" s="1"/>
  <c r="AM1927" i="7"/>
  <c r="AL1928" i="7"/>
  <c r="AO1928" i="7" s="1"/>
  <c r="AP1928" i="7" s="1"/>
  <c r="AM1928" i="7"/>
  <c r="AL1929" i="7"/>
  <c r="AO1929" i="7" s="1"/>
  <c r="AP1929" i="7" s="1"/>
  <c r="AM1929" i="7"/>
  <c r="AL1930" i="7"/>
  <c r="AO1930" i="7" s="1"/>
  <c r="AP1930" i="7" s="1"/>
  <c r="AM1930" i="7"/>
  <c r="AL1931" i="7"/>
  <c r="AO1931" i="7" s="1"/>
  <c r="AP1931" i="7" s="1"/>
  <c r="AM1931" i="7"/>
  <c r="AL1932" i="7"/>
  <c r="AO1932" i="7" s="1"/>
  <c r="AP1932" i="7" s="1"/>
  <c r="AM1932" i="7"/>
  <c r="AL1933" i="7"/>
  <c r="AO1933" i="7" s="1"/>
  <c r="AP1933" i="7" s="1"/>
  <c r="AQ1933" i="7" s="1"/>
  <c r="AM1933" i="7"/>
  <c r="AL1934" i="7"/>
  <c r="AO1934" i="7" s="1"/>
  <c r="AP1934" i="7" s="1"/>
  <c r="AQ1934" i="7" s="1"/>
  <c r="AM1934" i="7"/>
  <c r="AL1935" i="7"/>
  <c r="AO1935" i="7" s="1"/>
  <c r="AP1935" i="7" s="1"/>
  <c r="AQ1935" i="7" s="1"/>
  <c r="AM1935" i="7"/>
  <c r="AL1936" i="7"/>
  <c r="AO1936" i="7" s="1"/>
  <c r="AP1936" i="7" s="1"/>
  <c r="AQ1936" i="7" s="1"/>
  <c r="AM1936" i="7"/>
  <c r="AL1937" i="7"/>
  <c r="AO1937" i="7" s="1"/>
  <c r="AP1937" i="7" s="1"/>
  <c r="AM1937" i="7"/>
  <c r="AL1938" i="7"/>
  <c r="AO1938" i="7" s="1"/>
  <c r="AP1938" i="7" s="1"/>
  <c r="AM1938" i="7"/>
  <c r="AL1939" i="7"/>
  <c r="AO1939" i="7" s="1"/>
  <c r="AP1939" i="7" s="1"/>
  <c r="AM1939" i="7"/>
  <c r="AL1940" i="7"/>
  <c r="AO1940" i="7" s="1"/>
  <c r="AP1940" i="7" s="1"/>
  <c r="AM1940" i="7"/>
  <c r="AL1941" i="7"/>
  <c r="AO1941" i="7" s="1"/>
  <c r="AP1941" i="7" s="1"/>
  <c r="AM1941" i="7"/>
  <c r="AL1942" i="7"/>
  <c r="AO1942" i="7" s="1"/>
  <c r="AP1942" i="7" s="1"/>
  <c r="AM1942" i="7"/>
  <c r="AQ1942" i="7"/>
  <c r="AL1943" i="7"/>
  <c r="AO1943" i="7" s="1"/>
  <c r="AP1943" i="7" s="1"/>
  <c r="AM1943" i="7"/>
  <c r="AL1944" i="7"/>
  <c r="AM1944" i="7"/>
  <c r="AO1944" i="7"/>
  <c r="AP1944" i="7" s="1"/>
  <c r="AL1945" i="7"/>
  <c r="AO1945" i="7" s="1"/>
  <c r="AP1945" i="7" s="1"/>
  <c r="AM1945" i="7"/>
  <c r="AL1946" i="7"/>
  <c r="AM1946" i="7"/>
  <c r="AO1946" i="7"/>
  <c r="AP1946" i="7"/>
  <c r="AQ1946" i="7" s="1"/>
  <c r="AL1947" i="7"/>
  <c r="AO1947" i="7" s="1"/>
  <c r="AP1947" i="7" s="1"/>
  <c r="AQ1947" i="7" s="1"/>
  <c r="AM1947" i="7"/>
  <c r="AL1948" i="7"/>
  <c r="AO1948" i="7" s="1"/>
  <c r="AP1948" i="7" s="1"/>
  <c r="AQ1948" i="7" s="1"/>
  <c r="AM1948" i="7"/>
  <c r="AL1949" i="7"/>
  <c r="AO1949" i="7" s="1"/>
  <c r="AP1949" i="7" s="1"/>
  <c r="AQ1949" i="7" s="1"/>
  <c r="AM1949" i="7"/>
  <c r="AL1950" i="7"/>
  <c r="AO1950" i="7" s="1"/>
  <c r="AP1950" i="7" s="1"/>
  <c r="AQ1950" i="7" s="1"/>
  <c r="AM1950" i="7"/>
  <c r="AL1951" i="7"/>
  <c r="AO1951" i="7" s="1"/>
  <c r="AP1951" i="7" s="1"/>
  <c r="AM1951" i="7"/>
  <c r="AL1952" i="7"/>
  <c r="AO1952" i="7" s="1"/>
  <c r="AP1952" i="7" s="1"/>
  <c r="AM1952" i="7"/>
  <c r="AL1953" i="7"/>
  <c r="AO1953" i="7" s="1"/>
  <c r="AP1953" i="7" s="1"/>
  <c r="AM1953" i="7"/>
  <c r="AL1954" i="7"/>
  <c r="AO1954" i="7" s="1"/>
  <c r="AP1954" i="7" s="1"/>
  <c r="AM1954" i="7"/>
  <c r="AL1955" i="7"/>
  <c r="AO1955" i="7" s="1"/>
  <c r="AP1955" i="7" s="1"/>
  <c r="AQ1955" i="7" s="1"/>
  <c r="AM1955" i="7"/>
  <c r="AL1956" i="7"/>
  <c r="AM1956" i="7"/>
  <c r="AO1956" i="7"/>
  <c r="AP1956" i="7" s="1"/>
  <c r="AQ1956" i="7" s="1"/>
  <c r="AL1957" i="7"/>
  <c r="AO1957" i="7" s="1"/>
  <c r="AP1957" i="7" s="1"/>
  <c r="AM1957" i="7"/>
  <c r="AL1958" i="7"/>
  <c r="AO1958" i="7" s="1"/>
  <c r="AP1958" i="7" s="1"/>
  <c r="AM1958" i="7"/>
  <c r="AL1959" i="7"/>
  <c r="AO1959" i="7" s="1"/>
  <c r="AP1959" i="7" s="1"/>
  <c r="AM1959" i="7"/>
  <c r="AL1960" i="7"/>
  <c r="AO1960" i="7" s="1"/>
  <c r="AP1960" i="7" s="1"/>
  <c r="AQ1960" i="7" s="1"/>
  <c r="AM1960" i="7"/>
  <c r="AL1961" i="7"/>
  <c r="AO1961" i="7" s="1"/>
  <c r="AP1961" i="7" s="1"/>
  <c r="AQ1961" i="7" s="1"/>
  <c r="AM1961" i="7"/>
  <c r="AL1962" i="7"/>
  <c r="AO1962" i="7" s="1"/>
  <c r="AP1962" i="7" s="1"/>
  <c r="AQ1962" i="7" s="1"/>
  <c r="AM1962" i="7"/>
  <c r="AL1963" i="7"/>
  <c r="AO1963" i="7" s="1"/>
  <c r="AP1963" i="7" s="1"/>
  <c r="AQ1963" i="7" s="1"/>
  <c r="AM1963" i="7"/>
  <c r="AL1964" i="7"/>
  <c r="AO1964" i="7" s="1"/>
  <c r="AP1964" i="7" s="1"/>
  <c r="AM1964" i="7"/>
  <c r="AL1965" i="7"/>
  <c r="AO1965" i="7" s="1"/>
  <c r="AP1965" i="7" s="1"/>
  <c r="AM1965" i="7"/>
  <c r="AL1966" i="7"/>
  <c r="AO1966" i="7" s="1"/>
  <c r="AP1966" i="7" s="1"/>
  <c r="AQ1966" i="7" s="1"/>
  <c r="AM1966" i="7"/>
  <c r="AL1967" i="7"/>
  <c r="AO1967" i="7" s="1"/>
  <c r="AP1967" i="7" s="1"/>
  <c r="AM1967" i="7"/>
  <c r="AL1968" i="7"/>
  <c r="AM1968" i="7"/>
  <c r="AO1968" i="7"/>
  <c r="AP1968" i="7" s="1"/>
  <c r="AL1969" i="7"/>
  <c r="AO1969" i="7" s="1"/>
  <c r="AP1969" i="7" s="1"/>
  <c r="AQ1969" i="7" s="1"/>
  <c r="AM1969" i="7"/>
  <c r="AL1970" i="7"/>
  <c r="AO1970" i="7" s="1"/>
  <c r="AP1970" i="7" s="1"/>
  <c r="AM1970" i="7"/>
  <c r="AL1971" i="7"/>
  <c r="AO1971" i="7" s="1"/>
  <c r="AP1971" i="7" s="1"/>
  <c r="AM1971" i="7"/>
  <c r="AL1972" i="7"/>
  <c r="AO1972" i="7" s="1"/>
  <c r="AP1972" i="7" s="1"/>
  <c r="AM1972" i="7"/>
  <c r="AL1973" i="7"/>
  <c r="AO1973" i="7" s="1"/>
  <c r="AP1973" i="7" s="1"/>
  <c r="AM1973" i="7"/>
  <c r="AL1974" i="7"/>
  <c r="AO1974" i="7" s="1"/>
  <c r="AP1974" i="7" s="1"/>
  <c r="AM1974" i="7"/>
  <c r="AL1975" i="7"/>
  <c r="AO1975" i="7" s="1"/>
  <c r="AP1975" i="7" s="1"/>
  <c r="AQ1975" i="7" s="1"/>
  <c r="AM1975" i="7"/>
  <c r="AL1976" i="7"/>
  <c r="AO1976" i="7" s="1"/>
  <c r="AP1976" i="7" s="1"/>
  <c r="AQ1976" i="7" s="1"/>
  <c r="AM1976" i="7"/>
  <c r="AL1977" i="7"/>
  <c r="AO1977" i="7" s="1"/>
  <c r="AP1977" i="7" s="1"/>
  <c r="AQ1977" i="7" s="1"/>
  <c r="AM1977" i="7"/>
  <c r="AL1978" i="7"/>
  <c r="AO1978" i="7" s="1"/>
  <c r="AP1978" i="7" s="1"/>
  <c r="AM1978" i="7"/>
  <c r="AL1979" i="7"/>
  <c r="AO1979" i="7" s="1"/>
  <c r="AP1979" i="7" s="1"/>
  <c r="AM1979" i="7"/>
  <c r="AL1980" i="7"/>
  <c r="AO1980" i="7" s="1"/>
  <c r="AP1980" i="7" s="1"/>
  <c r="AM1980" i="7"/>
  <c r="AL1981" i="7"/>
  <c r="AO1981" i="7" s="1"/>
  <c r="AP1981" i="7" s="1"/>
  <c r="AM1981" i="7"/>
  <c r="AL1982" i="7"/>
  <c r="AO1982" i="7" s="1"/>
  <c r="AP1982" i="7" s="1"/>
  <c r="AM1982" i="7"/>
  <c r="AL1983" i="7"/>
  <c r="AO1983" i="7" s="1"/>
  <c r="AP1983" i="7" s="1"/>
  <c r="AM1983" i="7"/>
  <c r="AL1984" i="7"/>
  <c r="AO1984" i="7" s="1"/>
  <c r="AP1984" i="7" s="1"/>
  <c r="AM1984" i="7"/>
  <c r="AL1985" i="7"/>
  <c r="AO1985" i="7" s="1"/>
  <c r="AP1985" i="7" s="1"/>
  <c r="AM1985" i="7"/>
  <c r="AL1986" i="7"/>
  <c r="AO1986" i="7" s="1"/>
  <c r="AP1986" i="7" s="1"/>
  <c r="AM1986" i="7"/>
  <c r="AL1987" i="7"/>
  <c r="AO1987" i="7" s="1"/>
  <c r="AP1987" i="7" s="1"/>
  <c r="AM1987" i="7"/>
  <c r="AL1988" i="7"/>
  <c r="AO1988" i="7" s="1"/>
  <c r="AP1988" i="7" s="1"/>
  <c r="AM1988" i="7"/>
  <c r="AL1989" i="7"/>
  <c r="AO1989" i="7" s="1"/>
  <c r="AP1989" i="7" s="1"/>
  <c r="AQ1989" i="7" s="1"/>
  <c r="AM1989" i="7"/>
  <c r="AL1990" i="7"/>
  <c r="AO1990" i="7" s="1"/>
  <c r="AP1990" i="7" s="1"/>
  <c r="AQ1990" i="7" s="1"/>
  <c r="AM1990" i="7"/>
  <c r="AL1991" i="7"/>
  <c r="AM1991" i="7"/>
  <c r="AO1991" i="7"/>
  <c r="AP1991" i="7" s="1"/>
  <c r="AQ1991" i="7" s="1"/>
  <c r="AL1992" i="7"/>
  <c r="AO1992" i="7" s="1"/>
  <c r="AP1992" i="7" s="1"/>
  <c r="AM1992" i="7"/>
  <c r="AL1993" i="7"/>
  <c r="AO1993" i="7" s="1"/>
  <c r="AP1993" i="7" s="1"/>
  <c r="AM1993" i="7"/>
  <c r="AL1994" i="7"/>
  <c r="AO1994" i="7" s="1"/>
  <c r="AP1994" i="7" s="1"/>
  <c r="AQ1994" i="7" s="1"/>
  <c r="AM1994" i="7"/>
  <c r="AL1995" i="7"/>
  <c r="AO1995" i="7" s="1"/>
  <c r="AP1995" i="7" s="1"/>
  <c r="AM1995" i="7"/>
  <c r="AL1996" i="7"/>
  <c r="AO1996" i="7" s="1"/>
  <c r="AP1996" i="7" s="1"/>
  <c r="AM1996" i="7"/>
  <c r="AL1997" i="7"/>
  <c r="AO1997" i="7" s="1"/>
  <c r="AP1997" i="7" s="1"/>
  <c r="AQ1997" i="7" s="1"/>
  <c r="AM1997" i="7"/>
  <c r="AL1998" i="7"/>
  <c r="AO1998" i="7" s="1"/>
  <c r="AP1998" i="7" s="1"/>
  <c r="AQ1998" i="7" s="1"/>
  <c r="AM1998" i="7"/>
  <c r="AL1999" i="7"/>
  <c r="AO1999" i="7" s="1"/>
  <c r="AP1999" i="7" s="1"/>
  <c r="AM1999" i="7"/>
  <c r="AL2000" i="7"/>
  <c r="AM2000" i="7"/>
  <c r="AO2000" i="7"/>
  <c r="AP2000" i="7" s="1"/>
  <c r="AL2001" i="7"/>
  <c r="AO2001" i="7" s="1"/>
  <c r="AP2001" i="7" s="1"/>
  <c r="AM2001" i="7"/>
  <c r="AL2002" i="7"/>
  <c r="AO2002" i="7" s="1"/>
  <c r="AP2002" i="7" s="1"/>
  <c r="AM2002" i="7"/>
  <c r="AL2003" i="7"/>
  <c r="AO2003" i="7" s="1"/>
  <c r="AP2003" i="7" s="1"/>
  <c r="AQ2003" i="7" s="1"/>
  <c r="AM2003" i="7"/>
  <c r="AL2004" i="7"/>
  <c r="AO2004" i="7" s="1"/>
  <c r="AP2004" i="7" s="1"/>
  <c r="AQ2004" i="7" s="1"/>
  <c r="AM2004" i="7"/>
  <c r="AL2005" i="7"/>
  <c r="AO2005" i="7" s="1"/>
  <c r="AP2005" i="7" s="1"/>
  <c r="AQ2005" i="7" s="1"/>
  <c r="AM2005" i="7"/>
  <c r="AL2006" i="7"/>
  <c r="AO2006" i="7" s="1"/>
  <c r="AP2006" i="7" s="1"/>
  <c r="AQ2006" i="7" s="1"/>
  <c r="AM2006" i="7"/>
  <c r="AL2007" i="7"/>
  <c r="AO2007" i="7" s="1"/>
  <c r="AP2007" i="7" s="1"/>
  <c r="AM2007" i="7"/>
  <c r="AL2008" i="7"/>
  <c r="AO2008" i="7" s="1"/>
  <c r="AP2008" i="7" s="1"/>
  <c r="AM2008" i="7"/>
  <c r="AL2009" i="7"/>
  <c r="AO2009" i="7" s="1"/>
  <c r="AM2009" i="7"/>
  <c r="AP2009" i="7"/>
  <c r="AL2010" i="7"/>
  <c r="AO2010" i="7" s="1"/>
  <c r="AP2010" i="7" s="1"/>
  <c r="AM2010" i="7"/>
  <c r="AQ2010" i="7"/>
  <c r="AL2011" i="7"/>
  <c r="AO2011" i="7" s="1"/>
  <c r="AP2011" i="7" s="1"/>
  <c r="AQ2011" i="7" s="1"/>
  <c r="AM2011" i="7"/>
  <c r="AL2012" i="7"/>
  <c r="AO2012" i="7" s="1"/>
  <c r="AP2012" i="7" s="1"/>
  <c r="AM2012" i="7"/>
  <c r="AL2013" i="7"/>
  <c r="AO2013" i="7" s="1"/>
  <c r="AP2013" i="7" s="1"/>
  <c r="AM2013" i="7"/>
  <c r="AL2014" i="7"/>
  <c r="AO2014" i="7" s="1"/>
  <c r="AP2014" i="7" s="1"/>
  <c r="AM2014" i="7"/>
  <c r="AL2015" i="7"/>
  <c r="AO2015" i="7" s="1"/>
  <c r="AP2015" i="7" s="1"/>
  <c r="AM2015" i="7"/>
  <c r="AL2016" i="7"/>
  <c r="AO2016" i="7" s="1"/>
  <c r="AP2016" i="7" s="1"/>
  <c r="AQ2016" i="7" s="1"/>
  <c r="AM2016" i="7"/>
  <c r="AL2017" i="7"/>
  <c r="AO2017" i="7" s="1"/>
  <c r="AP2017" i="7" s="1"/>
  <c r="AQ2017" i="7" s="1"/>
  <c r="AM2017" i="7"/>
  <c r="AL2018" i="7"/>
  <c r="AO2018" i="7" s="1"/>
  <c r="AP2018" i="7" s="1"/>
  <c r="AQ2018" i="7" s="1"/>
  <c r="AM2018" i="7"/>
  <c r="AL2019" i="7"/>
  <c r="AM2019" i="7"/>
  <c r="AO2019" i="7"/>
  <c r="AP2019" i="7" s="1"/>
  <c r="AQ2019" i="7" s="1"/>
  <c r="AL2020" i="7"/>
  <c r="AO2020" i="7" s="1"/>
  <c r="AP2020" i="7" s="1"/>
  <c r="AQ2020" i="7" s="1"/>
  <c r="AM2020" i="7"/>
  <c r="AL2021" i="7"/>
  <c r="AO2021" i="7" s="1"/>
  <c r="AP2021" i="7" s="1"/>
  <c r="AM2021" i="7"/>
  <c r="AL2022" i="7"/>
  <c r="AO2022" i="7" s="1"/>
  <c r="AP2022" i="7" s="1"/>
  <c r="AM2022" i="7"/>
  <c r="AL2023" i="7"/>
  <c r="AO2023" i="7" s="1"/>
  <c r="AP2023" i="7" s="1"/>
  <c r="AM2023" i="7"/>
  <c r="AL2024" i="7"/>
  <c r="AO2024" i="7" s="1"/>
  <c r="AP2024" i="7" s="1"/>
  <c r="AQ2024" i="7" s="1"/>
  <c r="AM2024" i="7"/>
  <c r="AL2025" i="7"/>
  <c r="AO2025" i="7" s="1"/>
  <c r="AP2025" i="7" s="1"/>
  <c r="AQ2025" i="7" s="1"/>
  <c r="AM2025" i="7"/>
  <c r="AL2026" i="7"/>
  <c r="AO2026" i="7" s="1"/>
  <c r="AP2026" i="7" s="1"/>
  <c r="AM2026" i="7"/>
  <c r="AL2027" i="7"/>
  <c r="AO2027" i="7" s="1"/>
  <c r="AP2027" i="7" s="1"/>
  <c r="AM2027" i="7"/>
  <c r="AL2028" i="7"/>
  <c r="AO2028" i="7" s="1"/>
  <c r="AP2028" i="7" s="1"/>
  <c r="AM2028" i="7"/>
  <c r="AL2029" i="7"/>
  <c r="AO2029" i="7" s="1"/>
  <c r="AP2029" i="7" s="1"/>
  <c r="AM2029" i="7"/>
  <c r="AL2030" i="7"/>
  <c r="AO2030" i="7" s="1"/>
  <c r="AP2030" i="7" s="1"/>
  <c r="AQ2030" i="7" s="1"/>
  <c r="AM2030" i="7"/>
  <c r="AL2031" i="7"/>
  <c r="AM2031" i="7"/>
  <c r="AO2031" i="7"/>
  <c r="AP2031" i="7" s="1"/>
  <c r="AQ2031" i="7" s="1"/>
  <c r="AL2032" i="7"/>
  <c r="AO2032" i="7" s="1"/>
  <c r="AP2032" i="7" s="1"/>
  <c r="AQ2032" i="7" s="1"/>
  <c r="AM2032" i="7"/>
  <c r="AL2033" i="7"/>
  <c r="AO2033" i="7" s="1"/>
  <c r="AP2033" i="7" s="1"/>
  <c r="AQ2033" i="7" s="1"/>
  <c r="AM2033" i="7"/>
  <c r="AL2034" i="7"/>
  <c r="AO2034" i="7" s="1"/>
  <c r="AP2034" i="7" s="1"/>
  <c r="AM2034" i="7"/>
  <c r="AL2035" i="7"/>
  <c r="AO2035" i="7" s="1"/>
  <c r="AP2035" i="7" s="1"/>
  <c r="AM2035" i="7"/>
  <c r="AL2036" i="7"/>
  <c r="AO2036" i="7" s="1"/>
  <c r="AM2036" i="7"/>
  <c r="AP2036" i="7"/>
  <c r="AL2037" i="7"/>
  <c r="AO2037" i="7" s="1"/>
  <c r="AP2037" i="7" s="1"/>
  <c r="AM2037" i="7"/>
  <c r="AL2038" i="7"/>
  <c r="AO2038" i="7" s="1"/>
  <c r="AP2038" i="7" s="1"/>
  <c r="AM2038" i="7"/>
  <c r="AL2039" i="7"/>
  <c r="AO2039" i="7" s="1"/>
  <c r="AP2039" i="7" s="1"/>
  <c r="AQ2039" i="7" s="1"/>
  <c r="AM2039" i="7"/>
  <c r="AL2040" i="7"/>
  <c r="AO2040" i="7" s="1"/>
  <c r="AP2040" i="7" s="1"/>
  <c r="AM2040" i="7"/>
  <c r="AL2041" i="7"/>
  <c r="AM2041" i="7"/>
  <c r="AO2041" i="7"/>
  <c r="AP2041" i="7" s="1"/>
  <c r="AL2042" i="7"/>
  <c r="AO2042" i="7" s="1"/>
  <c r="AP2042" i="7" s="1"/>
  <c r="AM2042" i="7"/>
  <c r="AL2043" i="7"/>
  <c r="AO2043" i="7" s="1"/>
  <c r="AP2043" i="7" s="1"/>
  <c r="AM2043" i="7"/>
  <c r="AL2044" i="7"/>
  <c r="AM2044" i="7"/>
  <c r="AO2044" i="7"/>
  <c r="AP2044" i="7" s="1"/>
  <c r="AQ2044" i="7" s="1"/>
  <c r="AL2045" i="7"/>
  <c r="AO2045" i="7" s="1"/>
  <c r="AP2045" i="7" s="1"/>
  <c r="AQ2045" i="7" s="1"/>
  <c r="AM2045" i="7"/>
  <c r="AL2046" i="7"/>
  <c r="AO2046" i="7" s="1"/>
  <c r="AP2046" i="7" s="1"/>
  <c r="AQ2046" i="7" s="1"/>
  <c r="AM2046" i="7"/>
  <c r="AL2047" i="7"/>
  <c r="AO2047" i="7" s="1"/>
  <c r="AP2047" i="7" s="1"/>
  <c r="AQ2047" i="7" s="1"/>
  <c r="AM2047" i="7"/>
  <c r="AL2048" i="7"/>
  <c r="AO2048" i="7" s="1"/>
  <c r="AP2048" i="7" s="1"/>
  <c r="AM2048" i="7"/>
  <c r="AL2049" i="7"/>
  <c r="AO2049" i="7" s="1"/>
  <c r="AP2049" i="7" s="1"/>
  <c r="AM2049" i="7"/>
  <c r="AL2050" i="7"/>
  <c r="AO2050" i="7" s="1"/>
  <c r="AP2050" i="7" s="1"/>
  <c r="AQ2050" i="7" s="1"/>
  <c r="AM2050" i="7"/>
  <c r="AL2051" i="7"/>
  <c r="AO2051" i="7" s="1"/>
  <c r="AP2051" i="7" s="1"/>
  <c r="AM2051" i="7"/>
  <c r="AL2052" i="7"/>
  <c r="AO2052" i="7" s="1"/>
  <c r="AP2052" i="7" s="1"/>
  <c r="AQ2052" i="7" s="1"/>
  <c r="AM2052" i="7"/>
  <c r="AL2053" i="7"/>
  <c r="AO2053" i="7" s="1"/>
  <c r="AP2053" i="7" s="1"/>
  <c r="AM2053" i="7"/>
  <c r="AL2054" i="7"/>
  <c r="AO2054" i="7" s="1"/>
  <c r="AP2054" i="7" s="1"/>
  <c r="AM2054" i="7"/>
  <c r="AL2055" i="7"/>
  <c r="AO2055" i="7" s="1"/>
  <c r="AP2055" i="7" s="1"/>
  <c r="AM2055" i="7"/>
  <c r="AL2056" i="7"/>
  <c r="AO2056" i="7" s="1"/>
  <c r="AP2056" i="7" s="1"/>
  <c r="AM2056" i="7"/>
  <c r="AL2057" i="7"/>
  <c r="AO2057" i="7" s="1"/>
  <c r="AP2057" i="7" s="1"/>
  <c r="AM2057" i="7"/>
  <c r="AL2058" i="7"/>
  <c r="AO2058" i="7" s="1"/>
  <c r="AP2058" i="7" s="1"/>
  <c r="AQ2058" i="7" s="1"/>
  <c r="AM2058" i="7"/>
  <c r="AL2059" i="7"/>
  <c r="AO2059" i="7" s="1"/>
  <c r="AP2059" i="7" s="1"/>
  <c r="AQ2059" i="7" s="1"/>
  <c r="AM2059" i="7"/>
  <c r="AL2060" i="7"/>
  <c r="AO2060" i="7" s="1"/>
  <c r="AP2060" i="7" s="1"/>
  <c r="AQ2060" i="7" s="1"/>
  <c r="AM2060" i="7"/>
  <c r="AL2061" i="7"/>
  <c r="AO2061" i="7" s="1"/>
  <c r="AP2061" i="7" s="1"/>
  <c r="AQ2061" i="7" s="1"/>
  <c r="AM2061" i="7"/>
  <c r="AL2062" i="7"/>
  <c r="AO2062" i="7" s="1"/>
  <c r="AP2062" i="7" s="1"/>
  <c r="AQ2062" i="7" s="1"/>
  <c r="AM2062" i="7"/>
  <c r="AL2063" i="7"/>
  <c r="AO2063" i="7" s="1"/>
  <c r="AP2063" i="7" s="1"/>
  <c r="AM2063" i="7"/>
  <c r="AL2064" i="7"/>
  <c r="AO2064" i="7" s="1"/>
  <c r="AP2064" i="7" s="1"/>
  <c r="AQ2064" i="7" s="1"/>
  <c r="AM2064" i="7"/>
  <c r="AL2065" i="7"/>
  <c r="AO2065" i="7" s="1"/>
  <c r="AP2065" i="7" s="1"/>
  <c r="AM2065" i="7"/>
  <c r="AL2066" i="7"/>
  <c r="AO2066" i="7" s="1"/>
  <c r="AP2066" i="7" s="1"/>
  <c r="AQ2066" i="7" s="1"/>
  <c r="AM2066" i="7"/>
  <c r="AL2067" i="7"/>
  <c r="AO2067" i="7" s="1"/>
  <c r="AP2067" i="7" s="1"/>
  <c r="AM2067" i="7"/>
  <c r="AL2068" i="7"/>
  <c r="AO2068" i="7" s="1"/>
  <c r="AP2068" i="7" s="1"/>
  <c r="AM2068" i="7"/>
  <c r="AL2069" i="7"/>
  <c r="AO2069" i="7" s="1"/>
  <c r="AP2069" i="7" s="1"/>
  <c r="AM2069" i="7"/>
  <c r="AL2070" i="7"/>
  <c r="AO2070" i="7" s="1"/>
  <c r="AP2070" i="7" s="1"/>
  <c r="AM2070" i="7"/>
  <c r="AL2071" i="7"/>
  <c r="AO2071" i="7" s="1"/>
  <c r="AP2071" i="7" s="1"/>
  <c r="AM2071" i="7"/>
  <c r="AL2072" i="7"/>
  <c r="AO2072" i="7" s="1"/>
  <c r="AP2072" i="7" s="1"/>
  <c r="AM2072" i="7"/>
  <c r="AL2073" i="7"/>
  <c r="AO2073" i="7" s="1"/>
  <c r="AP2073" i="7" s="1"/>
  <c r="AQ2073" i="7" s="1"/>
  <c r="AM2073" i="7"/>
  <c r="AL2074" i="7"/>
  <c r="AO2074" i="7" s="1"/>
  <c r="AP2074" i="7" s="1"/>
  <c r="AQ2074" i="7" s="1"/>
  <c r="AM2074" i="7"/>
  <c r="AL2075" i="7"/>
  <c r="AO2075" i="7" s="1"/>
  <c r="AP2075" i="7" s="1"/>
  <c r="AQ2075" i="7" s="1"/>
  <c r="AM2075" i="7"/>
  <c r="AL2076" i="7"/>
  <c r="AO2076" i="7" s="1"/>
  <c r="AP2076" i="7" s="1"/>
  <c r="AM2076" i="7"/>
  <c r="AL2077" i="7"/>
  <c r="AO2077" i="7" s="1"/>
  <c r="AP2077" i="7" s="1"/>
  <c r="AM2077" i="7"/>
  <c r="AL2078" i="7"/>
  <c r="AO2078" i="7" s="1"/>
  <c r="AP2078" i="7" s="1"/>
  <c r="AM2078" i="7"/>
  <c r="AL2079" i="7"/>
  <c r="AM2079" i="7"/>
  <c r="AO2079" i="7"/>
  <c r="AP2079" i="7" s="1"/>
  <c r="AL2080" i="7"/>
  <c r="AO2080" i="7" s="1"/>
  <c r="AP2080" i="7" s="1"/>
  <c r="AM2080" i="7"/>
  <c r="AL2081" i="7"/>
  <c r="AO2081" i="7" s="1"/>
  <c r="AP2081" i="7" s="1"/>
  <c r="AQ2081" i="7" s="1"/>
  <c r="AM2081" i="7"/>
  <c r="AL2082" i="7"/>
  <c r="AO2082" i="7" s="1"/>
  <c r="AP2082" i="7" s="1"/>
  <c r="AM2082" i="7"/>
  <c r="AL2083" i="7"/>
  <c r="AO2083" i="7" s="1"/>
  <c r="AP2083" i="7" s="1"/>
  <c r="AM2083" i="7"/>
  <c r="AL2084" i="7"/>
  <c r="AM2084" i="7"/>
  <c r="AO2084" i="7"/>
  <c r="AP2084" i="7" s="1"/>
  <c r="AL2085" i="7"/>
  <c r="AO2085" i="7" s="1"/>
  <c r="AP2085" i="7" s="1"/>
  <c r="AM2085" i="7"/>
  <c r="AL2086" i="7"/>
  <c r="AO2086" i="7" s="1"/>
  <c r="AP2086" i="7" s="1"/>
  <c r="AQ2086" i="7" s="1"/>
  <c r="AM2086" i="7"/>
  <c r="AL2087" i="7"/>
  <c r="AO2087" i="7" s="1"/>
  <c r="AP2087" i="7" s="1"/>
  <c r="AQ2087" i="7" s="1"/>
  <c r="AM2087" i="7"/>
  <c r="AL2088" i="7"/>
  <c r="AO2088" i="7" s="1"/>
  <c r="AP2088" i="7" s="1"/>
  <c r="AQ2088" i="7" s="1"/>
  <c r="AM2088" i="7"/>
  <c r="AL2089" i="7"/>
  <c r="AM2089" i="7"/>
  <c r="AO2089" i="7"/>
  <c r="AP2089" i="7" s="1"/>
  <c r="AQ2089" i="7" s="1"/>
  <c r="AL2090" i="7"/>
  <c r="AM2090" i="7"/>
  <c r="AO2090" i="7"/>
  <c r="AP2090" i="7" s="1"/>
  <c r="AQ2090" i="7" s="1"/>
  <c r="AL2091" i="7"/>
  <c r="AO2091" i="7" s="1"/>
  <c r="AP2091" i="7" s="1"/>
  <c r="AM2091" i="7"/>
  <c r="AL2092" i="7"/>
  <c r="AM2092" i="7"/>
  <c r="AO2092" i="7"/>
  <c r="AP2092" i="7" s="1"/>
  <c r="AQ2092" i="7" s="1"/>
  <c r="AL2093" i="7"/>
  <c r="AO2093" i="7" s="1"/>
  <c r="AP2093" i="7" s="1"/>
  <c r="AM2093" i="7"/>
  <c r="AL2094" i="7"/>
  <c r="AM2094" i="7"/>
  <c r="AO2094" i="7"/>
  <c r="AP2094" i="7" s="1"/>
  <c r="AL2095" i="7"/>
  <c r="AO2095" i="7" s="1"/>
  <c r="AP2095" i="7" s="1"/>
  <c r="AQ2095" i="7" s="1"/>
  <c r="AM2095" i="7"/>
  <c r="AL2096" i="7"/>
  <c r="AO2096" i="7" s="1"/>
  <c r="AP2096" i="7" s="1"/>
  <c r="AM2096" i="7"/>
  <c r="AL2097" i="7"/>
  <c r="AO2097" i="7" s="1"/>
  <c r="AP2097" i="7" s="1"/>
  <c r="AM2097" i="7"/>
  <c r="AL2098" i="7"/>
  <c r="AO2098" i="7" s="1"/>
  <c r="AP2098" i="7" s="1"/>
  <c r="AM2098" i="7"/>
  <c r="AL2099" i="7"/>
  <c r="AO2099" i="7" s="1"/>
  <c r="AP2099" i="7" s="1"/>
  <c r="AM2099" i="7"/>
  <c r="AL2100" i="7"/>
  <c r="AO2100" i="7" s="1"/>
  <c r="AP2100" i="7" s="1"/>
  <c r="AM2100" i="7"/>
  <c r="AL2101" i="7"/>
  <c r="AO2101" i="7" s="1"/>
  <c r="AP2101" i="7" s="1"/>
  <c r="AQ2101" i="7" s="1"/>
  <c r="AM2101" i="7"/>
  <c r="AL2102" i="7"/>
  <c r="AO2102" i="7" s="1"/>
  <c r="AP2102" i="7" s="1"/>
  <c r="AQ2102" i="7" s="1"/>
  <c r="AM2102" i="7"/>
  <c r="AL2103" i="7"/>
  <c r="AO2103" i="7" s="1"/>
  <c r="AP2103" i="7" s="1"/>
  <c r="AQ2103" i="7" s="1"/>
  <c r="AM2103" i="7"/>
  <c r="AL2104" i="7"/>
  <c r="AO2104" i="7" s="1"/>
  <c r="AP2104" i="7" s="1"/>
  <c r="AQ2104" i="7" s="1"/>
  <c r="AM2104" i="7"/>
  <c r="AL2105" i="7"/>
  <c r="AO2105" i="7" s="1"/>
  <c r="AP2105" i="7" s="1"/>
  <c r="AM2105" i="7"/>
  <c r="AL2106" i="7"/>
  <c r="AO2106" i="7" s="1"/>
  <c r="AP2106" i="7" s="1"/>
  <c r="AM2106" i="7"/>
  <c r="AL2107" i="7"/>
  <c r="AO2107" i="7" s="1"/>
  <c r="AP2107" i="7" s="1"/>
  <c r="AM2107" i="7"/>
  <c r="AL2108" i="7"/>
  <c r="AO2108" i="7" s="1"/>
  <c r="AP2108" i="7" s="1"/>
  <c r="AM2108" i="7"/>
  <c r="AL2109" i="7"/>
  <c r="AO2109" i="7" s="1"/>
  <c r="AP2109" i="7" s="1"/>
  <c r="AQ2109" i="7" s="1"/>
  <c r="AM2109" i="7"/>
  <c r="AL2110" i="7"/>
  <c r="AO2110" i="7" s="1"/>
  <c r="AP2110" i="7" s="1"/>
  <c r="AM2110" i="7"/>
  <c r="AL2111" i="7"/>
  <c r="AO2111" i="7" s="1"/>
  <c r="AP2111" i="7" s="1"/>
  <c r="AM2111" i="7"/>
  <c r="AL2112" i="7"/>
  <c r="AO2112" i="7" s="1"/>
  <c r="AP2112" i="7" s="1"/>
  <c r="AM2112" i="7"/>
  <c r="AL2113" i="7"/>
  <c r="AO2113" i="7" s="1"/>
  <c r="AP2113" i="7" s="1"/>
  <c r="AM2113" i="7"/>
  <c r="AL2114" i="7"/>
  <c r="AO2114" i="7" s="1"/>
  <c r="AP2114" i="7" s="1"/>
  <c r="AM2114" i="7"/>
  <c r="AL2115" i="7"/>
  <c r="AO2115" i="7" s="1"/>
  <c r="AP2115" i="7" s="1"/>
  <c r="AQ2115" i="7" s="1"/>
  <c r="AM2115" i="7"/>
  <c r="AL2116" i="7"/>
  <c r="AO2116" i="7" s="1"/>
  <c r="AP2116" i="7" s="1"/>
  <c r="AQ2116" i="7" s="1"/>
  <c r="AM2116" i="7"/>
  <c r="AL2117" i="7"/>
  <c r="AO2117" i="7" s="1"/>
  <c r="AP2117" i="7" s="1"/>
  <c r="AQ2117" i="7" s="1"/>
  <c r="AM2117" i="7"/>
  <c r="AL2118" i="7"/>
  <c r="AO2118" i="7" s="1"/>
  <c r="AP2118" i="7" s="1"/>
  <c r="AM2118" i="7"/>
  <c r="AL2119" i="7"/>
  <c r="AO2119" i="7" s="1"/>
  <c r="AP2119" i="7" s="1"/>
  <c r="AM2119" i="7"/>
  <c r="AL2120" i="7"/>
  <c r="AO2120" i="7" s="1"/>
  <c r="AP2120" i="7" s="1"/>
  <c r="AM2120" i="7"/>
  <c r="AL2121" i="7"/>
  <c r="AO2121" i="7" s="1"/>
  <c r="AP2121" i="7" s="1"/>
  <c r="AM2121" i="7"/>
  <c r="AL2122" i="7"/>
  <c r="AM2122" i="7"/>
  <c r="AO2122" i="7"/>
  <c r="AP2122" i="7" s="1"/>
  <c r="AQ2122" i="7" s="1"/>
  <c r="AL2123" i="7"/>
  <c r="AO2123" i="7" s="1"/>
  <c r="AP2123" i="7" s="1"/>
  <c r="AQ2123" i="7" s="1"/>
  <c r="AM2123" i="7"/>
  <c r="AL2124" i="7"/>
  <c r="AO2124" i="7" s="1"/>
  <c r="AP2124" i="7" s="1"/>
  <c r="AM2124" i="7"/>
  <c r="AL2125" i="7"/>
  <c r="AO2125" i="7" s="1"/>
  <c r="AP2125" i="7" s="1"/>
  <c r="AM2125" i="7"/>
  <c r="AL2126" i="7"/>
  <c r="AO2126" i="7" s="1"/>
  <c r="AP2126" i="7" s="1"/>
  <c r="AM2126" i="7"/>
  <c r="AL2127" i="7"/>
  <c r="AO2127" i="7" s="1"/>
  <c r="AP2127" i="7" s="1"/>
  <c r="AM2127" i="7"/>
  <c r="AL2128" i="7"/>
  <c r="AO2128" i="7" s="1"/>
  <c r="AP2128" i="7" s="1"/>
  <c r="AM2128" i="7"/>
  <c r="AL2129" i="7"/>
  <c r="AO2129" i="7" s="1"/>
  <c r="AP2129" i="7" s="1"/>
  <c r="AQ2129" i="7" s="1"/>
  <c r="AM2129" i="7"/>
  <c r="AL2130" i="7"/>
  <c r="AO2130" i="7" s="1"/>
  <c r="AP2130" i="7" s="1"/>
  <c r="AQ2130" i="7" s="1"/>
  <c r="AM2130" i="7"/>
  <c r="AL2131" i="7"/>
  <c r="AM2131" i="7"/>
  <c r="AO2131" i="7"/>
  <c r="AP2131" i="7" s="1"/>
  <c r="AQ2131" i="7" s="1"/>
  <c r="AL2132" i="7"/>
  <c r="AO2132" i="7" s="1"/>
  <c r="AP2132" i="7" s="1"/>
  <c r="AQ2132" i="7" s="1"/>
  <c r="AM2132" i="7"/>
  <c r="AL2133" i="7"/>
  <c r="AO2133" i="7" s="1"/>
  <c r="AP2133" i="7" s="1"/>
  <c r="AM2133" i="7"/>
  <c r="AL2134" i="7"/>
  <c r="AO2134" i="7" s="1"/>
  <c r="AP2134" i="7" s="1"/>
  <c r="AM2134" i="7"/>
  <c r="AL2135" i="7"/>
  <c r="AM2135" i="7"/>
  <c r="AO2135" i="7"/>
  <c r="AP2135" i="7" s="1"/>
  <c r="AL2136" i="7"/>
  <c r="AO2136" i="7" s="1"/>
  <c r="AP2136" i="7" s="1"/>
  <c r="AM2136" i="7"/>
  <c r="AL2137" i="7"/>
  <c r="AO2137" i="7" s="1"/>
  <c r="AP2137" i="7" s="1"/>
  <c r="AQ2137" i="7" s="1"/>
  <c r="AM2137" i="7"/>
  <c r="AL2138" i="7"/>
  <c r="AO2138" i="7" s="1"/>
  <c r="AP2138" i="7" s="1"/>
  <c r="AM2138" i="7"/>
  <c r="AL2139" i="7"/>
  <c r="AO2139" i="7" s="1"/>
  <c r="AP2139" i="7" s="1"/>
  <c r="AM2139" i="7"/>
  <c r="AL2140" i="7"/>
  <c r="AO2140" i="7" s="1"/>
  <c r="AP2140" i="7" s="1"/>
  <c r="AM2140" i="7"/>
  <c r="AL2141" i="7"/>
  <c r="AO2141" i="7" s="1"/>
  <c r="AP2141" i="7" s="1"/>
  <c r="AM2141" i="7"/>
  <c r="AL2142" i="7"/>
  <c r="AO2142" i="7" s="1"/>
  <c r="AP2142" i="7" s="1"/>
  <c r="AM2142" i="7"/>
  <c r="AL2143" i="7"/>
  <c r="AO2143" i="7" s="1"/>
  <c r="AP2143" i="7" s="1"/>
  <c r="AQ2143" i="7" s="1"/>
  <c r="AM2143" i="7"/>
  <c r="AL2144" i="7"/>
  <c r="AO2144" i="7" s="1"/>
  <c r="AP2144" i="7" s="1"/>
  <c r="AQ2144" i="7" s="1"/>
  <c r="AM2144" i="7"/>
  <c r="AL2145" i="7"/>
  <c r="AO2145" i="7" s="1"/>
  <c r="AP2145" i="7" s="1"/>
  <c r="AQ2145" i="7" s="1"/>
  <c r="AM2145" i="7"/>
  <c r="AL2146" i="7"/>
  <c r="AO2146" i="7" s="1"/>
  <c r="AP2146" i="7" s="1"/>
  <c r="AM2146" i="7"/>
  <c r="AL2147" i="7"/>
  <c r="AO2147" i="7" s="1"/>
  <c r="AP2147" i="7" s="1"/>
  <c r="AM2147" i="7"/>
  <c r="AL2148" i="7"/>
  <c r="AO2148" i="7" s="1"/>
  <c r="AP2148" i="7" s="1"/>
  <c r="AM2148" i="7"/>
  <c r="AL2149" i="7"/>
  <c r="AO2149" i="7" s="1"/>
  <c r="AP2149" i="7" s="1"/>
  <c r="AM2149" i="7"/>
  <c r="AL2150" i="7"/>
  <c r="AM2150" i="7"/>
  <c r="AO2150" i="7"/>
  <c r="AP2150" i="7" s="1"/>
  <c r="AL2151" i="7"/>
  <c r="AO2151" i="7" s="1"/>
  <c r="AP2151" i="7" s="1"/>
  <c r="AQ2151" i="7" s="1"/>
  <c r="AM2151" i="7"/>
  <c r="AL2152" i="7"/>
  <c r="AO2152" i="7" s="1"/>
  <c r="AP2152" i="7" s="1"/>
  <c r="AM2152" i="7"/>
  <c r="AL2153" i="7"/>
  <c r="AO2153" i="7" s="1"/>
  <c r="AP2153" i="7" s="1"/>
  <c r="AM2153" i="7"/>
  <c r="AL2154" i="7"/>
  <c r="AO2154" i="7" s="1"/>
  <c r="AP2154" i="7" s="1"/>
  <c r="AM2154" i="7"/>
  <c r="AL2155" i="7"/>
  <c r="AO2155" i="7" s="1"/>
  <c r="AP2155" i="7" s="1"/>
  <c r="AM2155" i="7"/>
  <c r="AL2156" i="7"/>
  <c r="AO2156" i="7" s="1"/>
  <c r="AP2156" i="7" s="1"/>
  <c r="AM2156" i="7"/>
  <c r="AL2157" i="7"/>
  <c r="AO2157" i="7" s="1"/>
  <c r="AP2157" i="7" s="1"/>
  <c r="AQ2157" i="7" s="1"/>
  <c r="AM2157" i="7"/>
  <c r="AL2158" i="7"/>
  <c r="AO2158" i="7" s="1"/>
  <c r="AP2158" i="7" s="1"/>
  <c r="AQ2158" i="7" s="1"/>
  <c r="AM2158" i="7"/>
  <c r="AL2159" i="7"/>
  <c r="AO2159" i="7" s="1"/>
  <c r="AP2159" i="7" s="1"/>
  <c r="AQ2159" i="7" s="1"/>
  <c r="AM2159" i="7"/>
  <c r="AL2160" i="7"/>
  <c r="AO2160" i="7" s="1"/>
  <c r="AP2160" i="7" s="1"/>
  <c r="AQ2160" i="7" s="1"/>
  <c r="AM2160" i="7"/>
  <c r="AL2161" i="7"/>
  <c r="AO2161" i="7" s="1"/>
  <c r="AP2161" i="7" s="1"/>
  <c r="AM2161" i="7"/>
  <c r="AL2162" i="7"/>
  <c r="AO2162" i="7" s="1"/>
  <c r="AP2162" i="7" s="1"/>
  <c r="AM2162" i="7"/>
  <c r="AL2163" i="7"/>
  <c r="AO2163" i="7" s="1"/>
  <c r="AP2163" i="7" s="1"/>
  <c r="AM2163" i="7"/>
  <c r="AL2164" i="7"/>
  <c r="AO2164" i="7" s="1"/>
  <c r="AP2164" i="7" s="1"/>
  <c r="AM2164" i="7"/>
  <c r="AL2165" i="7"/>
  <c r="AO2165" i="7" s="1"/>
  <c r="AP2165" i="7" s="1"/>
  <c r="AQ2165" i="7" s="1"/>
  <c r="AM2165" i="7"/>
  <c r="AL2166" i="7"/>
  <c r="AO2166" i="7" s="1"/>
  <c r="AP2166" i="7" s="1"/>
  <c r="AM2166" i="7"/>
  <c r="AL2167" i="7"/>
  <c r="AM2167" i="7"/>
  <c r="AO2167" i="7"/>
  <c r="AP2167" i="7" s="1"/>
  <c r="AL2168" i="7"/>
  <c r="AO2168" i="7" s="1"/>
  <c r="AP2168" i="7" s="1"/>
  <c r="AM2168" i="7"/>
  <c r="AL2169" i="7"/>
  <c r="AO2169" i="7" s="1"/>
  <c r="AP2169" i="7" s="1"/>
  <c r="AM2169" i="7"/>
  <c r="AL2170" i="7"/>
  <c r="AO2170" i="7" s="1"/>
  <c r="AP2170" i="7" s="1"/>
  <c r="AM2170" i="7"/>
  <c r="AL2171" i="7"/>
  <c r="AO2171" i="7" s="1"/>
  <c r="AP2171" i="7" s="1"/>
  <c r="AQ2171" i="7" s="1"/>
  <c r="AM2171" i="7"/>
  <c r="AL2172" i="7"/>
  <c r="AO2172" i="7" s="1"/>
  <c r="AP2172" i="7" s="1"/>
  <c r="AQ2172" i="7" s="1"/>
  <c r="AM2172" i="7"/>
  <c r="AL2173" i="7"/>
  <c r="AO2173" i="7" s="1"/>
  <c r="AP2173" i="7" s="1"/>
  <c r="AQ2173" i="7" s="1"/>
  <c r="AM2173" i="7"/>
  <c r="AL2174" i="7"/>
  <c r="AO2174" i="7" s="1"/>
  <c r="AP2174" i="7" s="1"/>
  <c r="AQ2174" i="7" s="1"/>
  <c r="AM2174" i="7"/>
  <c r="AL2175" i="7"/>
  <c r="AO2175" i="7" s="1"/>
  <c r="AP2175" i="7" s="1"/>
  <c r="AM2175" i="7"/>
  <c r="AL2176" i="7"/>
  <c r="AM2176" i="7"/>
  <c r="AO2176" i="7"/>
  <c r="AP2176" i="7" s="1"/>
  <c r="AL2177" i="7"/>
  <c r="AO2177" i="7" s="1"/>
  <c r="AP2177" i="7" s="1"/>
  <c r="AM2177" i="7"/>
  <c r="AL2178" i="7"/>
  <c r="AO2178" i="7" s="1"/>
  <c r="AP2178" i="7" s="1"/>
  <c r="AM2178" i="7"/>
  <c r="AL2179" i="7"/>
  <c r="AO2179" i="7" s="1"/>
  <c r="AP2179" i="7" s="1"/>
  <c r="AM2179" i="7"/>
  <c r="AL2180" i="7"/>
  <c r="AO2180" i="7" s="1"/>
  <c r="AP2180" i="7" s="1"/>
  <c r="AM2180" i="7"/>
  <c r="AL2181" i="7"/>
  <c r="AO2181" i="7" s="1"/>
  <c r="AP2181" i="7" s="1"/>
  <c r="AM2181" i="7"/>
  <c r="AL2182" i="7"/>
  <c r="AO2182" i="7" s="1"/>
  <c r="AP2182" i="7" s="1"/>
  <c r="AM2182" i="7"/>
  <c r="AL2183" i="7"/>
  <c r="AO2183" i="7" s="1"/>
  <c r="AP2183" i="7" s="1"/>
  <c r="AM2183" i="7"/>
  <c r="AL2184" i="7"/>
  <c r="AO2184" i="7" s="1"/>
  <c r="AP2184" i="7" s="1"/>
  <c r="AQ2184" i="7" s="1"/>
  <c r="AM2184" i="7"/>
  <c r="AL2185" i="7"/>
  <c r="AO2185" i="7" s="1"/>
  <c r="AP2185" i="7" s="1"/>
  <c r="AQ2185" i="7" s="1"/>
  <c r="AM2185" i="7"/>
  <c r="AL2186" i="7"/>
  <c r="AO2186" i="7" s="1"/>
  <c r="AP2186" i="7" s="1"/>
  <c r="AQ2186" i="7" s="1"/>
  <c r="AM2186" i="7"/>
  <c r="AL2187" i="7"/>
  <c r="AM2187" i="7"/>
  <c r="AO2187" i="7"/>
  <c r="AP2187" i="7" s="1"/>
  <c r="AQ2187" i="7" s="1"/>
  <c r="AL2188" i="7"/>
  <c r="AO2188" i="7" s="1"/>
  <c r="AP2188" i="7" s="1"/>
  <c r="AQ2188" i="7" s="1"/>
  <c r="AM2188" i="7"/>
  <c r="AL2189" i="7"/>
  <c r="AO2189" i="7" s="1"/>
  <c r="AP2189" i="7" s="1"/>
  <c r="AM2189" i="7"/>
  <c r="AL2190" i="7"/>
  <c r="AO2190" i="7" s="1"/>
  <c r="AP2190" i="7" s="1"/>
  <c r="AQ2190" i="7" s="1"/>
  <c r="AM2190" i="7"/>
  <c r="AL2191" i="7"/>
  <c r="AO2191" i="7" s="1"/>
  <c r="AP2191" i="7" s="1"/>
  <c r="AM2191" i="7"/>
  <c r="AL2192" i="7"/>
  <c r="AO2192" i="7" s="1"/>
  <c r="AP2192" i="7" s="1"/>
  <c r="AQ2192" i="7" s="1"/>
  <c r="AM2192" i="7"/>
  <c r="AL2193" i="7"/>
  <c r="AO2193" i="7" s="1"/>
  <c r="AP2193" i="7" s="1"/>
  <c r="AQ2193" i="7" s="1"/>
  <c r="AM2193" i="7"/>
  <c r="AL2194" i="7"/>
  <c r="AO2194" i="7" s="1"/>
  <c r="AP2194" i="7" s="1"/>
  <c r="AM2194" i="7"/>
  <c r="AL2195" i="7"/>
  <c r="AO2195" i="7" s="1"/>
  <c r="AP2195" i="7" s="1"/>
  <c r="AM2195" i="7"/>
  <c r="AL2196" i="7"/>
  <c r="AM2196" i="7"/>
  <c r="AO2196" i="7"/>
  <c r="AP2196" i="7" s="1"/>
  <c r="AL2197" i="7"/>
  <c r="AO2197" i="7" s="1"/>
  <c r="AP2197" i="7" s="1"/>
  <c r="AM2197" i="7"/>
  <c r="AL2198" i="7"/>
  <c r="AO2198" i="7" s="1"/>
  <c r="AP2198" i="7" s="1"/>
  <c r="AM2198" i="7"/>
  <c r="AL2199" i="7"/>
  <c r="AO2199" i="7" s="1"/>
  <c r="AP2199" i="7" s="1"/>
  <c r="AQ2199" i="7" s="1"/>
  <c r="AM2199" i="7"/>
  <c r="AL2200" i="7"/>
  <c r="AO2200" i="7" s="1"/>
  <c r="AP2200" i="7" s="1"/>
  <c r="AQ2200" i="7" s="1"/>
  <c r="AM2200" i="7"/>
  <c r="AL2201" i="7"/>
  <c r="AO2201" i="7" s="1"/>
  <c r="AP2201" i="7" s="1"/>
  <c r="AQ2201" i="7" s="1"/>
  <c r="AM2201" i="7"/>
  <c r="AL2202" i="7"/>
  <c r="AO2202" i="7" s="1"/>
  <c r="AP2202" i="7" s="1"/>
  <c r="AQ2202" i="7" s="1"/>
  <c r="AM2202" i="7"/>
  <c r="AL2203" i="7"/>
  <c r="AO2203" i="7" s="1"/>
  <c r="AP2203" i="7" s="1"/>
  <c r="AM2203" i="7"/>
  <c r="AL2204" i="7"/>
  <c r="AO2204" i="7" s="1"/>
  <c r="AP2204" i="7" s="1"/>
  <c r="AM2204" i="7"/>
  <c r="AL2205" i="7"/>
  <c r="AO2205" i="7" s="1"/>
  <c r="AP2205" i="7" s="1"/>
  <c r="AM2205" i="7"/>
  <c r="AL2206" i="7"/>
  <c r="AO2206" i="7" s="1"/>
  <c r="AP2206" i="7" s="1"/>
  <c r="AM2206" i="7"/>
  <c r="AL2207" i="7"/>
  <c r="AO2207" i="7" s="1"/>
  <c r="AP2207" i="7" s="1"/>
  <c r="AM2207" i="7"/>
  <c r="AL2208" i="7"/>
  <c r="AO2208" i="7" s="1"/>
  <c r="AP2208" i="7" s="1"/>
  <c r="AM2208" i="7"/>
  <c r="AL2209" i="7"/>
  <c r="AO2209" i="7" s="1"/>
  <c r="AP2209" i="7" s="1"/>
  <c r="AM2209" i="7"/>
  <c r="AL2210" i="7"/>
  <c r="AO2210" i="7" s="1"/>
  <c r="AP2210" i="7" s="1"/>
  <c r="AM2210" i="7"/>
  <c r="AL2211" i="7"/>
  <c r="AO2211" i="7" s="1"/>
  <c r="AP2211" i="7" s="1"/>
  <c r="AM2211" i="7"/>
  <c r="AL2212" i="7"/>
  <c r="AM2212" i="7"/>
  <c r="AO2212" i="7"/>
  <c r="AP2212" i="7" s="1"/>
  <c r="AQ2212" i="7" s="1"/>
  <c r="AL2213" i="7"/>
  <c r="AO2213" i="7" s="1"/>
  <c r="AP2213" i="7" s="1"/>
  <c r="AQ2213" i="7" s="1"/>
  <c r="AM2213" i="7"/>
  <c r="AL2214" i="7"/>
  <c r="AO2214" i="7" s="1"/>
  <c r="AP2214" i="7" s="1"/>
  <c r="AQ2214" i="7" s="1"/>
  <c r="AM2214" i="7"/>
  <c r="AL2215" i="7"/>
  <c r="AO2215" i="7" s="1"/>
  <c r="AP2215" i="7" s="1"/>
  <c r="AQ2215" i="7" s="1"/>
  <c r="AM2215" i="7"/>
  <c r="AL2216" i="7"/>
  <c r="AM2216" i="7"/>
  <c r="AO2216" i="7"/>
  <c r="AP2216" i="7"/>
  <c r="AQ2216" i="7" s="1"/>
  <c r="AL2217" i="7"/>
  <c r="AO2217" i="7" s="1"/>
  <c r="AP2217" i="7" s="1"/>
  <c r="AM2217" i="7"/>
  <c r="AL2218" i="7"/>
  <c r="AO2218" i="7" s="1"/>
  <c r="AP2218" i="7" s="1"/>
  <c r="AM2218" i="7"/>
  <c r="AL2219" i="7"/>
  <c r="AO2219" i="7" s="1"/>
  <c r="AP2219" i="7" s="1"/>
  <c r="AM2219" i="7"/>
  <c r="AL2220" i="7"/>
  <c r="AO2220" i="7" s="1"/>
  <c r="AP2220" i="7" s="1"/>
  <c r="AM2220" i="7"/>
  <c r="AL2221" i="7"/>
  <c r="AM2221" i="7"/>
  <c r="AO2221" i="7"/>
  <c r="AP2221" i="7" s="1"/>
  <c r="AQ2221" i="7" s="1"/>
  <c r="AL2222" i="7"/>
  <c r="AO2222" i="7" s="1"/>
  <c r="AP2222" i="7" s="1"/>
  <c r="AM2222" i="7"/>
  <c r="AL2223" i="7"/>
  <c r="AO2223" i="7" s="1"/>
  <c r="AP2223" i="7" s="1"/>
  <c r="AM2223" i="7"/>
  <c r="AL2224" i="7"/>
  <c r="AO2224" i="7" s="1"/>
  <c r="AP2224" i="7" s="1"/>
  <c r="AM2224" i="7"/>
  <c r="AL2225" i="7"/>
  <c r="AO2225" i="7" s="1"/>
  <c r="AP2225" i="7" s="1"/>
  <c r="AM2225" i="7"/>
  <c r="AL2226" i="7"/>
  <c r="AO2226" i="7" s="1"/>
  <c r="AP2226" i="7" s="1"/>
  <c r="AM2226" i="7"/>
  <c r="AL2227" i="7"/>
  <c r="AO2227" i="7" s="1"/>
  <c r="AP2227" i="7" s="1"/>
  <c r="AQ2227" i="7" s="1"/>
  <c r="AM2227" i="7"/>
  <c r="AL2228" i="7"/>
  <c r="AO2228" i="7" s="1"/>
  <c r="AP2228" i="7" s="1"/>
  <c r="AQ2228" i="7" s="1"/>
  <c r="AM2228" i="7"/>
  <c r="AL2229" i="7"/>
  <c r="AO2229" i="7" s="1"/>
  <c r="AP2229" i="7" s="1"/>
  <c r="AQ2229" i="7" s="1"/>
  <c r="AM2229" i="7"/>
  <c r="AL2230" i="7"/>
  <c r="AO2230" i="7" s="1"/>
  <c r="AP2230" i="7" s="1"/>
  <c r="AQ2230" i="7" s="1"/>
  <c r="AM2230" i="7"/>
  <c r="AL2231" i="7"/>
  <c r="AO2231" i="7" s="1"/>
  <c r="AP2231" i="7" s="1"/>
  <c r="AM2231" i="7"/>
  <c r="AL2232" i="7"/>
  <c r="AO2232" i="7" s="1"/>
  <c r="AP2232" i="7" s="1"/>
  <c r="AQ2232" i="7" s="1"/>
  <c r="AM2232" i="7"/>
  <c r="AL2233" i="7"/>
  <c r="AO2233" i="7" s="1"/>
  <c r="AP2233" i="7" s="1"/>
  <c r="AM2233" i="7"/>
  <c r="AL2234" i="7"/>
  <c r="AO2234" i="7" s="1"/>
  <c r="AP2234" i="7" s="1"/>
  <c r="AM2234" i="7"/>
  <c r="AL2235" i="7"/>
  <c r="AO2235" i="7" s="1"/>
  <c r="AP2235" i="7" s="1"/>
  <c r="AQ2235" i="7" s="1"/>
  <c r="AM2235" i="7"/>
  <c r="AL2236" i="7"/>
  <c r="AO2236" i="7" s="1"/>
  <c r="AP2236" i="7" s="1"/>
  <c r="AM2236" i="7"/>
  <c r="AL2237" i="7"/>
  <c r="AO2237" i="7" s="1"/>
  <c r="AP2237" i="7" s="1"/>
  <c r="AM2237" i="7"/>
  <c r="AL2238" i="7"/>
  <c r="AO2238" i="7" s="1"/>
  <c r="AP2238" i="7" s="1"/>
  <c r="AM2238" i="7"/>
  <c r="AL2239" i="7"/>
  <c r="AO2239" i="7" s="1"/>
  <c r="AP2239" i="7" s="1"/>
  <c r="AM2239" i="7"/>
  <c r="AL2240" i="7"/>
  <c r="AM2240" i="7"/>
  <c r="AO2240" i="7"/>
  <c r="AP2240" i="7" s="1"/>
  <c r="AL2241" i="7"/>
  <c r="AO2241" i="7" s="1"/>
  <c r="AP2241" i="7" s="1"/>
  <c r="AQ2241" i="7" s="1"/>
  <c r="AM2241" i="7"/>
  <c r="AL2242" i="7"/>
  <c r="AO2242" i="7" s="1"/>
  <c r="AP2242" i="7" s="1"/>
  <c r="AQ2242" i="7" s="1"/>
  <c r="AM2242" i="7"/>
  <c r="AL2243" i="7"/>
  <c r="AO2243" i="7" s="1"/>
  <c r="AP2243" i="7" s="1"/>
  <c r="AQ2243" i="7" s="1"/>
  <c r="AM2243" i="7"/>
  <c r="AL2244" i="7"/>
  <c r="AO2244" i="7" s="1"/>
  <c r="AP2244" i="7" s="1"/>
  <c r="AQ2244" i="7" s="1"/>
  <c r="AM2244" i="7"/>
  <c r="AL2245" i="7"/>
  <c r="AO2245" i="7" s="1"/>
  <c r="AP2245" i="7" s="1"/>
  <c r="AM2245" i="7"/>
  <c r="AL2246" i="7"/>
  <c r="AO2246" i="7" s="1"/>
  <c r="AP2246" i="7" s="1"/>
  <c r="AM2246" i="7"/>
  <c r="AL2247" i="7"/>
  <c r="AO2247" i="7" s="1"/>
  <c r="AP2247" i="7" s="1"/>
  <c r="AM2247" i="7"/>
  <c r="AL2248" i="7"/>
  <c r="AO2248" i="7" s="1"/>
  <c r="AP2248" i="7" s="1"/>
  <c r="AM2248" i="7"/>
  <c r="AL2249" i="7"/>
  <c r="AO2249" i="7" s="1"/>
  <c r="AP2249" i="7" s="1"/>
  <c r="AQ2249" i="7" s="1"/>
  <c r="AM2249" i="7"/>
  <c r="AL2250" i="7"/>
  <c r="AO2250" i="7" s="1"/>
  <c r="AP2250" i="7" s="1"/>
  <c r="AM2250" i="7"/>
  <c r="AL2251" i="7"/>
  <c r="AO2251" i="7" s="1"/>
  <c r="AP2251" i="7" s="1"/>
  <c r="AM2251" i="7"/>
  <c r="AL2252" i="7"/>
  <c r="AM2252" i="7"/>
  <c r="AO2252" i="7"/>
  <c r="AP2252" i="7"/>
  <c r="AL2253" i="7"/>
  <c r="AO2253" i="7" s="1"/>
  <c r="AP2253" i="7" s="1"/>
  <c r="AM2253" i="7"/>
  <c r="AL2254" i="7"/>
  <c r="AO2254" i="7" s="1"/>
  <c r="AP2254" i="7" s="1"/>
  <c r="AQ2254" i="7" s="1"/>
  <c r="AM2254" i="7"/>
  <c r="AL2255" i="7"/>
  <c r="AO2255" i="7" s="1"/>
  <c r="AP2255" i="7" s="1"/>
  <c r="AQ2255" i="7" s="1"/>
  <c r="AM2255" i="7"/>
  <c r="AL2256" i="7"/>
  <c r="AO2256" i="7" s="1"/>
  <c r="AP2256" i="7" s="1"/>
  <c r="AQ2256" i="7" s="1"/>
  <c r="AM2256" i="7"/>
  <c r="AL2257" i="7"/>
  <c r="AO2257" i="7" s="1"/>
  <c r="AP2257" i="7" s="1"/>
  <c r="AQ2257" i="7" s="1"/>
  <c r="AM2257" i="7"/>
  <c r="AL2258" i="7"/>
  <c r="AM2258" i="7"/>
  <c r="AO2258" i="7"/>
  <c r="AP2258" i="7" s="1"/>
  <c r="AQ2258" i="7" s="1"/>
  <c r="AL2259" i="7"/>
  <c r="AO2259" i="7" s="1"/>
  <c r="AP2259" i="7" s="1"/>
  <c r="AM2259" i="7"/>
  <c r="AL2260" i="7"/>
  <c r="AO2260" i="7" s="1"/>
  <c r="AP2260" i="7" s="1"/>
  <c r="AM2260" i="7"/>
  <c r="AL2261" i="7"/>
  <c r="AO2261" i="7" s="1"/>
  <c r="AP2261" i="7" s="1"/>
  <c r="AM2261" i="7"/>
  <c r="AL2262" i="7"/>
  <c r="AO2262" i="7" s="1"/>
  <c r="AP2262" i="7" s="1"/>
  <c r="AM2262" i="7"/>
  <c r="AL2263" i="7"/>
  <c r="AO2263" i="7" s="1"/>
  <c r="AP2263" i="7" s="1"/>
  <c r="AM2263" i="7"/>
  <c r="AL2264" i="7"/>
  <c r="AO2264" i="7" s="1"/>
  <c r="AP2264" i="7" s="1"/>
  <c r="AM2264" i="7"/>
  <c r="AL2265" i="7"/>
  <c r="AO2265" i="7" s="1"/>
  <c r="AP2265" i="7" s="1"/>
  <c r="AM2265" i="7"/>
  <c r="AL2266" i="7"/>
  <c r="AO2266" i="7" s="1"/>
  <c r="AP2266" i="7" s="1"/>
  <c r="AM2266" i="7"/>
  <c r="AL2267" i="7"/>
  <c r="AO2267" i="7" s="1"/>
  <c r="AP2267" i="7" s="1"/>
  <c r="AM2267" i="7"/>
  <c r="AL2268" i="7"/>
  <c r="AO2268" i="7" s="1"/>
  <c r="AP2268" i="7" s="1"/>
  <c r="AM2268" i="7"/>
  <c r="AL2269" i="7"/>
  <c r="AO2269" i="7" s="1"/>
  <c r="AP2269" i="7" s="1"/>
  <c r="AQ2269" i="7" s="1"/>
  <c r="AM2269" i="7"/>
  <c r="AL2270" i="7"/>
  <c r="AO2270" i="7" s="1"/>
  <c r="AP2270" i="7" s="1"/>
  <c r="AQ2270" i="7" s="1"/>
  <c r="AM2270" i="7"/>
  <c r="AL2271" i="7"/>
  <c r="AO2271" i="7" s="1"/>
  <c r="AP2271" i="7" s="1"/>
  <c r="AQ2271" i="7" s="1"/>
  <c r="AM2271" i="7"/>
  <c r="AL2272" i="7"/>
  <c r="AO2272" i="7" s="1"/>
  <c r="AP2272" i="7" s="1"/>
  <c r="AQ2272" i="7" s="1"/>
  <c r="AM2272" i="7"/>
  <c r="AL2273" i="7"/>
  <c r="AO2273" i="7" s="1"/>
  <c r="AP2273" i="7" s="1"/>
  <c r="AM2273" i="7"/>
  <c r="AL2274" i="7"/>
  <c r="AO2274" i="7" s="1"/>
  <c r="AP2274" i="7" s="1"/>
  <c r="AM2274" i="7"/>
  <c r="AL2275" i="7"/>
  <c r="AM2275" i="7"/>
  <c r="AO2275" i="7"/>
  <c r="AP2275" i="7" s="1"/>
  <c r="AL2276" i="7"/>
  <c r="AO2276" i="7" s="1"/>
  <c r="AP2276" i="7" s="1"/>
  <c r="AM2276" i="7"/>
  <c r="AL2277" i="7"/>
  <c r="AO2277" i="7" s="1"/>
  <c r="AP2277" i="7" s="1"/>
  <c r="AM2277" i="7"/>
  <c r="AL2278" i="7"/>
  <c r="AM2278" i="7"/>
  <c r="AO2278" i="7"/>
  <c r="AP2278" i="7" s="1"/>
  <c r="AL2279" i="7"/>
  <c r="AM2279" i="7"/>
  <c r="AO2279" i="7"/>
  <c r="AP2279" i="7" s="1"/>
  <c r="AL2280" i="7"/>
  <c r="AM2280" i="7"/>
  <c r="AO2280" i="7"/>
  <c r="AP2280" i="7" s="1"/>
  <c r="AL2281" i="7"/>
  <c r="AO2281" i="7" s="1"/>
  <c r="AP2281" i="7" s="1"/>
  <c r="AM2281" i="7"/>
  <c r="AL2282" i="7"/>
  <c r="AO2282" i="7" s="1"/>
  <c r="AP2282" i="7" s="1"/>
  <c r="AM2282" i="7"/>
  <c r="AL2283" i="7"/>
  <c r="AO2283" i="7" s="1"/>
  <c r="AP2283" i="7" s="1"/>
  <c r="AQ2283" i="7" s="1"/>
  <c r="AM2283" i="7"/>
  <c r="AL2284" i="7"/>
  <c r="AO2284" i="7" s="1"/>
  <c r="AP2284" i="7" s="1"/>
  <c r="AQ2284" i="7" s="1"/>
  <c r="AM2284" i="7"/>
  <c r="AL2285" i="7"/>
  <c r="AO2285" i="7" s="1"/>
  <c r="AP2285" i="7" s="1"/>
  <c r="AQ2285" i="7" s="1"/>
  <c r="AM2285" i="7"/>
  <c r="AL2286" i="7"/>
  <c r="AO2286" i="7" s="1"/>
  <c r="AP2286" i="7" s="1"/>
  <c r="AQ2286" i="7" s="1"/>
  <c r="AM2286" i="7"/>
  <c r="AL2287" i="7"/>
  <c r="AO2287" i="7" s="1"/>
  <c r="AP2287" i="7" s="1"/>
  <c r="AM2287" i="7"/>
  <c r="AL2288" i="7"/>
  <c r="AO2288" i="7" s="1"/>
  <c r="AP2288" i="7" s="1"/>
  <c r="AM2288" i="7"/>
  <c r="AL2289" i="7"/>
  <c r="AO2289" i="7" s="1"/>
  <c r="AP2289" i="7" s="1"/>
  <c r="AM2289" i="7"/>
  <c r="AL2290" i="7"/>
  <c r="AM2290" i="7"/>
  <c r="AO2290" i="7"/>
  <c r="AP2290" i="7" s="1"/>
  <c r="AL2291" i="7"/>
  <c r="AM2291" i="7"/>
  <c r="AO2291" i="7"/>
  <c r="AP2291" i="7" s="1"/>
  <c r="AQ2291" i="7" s="1"/>
  <c r="AL2292" i="7"/>
  <c r="AO2292" i="7" s="1"/>
  <c r="AP2292" i="7" s="1"/>
  <c r="AM2292" i="7"/>
  <c r="AL2293" i="7"/>
  <c r="AO2293" i="7" s="1"/>
  <c r="AP2293" i="7" s="1"/>
  <c r="AM2293" i="7"/>
  <c r="AL2294" i="7"/>
  <c r="AO2294" i="7" s="1"/>
  <c r="AP2294" i="7" s="1"/>
  <c r="AM2294" i="7"/>
  <c r="AL2295" i="7"/>
  <c r="AO2295" i="7" s="1"/>
  <c r="AP2295" i="7" s="1"/>
  <c r="AM2295" i="7"/>
  <c r="AL2296" i="7"/>
  <c r="AM2296" i="7"/>
  <c r="AO2296" i="7"/>
  <c r="AP2296" i="7" s="1"/>
  <c r="AQ2296" i="7" s="1"/>
  <c r="AL2297" i="7"/>
  <c r="AO2297" i="7" s="1"/>
  <c r="AP2297" i="7" s="1"/>
  <c r="AQ2297" i="7" s="1"/>
  <c r="AM2297" i="7"/>
  <c r="AL2298" i="7"/>
  <c r="AO2298" i="7" s="1"/>
  <c r="AP2298" i="7" s="1"/>
  <c r="AQ2298" i="7" s="1"/>
  <c r="AM2298" i="7"/>
  <c r="AL2299" i="7"/>
  <c r="AO2299" i="7" s="1"/>
  <c r="AP2299" i="7" s="1"/>
  <c r="AQ2299" i="7" s="1"/>
  <c r="AM2299" i="7"/>
  <c r="AL2300" i="7"/>
  <c r="AO2300" i="7" s="1"/>
  <c r="AP2300" i="7" s="1"/>
  <c r="AQ2300" i="7" s="1"/>
  <c r="AM2300" i="7"/>
  <c r="AL2301" i="7"/>
  <c r="AO2301" i="7" s="1"/>
  <c r="AP2301" i="7" s="1"/>
  <c r="AM2301" i="7"/>
  <c r="AL2302" i="7"/>
  <c r="AO2302" i="7" s="1"/>
  <c r="AP2302" i="7" s="1"/>
  <c r="AM2302" i="7"/>
  <c r="AL2303" i="7"/>
  <c r="AO2303" i="7" s="1"/>
  <c r="AP2303" i="7" s="1"/>
  <c r="AM2303" i="7"/>
  <c r="AL2304" i="7"/>
  <c r="AM2304" i="7"/>
  <c r="AO2304" i="7"/>
  <c r="AP2304" i="7" s="1"/>
  <c r="AL2305" i="7"/>
  <c r="AM2305" i="7"/>
  <c r="AO2305" i="7"/>
  <c r="AP2305" i="7" s="1"/>
  <c r="AQ2305" i="7" s="1"/>
  <c r="AL2306" i="7"/>
  <c r="AO2306" i="7" s="1"/>
  <c r="AP2306" i="7" s="1"/>
  <c r="AM2306" i="7"/>
  <c r="AL2307" i="7"/>
  <c r="AO2307" i="7" s="1"/>
  <c r="AP2307" i="7" s="1"/>
  <c r="AM2307" i="7"/>
  <c r="AL2308" i="7"/>
  <c r="AO2308" i="7" s="1"/>
  <c r="AP2308" i="7" s="1"/>
  <c r="AM2308" i="7"/>
  <c r="AL2309" i="7"/>
  <c r="AO2309" i="7" s="1"/>
  <c r="AP2309" i="7" s="1"/>
  <c r="AM2309" i="7"/>
  <c r="AL2310" i="7"/>
  <c r="AO2310" i="7" s="1"/>
  <c r="AP2310" i="7" s="1"/>
  <c r="AQ2310" i="7" s="1"/>
  <c r="AM2310" i="7"/>
  <c r="AL2311" i="7"/>
  <c r="AO2311" i="7" s="1"/>
  <c r="AM2311" i="7"/>
  <c r="AP2311" i="7"/>
  <c r="AQ2311" i="7" s="1"/>
  <c r="AL2312" i="7"/>
  <c r="AO2312" i="7" s="1"/>
  <c r="AP2312" i="7" s="1"/>
  <c r="AQ2312" i="7" s="1"/>
  <c r="AM2312" i="7"/>
  <c r="AL2313" i="7"/>
  <c r="AM2313" i="7"/>
  <c r="AO2313" i="7"/>
  <c r="AP2313" i="7" s="1"/>
  <c r="AQ2313" i="7" s="1"/>
  <c r="AL2314" i="7"/>
  <c r="AO2314" i="7" s="1"/>
  <c r="AP2314" i="7" s="1"/>
  <c r="AQ2314" i="7" s="1"/>
  <c r="AM2314" i="7"/>
  <c r="AL2315" i="7"/>
  <c r="AM2315" i="7"/>
  <c r="AO2315" i="7"/>
  <c r="AP2315" i="7" s="1"/>
  <c r="AL2316" i="7"/>
  <c r="AO2316" i="7" s="1"/>
  <c r="AP2316" i="7" s="1"/>
  <c r="AM2316" i="7"/>
  <c r="AL2317" i="7"/>
  <c r="AO2317" i="7" s="1"/>
  <c r="AP2317" i="7" s="1"/>
  <c r="AM2317" i="7"/>
  <c r="AL2318" i="7"/>
  <c r="AO2318" i="7" s="1"/>
  <c r="AM2318" i="7"/>
  <c r="AP2318" i="7"/>
  <c r="AQ2318" i="7"/>
  <c r="AL2319" i="7"/>
  <c r="AO2319" i="7" s="1"/>
  <c r="AP2319" i="7" s="1"/>
  <c r="AQ2319" i="7" s="1"/>
  <c r="AM2319" i="7"/>
  <c r="AL2320" i="7"/>
  <c r="AO2320" i="7" s="1"/>
  <c r="AP2320" i="7" s="1"/>
  <c r="AM2320" i="7"/>
  <c r="AL2321" i="7"/>
  <c r="AO2321" i="7" s="1"/>
  <c r="AP2321" i="7" s="1"/>
  <c r="AM2321" i="7"/>
  <c r="AL2322" i="7"/>
  <c r="AO2322" i="7" s="1"/>
  <c r="AM2322" i="7"/>
  <c r="AP2322" i="7"/>
  <c r="AL2323" i="7"/>
  <c r="AO2323" i="7" s="1"/>
  <c r="AP2323" i="7" s="1"/>
  <c r="AM2323" i="7"/>
  <c r="AL2324" i="7"/>
  <c r="AO2324" i="7" s="1"/>
  <c r="AP2324" i="7" s="1"/>
  <c r="AQ2324" i="7" s="1"/>
  <c r="AM2324" i="7"/>
  <c r="AL2325" i="7"/>
  <c r="AO2325" i="7" s="1"/>
  <c r="AP2325" i="7" s="1"/>
  <c r="AQ2325" i="7" s="1"/>
  <c r="AM2325" i="7"/>
  <c r="AL2326" i="7"/>
  <c r="AO2326" i="7" s="1"/>
  <c r="AP2326" i="7" s="1"/>
  <c r="AQ2326" i="7" s="1"/>
  <c r="AM2326" i="7"/>
  <c r="AL2327" i="7"/>
  <c r="AO2327" i="7" s="1"/>
  <c r="AP2327" i="7" s="1"/>
  <c r="AQ2327" i="7" s="1"/>
  <c r="AM2327" i="7"/>
  <c r="AL2328" i="7"/>
  <c r="AO2328" i="7" s="1"/>
  <c r="AP2328" i="7" s="1"/>
  <c r="AQ2328" i="7" s="1"/>
  <c r="AM2328" i="7"/>
  <c r="AL2329" i="7"/>
  <c r="AO2329" i="7" s="1"/>
  <c r="AP2329" i="7" s="1"/>
  <c r="AM2329" i="7"/>
  <c r="AL2330" i="7"/>
  <c r="AO2330" i="7" s="1"/>
  <c r="AP2330" i="7" s="1"/>
  <c r="AM2330" i="7"/>
  <c r="AL2331" i="7"/>
  <c r="AO2331" i="7" s="1"/>
  <c r="AP2331" i="7" s="1"/>
  <c r="AM2331" i="7"/>
  <c r="AL2332" i="7"/>
  <c r="AO2332" i="7" s="1"/>
  <c r="AP2332" i="7" s="1"/>
  <c r="AM2332" i="7"/>
  <c r="AL2333" i="7"/>
  <c r="AO2333" i="7" s="1"/>
  <c r="AP2333" i="7" s="1"/>
  <c r="AM2333" i="7"/>
  <c r="AL2334" i="7"/>
  <c r="AO2334" i="7" s="1"/>
  <c r="AP2334" i="7" s="1"/>
  <c r="AM2334" i="7"/>
  <c r="AL2335" i="7"/>
  <c r="AO2335" i="7" s="1"/>
  <c r="AP2335" i="7" s="1"/>
  <c r="AM2335" i="7"/>
  <c r="AL2336" i="7"/>
  <c r="AO2336" i="7" s="1"/>
  <c r="AP2336" i="7" s="1"/>
  <c r="AM2336" i="7"/>
  <c r="AL2337" i="7"/>
  <c r="AO2337" i="7" s="1"/>
  <c r="AP2337" i="7" s="1"/>
  <c r="AM2337" i="7"/>
  <c r="AL2338" i="7"/>
  <c r="AO2338" i="7" s="1"/>
  <c r="AP2338" i="7" s="1"/>
  <c r="AQ2338" i="7" s="1"/>
  <c r="AM2338" i="7"/>
  <c r="AL2339" i="7"/>
  <c r="AO2339" i="7" s="1"/>
  <c r="AP2339" i="7" s="1"/>
  <c r="AQ2339" i="7" s="1"/>
  <c r="AM2339" i="7"/>
  <c r="AL2340" i="7"/>
  <c r="AO2340" i="7" s="1"/>
  <c r="AP2340" i="7" s="1"/>
  <c r="AQ2340" i="7" s="1"/>
  <c r="AM2340" i="7"/>
  <c r="AL2341" i="7"/>
  <c r="AM2341" i="7"/>
  <c r="AO2341" i="7"/>
  <c r="AP2341" i="7" s="1"/>
  <c r="AQ2341" i="7" s="1"/>
  <c r="AL2342" i="7"/>
  <c r="AO2342" i="7" s="1"/>
  <c r="AP2342" i="7" s="1"/>
  <c r="AQ2342" i="7" s="1"/>
  <c r="AM2342" i="7"/>
  <c r="AL2343" i="7"/>
  <c r="AM2343" i="7"/>
  <c r="AO2343" i="7"/>
  <c r="AP2343" i="7"/>
  <c r="AL2344" i="7"/>
  <c r="AO2344" i="7" s="1"/>
  <c r="AP2344" i="7" s="1"/>
  <c r="AM2344" i="7"/>
  <c r="AL2345" i="7"/>
  <c r="AO2345" i="7" s="1"/>
  <c r="AP2345" i="7" s="1"/>
  <c r="AM2345" i="7"/>
  <c r="AL2346" i="7"/>
  <c r="AO2346" i="7" s="1"/>
  <c r="AP2346" i="7" s="1"/>
  <c r="AM2346" i="7"/>
  <c r="AL2347" i="7"/>
  <c r="AO2347" i="7" s="1"/>
  <c r="AP2347" i="7" s="1"/>
  <c r="AQ2347" i="7" s="1"/>
  <c r="AM2347" i="7"/>
  <c r="AL2348" i="7"/>
  <c r="AO2348" i="7" s="1"/>
  <c r="AP2348" i="7" s="1"/>
  <c r="AM2348" i="7"/>
  <c r="AL2349" i="7"/>
  <c r="AO2349" i="7" s="1"/>
  <c r="AP2349" i="7" s="1"/>
  <c r="AM2349" i="7"/>
  <c r="AL2350" i="7"/>
  <c r="AO2350" i="7" s="1"/>
  <c r="AP2350" i="7" s="1"/>
  <c r="AM2350" i="7"/>
  <c r="AL2351" i="7"/>
  <c r="AO2351" i="7" s="1"/>
  <c r="AP2351" i="7" s="1"/>
  <c r="AM2351" i="7"/>
  <c r="AL2352" i="7"/>
  <c r="AO2352" i="7" s="1"/>
  <c r="AP2352" i="7" s="1"/>
  <c r="AQ2352" i="7" s="1"/>
  <c r="AM2352" i="7"/>
  <c r="AL2353" i="7"/>
  <c r="AO2353" i="7" s="1"/>
  <c r="AP2353" i="7" s="1"/>
  <c r="AQ2353" i="7" s="1"/>
  <c r="AM2353" i="7"/>
  <c r="AL2354" i="7"/>
  <c r="AO2354" i="7" s="1"/>
  <c r="AP2354" i="7" s="1"/>
  <c r="AQ2354" i="7" s="1"/>
  <c r="AM2354" i="7"/>
  <c r="AL2355" i="7"/>
  <c r="AO2355" i="7" s="1"/>
  <c r="AP2355" i="7" s="1"/>
  <c r="AQ2355" i="7" s="1"/>
  <c r="AM2355" i="7"/>
  <c r="AL2356" i="7"/>
  <c r="AO2356" i="7" s="1"/>
  <c r="AP2356" i="7" s="1"/>
  <c r="AQ2356" i="7" s="1"/>
  <c r="AM2356" i="7"/>
  <c r="AL2357" i="7"/>
  <c r="AO2357" i="7" s="1"/>
  <c r="AP2357" i="7" s="1"/>
  <c r="AM2357" i="7"/>
  <c r="AL2358" i="7"/>
  <c r="AO2358" i="7" s="1"/>
  <c r="AP2358" i="7" s="1"/>
  <c r="AM2358" i="7"/>
  <c r="AL2359" i="7"/>
  <c r="AO2359" i="7" s="1"/>
  <c r="AP2359" i="7" s="1"/>
  <c r="AM2359" i="7"/>
  <c r="AL2360" i="7"/>
  <c r="AO2360" i="7" s="1"/>
  <c r="AP2360" i="7" s="1"/>
  <c r="AM2360" i="7"/>
  <c r="AL2361" i="7"/>
  <c r="AO2361" i="7" s="1"/>
  <c r="AP2361" i="7" s="1"/>
  <c r="AM2361" i="7"/>
  <c r="AL2362" i="7"/>
  <c r="AO2362" i="7" s="1"/>
  <c r="AP2362" i="7" s="1"/>
  <c r="AM2362" i="7"/>
  <c r="AL2363" i="7"/>
  <c r="AO2363" i="7" s="1"/>
  <c r="AP2363" i="7" s="1"/>
  <c r="AM2363" i="7"/>
  <c r="AL2364" i="7"/>
  <c r="AO2364" i="7" s="1"/>
  <c r="AP2364" i="7" s="1"/>
  <c r="AM2364" i="7"/>
  <c r="AL2365" i="7"/>
  <c r="AO2365" i="7" s="1"/>
  <c r="AP2365" i="7" s="1"/>
  <c r="AM2365" i="7"/>
  <c r="AL2366" i="7"/>
  <c r="AO2366" i="7" s="1"/>
  <c r="AP2366" i="7" s="1"/>
  <c r="AM2366" i="7"/>
  <c r="AL2367" i="7"/>
  <c r="AO2367" i="7" s="1"/>
  <c r="AP2367" i="7" s="1"/>
  <c r="AQ2367" i="7" s="1"/>
  <c r="AM2367" i="7"/>
  <c r="AL2368" i="7"/>
  <c r="AO2368" i="7" s="1"/>
  <c r="AP2368" i="7" s="1"/>
  <c r="AQ2368" i="7" s="1"/>
  <c r="AM2368" i="7"/>
  <c r="AL2369" i="7"/>
  <c r="AO2369" i="7" s="1"/>
  <c r="AP2369" i="7" s="1"/>
  <c r="AQ2369" i="7" s="1"/>
  <c r="AM2369" i="7"/>
  <c r="AL2370" i="7"/>
  <c r="AO2370" i="7" s="1"/>
  <c r="AP2370" i="7" s="1"/>
  <c r="AQ2370" i="7" s="1"/>
  <c r="AM2370" i="7"/>
  <c r="AL2371" i="7"/>
  <c r="AO2371" i="7" s="1"/>
  <c r="AP2371" i="7" s="1"/>
  <c r="AQ2371" i="7" s="1"/>
  <c r="AM2371" i="7"/>
  <c r="AL2372" i="7"/>
  <c r="AO2372" i="7" s="1"/>
  <c r="AP2372" i="7" s="1"/>
  <c r="AM2372" i="7"/>
  <c r="AL2373" i="7"/>
  <c r="AO2373" i="7" s="1"/>
  <c r="AP2373" i="7" s="1"/>
  <c r="AM2373" i="7"/>
  <c r="AL2374" i="7"/>
  <c r="AO2374" i="7" s="1"/>
  <c r="AP2374" i="7" s="1"/>
  <c r="AM2374" i="7"/>
  <c r="AL2375" i="7"/>
  <c r="AO2375" i="7" s="1"/>
  <c r="AP2375" i="7" s="1"/>
  <c r="AQ2375" i="7" s="1"/>
  <c r="AM2375" i="7"/>
  <c r="AL2376" i="7"/>
  <c r="AO2376" i="7" s="1"/>
  <c r="AP2376" i="7" s="1"/>
  <c r="AM2376" i="7"/>
  <c r="AL2377" i="7"/>
  <c r="AO2377" i="7" s="1"/>
  <c r="AP2377" i="7" s="1"/>
  <c r="AM2377" i="7"/>
  <c r="AL2378" i="7"/>
  <c r="AO2378" i="7" s="1"/>
  <c r="AP2378" i="7" s="1"/>
  <c r="AM2378" i="7"/>
  <c r="AL2379" i="7"/>
  <c r="AO2379" i="7" s="1"/>
  <c r="AP2379" i="7" s="1"/>
  <c r="AM2379" i="7"/>
  <c r="AL2380" i="7"/>
  <c r="AO2380" i="7" s="1"/>
  <c r="AP2380" i="7" s="1"/>
  <c r="AM2380" i="7"/>
  <c r="AL2381" i="7"/>
  <c r="AO2381" i="7" s="1"/>
  <c r="AP2381" i="7" s="1"/>
  <c r="AQ2381" i="7" s="1"/>
  <c r="AM2381" i="7"/>
  <c r="AL2382" i="7"/>
  <c r="AO2382" i="7" s="1"/>
  <c r="AP2382" i="7" s="1"/>
  <c r="AQ2382" i="7" s="1"/>
  <c r="AM2382" i="7"/>
  <c r="AL2383" i="7"/>
  <c r="AO2383" i="7" s="1"/>
  <c r="AP2383" i="7" s="1"/>
  <c r="AQ2383" i="7" s="1"/>
  <c r="AM2383" i="7"/>
  <c r="AL2384" i="7"/>
  <c r="AO2384" i="7" s="1"/>
  <c r="AP2384" i="7" s="1"/>
  <c r="AM2384" i="7"/>
  <c r="AL2385" i="7"/>
  <c r="AO2385" i="7" s="1"/>
  <c r="AP2385" i="7" s="1"/>
  <c r="AM2385" i="7"/>
  <c r="AL2386" i="7"/>
  <c r="AO2386" i="7" s="1"/>
  <c r="AP2386" i="7" s="1"/>
  <c r="AM2386" i="7"/>
  <c r="AL2387" i="7"/>
  <c r="AO2387" i="7" s="1"/>
  <c r="AP2387" i="7" s="1"/>
  <c r="AM2387" i="7"/>
  <c r="AL2388" i="7"/>
  <c r="AO2388" i="7" s="1"/>
  <c r="AP2388" i="7" s="1"/>
  <c r="AM2388" i="7"/>
  <c r="AL2389" i="7"/>
  <c r="AO2389" i="7" s="1"/>
  <c r="AP2389" i="7" s="1"/>
  <c r="AQ2389" i="7" s="1"/>
  <c r="AM2389" i="7"/>
  <c r="AL2390" i="7"/>
  <c r="AO2390" i="7" s="1"/>
  <c r="AP2390" i="7" s="1"/>
  <c r="AM2390" i="7"/>
  <c r="AL2391" i="7"/>
  <c r="AM2391" i="7"/>
  <c r="AO2391" i="7"/>
  <c r="AP2391" i="7" s="1"/>
  <c r="AL2392" i="7"/>
  <c r="AO2392" i="7" s="1"/>
  <c r="AP2392" i="7" s="1"/>
  <c r="AM2392" i="7"/>
  <c r="AL2393" i="7"/>
  <c r="AO2393" i="7" s="1"/>
  <c r="AP2393" i="7" s="1"/>
  <c r="AM2393" i="7"/>
  <c r="AL2394" i="7"/>
  <c r="AO2394" i="7" s="1"/>
  <c r="AP2394" i="7" s="1"/>
  <c r="AM2394" i="7"/>
  <c r="AL2395" i="7"/>
  <c r="AO2395" i="7" s="1"/>
  <c r="AP2395" i="7" s="1"/>
  <c r="AQ2395" i="7" s="1"/>
  <c r="AM2395" i="7"/>
  <c r="AL2396" i="7"/>
  <c r="AO2396" i="7" s="1"/>
  <c r="AP2396" i="7" s="1"/>
  <c r="AQ2396" i="7" s="1"/>
  <c r="AM2396" i="7"/>
  <c r="AL2397" i="7"/>
  <c r="AO2397" i="7" s="1"/>
  <c r="AP2397" i="7" s="1"/>
  <c r="AQ2397" i="7" s="1"/>
  <c r="AM2397" i="7"/>
  <c r="AL2398" i="7"/>
  <c r="AO2398" i="7" s="1"/>
  <c r="AP2398" i="7" s="1"/>
  <c r="AQ2398" i="7" s="1"/>
  <c r="AM2398" i="7"/>
  <c r="AL2399" i="7"/>
  <c r="AO2399" i="7" s="1"/>
  <c r="AP2399" i="7" s="1"/>
  <c r="AM2399" i="7"/>
  <c r="AL2400" i="7"/>
  <c r="AO2400" i="7" s="1"/>
  <c r="AP2400" i="7" s="1"/>
  <c r="AM2400" i="7"/>
  <c r="AL2401" i="7"/>
  <c r="AO2401" i="7" s="1"/>
  <c r="AP2401" i="7" s="1"/>
  <c r="AM2401" i="7"/>
  <c r="AL2402" i="7"/>
  <c r="AO2402" i="7" s="1"/>
  <c r="AP2402" i="7" s="1"/>
  <c r="AQ2402" i="7" s="1"/>
  <c r="AM2402" i="7"/>
  <c r="AL2403" i="7"/>
  <c r="AO2403" i="7" s="1"/>
  <c r="AP2403" i="7" s="1"/>
  <c r="AQ2403" i="7" s="1"/>
  <c r="AM2403" i="7"/>
  <c r="AL2404" i="7"/>
  <c r="AM2404" i="7"/>
  <c r="AO2404" i="7"/>
  <c r="AP2404" i="7" s="1"/>
  <c r="AL2405" i="7"/>
  <c r="AO2405" i="7" s="1"/>
  <c r="AP2405" i="7" s="1"/>
  <c r="AM2405" i="7"/>
  <c r="AL2406" i="7"/>
  <c r="AO2406" i="7" s="1"/>
  <c r="AP2406" i="7" s="1"/>
  <c r="AM2406" i="7"/>
  <c r="AL2407" i="7"/>
  <c r="AO2407" i="7" s="1"/>
  <c r="AP2407" i="7" s="1"/>
  <c r="AM2407" i="7"/>
  <c r="AL2408" i="7"/>
  <c r="AO2408" i="7" s="1"/>
  <c r="AP2408" i="7" s="1"/>
  <c r="AM2408" i="7"/>
  <c r="AL2409" i="7"/>
  <c r="AM2409" i="7"/>
  <c r="AO2409" i="7"/>
  <c r="AP2409" i="7" s="1"/>
  <c r="AQ2409" i="7" s="1"/>
  <c r="AL2410" i="7"/>
  <c r="AO2410" i="7" s="1"/>
  <c r="AP2410" i="7" s="1"/>
  <c r="AM2410" i="7"/>
  <c r="AQ2410" i="7"/>
  <c r="AL2411" i="7"/>
  <c r="AO2411" i="7" s="1"/>
  <c r="AP2411" i="7" s="1"/>
  <c r="AQ2411" i="7" s="1"/>
  <c r="AM2411" i="7"/>
  <c r="AL2412" i="7"/>
  <c r="AO2412" i="7" s="1"/>
  <c r="AP2412" i="7" s="1"/>
  <c r="AQ2412" i="7" s="1"/>
  <c r="AM2412" i="7"/>
  <c r="AL2413" i="7"/>
  <c r="AM2413" i="7"/>
  <c r="AO2413" i="7"/>
  <c r="AP2413" i="7" s="1"/>
  <c r="AL2414" i="7"/>
  <c r="AM2414" i="7"/>
  <c r="AO2414" i="7"/>
  <c r="AP2414" i="7" s="1"/>
  <c r="AL2415" i="7"/>
  <c r="AO2415" i="7" s="1"/>
  <c r="AP2415" i="7" s="1"/>
  <c r="AM2415" i="7"/>
  <c r="AL2416" i="7"/>
  <c r="AO2416" i="7" s="1"/>
  <c r="AP2416" i="7" s="1"/>
  <c r="AM2416" i="7"/>
  <c r="AL2417" i="7"/>
  <c r="AO2417" i="7" s="1"/>
  <c r="AP2417" i="7" s="1"/>
  <c r="AQ2417" i="7" s="1"/>
  <c r="AM2417" i="7"/>
  <c r="AL2418" i="7"/>
  <c r="AO2418" i="7" s="1"/>
  <c r="AP2418" i="7" s="1"/>
  <c r="AM2418" i="7"/>
  <c r="AL2419" i="7"/>
  <c r="AO2419" i="7" s="1"/>
  <c r="AP2419" i="7" s="1"/>
  <c r="AM2419" i="7"/>
  <c r="AL2420" i="7"/>
  <c r="AO2420" i="7" s="1"/>
  <c r="AP2420" i="7" s="1"/>
  <c r="AM2420" i="7"/>
  <c r="AL2421" i="7"/>
  <c r="AO2421" i="7" s="1"/>
  <c r="AP2421" i="7" s="1"/>
  <c r="AM2421" i="7"/>
  <c r="AL2422" i="7"/>
  <c r="AO2422" i="7" s="1"/>
  <c r="AP2422" i="7" s="1"/>
  <c r="AM2422" i="7"/>
  <c r="AL2423" i="7"/>
  <c r="AO2423" i="7" s="1"/>
  <c r="AP2423" i="7" s="1"/>
  <c r="AQ2423" i="7" s="1"/>
  <c r="AM2423" i="7"/>
  <c r="AL2424" i="7"/>
  <c r="AO2424" i="7" s="1"/>
  <c r="AP2424" i="7" s="1"/>
  <c r="AQ2424" i="7" s="1"/>
  <c r="AM2424" i="7"/>
  <c r="AL2425" i="7"/>
  <c r="AO2425" i="7" s="1"/>
  <c r="AP2425" i="7" s="1"/>
  <c r="AQ2425" i="7" s="1"/>
  <c r="AM2425" i="7"/>
  <c r="AL2426" i="7"/>
  <c r="AO2426" i="7" s="1"/>
  <c r="AP2426" i="7" s="1"/>
  <c r="AQ2426" i="7" s="1"/>
  <c r="AM2426" i="7"/>
  <c r="AL2427" i="7"/>
  <c r="AM2427" i="7"/>
  <c r="AO2427" i="7"/>
  <c r="AP2427" i="7" s="1"/>
  <c r="AL2428" i="7"/>
  <c r="AO2428" i="7" s="1"/>
  <c r="AP2428" i="7" s="1"/>
  <c r="AM2428" i="7"/>
  <c r="AL2429" i="7"/>
  <c r="AO2429" i="7" s="1"/>
  <c r="AP2429" i="7" s="1"/>
  <c r="AM2429" i="7"/>
  <c r="AL2430" i="7"/>
  <c r="AO2430" i="7" s="1"/>
  <c r="AP2430" i="7" s="1"/>
  <c r="AM2430" i="7"/>
  <c r="AL2431" i="7"/>
  <c r="AO2431" i="7" s="1"/>
  <c r="AP2431" i="7" s="1"/>
  <c r="AQ2431" i="7" s="1"/>
  <c r="AM2431" i="7"/>
  <c r="AL2432" i="7"/>
  <c r="AO2432" i="7" s="1"/>
  <c r="AP2432" i="7" s="1"/>
  <c r="AM2432" i="7"/>
  <c r="AL2433" i="7"/>
  <c r="AO2433" i="7" s="1"/>
  <c r="AP2433" i="7" s="1"/>
  <c r="AM2433" i="7"/>
  <c r="AL2434" i="7"/>
  <c r="AO2434" i="7" s="1"/>
  <c r="AP2434" i="7" s="1"/>
  <c r="AM2434" i="7"/>
  <c r="AL2435" i="7"/>
  <c r="AO2435" i="7" s="1"/>
  <c r="AP2435" i="7" s="1"/>
  <c r="AM2435" i="7"/>
  <c r="AL2436" i="7"/>
  <c r="AM2436" i="7"/>
  <c r="AO2436" i="7"/>
  <c r="AP2436" i="7" s="1"/>
  <c r="AL2437" i="7"/>
  <c r="AO2437" i="7" s="1"/>
  <c r="AP2437" i="7" s="1"/>
  <c r="AQ2437" i="7" s="1"/>
  <c r="AM2437" i="7"/>
  <c r="AL2438" i="7"/>
  <c r="AO2438" i="7" s="1"/>
  <c r="AP2438" i="7" s="1"/>
  <c r="AQ2438" i="7" s="1"/>
  <c r="AM2438" i="7"/>
  <c r="AL2439" i="7"/>
  <c r="AO2439" i="7" s="1"/>
  <c r="AP2439" i="7" s="1"/>
  <c r="AQ2439" i="7" s="1"/>
  <c r="AM2439" i="7"/>
  <c r="AL2440" i="7"/>
  <c r="AO2440" i="7" s="1"/>
  <c r="AP2440" i="7" s="1"/>
  <c r="AQ2440" i="7" s="1"/>
  <c r="AM2440" i="7"/>
  <c r="AL2441" i="7"/>
  <c r="AO2441" i="7" s="1"/>
  <c r="AP2441" i="7" s="1"/>
  <c r="AM2441" i="7"/>
  <c r="AL2442" i="7"/>
  <c r="AM2442" i="7"/>
  <c r="AO2442" i="7"/>
  <c r="AP2442" i="7" s="1"/>
  <c r="AL2443" i="7"/>
  <c r="AO2443" i="7" s="1"/>
  <c r="AP2443" i="7" s="1"/>
  <c r="AM2443" i="7"/>
  <c r="AL2444" i="7"/>
  <c r="AO2444" i="7" s="1"/>
  <c r="AP2444" i="7" s="1"/>
  <c r="AM2444" i="7"/>
  <c r="AL2445" i="7"/>
  <c r="AO2445" i="7" s="1"/>
  <c r="AP2445" i="7" s="1"/>
  <c r="AQ2445" i="7" s="1"/>
  <c r="AM2445" i="7"/>
  <c r="AL2446" i="7"/>
  <c r="AO2446" i="7" s="1"/>
  <c r="AP2446" i="7" s="1"/>
  <c r="AM2446" i="7"/>
  <c r="AL2447" i="7"/>
  <c r="AO2447" i="7" s="1"/>
  <c r="AP2447" i="7" s="1"/>
  <c r="AM2447" i="7"/>
  <c r="AL2448" i="7"/>
  <c r="AO2448" i="7" s="1"/>
  <c r="AM2448" i="7"/>
  <c r="AP2448" i="7"/>
  <c r="AL2449" i="7"/>
  <c r="AO2449" i="7" s="1"/>
  <c r="AP2449" i="7" s="1"/>
  <c r="AM2449" i="7"/>
  <c r="AL2450" i="7"/>
  <c r="AO2450" i="7" s="1"/>
  <c r="AP2450" i="7" s="1"/>
  <c r="AM2450" i="7"/>
  <c r="AL2451" i="7"/>
  <c r="AO2451" i="7" s="1"/>
  <c r="AP2451" i="7" s="1"/>
  <c r="AQ2451" i="7" s="1"/>
  <c r="AM2451" i="7"/>
  <c r="AL2452" i="7"/>
  <c r="AO2452" i="7" s="1"/>
  <c r="AP2452" i="7" s="1"/>
  <c r="AQ2452" i="7" s="1"/>
  <c r="AM2452" i="7"/>
  <c r="AL2453" i="7"/>
  <c r="AO2453" i="7" s="1"/>
  <c r="AP2453" i="7" s="1"/>
  <c r="AQ2453" i="7" s="1"/>
  <c r="AM2453" i="7"/>
  <c r="AL2454" i="7"/>
  <c r="AO2454" i="7" s="1"/>
  <c r="AP2454" i="7" s="1"/>
  <c r="AQ2454" i="7" s="1"/>
  <c r="AM2454" i="7"/>
  <c r="AL2455" i="7"/>
  <c r="AO2455" i="7" s="1"/>
  <c r="AP2455" i="7" s="1"/>
  <c r="AM2455" i="7"/>
  <c r="AL2456" i="7"/>
  <c r="AO2456" i="7" s="1"/>
  <c r="AP2456" i="7" s="1"/>
  <c r="AQ2456" i="7" s="1"/>
  <c r="AM2456" i="7"/>
  <c r="AL2457" i="7"/>
  <c r="AO2457" i="7" s="1"/>
  <c r="AP2457" i="7" s="1"/>
  <c r="AM2457" i="7"/>
  <c r="AL2458" i="7"/>
  <c r="AO2458" i="7" s="1"/>
  <c r="AP2458" i="7" s="1"/>
  <c r="AQ2458" i="7" s="1"/>
  <c r="AM2458" i="7"/>
  <c r="AL2459" i="7"/>
  <c r="AO2459" i="7" s="1"/>
  <c r="AP2459" i="7" s="1"/>
  <c r="AQ2459" i="7" s="1"/>
  <c r="AM2459" i="7"/>
  <c r="AL2460" i="7"/>
  <c r="AO2460" i="7" s="1"/>
  <c r="AP2460" i="7" s="1"/>
  <c r="AM2460" i="7"/>
  <c r="AL2461" i="7"/>
  <c r="AM2461" i="7"/>
  <c r="AO2461" i="7"/>
  <c r="AP2461" i="7" s="1"/>
  <c r="AL2462" i="7"/>
  <c r="AO2462" i="7" s="1"/>
  <c r="AP2462" i="7" s="1"/>
  <c r="AM2462" i="7"/>
  <c r="AL2463" i="7"/>
  <c r="AO2463" i="7" s="1"/>
  <c r="AP2463" i="7" s="1"/>
  <c r="AM2463" i="7"/>
  <c r="AL2464" i="7"/>
  <c r="AO2464" i="7" s="1"/>
  <c r="AP2464" i="7" s="1"/>
  <c r="AQ2464" i="7" s="1"/>
  <c r="AM2464" i="7"/>
  <c r="AL2465" i="7"/>
  <c r="AO2465" i="7" s="1"/>
  <c r="AP2465" i="7" s="1"/>
  <c r="AQ2465" i="7" s="1"/>
  <c r="AM2465" i="7"/>
  <c r="AL2466" i="7"/>
  <c r="AO2466" i="7" s="1"/>
  <c r="AP2466" i="7" s="1"/>
  <c r="AQ2466" i="7" s="1"/>
  <c r="AM2466" i="7"/>
  <c r="AL2467" i="7"/>
  <c r="AO2467" i="7" s="1"/>
  <c r="AP2467" i="7" s="1"/>
  <c r="AQ2467" i="7" s="1"/>
  <c r="AM2467" i="7"/>
  <c r="AL2468" i="7"/>
  <c r="AO2468" i="7" s="1"/>
  <c r="AP2468" i="7" s="1"/>
  <c r="AQ2468" i="7" s="1"/>
  <c r="AM2468" i="7"/>
  <c r="AL2469" i="7"/>
  <c r="AO2469" i="7" s="1"/>
  <c r="AP2469" i="7" s="1"/>
  <c r="AM2469" i="7"/>
  <c r="AL2470" i="7"/>
  <c r="AO2470" i="7" s="1"/>
  <c r="AP2470" i="7" s="1"/>
  <c r="AM2470" i="7"/>
  <c r="AL2471" i="7"/>
  <c r="AO2471" i="7" s="1"/>
  <c r="AP2471" i="7" s="1"/>
  <c r="AM2471" i="7"/>
  <c r="AL2472" i="7"/>
  <c r="AO2472" i="7" s="1"/>
  <c r="AP2472" i="7" s="1"/>
  <c r="AM2472" i="7"/>
  <c r="AL2473" i="7"/>
  <c r="AO2473" i="7" s="1"/>
  <c r="AP2473" i="7" s="1"/>
  <c r="AQ2473" i="7" s="1"/>
  <c r="AM2473" i="7"/>
  <c r="AL2474" i="7"/>
  <c r="AO2474" i="7" s="1"/>
  <c r="AP2474" i="7" s="1"/>
  <c r="AM2474" i="7"/>
  <c r="AL2475" i="7"/>
  <c r="AO2475" i="7" s="1"/>
  <c r="AP2475" i="7" s="1"/>
  <c r="AM2475" i="7"/>
  <c r="AL2476" i="7"/>
  <c r="AO2476" i="7" s="1"/>
  <c r="AP2476" i="7" s="1"/>
  <c r="AM2476" i="7"/>
  <c r="AL2477" i="7"/>
  <c r="AO2477" i="7" s="1"/>
  <c r="AP2477" i="7" s="1"/>
  <c r="AM2477" i="7"/>
  <c r="AL2478" i="7"/>
  <c r="AO2478" i="7" s="1"/>
  <c r="AP2478" i="7" s="1"/>
  <c r="AM2478" i="7"/>
  <c r="AL2479" i="7"/>
  <c r="AM2479" i="7"/>
  <c r="AO2479" i="7"/>
  <c r="AP2479" i="7"/>
  <c r="AQ2479" i="7" s="1"/>
  <c r="AL2480" i="7"/>
  <c r="AO2480" i="7" s="1"/>
  <c r="AP2480" i="7" s="1"/>
  <c r="AQ2480" i="7" s="1"/>
  <c r="AM2480" i="7"/>
  <c r="AL2481" i="7"/>
  <c r="AO2481" i="7" s="1"/>
  <c r="AP2481" i="7" s="1"/>
  <c r="AQ2481" i="7" s="1"/>
  <c r="AM2481" i="7"/>
  <c r="AL2482" i="7"/>
  <c r="AO2482" i="7" s="1"/>
  <c r="AP2482" i="7" s="1"/>
  <c r="AM2482" i="7"/>
  <c r="AL2483" i="7"/>
  <c r="AO2483" i="7" s="1"/>
  <c r="AP2483" i="7" s="1"/>
  <c r="AQ2483" i="7" s="1"/>
  <c r="AM2483" i="7"/>
  <c r="AL2484" i="7"/>
  <c r="AO2484" i="7" s="1"/>
  <c r="AP2484" i="7" s="1"/>
  <c r="AQ2484" i="7" s="1"/>
  <c r="AM2484" i="7"/>
  <c r="AL2485" i="7"/>
  <c r="AO2485" i="7" s="1"/>
  <c r="AP2485" i="7" s="1"/>
  <c r="AM2485" i="7"/>
  <c r="AL2486" i="7"/>
  <c r="AO2486" i="7" s="1"/>
  <c r="AM2486" i="7"/>
  <c r="AP2486" i="7"/>
  <c r="AQ2486" i="7" s="1"/>
  <c r="AL2487" i="7"/>
  <c r="AO2487" i="7" s="1"/>
  <c r="AP2487" i="7" s="1"/>
  <c r="AQ2487" i="7" s="1"/>
  <c r="AM2487" i="7"/>
  <c r="AL2488" i="7"/>
  <c r="AO2488" i="7" s="1"/>
  <c r="AP2488" i="7" s="1"/>
  <c r="AQ2488" i="7" s="1"/>
  <c r="AM2488" i="7"/>
  <c r="AL2489" i="7"/>
  <c r="AO2489" i="7" s="1"/>
  <c r="AP2489" i="7" s="1"/>
  <c r="AM2489" i="7"/>
  <c r="AL2490" i="7"/>
  <c r="AO2490" i="7" s="1"/>
  <c r="AP2490" i="7" s="1"/>
  <c r="AM2490" i="7"/>
  <c r="AL2491" i="7"/>
  <c r="AO2491" i="7" s="1"/>
  <c r="AP2491" i="7" s="1"/>
  <c r="AM2491" i="7"/>
  <c r="AL2492" i="7"/>
  <c r="AM2492" i="7"/>
  <c r="AO2492" i="7"/>
  <c r="AP2492" i="7" s="1"/>
  <c r="AQ2492" i="7" s="1"/>
  <c r="AL2493" i="7"/>
  <c r="AO2493" i="7" s="1"/>
  <c r="AP2493" i="7" s="1"/>
  <c r="AQ2493" i="7" s="1"/>
  <c r="AM2493" i="7"/>
  <c r="AL2494" i="7"/>
  <c r="AO2494" i="7" s="1"/>
  <c r="AP2494" i="7" s="1"/>
  <c r="AQ2494" i="7" s="1"/>
  <c r="AM2494" i="7"/>
  <c r="AL2495" i="7"/>
  <c r="AO2495" i="7" s="1"/>
  <c r="AP2495" i="7" s="1"/>
  <c r="AQ2495" i="7" s="1"/>
  <c r="AM2495" i="7"/>
  <c r="AL2496" i="7"/>
  <c r="AM2496" i="7"/>
  <c r="AO2496" i="7"/>
  <c r="AP2496" i="7"/>
  <c r="AQ2496" i="7" s="1"/>
  <c r="AL2497" i="7"/>
  <c r="AO2497" i="7" s="1"/>
  <c r="AP2497" i="7" s="1"/>
  <c r="AM2497" i="7"/>
  <c r="AL2498" i="7"/>
  <c r="AO2498" i="7" s="1"/>
  <c r="AP2498" i="7" s="1"/>
  <c r="AM2498" i="7"/>
  <c r="AL2499" i="7"/>
  <c r="AM2499" i="7"/>
  <c r="AO2499" i="7"/>
  <c r="AP2499" i="7"/>
  <c r="AL2500" i="7"/>
  <c r="AO2500" i="7" s="1"/>
  <c r="AP2500" i="7" s="1"/>
  <c r="AQ2500" i="7" s="1"/>
  <c r="AM2500" i="7"/>
  <c r="AL2501" i="7"/>
  <c r="AO2501" i="7" s="1"/>
  <c r="AP2501" i="7" s="1"/>
  <c r="AQ2501" i="7" s="1"/>
  <c r="AM2501" i="7"/>
  <c r="AL2502" i="7"/>
  <c r="AO2502" i="7" s="1"/>
  <c r="AP2502" i="7" s="1"/>
  <c r="AQ2502" i="7" s="1"/>
  <c r="AM2502" i="7"/>
  <c r="AL2503" i="7"/>
  <c r="AO2503" i="7" s="1"/>
  <c r="AP2503" i="7" s="1"/>
  <c r="AM2503" i="7"/>
  <c r="AL2504" i="7"/>
  <c r="AO2504" i="7" s="1"/>
  <c r="AP2504" i="7" s="1"/>
  <c r="AM2504" i="7"/>
  <c r="AL2505" i="7"/>
  <c r="AM2505" i="7"/>
  <c r="AO2505" i="7"/>
  <c r="AP2505" i="7" s="1"/>
  <c r="AL2506" i="7"/>
  <c r="AO2506" i="7" s="1"/>
  <c r="AP2506" i="7" s="1"/>
  <c r="AM2506" i="7"/>
  <c r="AL2507" i="7"/>
  <c r="AO2507" i="7" s="1"/>
  <c r="AP2507" i="7" s="1"/>
  <c r="AQ2507" i="7" s="1"/>
  <c r="AM2507" i="7"/>
  <c r="AL2508" i="7"/>
  <c r="AM2508" i="7"/>
  <c r="AO2508" i="7"/>
  <c r="AP2508" i="7" s="1"/>
  <c r="AQ2508" i="7" s="1"/>
  <c r="AL2509" i="7"/>
  <c r="AO2509" i="7" s="1"/>
  <c r="AP2509" i="7" s="1"/>
  <c r="AQ2509" i="7" s="1"/>
  <c r="AM2509" i="7"/>
  <c r="AL2510" i="7"/>
  <c r="AO2510" i="7" s="1"/>
  <c r="AP2510" i="7" s="1"/>
  <c r="AQ2510" i="7" s="1"/>
  <c r="AM2510" i="7"/>
  <c r="AL2511" i="7"/>
  <c r="AO2511" i="7" s="1"/>
  <c r="AP2511" i="7" s="1"/>
  <c r="AQ2511" i="7" s="1"/>
  <c r="AM2511" i="7"/>
  <c r="AL2512" i="7"/>
  <c r="AO2512" i="7" s="1"/>
  <c r="AP2512" i="7" s="1"/>
  <c r="AM2512" i="7"/>
  <c r="AL2513" i="7"/>
  <c r="AO2513" i="7" s="1"/>
  <c r="AP2513" i="7" s="1"/>
  <c r="AM2513" i="7"/>
  <c r="AL2514" i="7"/>
  <c r="AM2514" i="7"/>
  <c r="AO2514" i="7"/>
  <c r="AP2514" i="7" s="1"/>
  <c r="AL2515" i="7"/>
  <c r="AO2515" i="7" s="1"/>
  <c r="AP2515" i="7" s="1"/>
  <c r="AQ2515" i="7" s="1"/>
  <c r="AM2515" i="7"/>
  <c r="AL2516" i="7"/>
  <c r="AO2516" i="7" s="1"/>
  <c r="AP2516" i="7" s="1"/>
  <c r="AQ2516" i="7" s="1"/>
  <c r="AM2516" i="7"/>
  <c r="AL2517" i="7"/>
  <c r="AM2517" i="7"/>
  <c r="AO2517" i="7"/>
  <c r="AP2517" i="7"/>
  <c r="AL2518" i="7"/>
  <c r="AO2518" i="7" s="1"/>
  <c r="AP2518" i="7" s="1"/>
  <c r="AM2518" i="7"/>
  <c r="AL2519" i="7"/>
  <c r="AM2519" i="7"/>
  <c r="AO2519" i="7"/>
  <c r="AP2519" i="7" s="1"/>
  <c r="AL2520" i="7"/>
  <c r="AO2520" i="7" s="1"/>
  <c r="AP2520" i="7" s="1"/>
  <c r="AM2520" i="7"/>
  <c r="AL2521" i="7"/>
  <c r="AO2521" i="7" s="1"/>
  <c r="AP2521" i="7" s="1"/>
  <c r="AQ2521" i="7" s="1"/>
  <c r="AM2521" i="7"/>
  <c r="AL2522" i="7"/>
  <c r="AO2522" i="7" s="1"/>
  <c r="AP2522" i="7" s="1"/>
  <c r="AQ2522" i="7" s="1"/>
  <c r="AM2522" i="7"/>
  <c r="AL2523" i="7"/>
  <c r="AO2523" i="7" s="1"/>
  <c r="AP2523" i="7" s="1"/>
  <c r="AQ2523" i="7" s="1"/>
  <c r="AM2523" i="7"/>
  <c r="Z696" i="3"/>
  <c r="W691" i="3"/>
  <c r="W690" i="3"/>
  <c r="W689" i="3"/>
  <c r="Y688" i="3"/>
  <c r="W688" i="3"/>
  <c r="V688" i="3"/>
  <c r="Y687" i="3"/>
  <c r="AE687" i="3" s="1"/>
  <c r="W687" i="3"/>
  <c r="V687" i="3"/>
  <c r="Y686" i="3"/>
  <c r="AE686" i="3" s="1"/>
  <c r="W686" i="3"/>
  <c r="V686" i="3"/>
  <c r="N9" i="8"/>
  <c r="H9" i="8"/>
  <c r="J9" i="8"/>
  <c r="AM907" i="7"/>
  <c r="AM908" i="7"/>
  <c r="AM909" i="7"/>
  <c r="AM910" i="7"/>
  <c r="AM911" i="7"/>
  <c r="AM912" i="7"/>
  <c r="AM913" i="7"/>
  <c r="AM914" i="7"/>
  <c r="AM915" i="7"/>
  <c r="AM916" i="7"/>
  <c r="AM917" i="7"/>
  <c r="AM918" i="7"/>
  <c r="AM919" i="7"/>
  <c r="AM920" i="7"/>
  <c r="AM921" i="7"/>
  <c r="AM922" i="7"/>
  <c r="AM923" i="7"/>
  <c r="AM924" i="7"/>
  <c r="AM925" i="7"/>
  <c r="AM926" i="7"/>
  <c r="AM927" i="7"/>
  <c r="AM928" i="7"/>
  <c r="AM929" i="7"/>
  <c r="AM930" i="7"/>
  <c r="AM931" i="7"/>
  <c r="AM932" i="7"/>
  <c r="AM933" i="7"/>
  <c r="AM934" i="7"/>
  <c r="AM935" i="7"/>
  <c r="AM936" i="7"/>
  <c r="AM937" i="7"/>
  <c r="AM938" i="7"/>
  <c r="AM939" i="7"/>
  <c r="AM940" i="7"/>
  <c r="AM941" i="7"/>
  <c r="AM942" i="7"/>
  <c r="AM943" i="7"/>
  <c r="AL907" i="7"/>
  <c r="AO907" i="7" s="1"/>
  <c r="AP907" i="7" s="1"/>
  <c r="AL908" i="7"/>
  <c r="AO908" i="7" s="1"/>
  <c r="AP908" i="7" s="1"/>
  <c r="AL909" i="7"/>
  <c r="AO909" i="7" s="1"/>
  <c r="AP909" i="7" s="1"/>
  <c r="AL910" i="7"/>
  <c r="AO910" i="7" s="1"/>
  <c r="AP910" i="7" s="1"/>
  <c r="AL911" i="7"/>
  <c r="AO911" i="7" s="1"/>
  <c r="AP911" i="7" s="1"/>
  <c r="AQ911" i="7" s="1"/>
  <c r="AL912" i="7"/>
  <c r="AO912" i="7" s="1"/>
  <c r="AP912" i="7" s="1"/>
  <c r="AQ912" i="7" s="1"/>
  <c r="AL913" i="7"/>
  <c r="AO913" i="7" s="1"/>
  <c r="AP913" i="7" s="1"/>
  <c r="AQ913" i="7" s="1"/>
  <c r="AL914" i="7"/>
  <c r="AO914" i="7" s="1"/>
  <c r="AP914" i="7" s="1"/>
  <c r="AQ914" i="7" s="1"/>
  <c r="AL915" i="7"/>
  <c r="AL916" i="7"/>
  <c r="AO916" i="7" s="1"/>
  <c r="AP916" i="7" s="1"/>
  <c r="AL917" i="7"/>
  <c r="AO917" i="7" s="1"/>
  <c r="AP917" i="7" s="1"/>
  <c r="AL918" i="7"/>
  <c r="AO918" i="7" s="1"/>
  <c r="AP918" i="7" s="1"/>
  <c r="AL919" i="7"/>
  <c r="AO919" i="7" s="1"/>
  <c r="AP919" i="7" s="1"/>
  <c r="AQ919" i="7" s="1"/>
  <c r="AL920" i="7"/>
  <c r="AO920" i="7" s="1"/>
  <c r="AP920" i="7" s="1"/>
  <c r="AQ920" i="7" s="1"/>
  <c r="AL921" i="7"/>
  <c r="AO921" i="7" s="1"/>
  <c r="AP921" i="7" s="1"/>
  <c r="AL922" i="7"/>
  <c r="AO922" i="7" s="1"/>
  <c r="AP922" i="7" s="1"/>
  <c r="AL923" i="7"/>
  <c r="AO923" i="7" s="1"/>
  <c r="AP923" i="7" s="1"/>
  <c r="AL924" i="7"/>
  <c r="AO924" i="7" s="1"/>
  <c r="AP924" i="7" s="1"/>
  <c r="AL925" i="7"/>
  <c r="AO925" i="7" s="1"/>
  <c r="AP925" i="7" s="1"/>
  <c r="AQ925" i="7" s="1"/>
  <c r="AL926" i="7"/>
  <c r="AO926" i="7" s="1"/>
  <c r="AP926" i="7" s="1"/>
  <c r="AQ926" i="7" s="1"/>
  <c r="AL927" i="7"/>
  <c r="AO927" i="7" s="1"/>
  <c r="AP927" i="7" s="1"/>
  <c r="AQ927" i="7" s="1"/>
  <c r="AL928" i="7"/>
  <c r="AO928" i="7" s="1"/>
  <c r="AP928" i="7" s="1"/>
  <c r="AQ928" i="7" s="1"/>
  <c r="AL929" i="7"/>
  <c r="AO929" i="7" s="1"/>
  <c r="AP929" i="7" s="1"/>
  <c r="AL930" i="7"/>
  <c r="AO930" i="7" s="1"/>
  <c r="AP930" i="7" s="1"/>
  <c r="AL931" i="7"/>
  <c r="AO931" i="7" s="1"/>
  <c r="AP931" i="7" s="1"/>
  <c r="AL932" i="7"/>
  <c r="AO932" i="7" s="1"/>
  <c r="AP932" i="7" s="1"/>
  <c r="AL933" i="7"/>
  <c r="AO933" i="7" s="1"/>
  <c r="AP933" i="7" s="1"/>
  <c r="AQ933" i="7" s="1"/>
  <c r="AL934" i="7"/>
  <c r="AL935" i="7"/>
  <c r="AL936" i="7"/>
  <c r="AL937" i="7"/>
  <c r="AO937" i="7" s="1"/>
  <c r="AP937" i="7" s="1"/>
  <c r="AL938" i="7"/>
  <c r="AO938" i="7" s="1"/>
  <c r="AP938" i="7" s="1"/>
  <c r="AL939" i="7"/>
  <c r="AO939" i="7" s="1"/>
  <c r="AP939" i="7" s="1"/>
  <c r="AQ939" i="7" s="1"/>
  <c r="AL940" i="7"/>
  <c r="AO940" i="7" s="1"/>
  <c r="AP940" i="7" s="1"/>
  <c r="AQ940" i="7" s="1"/>
  <c r="AL941" i="7"/>
  <c r="AO941" i="7" s="1"/>
  <c r="AP941" i="7" s="1"/>
  <c r="AQ941" i="7" s="1"/>
  <c r="AL942" i="7"/>
  <c r="AO942" i="7" s="1"/>
  <c r="AP942" i="7" s="1"/>
  <c r="AQ942" i="7" s="1"/>
  <c r="AL943" i="7"/>
  <c r="AO943" i="7" s="1"/>
  <c r="AP943" i="7" s="1"/>
  <c r="AO915" i="7"/>
  <c r="AP915" i="7" s="1"/>
  <c r="AO934" i="7"/>
  <c r="AP934" i="7"/>
  <c r="AQ934" i="7" s="1"/>
  <c r="AO935" i="7"/>
  <c r="AP935" i="7" s="1"/>
  <c r="AQ935" i="7" s="1"/>
  <c r="AO936" i="7"/>
  <c r="AP936" i="7" s="1"/>
  <c r="F82" i="2"/>
  <c r="I13" i="4"/>
  <c r="I12" i="4"/>
  <c r="I11" i="4"/>
  <c r="I10" i="4"/>
  <c r="I9" i="4"/>
  <c r="H4" i="4"/>
  <c r="Y639" i="3"/>
  <c r="AE639" i="3" s="1"/>
  <c r="I76" i="2"/>
  <c r="R36" i="2"/>
  <c r="R35" i="2" s="1"/>
  <c r="Q36" i="2"/>
  <c r="Q35" i="2" s="1"/>
  <c r="P36" i="2"/>
  <c r="P35" i="2" s="1"/>
  <c r="O36" i="2"/>
  <c r="O35" i="2" s="1"/>
  <c r="N36" i="2"/>
  <c r="N35" i="2" s="1"/>
  <c r="M36" i="2"/>
  <c r="M35" i="2" s="1"/>
  <c r="L36" i="2"/>
  <c r="L35" i="2" s="1"/>
  <c r="K36" i="2"/>
  <c r="K35" i="2" s="1"/>
  <c r="J36" i="2"/>
  <c r="J35" i="2" s="1"/>
  <c r="I36" i="2"/>
  <c r="I35" i="2" s="1"/>
  <c r="R34" i="2"/>
  <c r="Q34" i="2"/>
  <c r="P34" i="2"/>
  <c r="O34" i="2"/>
  <c r="N34" i="2"/>
  <c r="M34" i="2"/>
  <c r="L34" i="2"/>
  <c r="K34" i="2"/>
  <c r="J34" i="2"/>
  <c r="I34" i="2"/>
  <c r="R33" i="2"/>
  <c r="Q33" i="2"/>
  <c r="P33" i="2"/>
  <c r="O33" i="2"/>
  <c r="N33" i="2"/>
  <c r="M33" i="2"/>
  <c r="L33" i="2"/>
  <c r="K33" i="2"/>
  <c r="J33" i="2"/>
  <c r="I33" i="2"/>
  <c r="R32" i="2"/>
  <c r="Q32" i="2"/>
  <c r="P32" i="2"/>
  <c r="O32" i="2"/>
  <c r="N32" i="2"/>
  <c r="M32" i="2"/>
  <c r="L32" i="2"/>
  <c r="K32" i="2"/>
  <c r="J32" i="2"/>
  <c r="I32" i="2"/>
  <c r="R31" i="2"/>
  <c r="Q31" i="2"/>
  <c r="P31" i="2"/>
  <c r="O31" i="2"/>
  <c r="N31" i="2"/>
  <c r="M31" i="2"/>
  <c r="L31" i="2"/>
  <c r="K31" i="2"/>
  <c r="J31" i="2"/>
  <c r="I31" i="2"/>
  <c r="R30" i="2"/>
  <c r="Q30" i="2"/>
  <c r="P30" i="2"/>
  <c r="O30" i="2"/>
  <c r="N30" i="2"/>
  <c r="M30" i="2"/>
  <c r="L30" i="2"/>
  <c r="K30" i="2"/>
  <c r="J30" i="2"/>
  <c r="F30" i="2" s="1"/>
  <c r="I30" i="2"/>
  <c r="R29" i="2"/>
  <c r="Q29" i="2"/>
  <c r="P29" i="2"/>
  <c r="O29" i="2"/>
  <c r="N29" i="2"/>
  <c r="M29" i="2"/>
  <c r="L29" i="2"/>
  <c r="K29" i="2"/>
  <c r="J29" i="2"/>
  <c r="I29" i="2"/>
  <c r="R28" i="2"/>
  <c r="Q28" i="2"/>
  <c r="P28" i="2"/>
  <c r="O28" i="2"/>
  <c r="N28" i="2"/>
  <c r="M28" i="2"/>
  <c r="L28" i="2"/>
  <c r="K28" i="2"/>
  <c r="J28" i="2"/>
  <c r="I28" i="2"/>
  <c r="R27" i="2"/>
  <c r="Q27" i="2"/>
  <c r="P27" i="2"/>
  <c r="O27" i="2"/>
  <c r="N27" i="2"/>
  <c r="M27" i="2"/>
  <c r="L27" i="2"/>
  <c r="K27" i="2"/>
  <c r="J27" i="2"/>
  <c r="I27" i="2"/>
  <c r="R26" i="2"/>
  <c r="Q26" i="2"/>
  <c r="P26" i="2"/>
  <c r="O26" i="2"/>
  <c r="N26" i="2"/>
  <c r="M26" i="2"/>
  <c r="L26" i="2"/>
  <c r="K26" i="2"/>
  <c r="J26" i="2"/>
  <c r="F26" i="2" s="1"/>
  <c r="I26" i="2"/>
  <c r="R25" i="2"/>
  <c r="Q25" i="2"/>
  <c r="P25" i="2"/>
  <c r="O25" i="2"/>
  <c r="N25" i="2"/>
  <c r="M25" i="2"/>
  <c r="L25" i="2"/>
  <c r="K25" i="2"/>
  <c r="J25" i="2"/>
  <c r="I25" i="2"/>
  <c r="R24" i="2"/>
  <c r="Q24" i="2"/>
  <c r="P24" i="2"/>
  <c r="O24" i="2"/>
  <c r="N24" i="2"/>
  <c r="M24" i="2"/>
  <c r="L24" i="2"/>
  <c r="K24" i="2"/>
  <c r="J24" i="2"/>
  <c r="I24" i="2"/>
  <c r="R23" i="2"/>
  <c r="Q23" i="2"/>
  <c r="P23" i="2"/>
  <c r="O23" i="2"/>
  <c r="N23" i="2"/>
  <c r="M23" i="2"/>
  <c r="L23" i="2"/>
  <c r="K23" i="2"/>
  <c r="J23" i="2"/>
  <c r="F23" i="2" s="1"/>
  <c r="I23" i="2"/>
  <c r="R22" i="2"/>
  <c r="Q22" i="2"/>
  <c r="P22" i="2"/>
  <c r="O22" i="2"/>
  <c r="N22" i="2"/>
  <c r="M22" i="2"/>
  <c r="L22" i="2"/>
  <c r="K22" i="2"/>
  <c r="J22" i="2"/>
  <c r="I22" i="2"/>
  <c r="R21" i="2"/>
  <c r="Q21" i="2"/>
  <c r="P21" i="2"/>
  <c r="O21" i="2"/>
  <c r="N21" i="2"/>
  <c r="M21" i="2"/>
  <c r="L21" i="2"/>
  <c r="K21" i="2"/>
  <c r="J21" i="2"/>
  <c r="I21" i="2"/>
  <c r="R20" i="2"/>
  <c r="Q20" i="2"/>
  <c r="P20" i="2"/>
  <c r="O20" i="2"/>
  <c r="N20" i="2"/>
  <c r="M20" i="2"/>
  <c r="L20" i="2"/>
  <c r="K20" i="2"/>
  <c r="J20" i="2"/>
  <c r="I20" i="2"/>
  <c r="R19" i="2"/>
  <c r="Q19" i="2"/>
  <c r="P19" i="2"/>
  <c r="O19" i="2"/>
  <c r="N19" i="2"/>
  <c r="M19" i="2"/>
  <c r="L19" i="2"/>
  <c r="K19" i="2"/>
  <c r="J19" i="2"/>
  <c r="F19" i="2" s="1"/>
  <c r="I19" i="2"/>
  <c r="L18" i="2"/>
  <c r="K18" i="2"/>
  <c r="J18" i="2"/>
  <c r="I18" i="2"/>
  <c r="Q17" i="2"/>
  <c r="L17" i="2"/>
  <c r="K17" i="2"/>
  <c r="R16" i="2"/>
  <c r="Q16" i="2"/>
  <c r="P16" i="2"/>
  <c r="O16" i="2"/>
  <c r="N16" i="2"/>
  <c r="M16" i="2"/>
  <c r="L16" i="2"/>
  <c r="K16" i="2"/>
  <c r="R15" i="2"/>
  <c r="Q15" i="2"/>
  <c r="P15" i="2"/>
  <c r="O15" i="2"/>
  <c r="R14" i="2"/>
  <c r="Q14" i="2"/>
  <c r="P14" i="2"/>
  <c r="O14" i="2"/>
  <c r="N14" i="2"/>
  <c r="M14" i="2"/>
  <c r="L14" i="2"/>
  <c r="K14" i="2"/>
  <c r="J14" i="2"/>
  <c r="F14" i="2" s="1"/>
  <c r="I14" i="2"/>
  <c r="R13" i="2"/>
  <c r="Q13" i="2"/>
  <c r="P13" i="2"/>
  <c r="O13" i="2"/>
  <c r="N13" i="2"/>
  <c r="M13" i="2"/>
  <c r="L13" i="2"/>
  <c r="K13" i="2"/>
  <c r="J13" i="2"/>
  <c r="I13" i="2"/>
  <c r="P12" i="2"/>
  <c r="O12" i="2"/>
  <c r="L12" i="2"/>
  <c r="K12" i="2"/>
  <c r="P11" i="2"/>
  <c r="O11" i="2"/>
  <c r="R10" i="2"/>
  <c r="Q10" i="2"/>
  <c r="P10" i="2"/>
  <c r="O10" i="2"/>
  <c r="N10" i="2"/>
  <c r="M10" i="2"/>
  <c r="L10" i="2"/>
  <c r="K10" i="2"/>
  <c r="J10" i="2"/>
  <c r="I10" i="2"/>
  <c r="R9" i="2"/>
  <c r="Q9" i="2"/>
  <c r="P9" i="2"/>
  <c r="O9" i="2"/>
  <c r="N9" i="2"/>
  <c r="M9" i="2"/>
  <c r="L9" i="2"/>
  <c r="K9" i="2"/>
  <c r="J9" i="2"/>
  <c r="I9" i="2"/>
  <c r="R8" i="2"/>
  <c r="Q8" i="2"/>
  <c r="P8" i="2"/>
  <c r="O8" i="2"/>
  <c r="N8" i="2"/>
  <c r="M8" i="2"/>
  <c r="L8" i="2"/>
  <c r="K8" i="2"/>
  <c r="J8" i="2"/>
  <c r="I8" i="2"/>
  <c r="R7" i="2"/>
  <c r="Q7" i="2"/>
  <c r="P7" i="2"/>
  <c r="O7" i="2"/>
  <c r="N7" i="2"/>
  <c r="M7" i="2"/>
  <c r="L7" i="2"/>
  <c r="K7" i="2"/>
  <c r="J7" i="2"/>
  <c r="F7" i="2" s="1"/>
  <c r="I7" i="2"/>
  <c r="F33" i="2" l="1"/>
  <c r="F29" i="2"/>
  <c r="F10" i="2"/>
  <c r="F22" i="2"/>
  <c r="F13" i="2"/>
  <c r="F25" i="2"/>
  <c r="F9" i="2"/>
  <c r="F21" i="2"/>
  <c r="F28" i="2"/>
  <c r="AB281" i="3"/>
  <c r="AC281" i="3" s="1"/>
  <c r="F24" i="2"/>
  <c r="F31" i="2"/>
  <c r="F8" i="2"/>
  <c r="F32" i="2"/>
  <c r="F20" i="2"/>
  <c r="F27" i="2"/>
  <c r="F34" i="2"/>
  <c r="AQ262" i="7"/>
  <c r="AQ613" i="7"/>
  <c r="AQ255" i="7"/>
  <c r="AQ200" i="7"/>
  <c r="AQ192" i="7"/>
  <c r="AQ337" i="7"/>
  <c r="AQ267" i="7"/>
  <c r="AQ88" i="7"/>
  <c r="AQ825" i="7"/>
  <c r="AQ800" i="7"/>
  <c r="AQ664" i="7"/>
  <c r="AQ528" i="7"/>
  <c r="AQ860" i="7"/>
  <c r="AQ703" i="7"/>
  <c r="AQ389" i="7"/>
  <c r="AQ207" i="7"/>
  <c r="AQ290" i="7"/>
  <c r="AQ246" i="7"/>
  <c r="AQ199" i="7"/>
  <c r="AQ59" i="7"/>
  <c r="AQ893" i="7"/>
  <c r="AQ871" i="7"/>
  <c r="AQ832" i="7"/>
  <c r="AQ747" i="7"/>
  <c r="AQ508" i="7"/>
  <c r="AQ368" i="7"/>
  <c r="AQ301" i="7"/>
  <c r="AQ158" i="7"/>
  <c r="AQ3" i="7"/>
  <c r="AQ843" i="7"/>
  <c r="AQ221" i="7"/>
  <c r="AQ74" i="7"/>
  <c r="AQ66" i="7"/>
  <c r="AQ881" i="7"/>
  <c r="AQ811" i="7"/>
  <c r="AQ783" i="7"/>
  <c r="AQ627" i="7"/>
  <c r="AQ507" i="7"/>
  <c r="AQ559" i="7"/>
  <c r="AQ491" i="7"/>
  <c r="AQ371" i="7"/>
  <c r="AQ129" i="7"/>
  <c r="AQ38" i="7"/>
  <c r="AQ900" i="7"/>
  <c r="AQ894" i="7"/>
  <c r="AQ891" i="7"/>
  <c r="AQ878" i="7"/>
  <c r="AQ876" i="7"/>
  <c r="AQ865" i="7"/>
  <c r="AQ858" i="7"/>
  <c r="AQ851" i="7"/>
  <c r="AQ846" i="7"/>
  <c r="AQ844" i="7"/>
  <c r="AQ839" i="7"/>
  <c r="AQ833" i="7"/>
  <c r="AQ831" i="7"/>
  <c r="AQ829" i="7"/>
  <c r="AQ826" i="7"/>
  <c r="AQ824" i="7"/>
  <c r="AQ822" i="7"/>
  <c r="AQ818" i="7"/>
  <c r="AQ817" i="7"/>
  <c r="AQ814" i="7"/>
  <c r="AQ810" i="7"/>
  <c r="AQ809" i="7"/>
  <c r="AQ802" i="7"/>
  <c r="AQ797" i="7"/>
  <c r="AQ794" i="7"/>
  <c r="AQ793" i="7"/>
  <c r="AQ781" i="7"/>
  <c r="AQ774" i="7"/>
  <c r="AQ770" i="7"/>
  <c r="AQ768" i="7"/>
  <c r="AQ766" i="7"/>
  <c r="AQ760" i="7"/>
  <c r="AQ759" i="7"/>
  <c r="AQ746" i="7"/>
  <c r="AQ740" i="7"/>
  <c r="AQ739" i="7"/>
  <c r="AQ735" i="7"/>
  <c r="AQ728" i="7"/>
  <c r="AQ725" i="7"/>
  <c r="AQ723" i="7"/>
  <c r="AQ721" i="7"/>
  <c r="AQ720" i="7"/>
  <c r="AQ718" i="7"/>
  <c r="AQ717" i="7"/>
  <c r="AQ716" i="7"/>
  <c r="AQ710" i="7"/>
  <c r="AQ709" i="7"/>
  <c r="AQ696" i="7"/>
  <c r="AQ690" i="7"/>
  <c r="AQ681" i="7"/>
  <c r="AQ676" i="7"/>
  <c r="AQ669" i="7"/>
  <c r="AQ663" i="7"/>
  <c r="AQ661" i="7"/>
  <c r="AQ656" i="7"/>
  <c r="AQ648" i="7"/>
  <c r="AQ647" i="7"/>
  <c r="AQ635" i="7"/>
  <c r="AQ621" i="7"/>
  <c r="AQ618" i="7"/>
  <c r="AQ614" i="7"/>
  <c r="AQ612" i="7"/>
  <c r="AQ606" i="7"/>
  <c r="AQ596" i="7"/>
  <c r="AQ592" i="7"/>
  <c r="AQ590" i="7"/>
  <c r="AQ588" i="7"/>
  <c r="AQ585" i="7"/>
  <c r="AQ583" i="7"/>
  <c r="AQ579" i="7"/>
  <c r="AQ574" i="7"/>
  <c r="AQ567" i="7"/>
  <c r="AQ564" i="7"/>
  <c r="AQ562" i="7"/>
  <c r="AQ558" i="7"/>
  <c r="AQ557" i="7"/>
  <c r="AQ553" i="7"/>
  <c r="AQ549" i="7"/>
  <c r="AQ546" i="7"/>
  <c r="AQ542" i="7"/>
  <c r="AQ539" i="7"/>
  <c r="AQ535" i="7"/>
  <c r="AQ530" i="7"/>
  <c r="AQ516" i="7"/>
  <c r="AQ513" i="7"/>
  <c r="AQ511" i="7"/>
  <c r="AQ504" i="7"/>
  <c r="AQ492" i="7"/>
  <c r="AQ488" i="7"/>
  <c r="AQ476" i="7"/>
  <c r="AQ474" i="7"/>
  <c r="AQ472" i="7"/>
  <c r="AQ471" i="7"/>
  <c r="AQ470" i="7"/>
  <c r="AQ467" i="7"/>
  <c r="AQ465" i="7"/>
  <c r="AQ460" i="7"/>
  <c r="AQ456" i="7"/>
  <c r="AQ448" i="7"/>
  <c r="AQ442" i="7"/>
  <c r="AQ425" i="7"/>
  <c r="AQ419" i="7"/>
  <c r="AQ413" i="7"/>
  <c r="AQ404" i="7"/>
  <c r="AQ397" i="7"/>
  <c r="AQ394" i="7"/>
  <c r="AQ390" i="7"/>
  <c r="AQ388" i="7"/>
  <c r="AQ386" i="7"/>
  <c r="AQ382" i="7"/>
  <c r="AQ379" i="7"/>
  <c r="AQ370" i="7"/>
  <c r="AQ363" i="7"/>
  <c r="AQ357" i="7"/>
  <c r="AQ356" i="7"/>
  <c r="AQ355" i="7"/>
  <c r="AQ353" i="7"/>
  <c r="AQ348" i="7"/>
  <c r="AQ346" i="7"/>
  <c r="AQ332" i="7"/>
  <c r="AQ325" i="7"/>
  <c r="AQ324" i="7"/>
  <c r="AQ322" i="7"/>
  <c r="AQ321" i="7"/>
  <c r="AQ320" i="7"/>
  <c r="AQ317" i="7"/>
  <c r="AQ303" i="7"/>
  <c r="AQ300" i="7"/>
  <c r="AQ285" i="7"/>
  <c r="AQ284" i="7"/>
  <c r="AQ279" i="7"/>
  <c r="AQ278" i="7"/>
  <c r="AQ277" i="7"/>
  <c r="AQ271" i="7"/>
  <c r="AQ268" i="7"/>
  <c r="AQ264" i="7"/>
  <c r="AQ257" i="7"/>
  <c r="AQ256" i="7"/>
  <c r="AQ248" i="7"/>
  <c r="AQ243" i="7"/>
  <c r="AQ241" i="7"/>
  <c r="AQ237" i="7"/>
  <c r="AQ234" i="7"/>
  <c r="AQ226" i="7"/>
  <c r="AQ222" i="7"/>
  <c r="AQ219" i="7"/>
  <c r="AQ216" i="7"/>
  <c r="AQ214" i="7"/>
  <c r="AQ201" i="7"/>
  <c r="AQ194" i="7"/>
  <c r="AQ193" i="7"/>
  <c r="AQ191" i="7"/>
  <c r="AQ187" i="7"/>
  <c r="AQ185" i="7"/>
  <c r="AQ180" i="7"/>
  <c r="AQ178" i="7"/>
  <c r="AQ174" i="7"/>
  <c r="AQ173" i="7"/>
  <c r="AQ165" i="7"/>
  <c r="AQ162" i="7"/>
  <c r="AQ152" i="7"/>
  <c r="AQ151" i="7"/>
  <c r="AQ145" i="7"/>
  <c r="AQ142" i="7"/>
  <c r="AQ138" i="7"/>
  <c r="AQ137" i="7"/>
  <c r="AQ135" i="7"/>
  <c r="AQ131" i="7"/>
  <c r="AQ130" i="7"/>
  <c r="AQ125" i="7"/>
  <c r="AQ123" i="7"/>
  <c r="AQ117" i="7"/>
  <c r="AQ116" i="7"/>
  <c r="AQ113" i="7"/>
  <c r="AQ112" i="7"/>
  <c r="AQ110" i="7"/>
  <c r="AQ108" i="7"/>
  <c r="AQ106" i="7"/>
  <c r="AQ105" i="7"/>
  <c r="AQ103" i="7"/>
  <c r="AQ102" i="7"/>
  <c r="AQ94" i="7"/>
  <c r="AQ90" i="7"/>
  <c r="AQ87" i="7"/>
  <c r="AQ86" i="7"/>
  <c r="AQ80" i="7"/>
  <c r="AQ72" i="7"/>
  <c r="AQ71" i="7"/>
  <c r="AQ68" i="7"/>
  <c r="AQ67" i="7"/>
  <c r="AQ61" i="7"/>
  <c r="AQ57" i="7"/>
  <c r="AQ54" i="7"/>
  <c r="AQ47" i="7"/>
  <c r="AQ46" i="7"/>
  <c r="AQ45" i="7"/>
  <c r="AQ40" i="7"/>
  <c r="AQ33" i="7"/>
  <c r="AQ29" i="7"/>
  <c r="AQ26" i="7"/>
  <c r="AQ25" i="7"/>
  <c r="AQ23" i="7"/>
  <c r="AQ19" i="7"/>
  <c r="AQ12" i="7"/>
  <c r="AQ11" i="7"/>
  <c r="T25" i="4" a="1"/>
  <c r="T25" i="4" s="1"/>
  <c r="T24" i="4" a="1"/>
  <c r="T24" i="4" s="1"/>
  <c r="T23" i="4" a="1"/>
  <c r="T23" i="4" s="1"/>
  <c r="T22" i="4" a="1"/>
  <c r="T22" i="4" s="1"/>
  <c r="T21" i="4" a="1"/>
  <c r="T21" i="4" s="1"/>
  <c r="T20" i="4" a="1"/>
  <c r="T20" i="4" s="1"/>
  <c r="T19" i="4" a="1"/>
  <c r="T19" i="4" s="1"/>
  <c r="T18" i="4" a="1"/>
  <c r="T18" i="4" s="1"/>
  <c r="T17" i="4" a="1"/>
  <c r="T17" i="4" s="1"/>
  <c r="T16" i="4" a="1"/>
  <c r="T16" i="4" s="1"/>
  <c r="T26" i="4" s="1"/>
  <c r="S25" i="4" a="1"/>
  <c r="S25" i="4" s="1"/>
  <c r="R25" i="4" a="1"/>
  <c r="R25" i="4" s="1"/>
  <c r="Q25" i="4" a="1"/>
  <c r="Q25" i="4" s="1"/>
  <c r="S24" i="4" a="1"/>
  <c r="S24" i="4" s="1"/>
  <c r="R24" i="4" a="1"/>
  <c r="R24" i="4" s="1"/>
  <c r="Q24" i="4" a="1"/>
  <c r="Q24" i="4" s="1"/>
  <c r="S23" i="4" a="1"/>
  <c r="S23" i="4" s="1"/>
  <c r="R23" i="4" a="1"/>
  <c r="R23" i="4" s="1"/>
  <c r="Q23" i="4" a="1"/>
  <c r="Q23" i="4" s="1"/>
  <c r="S22" i="4" a="1"/>
  <c r="S22" i="4" s="1"/>
  <c r="R22" i="4" a="1"/>
  <c r="R22" i="4" s="1"/>
  <c r="Q22" i="4" a="1"/>
  <c r="Q22" i="4" s="1"/>
  <c r="S21" i="4" a="1"/>
  <c r="S21" i="4" s="1"/>
  <c r="R21" i="4" a="1"/>
  <c r="R21" i="4" s="1"/>
  <c r="Q21" i="4" a="1"/>
  <c r="Q21" i="4" s="1"/>
  <c r="S20" i="4" a="1"/>
  <c r="S20" i="4" s="1"/>
  <c r="R20" i="4" a="1"/>
  <c r="R20" i="4" s="1"/>
  <c r="Q20" i="4" a="1"/>
  <c r="Q20" i="4" s="1"/>
  <c r="S19" i="4" a="1"/>
  <c r="S19" i="4" s="1"/>
  <c r="R19" i="4" a="1"/>
  <c r="R19" i="4" s="1"/>
  <c r="Q19" i="4" a="1"/>
  <c r="Q19" i="4" s="1"/>
  <c r="S18" i="4" a="1"/>
  <c r="S18" i="4" s="1"/>
  <c r="R18" i="4" a="1"/>
  <c r="R18" i="4" s="1"/>
  <c r="Q18" i="4" a="1"/>
  <c r="Q18" i="4" s="1"/>
  <c r="S17" i="4" a="1"/>
  <c r="S17" i="4" s="1"/>
  <c r="R17" i="4" a="1"/>
  <c r="R17" i="4" s="1"/>
  <c r="Q17" i="4" a="1"/>
  <c r="Q17" i="4" s="1"/>
  <c r="S16" i="4" a="1"/>
  <c r="S16" i="4" s="1"/>
  <c r="S26" i="4" s="1"/>
  <c r="S27" i="4" s="1"/>
  <c r="R16" i="4" a="1"/>
  <c r="R16" i="4" s="1"/>
  <c r="Q16" i="4" a="1"/>
  <c r="Q16" i="4" s="1"/>
  <c r="H66" i="2"/>
  <c r="F66" i="2" s="1"/>
  <c r="G66" i="2"/>
  <c r="E66" i="2" s="1"/>
  <c r="H65" i="2"/>
  <c r="F65" i="2" s="1"/>
  <c r="G65" i="2"/>
  <c r="E65" i="2" s="1"/>
  <c r="H64" i="2"/>
  <c r="F64" i="2" s="1"/>
  <c r="G64" i="2"/>
  <c r="E64" i="2" s="1"/>
  <c r="H63" i="2"/>
  <c r="F63" i="2" s="1"/>
  <c r="G63" i="2"/>
  <c r="E63" i="2" s="1"/>
  <c r="H62" i="2"/>
  <c r="F62" i="2" s="1"/>
  <c r="G62" i="2"/>
  <c r="E62" i="2" s="1"/>
  <c r="H61" i="2"/>
  <c r="F61" i="2" s="1"/>
  <c r="G61" i="2"/>
  <c r="E61" i="2" s="1"/>
  <c r="H60" i="2"/>
  <c r="F60" i="2" s="1"/>
  <c r="G60" i="2"/>
  <c r="E60" i="2" s="1"/>
  <c r="H59" i="2"/>
  <c r="F59" i="2" s="1"/>
  <c r="G59" i="2"/>
  <c r="E59" i="2" s="1"/>
  <c r="H58" i="2"/>
  <c r="F58" i="2" s="1"/>
  <c r="G58" i="2"/>
  <c r="E58" i="2" s="1"/>
  <c r="H57" i="2"/>
  <c r="F57" i="2" s="1"/>
  <c r="G57" i="2"/>
  <c r="E57" i="2" s="1"/>
  <c r="H56" i="2"/>
  <c r="F56" i="2" s="1"/>
  <c r="G56" i="2"/>
  <c r="E56" i="2" s="1"/>
  <c r="H55" i="2"/>
  <c r="F55" i="2" s="1"/>
  <c r="G55" i="2"/>
  <c r="E55" i="2" s="1"/>
  <c r="H54" i="2"/>
  <c r="F54" i="2" s="1"/>
  <c r="G54" i="2"/>
  <c r="E54" i="2" s="1"/>
  <c r="H53" i="2"/>
  <c r="F53" i="2" s="1"/>
  <c r="G53" i="2"/>
  <c r="E53" i="2" s="1"/>
  <c r="H52" i="2"/>
  <c r="F52" i="2" s="1"/>
  <c r="G52" i="2"/>
  <c r="E52" i="2" s="1"/>
  <c r="H51" i="2"/>
  <c r="F51" i="2" s="1"/>
  <c r="G51" i="2"/>
  <c r="E51" i="2" s="1"/>
  <c r="H50" i="2"/>
  <c r="F50" i="2" s="1"/>
  <c r="G50" i="2"/>
  <c r="E50" i="2" s="1"/>
  <c r="H49" i="2"/>
  <c r="F49" i="2" s="1"/>
  <c r="G49" i="2"/>
  <c r="E49" i="2" s="1"/>
  <c r="H48" i="2"/>
  <c r="F48" i="2" s="1"/>
  <c r="G48" i="2"/>
  <c r="E48" i="2" s="1"/>
  <c r="H47" i="2"/>
  <c r="F47" i="2" s="1"/>
  <c r="G47" i="2"/>
  <c r="E47" i="2" s="1"/>
  <c r="H46" i="2"/>
  <c r="F46" i="2" s="1"/>
  <c r="G46" i="2"/>
  <c r="E46" i="2" s="1"/>
  <c r="H45" i="2"/>
  <c r="F45" i="2" s="1"/>
  <c r="G45" i="2"/>
  <c r="E45" i="2" s="1"/>
  <c r="H44" i="2"/>
  <c r="F44" i="2" s="1"/>
  <c r="G44" i="2"/>
  <c r="E44" i="2" s="1"/>
  <c r="H43" i="2"/>
  <c r="F43" i="2" s="1"/>
  <c r="G43" i="2"/>
  <c r="E43" i="2" s="1"/>
  <c r="H42" i="2"/>
  <c r="F42" i="2" s="1"/>
  <c r="G42" i="2"/>
  <c r="E42" i="2" s="1"/>
  <c r="H41" i="2"/>
  <c r="F41" i="2" s="1"/>
  <c r="G41" i="2"/>
  <c r="E41" i="2" s="1"/>
  <c r="H40" i="2"/>
  <c r="F40" i="2" s="1"/>
  <c r="G40" i="2"/>
  <c r="E40" i="2" s="1"/>
  <c r="H39" i="2"/>
  <c r="F39" i="2" s="1"/>
  <c r="G39" i="2"/>
  <c r="E39" i="2" s="1"/>
  <c r="H38" i="2"/>
  <c r="F38" i="2" s="1"/>
  <c r="G38" i="2"/>
  <c r="E38" i="2" s="1"/>
  <c r="H37" i="2"/>
  <c r="F37" i="2" s="1"/>
  <c r="G37" i="2"/>
  <c r="E37" i="2" s="1"/>
  <c r="J13" i="4" a="1"/>
  <c r="J13" i="4" s="1"/>
  <c r="J12" i="4" a="1"/>
  <c r="J12" i="4" s="1"/>
  <c r="J11" i="4" a="1"/>
  <c r="J11" i="4" s="1"/>
  <c r="V10" i="3"/>
  <c r="V9" i="3"/>
  <c r="M18" i="2"/>
  <c r="U696" i="3"/>
  <c r="V696" i="3" s="1"/>
  <c r="Z697" i="3"/>
  <c r="AB697" i="3" s="1"/>
  <c r="AC697" i="3" s="1"/>
  <c r="R12" i="2"/>
  <c r="N18" i="2"/>
  <c r="F18" i="2" s="1"/>
  <c r="Z695" i="3"/>
  <c r="AB695" i="3" s="1"/>
  <c r="AC695" i="3" s="1"/>
  <c r="R18" i="2"/>
  <c r="P18" i="2"/>
  <c r="Z693" i="3"/>
  <c r="AB693" i="3" s="1"/>
  <c r="AC693" i="3" s="1"/>
  <c r="Z692" i="3"/>
  <c r="AB692" i="3" s="1"/>
  <c r="AC692" i="3" s="1"/>
  <c r="AA698" i="3"/>
  <c r="AB698" i="3" s="1"/>
  <c r="AC698" i="3" s="1"/>
  <c r="Z694" i="3"/>
  <c r="AB694" i="3" s="1"/>
  <c r="AC694" i="3" s="1"/>
  <c r="AQ302" i="7"/>
  <c r="AQ534" i="7"/>
  <c r="AQ880" i="7"/>
  <c r="AQ903" i="7"/>
  <c r="AQ884" i="7"/>
  <c r="AQ782" i="7"/>
  <c r="AQ351" i="7"/>
  <c r="AQ275" i="7"/>
  <c r="AQ171" i="7"/>
  <c r="AQ541" i="7"/>
  <c r="AQ864" i="7"/>
  <c r="AQ823" i="7"/>
  <c r="AQ692" i="7"/>
  <c r="AQ577" i="7"/>
  <c r="AQ398" i="7"/>
  <c r="AQ186" i="7"/>
  <c r="AQ170" i="7"/>
  <c r="AQ120" i="7"/>
  <c r="AQ867" i="7"/>
  <c r="AQ836" i="7"/>
  <c r="AQ777" i="7"/>
  <c r="AQ765" i="7"/>
  <c r="AQ753" i="7"/>
  <c r="AQ730" i="7"/>
  <c r="AQ684" i="7"/>
  <c r="AQ641" i="7"/>
  <c r="AQ602" i="7"/>
  <c r="AQ565" i="7"/>
  <c r="AQ490" i="7"/>
  <c r="AQ446" i="7"/>
  <c r="AQ416" i="7"/>
  <c r="AQ412" i="7"/>
  <c r="AQ369" i="7"/>
  <c r="AQ362" i="7"/>
  <c r="AQ334" i="7"/>
  <c r="AQ318" i="7"/>
  <c r="AQ304" i="7"/>
  <c r="AQ274" i="7"/>
  <c r="AQ270" i="7"/>
  <c r="AQ139" i="7"/>
  <c r="AQ73" i="7"/>
  <c r="AQ905" i="7"/>
  <c r="AQ873" i="7"/>
  <c r="AQ856" i="7"/>
  <c r="AQ853" i="7"/>
  <c r="AQ556" i="7"/>
  <c r="AQ552" i="7"/>
  <c r="AQ296" i="7"/>
  <c r="AQ269" i="7"/>
  <c r="AQ31" i="7"/>
  <c r="AQ885" i="7"/>
  <c r="AQ752" i="7"/>
  <c r="AQ737" i="7"/>
  <c r="AQ683" i="7"/>
  <c r="AQ678" i="7"/>
  <c r="AQ637" i="7"/>
  <c r="AQ605" i="7"/>
  <c r="AQ560" i="7"/>
  <c r="AQ520" i="7"/>
  <c r="AQ501" i="7"/>
  <c r="AQ489" i="7"/>
  <c r="AQ454" i="7"/>
  <c r="AQ396" i="7"/>
  <c r="AQ342" i="7"/>
  <c r="AQ281" i="7"/>
  <c r="AQ254" i="7"/>
  <c r="AQ223" i="7"/>
  <c r="AQ8" i="7"/>
  <c r="AQ570" i="7"/>
  <c r="AQ665" i="7"/>
  <c r="AQ406" i="7"/>
  <c r="AQ381" i="7"/>
  <c r="AQ308" i="7"/>
  <c r="AQ815" i="7"/>
  <c r="AQ599" i="7"/>
  <c r="AQ892" i="7"/>
  <c r="AQ60" i="7"/>
  <c r="AQ888" i="7"/>
  <c r="AQ859" i="7"/>
  <c r="AQ835" i="7"/>
  <c r="AQ787" i="7"/>
  <c r="AQ779" i="7"/>
  <c r="AQ512" i="7"/>
  <c r="AQ500" i="7"/>
  <c r="AQ461" i="7"/>
  <c r="AQ449" i="7"/>
  <c r="AQ376" i="7"/>
  <c r="AQ341" i="7"/>
  <c r="AQ233" i="7"/>
  <c r="AQ688" i="7"/>
  <c r="AQ642" i="7"/>
  <c r="AQ499" i="7"/>
  <c r="AQ402" i="7"/>
  <c r="AQ816" i="7"/>
  <c r="AQ796" i="7"/>
  <c r="AQ327" i="7"/>
  <c r="AQ124" i="7"/>
  <c r="AQ877" i="7"/>
  <c r="AQ529" i="7"/>
  <c r="AQ751" i="7"/>
  <c r="AQ651" i="7"/>
  <c r="AQ869" i="7"/>
  <c r="AQ806" i="7"/>
  <c r="AQ798" i="7"/>
  <c r="AQ712" i="7"/>
  <c r="AQ666" i="7"/>
  <c r="AQ497" i="7"/>
  <c r="AQ429" i="7"/>
  <c r="AQ387" i="7"/>
  <c r="AQ306" i="7"/>
  <c r="AQ827" i="7"/>
  <c r="AQ323" i="7"/>
  <c r="AQ634" i="7"/>
  <c r="AQ331" i="7"/>
  <c r="AQ244" i="7"/>
  <c r="AQ598" i="7"/>
  <c r="AQ405" i="7"/>
  <c r="AQ134" i="7"/>
  <c r="AQ786" i="7"/>
  <c r="AQ767" i="7"/>
  <c r="AQ763" i="7"/>
  <c r="AQ755" i="7"/>
  <c r="AQ662" i="7"/>
  <c r="AQ631" i="7"/>
  <c r="AQ563" i="7"/>
  <c r="AQ522" i="7"/>
  <c r="AQ484" i="7"/>
  <c r="AQ452" i="7"/>
  <c r="AQ421" i="7"/>
  <c r="AQ344" i="7"/>
  <c r="AQ283" i="7"/>
  <c r="AQ272" i="7"/>
  <c r="AQ206" i="7"/>
  <c r="AQ195" i="7"/>
  <c r="AQ183" i="7"/>
  <c r="AQ144" i="7"/>
  <c r="AQ52" i="7"/>
  <c r="AQ22" i="7"/>
  <c r="AQ790" i="7"/>
  <c r="AQ778" i="7"/>
  <c r="AQ706" i="7"/>
  <c r="AQ659" i="7"/>
  <c r="AQ580" i="7"/>
  <c r="AQ538" i="7"/>
  <c r="AQ531" i="7"/>
  <c r="AQ293" i="7"/>
  <c r="AQ97" i="7"/>
  <c r="AQ64" i="7"/>
  <c r="AQ126" i="7"/>
  <c r="AQ109" i="7"/>
  <c r="AQ93" i="7"/>
  <c r="AQ733" i="7"/>
  <c r="AQ702" i="7"/>
  <c r="AQ555" i="7"/>
  <c r="AQ496" i="7"/>
  <c r="AQ428" i="7"/>
  <c r="AQ415" i="7"/>
  <c r="AQ385" i="7"/>
  <c r="AQ299" i="7"/>
  <c r="AQ260" i="7"/>
  <c r="AQ197" i="7"/>
  <c r="AQ154" i="7"/>
  <c r="AQ141" i="7"/>
  <c r="AQ63" i="7"/>
  <c r="AQ18" i="7"/>
  <c r="AQ298" i="7"/>
  <c r="AQ292" i="7"/>
  <c r="AQ289" i="7"/>
  <c r="AQ263" i="7"/>
  <c r="AQ250" i="7"/>
  <c r="AQ236" i="7"/>
  <c r="AQ229" i="7"/>
  <c r="AQ96" i="7"/>
  <c r="AQ89" i="7"/>
  <c r="AQ83" i="7"/>
  <c r="AQ76" i="7"/>
  <c r="AQ37" i="7"/>
  <c r="AQ5" i="7"/>
  <c r="AQ708" i="7"/>
  <c r="AQ671" i="7"/>
  <c r="AQ633" i="7"/>
  <c r="AQ626" i="7"/>
  <c r="AQ554" i="7"/>
  <c r="AQ550" i="7"/>
  <c r="AQ525" i="7"/>
  <c r="AQ515" i="7"/>
  <c r="AQ451" i="7"/>
  <c r="AQ354" i="7"/>
  <c r="AQ319" i="7"/>
  <c r="AQ249" i="7"/>
  <c r="AQ228" i="7"/>
  <c r="AQ225" i="7"/>
  <c r="AQ202" i="7"/>
  <c r="AQ153" i="7"/>
  <c r="AQ82" i="7"/>
  <c r="AQ75" i="7"/>
  <c r="AQ43" i="7"/>
  <c r="AQ39" i="7"/>
  <c r="AQ14" i="7"/>
  <c r="AQ4" i="7"/>
  <c r="AQ775" i="7"/>
  <c r="AQ711" i="7"/>
  <c r="AQ670" i="7"/>
  <c r="AQ636" i="7"/>
  <c r="AQ629" i="7"/>
  <c r="AQ475" i="7"/>
  <c r="AQ464" i="7"/>
  <c r="AQ242" i="7"/>
  <c r="AQ179" i="7"/>
  <c r="AQ166" i="7"/>
  <c r="AQ114" i="7"/>
  <c r="AQ91" i="7"/>
  <c r="AQ7" i="7"/>
  <c r="AQ748" i="7"/>
  <c r="AQ611" i="7"/>
  <c r="AQ543" i="7"/>
  <c r="AQ377" i="7"/>
  <c r="AQ329" i="7"/>
  <c r="AQ316" i="7"/>
  <c r="AQ265" i="7"/>
  <c r="AQ215" i="7"/>
  <c r="AQ208" i="7"/>
  <c r="AQ159" i="7"/>
  <c r="AQ81" i="7"/>
  <c r="AQ78" i="7"/>
  <c r="AQ686" i="7"/>
  <c r="AQ649" i="7"/>
  <c r="AQ524" i="7"/>
  <c r="AQ478" i="7"/>
  <c r="AQ423" i="7"/>
  <c r="AQ182" i="7"/>
  <c r="AQ807" i="7"/>
  <c r="AQ744" i="7"/>
  <c r="AQ731" i="7"/>
  <c r="AQ714" i="7"/>
  <c r="AQ603" i="7"/>
  <c r="AQ517" i="7"/>
  <c r="AQ336" i="7"/>
  <c r="AQ261" i="7"/>
  <c r="AQ693" i="7"/>
  <c r="AQ477" i="7"/>
  <c r="AQ2346" i="7"/>
  <c r="AQ2304" i="7"/>
  <c r="AQ2276" i="7"/>
  <c r="AQ2220" i="7"/>
  <c r="AQ1576" i="7"/>
  <c r="AQ1408" i="7"/>
  <c r="AQ1254" i="7"/>
  <c r="AQ868" i="7"/>
  <c r="AQ713" i="7"/>
  <c r="AQ625" i="7"/>
  <c r="AQ540" i="7"/>
  <c r="AQ217" i="7"/>
  <c r="AQ803" i="7"/>
  <c r="AQ526" i="7"/>
  <c r="AQ240" i="7"/>
  <c r="AQ915" i="7"/>
  <c r="AQ2457" i="7"/>
  <c r="AQ2303" i="7"/>
  <c r="AQ2093" i="7"/>
  <c r="AQ2065" i="7"/>
  <c r="AQ1967" i="7"/>
  <c r="AQ1897" i="7"/>
  <c r="AQ1869" i="7"/>
  <c r="AQ1813" i="7"/>
  <c r="AQ1659" i="7"/>
  <c r="AQ1533" i="7"/>
  <c r="AQ1463" i="7"/>
  <c r="AQ1449" i="7"/>
  <c r="AQ828" i="7"/>
  <c r="AQ821" i="7"/>
  <c r="AQ699" i="7"/>
  <c r="AQ1706" i="7"/>
  <c r="AQ2049" i="7"/>
  <c r="AQ898" i="7"/>
  <c r="AQ799" i="7"/>
  <c r="AQ943" i="7"/>
  <c r="AQ929" i="7"/>
  <c r="AQ754" i="7"/>
  <c r="AQ719" i="7"/>
  <c r="AQ624" i="7"/>
  <c r="AQ1405" i="7"/>
  <c r="AQ2441" i="7"/>
  <c r="AQ1321" i="7"/>
  <c r="AQ820" i="7"/>
  <c r="AQ593" i="7"/>
  <c r="AQ640" i="7"/>
  <c r="AQ1335" i="7"/>
  <c r="AQ764" i="7"/>
  <c r="AQ1307" i="7"/>
  <c r="AQ866" i="7"/>
  <c r="AQ687" i="7"/>
  <c r="AQ2364" i="7"/>
  <c r="AQ660" i="7"/>
  <c r="AQ901" i="7"/>
  <c r="AQ2198" i="7"/>
  <c r="AQ715" i="7"/>
  <c r="AQ2014" i="7"/>
  <c r="AQ875" i="7"/>
  <c r="AQ632" i="7"/>
  <c r="AQ882" i="7"/>
  <c r="AQ2505" i="7"/>
  <c r="AQ1735" i="7"/>
  <c r="AQ1721" i="7"/>
  <c r="AQ1539" i="7"/>
  <c r="AQ734" i="7"/>
  <c r="AQ619" i="7"/>
  <c r="AQ1526" i="7"/>
  <c r="AQ1302" i="7"/>
  <c r="AQ841" i="7"/>
  <c r="AQ722" i="7"/>
  <c r="AQ698" i="7"/>
  <c r="AQ675" i="7"/>
  <c r="AQ644" i="7"/>
  <c r="AQ584" i="7"/>
  <c r="AQ417" i="7"/>
  <c r="AQ1008" i="7"/>
  <c r="AQ862" i="7"/>
  <c r="AQ750" i="7"/>
  <c r="AQ650" i="7"/>
  <c r="AQ628" i="7"/>
  <c r="AQ568" i="7"/>
  <c r="AQ340" i="7"/>
  <c r="AQ1363" i="7"/>
  <c r="AQ1162" i="7"/>
  <c r="AQ1078" i="7"/>
  <c r="AQ883" i="7"/>
  <c r="AQ785" i="7"/>
  <c r="AQ736" i="7"/>
  <c r="AQ707" i="7"/>
  <c r="AQ701" i="7"/>
  <c r="AQ506" i="7"/>
  <c r="AQ433" i="7"/>
  <c r="AQ167" i="7"/>
  <c r="AQ2497" i="7"/>
  <c r="AQ1993" i="7"/>
  <c r="AQ1904" i="7"/>
  <c r="AQ1764" i="7"/>
  <c r="AQ1400" i="7"/>
  <c r="AQ1293" i="7"/>
  <c r="AQ1148" i="7"/>
  <c r="AQ2246" i="7"/>
  <c r="AQ2022" i="7"/>
  <c r="AQ1616" i="7"/>
  <c r="AQ1518" i="7"/>
  <c r="AQ890" i="7"/>
  <c r="AQ848" i="7"/>
  <c r="AQ771" i="7"/>
  <c r="AQ691" i="7"/>
  <c r="AQ674" i="7"/>
  <c r="AQ617" i="7"/>
  <c r="AQ607" i="7"/>
  <c r="AQ473" i="7"/>
  <c r="AQ2436" i="7"/>
  <c r="AQ2413" i="7"/>
  <c r="AQ1484" i="7"/>
  <c r="AQ1069" i="7"/>
  <c r="AQ2034" i="7"/>
  <c r="AQ1852" i="7"/>
  <c r="AQ1222" i="7"/>
  <c r="AQ1138" i="7"/>
  <c r="AQ792" i="7"/>
  <c r="AQ757" i="7"/>
  <c r="AQ726" i="7"/>
  <c r="AQ700" i="7"/>
  <c r="AQ694" i="7"/>
  <c r="AQ679" i="7"/>
  <c r="AQ495" i="7"/>
  <c r="AQ309" i="7"/>
  <c r="AQ205" i="7"/>
  <c r="AQ1279" i="7"/>
  <c r="AQ897" i="7"/>
  <c r="AQ813" i="7"/>
  <c r="AQ729" i="7"/>
  <c r="AQ639" i="7"/>
  <c r="AQ623" i="7"/>
  <c r="AQ591" i="7"/>
  <c r="AQ458" i="7"/>
  <c r="AQ399" i="7"/>
  <c r="AQ366" i="7"/>
  <c r="AQ349" i="7"/>
  <c r="AQ2374" i="7"/>
  <c r="AQ2226" i="7"/>
  <c r="AQ1661" i="7"/>
  <c r="AQ1354" i="7"/>
  <c r="AQ1153" i="7"/>
  <c r="AQ834" i="7"/>
  <c r="AQ743" i="7"/>
  <c r="AQ705" i="7"/>
  <c r="AQ600" i="7"/>
  <c r="AQ576" i="7"/>
  <c r="AQ328" i="7"/>
  <c r="AQ287" i="7"/>
  <c r="AQ211" i="7"/>
  <c r="AQ58" i="7"/>
  <c r="AQ938" i="7"/>
  <c r="AQ924" i="7"/>
  <c r="AQ2263" i="7"/>
  <c r="AQ2207" i="7"/>
  <c r="AQ2156" i="7"/>
  <c r="AQ2053" i="7"/>
  <c r="AQ1984" i="7"/>
  <c r="AQ1768" i="7"/>
  <c r="AQ1404" i="7"/>
  <c r="AQ1139" i="7"/>
  <c r="AQ855" i="7"/>
  <c r="AQ654" i="7"/>
  <c r="AQ645" i="7"/>
  <c r="AQ572" i="7"/>
  <c r="AQ551" i="7"/>
  <c r="AQ537" i="7"/>
  <c r="AQ523" i="7"/>
  <c r="AQ468" i="7"/>
  <c r="AQ51" i="7"/>
  <c r="AQ463" i="7"/>
  <c r="AQ447" i="7"/>
  <c r="AQ358" i="7"/>
  <c r="AQ312" i="7"/>
  <c r="AQ163" i="7"/>
  <c r="AQ160" i="7"/>
  <c r="AQ652" i="7"/>
  <c r="AQ589" i="7"/>
  <c r="AQ438" i="7"/>
  <c r="AQ432" i="7"/>
  <c r="AQ395" i="7"/>
  <c r="AQ315" i="7"/>
  <c r="AQ176" i="7"/>
  <c r="AQ15" i="7"/>
  <c r="AQ594" i="7"/>
  <c r="AQ422" i="7"/>
  <c r="AQ364" i="7"/>
  <c r="AQ232" i="7"/>
  <c r="AQ210" i="7"/>
  <c r="AQ204" i="7"/>
  <c r="AQ610" i="7"/>
  <c r="AQ575" i="7"/>
  <c r="AQ505" i="7"/>
  <c r="AQ453" i="7"/>
  <c r="AQ410" i="7"/>
  <c r="AQ367" i="7"/>
  <c r="AQ333" i="7"/>
  <c r="AQ561" i="7"/>
  <c r="AQ547" i="7"/>
  <c r="AQ533" i="7"/>
  <c r="AQ519" i="7"/>
  <c r="AQ510" i="7"/>
  <c r="AQ443" i="7"/>
  <c r="AQ437" i="7"/>
  <c r="AQ119" i="7"/>
  <c r="AQ100" i="7"/>
  <c r="AQ55" i="7"/>
  <c r="AQ566" i="7"/>
  <c r="AQ384" i="7"/>
  <c r="AQ638" i="7"/>
  <c r="AQ582" i="7"/>
  <c r="AQ498" i="7"/>
  <c r="AQ486" i="7"/>
  <c r="AQ424" i="7"/>
  <c r="AQ418" i="7"/>
  <c r="AQ403" i="7"/>
  <c r="AQ400" i="7"/>
  <c r="AQ372" i="7"/>
  <c r="AQ230" i="7"/>
  <c r="AQ673" i="7"/>
  <c r="AQ587" i="7"/>
  <c r="AQ359" i="7"/>
  <c r="AQ252" i="7"/>
  <c r="AQ111" i="7"/>
  <c r="AQ445" i="7"/>
  <c r="AQ343" i="7"/>
  <c r="AQ338" i="7"/>
  <c r="AQ148" i="7"/>
  <c r="AQ133" i="7"/>
  <c r="AQ118" i="7"/>
  <c r="AQ70" i="7"/>
  <c r="AQ27" i="7"/>
  <c r="AQ21" i="7"/>
  <c r="AQ480" i="7"/>
  <c r="AQ266" i="7"/>
  <c r="AQ231" i="7"/>
  <c r="AQ190" i="7"/>
  <c r="AQ175" i="7"/>
  <c r="AQ487" i="7"/>
  <c r="AQ391" i="7"/>
  <c r="AQ280" i="7"/>
  <c r="AQ239" i="7"/>
  <c r="AQ198" i="7"/>
  <c r="AQ189" i="7"/>
  <c r="AQ156" i="7"/>
  <c r="AQ99" i="7"/>
  <c r="AQ84" i="7"/>
  <c r="AQ69" i="7"/>
  <c r="AQ459" i="7"/>
  <c r="AQ365" i="7"/>
  <c r="AQ360" i="7"/>
  <c r="AQ259" i="7"/>
  <c r="AQ253" i="7"/>
  <c r="AQ224" i="7"/>
  <c r="AQ168" i="7"/>
  <c r="AQ56" i="7"/>
  <c r="AQ41" i="7"/>
  <c r="AQ494" i="7"/>
  <c r="AQ288" i="7"/>
  <c r="AQ247" i="7"/>
  <c r="AQ212" i="7"/>
  <c r="AQ209" i="7"/>
  <c r="AQ203" i="7"/>
  <c r="AQ65" i="7"/>
  <c r="AQ62" i="7"/>
  <c r="AQ431" i="7"/>
  <c r="AQ238" i="7"/>
  <c r="AQ155" i="7"/>
  <c r="AQ140" i="7"/>
  <c r="AQ107" i="7"/>
  <c r="AQ50" i="7"/>
  <c r="AQ466" i="7"/>
  <c r="AQ273" i="7"/>
  <c r="AQ161" i="7"/>
  <c r="AQ149" i="7"/>
  <c r="AQ92" i="7"/>
  <c r="AQ77" i="7"/>
  <c r="AQ34" i="7"/>
  <c r="AQ9" i="7"/>
  <c r="AQ28" i="7"/>
  <c r="AQ42" i="7"/>
  <c r="AQ13" i="7"/>
  <c r="AQ35" i="7"/>
  <c r="AQ6" i="7"/>
  <c r="AQ294" i="7"/>
  <c r="AQ245" i="7"/>
  <c r="AQ196" i="7"/>
  <c r="AQ147" i="7"/>
  <c r="AQ98" i="7"/>
  <c r="AQ49" i="7"/>
  <c r="AQ20" i="7"/>
  <c r="AQ2332" i="7"/>
  <c r="AQ2366" i="7"/>
  <c r="AQ1540" i="7"/>
  <c r="AQ1456" i="7"/>
  <c r="AQ1218" i="7"/>
  <c r="AQ1134" i="7"/>
  <c r="AQ2280" i="7"/>
  <c r="AQ1566" i="7"/>
  <c r="AQ2262" i="7"/>
  <c r="AQ1842" i="7"/>
  <c r="AQ1422" i="7"/>
  <c r="AQ1366" i="7"/>
  <c r="AQ1338" i="7"/>
  <c r="AQ1268" i="7"/>
  <c r="AQ1212" i="7"/>
  <c r="AQ1072" i="7"/>
  <c r="AQ988" i="7"/>
  <c r="AQ2443" i="7"/>
  <c r="AQ2401" i="7"/>
  <c r="AQ2261" i="7"/>
  <c r="AQ2233" i="7"/>
  <c r="AQ2219" i="7"/>
  <c r="AQ2191" i="7"/>
  <c r="AQ2135" i="7"/>
  <c r="AQ2121" i="7"/>
  <c r="AQ2079" i="7"/>
  <c r="AQ2051" i="7"/>
  <c r="AQ2009" i="7"/>
  <c r="AQ1995" i="7"/>
  <c r="AQ1925" i="7"/>
  <c r="AQ1911" i="7"/>
  <c r="AQ1883" i="7"/>
  <c r="AQ1799" i="7"/>
  <c r="AQ1771" i="7"/>
  <c r="AQ1743" i="7"/>
  <c r="AQ1729" i="7"/>
  <c r="AQ1715" i="7"/>
  <c r="AQ1701" i="7"/>
  <c r="AQ1687" i="7"/>
  <c r="AQ2238" i="7"/>
  <c r="AQ1734" i="7"/>
  <c r="AQ1440" i="7"/>
  <c r="AQ1727" i="7"/>
  <c r="AQ1713" i="7"/>
  <c r="AQ2360" i="7"/>
  <c r="AQ1996" i="7"/>
  <c r="AQ1632" i="7"/>
  <c r="AQ966" i="7"/>
  <c r="AQ1488" i="7"/>
  <c r="AQ1460" i="7"/>
  <c r="AQ1264" i="7"/>
  <c r="AQ1208" i="7"/>
  <c r="AQ956" i="7"/>
  <c r="AQ1678" i="7"/>
  <c r="AQ1190" i="7"/>
  <c r="AQ1036" i="7"/>
  <c r="AQ2164" i="7"/>
  <c r="AQ2108" i="7"/>
  <c r="AQ2094" i="7"/>
  <c r="AQ1932" i="7"/>
  <c r="AQ1912" i="7"/>
  <c r="AQ1806" i="7"/>
  <c r="AQ2179" i="7"/>
  <c r="AQ2128" i="7"/>
  <c r="AQ2076" i="7"/>
  <c r="AQ1982" i="7"/>
  <c r="AQ1964" i="7"/>
  <c r="AQ1923" i="7"/>
  <c r="AQ1820" i="7"/>
  <c r="AQ1638" i="7"/>
  <c r="AQ1614" i="7"/>
  <c r="AQ1512" i="7"/>
  <c r="AQ1274" i="7"/>
  <c r="AQ2506" i="7"/>
  <c r="AQ2430" i="7"/>
  <c r="AQ2388" i="7"/>
  <c r="AQ1988" i="7"/>
  <c r="AQ1786" i="7"/>
  <c r="AQ1577" i="7"/>
  <c r="AQ1246" i="7"/>
  <c r="AQ984" i="7"/>
  <c r="AQ2394" i="7"/>
  <c r="AQ2290" i="7"/>
  <c r="AQ2178" i="7"/>
  <c r="AQ1722" i="7"/>
  <c r="AQ1694" i="7"/>
  <c r="AQ1666" i="7"/>
  <c r="AQ1643" i="7"/>
  <c r="AQ1169" i="7"/>
  <c r="AQ2380" i="7"/>
  <c r="AQ2142" i="7"/>
  <c r="AQ2114" i="7"/>
  <c r="AQ1992" i="7"/>
  <c r="AQ1974" i="7"/>
  <c r="AQ1951" i="7"/>
  <c r="AQ1330" i="7"/>
  <c r="AQ1250" i="7"/>
  <c r="AQ994" i="7"/>
  <c r="AQ2414" i="7"/>
  <c r="AQ2372" i="7"/>
  <c r="AQ2316" i="7"/>
  <c r="AQ2176" i="7"/>
  <c r="AQ2036" i="7"/>
  <c r="AQ1602" i="7"/>
  <c r="AQ1476" i="7"/>
  <c r="AQ1435" i="7"/>
  <c r="AQ2514" i="7"/>
  <c r="AQ2170" i="7"/>
  <c r="AQ1624" i="7"/>
  <c r="AQ2245" i="7"/>
  <c r="AQ2408" i="7"/>
  <c r="AQ2268" i="7"/>
  <c r="AQ2100" i="7"/>
  <c r="AQ1926" i="7"/>
  <c r="AQ1834" i="7"/>
  <c r="AQ1685" i="7"/>
  <c r="AQ1631" i="7"/>
  <c r="AQ1561" i="7"/>
  <c r="AQ2248" i="7"/>
  <c r="AQ2136" i="7"/>
  <c r="AQ1498" i="7"/>
  <c r="AQ1470" i="7"/>
  <c r="AQ1232" i="7"/>
  <c r="AQ1204" i="7"/>
  <c r="AQ2357" i="7"/>
  <c r="AQ2315" i="7"/>
  <c r="AQ2105" i="7"/>
  <c r="AQ1881" i="7"/>
  <c r="AQ2119" i="7"/>
  <c r="AQ2385" i="7"/>
  <c r="AQ2361" i="7"/>
  <c r="AQ2067" i="7"/>
  <c r="AQ2002" i="7"/>
  <c r="AQ1908" i="7"/>
  <c r="AQ1862" i="7"/>
  <c r="AQ1810" i="7"/>
  <c r="AQ1574" i="7"/>
  <c r="AQ1288" i="7"/>
  <c r="AQ1673" i="7"/>
  <c r="AQ1645" i="7"/>
  <c r="AQ2520" i="7"/>
  <c r="AQ910" i="7"/>
  <c r="AQ1022" i="7"/>
  <c r="AQ2343" i="7"/>
  <c r="AQ2259" i="7"/>
  <c r="AQ2189" i="7"/>
  <c r="AQ1657" i="7"/>
  <c r="AQ2240" i="7"/>
  <c r="AQ999" i="7"/>
  <c r="AQ2450" i="7"/>
  <c r="AQ2444" i="7"/>
  <c r="AQ2333" i="7"/>
  <c r="AQ2146" i="7"/>
  <c r="AQ2118" i="7"/>
  <c r="AQ2007" i="7"/>
  <c r="AQ1978" i="7"/>
  <c r="AQ1890" i="7"/>
  <c r="AQ1867" i="7"/>
  <c r="AQ1596" i="7"/>
  <c r="AQ1390" i="7"/>
  <c r="AQ1362" i="7"/>
  <c r="AQ1092" i="7"/>
  <c r="AQ1068" i="7"/>
  <c r="AQ952" i="7"/>
  <c r="AQ2422" i="7"/>
  <c r="AQ2482" i="7"/>
  <c r="AQ2478" i="7"/>
  <c r="AQ2472" i="7"/>
  <c r="AQ2384" i="7"/>
  <c r="AQ2344" i="7"/>
  <c r="AQ2302" i="7"/>
  <c r="AQ2282" i="7"/>
  <c r="AQ2277" i="7"/>
  <c r="AQ2078" i="7"/>
  <c r="AQ2072" i="7"/>
  <c r="AQ2048" i="7"/>
  <c r="AQ1826" i="7"/>
  <c r="AQ1646" i="7"/>
  <c r="AQ1428" i="7"/>
  <c r="AQ1406" i="7"/>
  <c r="AQ1372" i="7"/>
  <c r="AQ1334" i="7"/>
  <c r="AQ1316" i="7"/>
  <c r="AQ1120" i="7"/>
  <c r="AQ1027" i="7"/>
  <c r="AQ980" i="7"/>
  <c r="AQ2462" i="7"/>
  <c r="AQ1252" i="7"/>
  <c r="AQ2476" i="7"/>
  <c r="AQ2350" i="7"/>
  <c r="AQ2210" i="7"/>
  <c r="AQ2168" i="7"/>
  <c r="AQ2112" i="7"/>
  <c r="AQ2084" i="7"/>
  <c r="AQ2056" i="7"/>
  <c r="AQ2028" i="7"/>
  <c r="AQ1972" i="7"/>
  <c r="AQ1944" i="7"/>
  <c r="AQ1902" i="7"/>
  <c r="AQ1832" i="7"/>
  <c r="AQ1804" i="7"/>
  <c r="AQ1790" i="7"/>
  <c r="AQ1692" i="7"/>
  <c r="AQ1664" i="7"/>
  <c r="AQ1650" i="7"/>
  <c r="AQ1636" i="7"/>
  <c r="AQ1622" i="7"/>
  <c r="AQ1594" i="7"/>
  <c r="AQ1580" i="7"/>
  <c r="AQ1552" i="7"/>
  <c r="AQ1538" i="7"/>
  <c r="AQ1454" i="7"/>
  <c r="AQ1426" i="7"/>
  <c r="AQ1370" i="7"/>
  <c r="AQ1202" i="7"/>
  <c r="AQ1174" i="7"/>
  <c r="AQ1146" i="7"/>
  <c r="AQ922" i="7"/>
  <c r="AQ1909" i="7"/>
  <c r="AQ2490" i="7"/>
  <c r="AQ2448" i="7"/>
  <c r="AQ2182" i="7"/>
  <c r="AQ2126" i="7"/>
  <c r="AQ2098" i="7"/>
  <c r="AQ1986" i="7"/>
  <c r="AQ1846" i="7"/>
  <c r="AQ1384" i="7"/>
  <c r="AQ1244" i="7"/>
  <c r="AQ1020" i="7"/>
  <c r="AQ908" i="7"/>
  <c r="AQ2399" i="7"/>
  <c r="AQ2358" i="7"/>
  <c r="AQ2133" i="7"/>
  <c r="AQ1420" i="7"/>
  <c r="AQ1056" i="7"/>
  <c r="AQ1560" i="7"/>
  <c r="AQ2266" i="7"/>
  <c r="AQ1482" i="7"/>
  <c r="AQ2288" i="7"/>
  <c r="AQ1098" i="7"/>
  <c r="AQ2498" i="7"/>
  <c r="AQ2204" i="7"/>
  <c r="AQ2148" i="7"/>
  <c r="AQ2134" i="7"/>
  <c r="AQ1839" i="7"/>
  <c r="AQ1196" i="7"/>
  <c r="AQ2518" i="7"/>
  <c r="AQ2434" i="7"/>
  <c r="AQ2392" i="7"/>
  <c r="AQ2336" i="7"/>
  <c r="AQ2196" i="7"/>
  <c r="AQ2455" i="7"/>
  <c r="AQ2330" i="7"/>
  <c r="AQ2203" i="7"/>
  <c r="AQ2162" i="7"/>
  <c r="AQ1924" i="7"/>
  <c r="AQ1770" i="7"/>
  <c r="AQ1210" i="7"/>
  <c r="AQ2416" i="7"/>
  <c r="AQ2234" i="7"/>
  <c r="AQ2206" i="7"/>
  <c r="AQ2150" i="7"/>
  <c r="AQ2080" i="7"/>
  <c r="AQ2038" i="7"/>
  <c r="AQ1968" i="7"/>
  <c r="AQ1954" i="7"/>
  <c r="AQ1870" i="7"/>
  <c r="AQ1814" i="7"/>
  <c r="AQ1800" i="7"/>
  <c r="AQ1772" i="7"/>
  <c r="AQ1730" i="7"/>
  <c r="AQ1716" i="7"/>
  <c r="AQ1688" i="7"/>
  <c r="AQ1674" i="7"/>
  <c r="AQ1660" i="7"/>
  <c r="AQ1590" i="7"/>
  <c r="AQ1520" i="7"/>
  <c r="AQ1506" i="7"/>
  <c r="AQ1478" i="7"/>
  <c r="AQ1450" i="7"/>
  <c r="AQ1394" i="7"/>
  <c r="AQ1310" i="7"/>
  <c r="AQ1226" i="7"/>
  <c r="AQ1184" i="7"/>
  <c r="AQ1156" i="7"/>
  <c r="AQ1086" i="7"/>
  <c r="AQ1002" i="7"/>
  <c r="AQ2513" i="7"/>
  <c r="AQ2373" i="7"/>
  <c r="AQ1939" i="7"/>
  <c r="AQ1617" i="7"/>
  <c r="AQ1589" i="7"/>
  <c r="AQ1547" i="7"/>
  <c r="AQ1952" i="7"/>
  <c r="AQ1938" i="7"/>
  <c r="AQ1755" i="7"/>
  <c r="AQ1629" i="7"/>
  <c r="AQ1980" i="7"/>
  <c r="AQ1280" i="7"/>
  <c r="AQ2442" i="7"/>
  <c r="AQ1965" i="7"/>
  <c r="AQ1937" i="7"/>
  <c r="AQ1588" i="7"/>
  <c r="AQ1981" i="7"/>
  <c r="AQ1785" i="7"/>
  <c r="AQ2175" i="7"/>
  <c r="AQ930" i="7"/>
  <c r="AQ986" i="7"/>
  <c r="AQ1896" i="7"/>
  <c r="AQ1224" i="7"/>
  <c r="AQ2485" i="7"/>
  <c r="AQ2317" i="7"/>
  <c r="AQ2107" i="7"/>
  <c r="AQ2428" i="7"/>
  <c r="AQ1868" i="7"/>
  <c r="AQ1756" i="7"/>
  <c r="AQ1336" i="7"/>
  <c r="AQ1182" i="7"/>
  <c r="AQ2260" i="7"/>
  <c r="AQ2218" i="7"/>
  <c r="AQ2512" i="7"/>
  <c r="AQ1434" i="7"/>
  <c r="AQ1741" i="7"/>
  <c r="AQ916" i="7"/>
  <c r="AQ1853" i="7"/>
  <c r="AQ1462" i="7"/>
  <c r="AQ1895" i="7"/>
  <c r="AQ1798" i="7"/>
  <c r="AQ1700" i="7"/>
  <c r="AQ1532" i="7"/>
  <c r="AQ2470" i="7"/>
  <c r="AQ2400" i="7"/>
  <c r="AQ2329" i="7"/>
  <c r="AQ2274" i="7"/>
  <c r="AQ2063" i="7"/>
  <c r="AQ1979" i="7"/>
  <c r="AQ1940" i="7"/>
  <c r="AQ1797" i="7"/>
  <c r="AQ1769" i="7"/>
  <c r="AQ1699" i="7"/>
  <c r="AQ1350" i="7"/>
  <c r="AQ1322" i="7"/>
  <c r="AQ1000" i="7"/>
  <c r="AQ2386" i="7"/>
  <c r="AQ2077" i="7"/>
  <c r="AQ1812" i="7"/>
  <c r="AQ1742" i="7"/>
  <c r="AQ1671" i="7"/>
  <c r="AQ1490" i="7"/>
  <c r="AQ2469" i="7"/>
  <c r="AQ2287" i="7"/>
  <c r="AQ2273" i="7"/>
  <c r="AQ2161" i="7"/>
  <c r="AQ2091" i="7"/>
  <c r="AQ1882" i="7"/>
  <c r="AQ1504" i="7"/>
  <c r="AQ972" i="7"/>
  <c r="AQ1610" i="7"/>
  <c r="AQ1554" i="7"/>
  <c r="AQ932" i="7"/>
  <c r="AQ918" i="7"/>
  <c r="AQ2120" i="7"/>
  <c r="AQ2106" i="7"/>
  <c r="AQ2035" i="7"/>
  <c r="AQ2021" i="7"/>
  <c r="AQ2008" i="7"/>
  <c r="AQ1910" i="7"/>
  <c r="AQ1811" i="7"/>
  <c r="AQ1714" i="7"/>
  <c r="AQ944" i="7"/>
  <c r="AQ2519" i="7"/>
  <c r="AQ2477" i="7"/>
  <c r="AQ2463" i="7"/>
  <c r="AQ2449" i="7"/>
  <c r="AQ2435" i="7"/>
  <c r="AQ2421" i="7"/>
  <c r="AQ2407" i="7"/>
  <c r="AQ2393" i="7"/>
  <c r="AQ2379" i="7"/>
  <c r="AQ2365" i="7"/>
  <c r="AQ2351" i="7"/>
  <c r="AQ2337" i="7"/>
  <c r="AQ2323" i="7"/>
  <c r="AQ2309" i="7"/>
  <c r="AQ2295" i="7"/>
  <c r="AQ2281" i="7"/>
  <c r="AQ2267" i="7"/>
  <c r="AQ2253" i="7"/>
  <c r="AQ2239" i="7"/>
  <c r="AQ2225" i="7"/>
  <c r="AQ2211" i="7"/>
  <c r="AQ2197" i="7"/>
  <c r="AQ2183" i="7"/>
  <c r="AQ2169" i="7"/>
  <c r="AQ2155" i="7"/>
  <c r="AQ2141" i="7"/>
  <c r="AQ2127" i="7"/>
  <c r="AQ2113" i="7"/>
  <c r="AQ2099" i="7"/>
  <c r="AQ2085" i="7"/>
  <c r="AQ2071" i="7"/>
  <c r="AQ2057" i="7"/>
  <c r="AQ2043" i="7"/>
  <c r="AQ2029" i="7"/>
  <c r="AQ2015" i="7"/>
  <c r="AQ2001" i="7"/>
  <c r="AQ1987" i="7"/>
  <c r="AQ1973" i="7"/>
  <c r="AQ1959" i="7"/>
  <c r="AQ1945" i="7"/>
  <c r="AQ1931" i="7"/>
  <c r="AQ1903" i="7"/>
  <c r="AQ1889" i="7"/>
  <c r="AQ1875" i="7"/>
  <c r="AQ1861" i="7"/>
  <c r="AQ1847" i="7"/>
  <c r="AQ1833" i="7"/>
  <c r="AQ1819" i="7"/>
  <c r="AQ1791" i="7"/>
  <c r="AQ1777" i="7"/>
  <c r="AQ1763" i="7"/>
  <c r="AQ1693" i="7"/>
  <c r="AQ1679" i="7"/>
  <c r="AQ1665" i="7"/>
  <c r="AQ1651" i="7"/>
  <c r="AQ1637" i="7"/>
  <c r="AQ1623" i="7"/>
  <c r="AQ1609" i="7"/>
  <c r="AQ1595" i="7"/>
  <c r="AQ1581" i="7"/>
  <c r="AQ1567" i="7"/>
  <c r="AQ1553" i="7"/>
  <c r="AQ1525" i="7"/>
  <c r="AQ1497" i="7"/>
  <c r="AQ1483" i="7"/>
  <c r="AQ1469" i="7"/>
  <c r="AQ2517" i="7"/>
  <c r="AQ2503" i="7"/>
  <c r="AQ2489" i="7"/>
  <c r="AQ2475" i="7"/>
  <c r="AQ2447" i="7"/>
  <c r="AQ2419" i="7"/>
  <c r="AQ2405" i="7"/>
  <c r="AQ2391" i="7"/>
  <c r="AQ2377" i="7"/>
  <c r="AQ2363" i="7"/>
  <c r="AQ2349" i="7"/>
  <c r="AQ2335" i="7"/>
  <c r="AQ2321" i="7"/>
  <c r="AQ2307" i="7"/>
  <c r="AQ2293" i="7"/>
  <c r="AQ2279" i="7"/>
  <c r="AQ2265" i="7"/>
  <c r="AQ2251" i="7"/>
  <c r="AQ2237" i="7"/>
  <c r="AQ2223" i="7"/>
  <c r="AQ2209" i="7"/>
  <c r="AQ2195" i="7"/>
  <c r="AQ2181" i="7"/>
  <c r="AQ2153" i="7"/>
  <c r="AQ2139" i="7"/>
  <c r="AQ2125" i="7"/>
  <c r="AQ2111" i="7"/>
  <c r="AQ2097" i="7"/>
  <c r="AQ2083" i="7"/>
  <c r="AQ2069" i="7"/>
  <c r="AQ2055" i="7"/>
  <c r="AQ2041" i="7"/>
  <c r="AQ2027" i="7"/>
  <c r="AQ2013" i="7"/>
  <c r="AQ1999" i="7"/>
  <c r="AQ1985" i="7"/>
  <c r="AQ1971" i="7"/>
  <c r="AQ1957" i="7"/>
  <c r="AQ1943" i="7"/>
  <c r="AQ1929" i="7"/>
  <c r="AQ1915" i="7"/>
  <c r="AQ1901" i="7"/>
  <c r="AQ1873" i="7"/>
  <c r="AQ1859" i="7"/>
  <c r="AQ1845" i="7"/>
  <c r="AQ1831" i="7"/>
  <c r="AQ1817" i="7"/>
  <c r="AQ1803" i="7"/>
  <c r="AQ1789" i="7"/>
  <c r="AQ1775" i="7"/>
  <c r="AQ1761" i="7"/>
  <c r="AQ1747" i="7"/>
  <c r="AQ1719" i="7"/>
  <c r="AQ1691" i="7"/>
  <c r="AQ1677" i="7"/>
  <c r="AQ1663" i="7"/>
  <c r="AQ1649" i="7"/>
  <c r="AQ1635" i="7"/>
  <c r="AQ1621" i="7"/>
  <c r="AQ1607" i="7"/>
  <c r="AQ1593" i="7"/>
  <c r="AQ1579" i="7"/>
  <c r="AQ1565" i="7"/>
  <c r="AQ1537" i="7"/>
  <c r="AQ1523" i="7"/>
  <c r="AQ1509" i="7"/>
  <c r="AQ1495" i="7"/>
  <c r="AQ1481" i="7"/>
  <c r="AQ1467" i="7"/>
  <c r="AQ1453" i="7"/>
  <c r="AQ1439" i="7"/>
  <c r="AQ1425" i="7"/>
  <c r="AQ1411" i="7"/>
  <c r="AQ1397" i="7"/>
  <c r="AQ1383" i="7"/>
  <c r="AQ1369" i="7"/>
  <c r="AQ1355" i="7"/>
  <c r="AQ1327" i="7"/>
  <c r="AQ1313" i="7"/>
  <c r="AQ1299" i="7"/>
  <c r="AQ1285" i="7"/>
  <c r="AQ1271" i="7"/>
  <c r="AQ1257" i="7"/>
  <c r="AQ1243" i="7"/>
  <c r="AQ1229" i="7"/>
  <c r="AQ1215" i="7"/>
  <c r="AQ1201" i="7"/>
  <c r="AQ1173" i="7"/>
  <c r="AQ1159" i="7"/>
  <c r="AQ1145" i="7"/>
  <c r="AQ1131" i="7"/>
  <c r="AQ1117" i="7"/>
  <c r="AQ1103" i="7"/>
  <c r="AQ1089" i="7"/>
  <c r="AQ1075" i="7"/>
  <c r="AQ1061" i="7"/>
  <c r="AQ1047" i="7"/>
  <c r="AQ1033" i="7"/>
  <c r="AQ1019" i="7"/>
  <c r="AQ1005" i="7"/>
  <c r="AQ991" i="7"/>
  <c r="AQ977" i="7"/>
  <c r="AQ963" i="7"/>
  <c r="AQ949" i="7"/>
  <c r="AQ907" i="7"/>
  <c r="AQ2432" i="7"/>
  <c r="AQ2320" i="7"/>
  <c r="AQ2264" i="7"/>
  <c r="AQ2138" i="7"/>
  <c r="AQ2082" i="7"/>
  <c r="AQ1928" i="7"/>
  <c r="AQ1648" i="7"/>
  <c r="AQ1634" i="7"/>
  <c r="AQ1564" i="7"/>
  <c r="AQ1536" i="7"/>
  <c r="AQ1466" i="7"/>
  <c r="AQ1452" i="7"/>
  <c r="AQ1438" i="7"/>
  <c r="AQ1410" i="7"/>
  <c r="AQ1396" i="7"/>
  <c r="AQ1382" i="7"/>
  <c r="AQ1368" i="7"/>
  <c r="AQ1340" i="7"/>
  <c r="AQ1326" i="7"/>
  <c r="AQ1312" i="7"/>
  <c r="AQ1298" i="7"/>
  <c r="AQ1284" i="7"/>
  <c r="AQ1256" i="7"/>
  <c r="AQ1242" i="7"/>
  <c r="AQ1228" i="7"/>
  <c r="AQ1214" i="7"/>
  <c r="AQ1200" i="7"/>
  <c r="AQ1186" i="7"/>
  <c r="AQ1172" i="7"/>
  <c r="AQ1158" i="7"/>
  <c r="AQ1144" i="7"/>
  <c r="AQ1130" i="7"/>
  <c r="AQ1116" i="7"/>
  <c r="AQ1088" i="7"/>
  <c r="AQ1074" i="7"/>
  <c r="AQ1046" i="7"/>
  <c r="AQ1032" i="7"/>
  <c r="AQ1018" i="7"/>
  <c r="AQ1004" i="7"/>
  <c r="AQ990" i="7"/>
  <c r="AQ976" i="7"/>
  <c r="AQ962" i="7"/>
  <c r="AQ948" i="7"/>
  <c r="AQ1728" i="7"/>
  <c r="AQ1652" i="7"/>
  <c r="AQ1927" i="7"/>
  <c r="AQ1913" i="7"/>
  <c r="AQ1899" i="7"/>
  <c r="AQ1633" i="7"/>
  <c r="AQ1619" i="7"/>
  <c r="AQ1591" i="7"/>
  <c r="AQ1493" i="7"/>
  <c r="AQ1451" i="7"/>
  <c r="AQ1437" i="7"/>
  <c r="AQ1353" i="7"/>
  <c r="AQ1325" i="7"/>
  <c r="AQ1283" i="7"/>
  <c r="AQ1269" i="7"/>
  <c r="AQ1255" i="7"/>
  <c r="AQ1241" i="7"/>
  <c r="AQ1227" i="7"/>
  <c r="AQ1213" i="7"/>
  <c r="AQ1199" i="7"/>
  <c r="AQ1185" i="7"/>
  <c r="AQ1171" i="7"/>
  <c r="AQ1157" i="7"/>
  <c r="AQ1129" i="7"/>
  <c r="AQ1115" i="7"/>
  <c r="AQ1101" i="7"/>
  <c r="AQ1087" i="7"/>
  <c r="AQ1073" i="7"/>
  <c r="AQ1059" i="7"/>
  <c r="AQ1045" i="7"/>
  <c r="AQ1031" i="7"/>
  <c r="AQ1017" i="7"/>
  <c r="AQ1003" i="7"/>
  <c r="AQ989" i="7"/>
  <c r="AQ975" i="7"/>
  <c r="AQ961" i="7"/>
  <c r="AQ1828" i="7"/>
  <c r="AQ1736" i="7"/>
  <c r="AQ1708" i="7"/>
  <c r="AQ1630" i="7"/>
  <c r="AQ1294" i="7"/>
  <c r="AQ1238" i="7"/>
  <c r="AQ1168" i="7"/>
  <c r="AQ1014" i="7"/>
  <c r="AQ998" i="7"/>
  <c r="AQ1784" i="7"/>
  <c r="AQ1392" i="7"/>
  <c r="AQ1378" i="7"/>
  <c r="AQ1364" i="7"/>
  <c r="AQ1266" i="7"/>
  <c r="AQ1154" i="7"/>
  <c r="AQ1792" i="7"/>
  <c r="AQ1702" i="7"/>
  <c r="AQ1568" i="7"/>
  <c r="AQ1084" i="7"/>
  <c r="AQ1070" i="7"/>
  <c r="AQ1028" i="7"/>
  <c r="AQ1686" i="7"/>
  <c r="AQ1672" i="7"/>
  <c r="AQ1658" i="7"/>
  <c r="AQ1644" i="7"/>
  <c r="AQ1582" i="7"/>
  <c r="AQ1308" i="7"/>
  <c r="AQ1126" i="7"/>
  <c r="AQ1042" i="7"/>
  <c r="AQ1421" i="7"/>
  <c r="AQ1407" i="7"/>
  <c r="AQ1393" i="7"/>
  <c r="AQ1365" i="7"/>
  <c r="AQ1337" i="7"/>
  <c r="AQ1323" i="7"/>
  <c r="AQ1309" i="7"/>
  <c r="AQ1295" i="7"/>
  <c r="AQ1281" i="7"/>
  <c r="AQ1267" i="7"/>
  <c r="AQ1253" i="7"/>
  <c r="AQ1239" i="7"/>
  <c r="AQ1225" i="7"/>
  <c r="AQ1211" i="7"/>
  <c r="AQ1197" i="7"/>
  <c r="AQ1183" i="7"/>
  <c r="AQ1155" i="7"/>
  <c r="AQ1141" i="7"/>
  <c r="AQ1127" i="7"/>
  <c r="AQ1113" i="7"/>
  <c r="AQ1099" i="7"/>
  <c r="AQ1085" i="7"/>
  <c r="AQ1071" i="7"/>
  <c r="AQ1043" i="7"/>
  <c r="AQ1029" i="7"/>
  <c r="AQ1015" i="7"/>
  <c r="AQ1001" i="7"/>
  <c r="AQ987" i="7"/>
  <c r="AQ973" i="7"/>
  <c r="AQ959" i="7"/>
  <c r="AQ945" i="7"/>
  <c r="AQ931" i="7"/>
  <c r="AQ1419" i="7"/>
  <c r="AQ1391" i="7"/>
  <c r="AQ1349" i="7"/>
  <c r="AQ1251" i="7"/>
  <c r="AQ1167" i="7"/>
  <c r="AQ1111" i="7"/>
  <c r="AQ1055" i="7"/>
  <c r="AQ1041" i="7"/>
  <c r="AQ1013" i="7"/>
  <c r="AQ957" i="7"/>
  <c r="AQ1455" i="7"/>
  <c r="AQ1441" i="7"/>
  <c r="AQ1427" i="7"/>
  <c r="AQ1413" i="7"/>
  <c r="AQ1399" i="7"/>
  <c r="AQ1385" i="7"/>
  <c r="AQ1371" i="7"/>
  <c r="AQ1357" i="7"/>
  <c r="AQ1343" i="7"/>
  <c r="AQ1329" i="7"/>
  <c r="AQ1315" i="7"/>
  <c r="AQ1301" i="7"/>
  <c r="AQ1287" i="7"/>
  <c r="AQ1273" i="7"/>
  <c r="AQ1259" i="7"/>
  <c r="AQ1245" i="7"/>
  <c r="AQ1231" i="7"/>
  <c r="AQ1217" i="7"/>
  <c r="AQ1203" i="7"/>
  <c r="AQ1189" i="7"/>
  <c r="AQ1175" i="7"/>
  <c r="AQ1161" i="7"/>
  <c r="AQ1147" i="7"/>
  <c r="AQ1133" i="7"/>
  <c r="AQ1119" i="7"/>
  <c r="AQ1105" i="7"/>
  <c r="AQ1091" i="7"/>
  <c r="AQ1077" i="7"/>
  <c r="AQ1063" i="7"/>
  <c r="AQ1049" i="7"/>
  <c r="AQ1035" i="7"/>
  <c r="AQ1021" i="7"/>
  <c r="AQ1007" i="7"/>
  <c r="AQ993" i="7"/>
  <c r="AQ979" i="7"/>
  <c r="AQ965" i="7"/>
  <c r="AQ951" i="7"/>
  <c r="AQ937" i="7"/>
  <c r="AQ923" i="7"/>
  <c r="AQ909" i="7"/>
  <c r="AQ2461" i="7"/>
  <c r="AQ2491" i="7"/>
  <c r="AQ1917" i="7"/>
  <c r="AQ2070" i="7"/>
  <c r="AQ2331" i="7"/>
  <c r="AQ2177" i="7"/>
  <c r="AQ1855" i="7"/>
  <c r="AQ921" i="7"/>
  <c r="AQ1884" i="7"/>
  <c r="AQ1511" i="7"/>
  <c r="AQ2406" i="7"/>
  <c r="AQ936" i="7"/>
  <c r="AQ2345" i="7"/>
  <c r="AQ2247" i="7"/>
  <c r="AQ2037" i="7"/>
  <c r="AQ1477" i="7"/>
  <c r="AQ1057" i="7"/>
  <c r="AQ1733" i="7"/>
  <c r="AQ2387" i="7"/>
  <c r="AQ2289" i="7"/>
  <c r="AQ2149" i="7"/>
  <c r="AQ1491" i="7"/>
  <c r="AQ2433" i="7"/>
  <c r="AQ1887" i="7"/>
  <c r="AQ2499" i="7"/>
  <c r="AQ2163" i="7"/>
  <c r="AQ917" i="7"/>
  <c r="AQ2140" i="7"/>
  <c r="AQ1705" i="7"/>
  <c r="AQ1551" i="7"/>
  <c r="AQ1341" i="7"/>
  <c r="AQ2471" i="7"/>
  <c r="AQ2415" i="7"/>
  <c r="AQ1953" i="7"/>
  <c r="AQ1519" i="7"/>
  <c r="AQ1379" i="7"/>
  <c r="AQ2154" i="7"/>
  <c r="AQ1874" i="7"/>
  <c r="AQ2167" i="7"/>
  <c r="AQ2429" i="7"/>
  <c r="AQ2359" i="7"/>
  <c r="AQ2275" i="7"/>
  <c r="AQ2205" i="7"/>
  <c r="AQ2023" i="7"/>
  <c r="AQ1351" i="7"/>
  <c r="AQ2474" i="7"/>
  <c r="AQ2460" i="7"/>
  <c r="AQ2446" i="7"/>
  <c r="AQ2418" i="7"/>
  <c r="AQ2404" i="7"/>
  <c r="AQ2390" i="7"/>
  <c r="AQ2376" i="7"/>
  <c r="AQ2362" i="7"/>
  <c r="AQ2348" i="7"/>
  <c r="AQ2334" i="7"/>
  <c r="AQ2306" i="7"/>
  <c r="AQ2292" i="7"/>
  <c r="AQ2278" i="7"/>
  <c r="AQ2250" i="7"/>
  <c r="AQ2236" i="7"/>
  <c r="AQ2222" i="7"/>
  <c r="AQ2208" i="7"/>
  <c r="AQ2194" i="7"/>
  <c r="AQ2180" i="7"/>
  <c r="AQ2166" i="7"/>
  <c r="AQ2152" i="7"/>
  <c r="AQ2124" i="7"/>
  <c r="AQ2110" i="7"/>
  <c r="AQ2096" i="7"/>
  <c r="AQ2068" i="7"/>
  <c r="AQ2054" i="7"/>
  <c r="AQ2040" i="7"/>
  <c r="AQ2026" i="7"/>
  <c r="AQ2012" i="7"/>
  <c r="AQ1970" i="7"/>
  <c r="AQ1900" i="7"/>
  <c r="AQ1872" i="7"/>
  <c r="AQ1858" i="7"/>
  <c r="AQ1844" i="7"/>
  <c r="AQ1830" i="7"/>
  <c r="AQ1816" i="7"/>
  <c r="AQ1802" i="7"/>
  <c r="AQ1774" i="7"/>
  <c r="AQ1760" i="7"/>
  <c r="AQ1746" i="7"/>
  <c r="AQ1718" i="7"/>
  <c r="AQ1690" i="7"/>
  <c r="AQ1676" i="7"/>
  <c r="AQ1662" i="7"/>
  <c r="AQ1606" i="7"/>
  <c r="AQ1550" i="7"/>
  <c r="AQ1522" i="7"/>
  <c r="AQ1508" i="7"/>
  <c r="AQ1480" i="7"/>
  <c r="AQ1424" i="7"/>
  <c r="AQ1102" i="7"/>
  <c r="AQ1983" i="7"/>
  <c r="AQ1941" i="7"/>
  <c r="AQ1843" i="7"/>
  <c r="AQ1745" i="7"/>
  <c r="AQ1647" i="7"/>
  <c r="AQ1605" i="7"/>
  <c r="AQ1535" i="7"/>
  <c r="AQ1521" i="7"/>
  <c r="AQ1465" i="7"/>
  <c r="AQ1395" i="7"/>
  <c r="AQ1381" i="7"/>
  <c r="AQ1367" i="7"/>
  <c r="AQ1339" i="7"/>
  <c r="AQ1311" i="7"/>
  <c r="AQ1297" i="7"/>
  <c r="AQ1143" i="7"/>
  <c r="AQ947" i="7"/>
  <c r="AQ1898" i="7"/>
  <c r="AQ1856" i="7"/>
  <c r="AQ1758" i="7"/>
  <c r="AQ1618" i="7"/>
  <c r="AQ1604" i="7"/>
  <c r="AQ1562" i="7"/>
  <c r="AQ1548" i="7"/>
  <c r="AQ1534" i="7"/>
  <c r="AQ1492" i="7"/>
  <c r="AQ1464" i="7"/>
  <c r="AQ1436" i="7"/>
  <c r="AQ1380" i="7"/>
  <c r="AQ1324" i="7"/>
  <c r="AQ1296" i="7"/>
  <c r="AQ1198" i="7"/>
  <c r="AQ1170" i="7"/>
  <c r="AQ1142" i="7"/>
  <c r="AQ1128" i="7"/>
  <c r="AQ1100" i="7"/>
  <c r="AQ1058" i="7"/>
  <c r="AQ1016" i="7"/>
  <c r="AQ974" i="7"/>
  <c r="AQ960" i="7"/>
  <c r="AQ1615" i="7"/>
  <c r="AQ1601" i="7"/>
  <c r="AQ1587" i="7"/>
  <c r="AQ1573" i="7"/>
  <c r="AQ1559" i="7"/>
  <c r="AQ1545" i="7"/>
  <c r="AQ1531" i="7"/>
  <c r="AQ1517" i="7"/>
  <c r="AQ1503" i="7"/>
  <c r="AQ1489" i="7"/>
  <c r="AQ1475" i="7"/>
  <c r="AQ1461" i="7"/>
  <c r="AQ1433" i="7"/>
  <c r="AQ1265" i="7"/>
  <c r="AQ1237" i="7"/>
  <c r="AQ1223" i="7"/>
  <c r="AQ1209" i="7"/>
  <c r="AQ1195" i="7"/>
  <c r="AQ1181" i="7"/>
  <c r="AQ1125" i="7"/>
  <c r="AQ1097" i="7"/>
  <c r="AQ1083" i="7"/>
  <c r="AQ985" i="7"/>
  <c r="AQ971" i="7"/>
  <c r="AQ1012" i="7"/>
  <c r="AA699" i="3"/>
  <c r="Z699" i="3"/>
  <c r="AB699" i="3" s="1"/>
  <c r="AC699" i="3" s="1"/>
  <c r="G9" i="8"/>
  <c r="K9" i="8" s="1"/>
  <c r="O9" i="8" s="1"/>
  <c r="G10" i="8"/>
  <c r="G8" i="8"/>
  <c r="G7" i="2"/>
  <c r="H7" i="2"/>
  <c r="G8" i="2"/>
  <c r="H8" i="2"/>
  <c r="G9" i="2"/>
  <c r="H9" i="2"/>
  <c r="G10" i="2"/>
  <c r="H10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6" i="2"/>
  <c r="H11" i="2"/>
  <c r="G24" i="2"/>
  <c r="G25" i="2"/>
  <c r="G26" i="2"/>
  <c r="G27" i="2"/>
  <c r="G28" i="2"/>
  <c r="G30" i="2"/>
  <c r="G31" i="2"/>
  <c r="G32" i="2"/>
  <c r="G33" i="2"/>
  <c r="G34" i="2"/>
  <c r="G36" i="2"/>
  <c r="G12" i="2"/>
  <c r="G14" i="2"/>
  <c r="G15" i="2"/>
  <c r="G20" i="2"/>
  <c r="G21" i="2"/>
  <c r="G22" i="2"/>
  <c r="G23" i="2"/>
  <c r="G11" i="2"/>
  <c r="AA689" i="3"/>
  <c r="Z689" i="3"/>
  <c r="AA690" i="3"/>
  <c r="Z690" i="3"/>
  <c r="AA691" i="3"/>
  <c r="Z691" i="3"/>
  <c r="AA686" i="3"/>
  <c r="Z686" i="3"/>
  <c r="AB686" i="3" s="1"/>
  <c r="AC686" i="3" s="1"/>
  <c r="AA687" i="3"/>
  <c r="Z687" i="3"/>
  <c r="AA688" i="3"/>
  <c r="Z688" i="3"/>
  <c r="AB688" i="3" s="1"/>
  <c r="AC688" i="3" s="1"/>
  <c r="AB687" i="3" l="1"/>
  <c r="AC687" i="3" s="1"/>
  <c r="G35" i="2"/>
  <c r="H35" i="2"/>
  <c r="Q26" i="4"/>
  <c r="Q27" i="4" s="1"/>
  <c r="T27" i="4" s="1"/>
  <c r="R26" i="4"/>
  <c r="G18" i="2"/>
  <c r="AB691" i="3"/>
  <c r="AC691" i="3" s="1"/>
  <c r="AB690" i="3"/>
  <c r="AC690" i="3" s="1"/>
  <c r="AB689" i="3"/>
  <c r="AC689" i="3" s="1"/>
  <c r="Q18" i="2"/>
  <c r="AB696" i="3"/>
  <c r="AC696" i="3" s="1"/>
  <c r="G13" i="2"/>
  <c r="G17" i="2"/>
  <c r="G16" i="2"/>
  <c r="G19" i="2"/>
  <c r="Z9" i="8"/>
  <c r="AB9" i="8"/>
  <c r="W9" i="8"/>
  <c r="P9" i="8"/>
  <c r="AM9" i="8" s="1"/>
  <c r="AC9" i="8"/>
  <c r="U9" i="8"/>
  <c r="T9" i="8"/>
  <c r="R9" i="8"/>
  <c r="O18" i="2"/>
  <c r="P10" i="8"/>
  <c r="W10" i="8"/>
  <c r="T10" i="8"/>
  <c r="U10" i="8"/>
  <c r="R10" i="8"/>
  <c r="W685" i="3"/>
  <c r="Z685" i="3" s="1"/>
  <c r="W684" i="3"/>
  <c r="Z684" i="3" s="1"/>
  <c r="Y684" i="3"/>
  <c r="AE684" i="3" s="1"/>
  <c r="V684" i="3"/>
  <c r="Z682" i="3"/>
  <c r="AA682" i="3"/>
  <c r="Z683" i="3"/>
  <c r="AA683" i="3"/>
  <c r="W650" i="3"/>
  <c r="W651" i="3"/>
  <c r="Z651" i="3" s="1"/>
  <c r="W652" i="3"/>
  <c r="AA652" i="3" s="1"/>
  <c r="W653" i="3"/>
  <c r="Z653" i="3" s="1"/>
  <c r="W654" i="3"/>
  <c r="Z654" i="3" s="1"/>
  <c r="W655" i="3"/>
  <c r="Z655" i="3" s="1"/>
  <c r="W656" i="3"/>
  <c r="Z656" i="3" s="1"/>
  <c r="W657" i="3"/>
  <c r="AA657" i="3" s="1"/>
  <c r="W658" i="3"/>
  <c r="AA658" i="3" s="1"/>
  <c r="W659" i="3"/>
  <c r="Z659" i="3" s="1"/>
  <c r="W660" i="3"/>
  <c r="Z660" i="3" s="1"/>
  <c r="W661" i="3"/>
  <c r="Z661" i="3" s="1"/>
  <c r="W662" i="3"/>
  <c r="Z662" i="3" s="1"/>
  <c r="W663" i="3"/>
  <c r="Z663" i="3" s="1"/>
  <c r="W664" i="3"/>
  <c r="AA664" i="3" s="1"/>
  <c r="W665" i="3"/>
  <c r="AA665" i="3" s="1"/>
  <c r="W666" i="3"/>
  <c r="AA666" i="3" s="1"/>
  <c r="W667" i="3"/>
  <c r="Z667" i="3" s="1"/>
  <c r="W668" i="3"/>
  <c r="Z668" i="3" s="1"/>
  <c r="W669" i="3"/>
  <c r="Z669" i="3" s="1"/>
  <c r="W670" i="3"/>
  <c r="Z670" i="3" s="1"/>
  <c r="W671" i="3"/>
  <c r="AA671" i="3" s="1"/>
  <c r="W672" i="3"/>
  <c r="Z672" i="3" s="1"/>
  <c r="W673" i="3"/>
  <c r="W674" i="3"/>
  <c r="W675" i="3"/>
  <c r="Z675" i="3" s="1"/>
  <c r="W676" i="3"/>
  <c r="Z676" i="3" s="1"/>
  <c r="W677" i="3"/>
  <c r="Z677" i="3" s="1"/>
  <c r="W678" i="3"/>
  <c r="AA678" i="3" s="1"/>
  <c r="W679" i="3"/>
  <c r="Z679" i="3" s="1"/>
  <c r="W680" i="3"/>
  <c r="AA680" i="3" s="1"/>
  <c r="W681" i="3"/>
  <c r="AA681" i="3" s="1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W649" i="3"/>
  <c r="Y638" i="3"/>
  <c r="AE638" i="3" s="1"/>
  <c r="Y640" i="3"/>
  <c r="AE640" i="3" s="1"/>
  <c r="W638" i="3"/>
  <c r="W639" i="3"/>
  <c r="Z639" i="3" s="1"/>
  <c r="W640" i="3"/>
  <c r="Z640" i="3" s="1"/>
  <c r="V638" i="3"/>
  <c r="V639" i="3"/>
  <c r="V640" i="3"/>
  <c r="V412" i="3"/>
  <c r="H10" i="8"/>
  <c r="AB10" i="8" s="1"/>
  <c r="H8" i="8"/>
  <c r="N126" i="8"/>
  <c r="I126" i="8"/>
  <c r="H126" i="8"/>
  <c r="G126" i="8"/>
  <c r="F126" i="8"/>
  <c r="N125" i="8"/>
  <c r="I125" i="8"/>
  <c r="H125" i="8"/>
  <c r="G125" i="8"/>
  <c r="F125" i="8"/>
  <c r="N124" i="8"/>
  <c r="I124" i="8"/>
  <c r="H124" i="8"/>
  <c r="G124" i="8"/>
  <c r="F124" i="8"/>
  <c r="N123" i="8"/>
  <c r="I123" i="8"/>
  <c r="H123" i="8"/>
  <c r="G123" i="8"/>
  <c r="F123" i="8"/>
  <c r="N122" i="8"/>
  <c r="I122" i="8"/>
  <c r="H122" i="8"/>
  <c r="G122" i="8"/>
  <c r="F122" i="8"/>
  <c r="AB120" i="8"/>
  <c r="G120" i="8"/>
  <c r="H120" i="8"/>
  <c r="N119" i="8"/>
  <c r="I119" i="8"/>
  <c r="H119" i="8"/>
  <c r="G119" i="8"/>
  <c r="T119" i="8" s="1"/>
  <c r="F119" i="8"/>
  <c r="AB118" i="8"/>
  <c r="U118" i="8"/>
  <c r="T118" i="8"/>
  <c r="R118" i="8"/>
  <c r="N118" i="8"/>
  <c r="K118" i="8"/>
  <c r="J118" i="8"/>
  <c r="Z118" i="8" s="1"/>
  <c r="P118" i="8"/>
  <c r="F118" i="8"/>
  <c r="U114" i="8"/>
  <c r="T114" i="8"/>
  <c r="R114" i="8"/>
  <c r="N114" i="8"/>
  <c r="H114" i="8"/>
  <c r="P114" i="8"/>
  <c r="F114" i="8"/>
  <c r="U113" i="8"/>
  <c r="T113" i="8"/>
  <c r="R113" i="8"/>
  <c r="N113" i="8"/>
  <c r="H113" i="8"/>
  <c r="K113" i="8" s="1"/>
  <c r="P113" i="8"/>
  <c r="F113" i="8"/>
  <c r="AC111" i="8"/>
  <c r="Z111" i="8"/>
  <c r="U111" i="8"/>
  <c r="T111" i="8"/>
  <c r="R111" i="8"/>
  <c r="N111" i="8"/>
  <c r="H111" i="8"/>
  <c r="K111" i="8" s="1"/>
  <c r="V111" i="8" s="1"/>
  <c r="P111" i="8"/>
  <c r="F111" i="8"/>
  <c r="U110" i="8"/>
  <c r="T110" i="8"/>
  <c r="R110" i="8"/>
  <c r="N110" i="8"/>
  <c r="H110" i="8"/>
  <c r="P110" i="8"/>
  <c r="F110" i="8"/>
  <c r="U109" i="8"/>
  <c r="T109" i="8"/>
  <c r="R109" i="8"/>
  <c r="N109" i="8"/>
  <c r="H109" i="8"/>
  <c r="AB109" i="8" s="1"/>
  <c r="P109" i="8"/>
  <c r="F109" i="8"/>
  <c r="N108" i="8"/>
  <c r="I108" i="8"/>
  <c r="H108" i="8"/>
  <c r="G108" i="8"/>
  <c r="R108" i="8" s="1"/>
  <c r="F108" i="8"/>
  <c r="N107" i="8"/>
  <c r="I107" i="8"/>
  <c r="H107" i="8"/>
  <c r="G107" i="8"/>
  <c r="F107" i="8"/>
  <c r="AB106" i="8"/>
  <c r="U106" i="8"/>
  <c r="T106" i="8"/>
  <c r="R106" i="8"/>
  <c r="N106" i="8"/>
  <c r="K106" i="8"/>
  <c r="J106" i="8"/>
  <c r="AC106" i="8" s="1"/>
  <c r="P106" i="8"/>
  <c r="F106" i="8"/>
  <c r="U105" i="8"/>
  <c r="T105" i="8"/>
  <c r="R105" i="8"/>
  <c r="N105" i="8"/>
  <c r="H105" i="8"/>
  <c r="P105" i="8"/>
  <c r="F105" i="8"/>
  <c r="U104" i="8"/>
  <c r="T104" i="8"/>
  <c r="R104" i="8"/>
  <c r="N104" i="8"/>
  <c r="H104" i="8"/>
  <c r="AB104" i="8" s="1"/>
  <c r="P104" i="8"/>
  <c r="F104" i="8"/>
  <c r="U103" i="8"/>
  <c r="T103" i="8"/>
  <c r="R103" i="8"/>
  <c r="N103" i="8"/>
  <c r="H103" i="8"/>
  <c r="AB103" i="8" s="1"/>
  <c r="P103" i="8"/>
  <c r="F103" i="8"/>
  <c r="U102" i="8"/>
  <c r="T102" i="8"/>
  <c r="R102" i="8"/>
  <c r="N102" i="8"/>
  <c r="H102" i="8"/>
  <c r="AB102" i="8" s="1"/>
  <c r="P102" i="8"/>
  <c r="F102" i="8"/>
  <c r="AB101" i="8"/>
  <c r="U101" i="8"/>
  <c r="T101" i="8"/>
  <c r="N101" i="8"/>
  <c r="K101" i="8"/>
  <c r="J101" i="8"/>
  <c r="P101" i="8"/>
  <c r="V101" i="8" s="1"/>
  <c r="F101" i="8"/>
  <c r="N100" i="8"/>
  <c r="H100" i="8"/>
  <c r="G100" i="8"/>
  <c r="R100" i="8" s="1"/>
  <c r="F100" i="8"/>
  <c r="AB99" i="8"/>
  <c r="U99" i="8"/>
  <c r="T99" i="8"/>
  <c r="R99" i="8"/>
  <c r="N99" i="8"/>
  <c r="K99" i="8"/>
  <c r="J99" i="8"/>
  <c r="AC99" i="8" s="1"/>
  <c r="P99" i="8"/>
  <c r="V99" i="8" s="1"/>
  <c r="F99" i="8"/>
  <c r="U98" i="8"/>
  <c r="T98" i="8"/>
  <c r="R98" i="8"/>
  <c r="N98" i="8"/>
  <c r="H98" i="8"/>
  <c r="J98" i="8" s="1"/>
  <c r="P98" i="8"/>
  <c r="V98" i="8" s="1"/>
  <c r="F98" i="8"/>
  <c r="U97" i="8"/>
  <c r="T97" i="8"/>
  <c r="R97" i="8"/>
  <c r="N97" i="8"/>
  <c r="H97" i="8"/>
  <c r="P97" i="8"/>
  <c r="F97" i="8"/>
  <c r="U96" i="8"/>
  <c r="T96" i="8"/>
  <c r="R96" i="8"/>
  <c r="N96" i="8"/>
  <c r="H96" i="8"/>
  <c r="P96" i="8"/>
  <c r="V96" i="8" s="1"/>
  <c r="F96" i="8"/>
  <c r="U95" i="8"/>
  <c r="T95" i="8"/>
  <c r="R95" i="8"/>
  <c r="N95" i="8"/>
  <c r="H95" i="8"/>
  <c r="J95" i="8" s="1"/>
  <c r="P95" i="8"/>
  <c r="F95" i="8"/>
  <c r="U94" i="8"/>
  <c r="T94" i="8"/>
  <c r="R94" i="8"/>
  <c r="N94" i="8"/>
  <c r="H94" i="8"/>
  <c r="J94" i="8" s="1"/>
  <c r="Z94" i="8" s="1"/>
  <c r="P94" i="8"/>
  <c r="V94" i="8" s="1"/>
  <c r="F94" i="8"/>
  <c r="U93" i="8"/>
  <c r="T93" i="8"/>
  <c r="R93" i="8"/>
  <c r="N93" i="8"/>
  <c r="H93" i="8"/>
  <c r="J93" i="8" s="1"/>
  <c r="P93" i="8"/>
  <c r="V93" i="8" s="1"/>
  <c r="F93" i="8"/>
  <c r="U92" i="8"/>
  <c r="T92" i="8"/>
  <c r="R92" i="8"/>
  <c r="N92" i="8"/>
  <c r="H92" i="8"/>
  <c r="K92" i="8" s="1"/>
  <c r="P92" i="8"/>
  <c r="V92" i="8" s="1"/>
  <c r="F92" i="8"/>
  <c r="N91" i="8"/>
  <c r="I91" i="8"/>
  <c r="H91" i="8"/>
  <c r="G91" i="8"/>
  <c r="F91" i="8"/>
  <c r="W90" i="8"/>
  <c r="T90" i="8"/>
  <c r="R90" i="8"/>
  <c r="Q90" i="8" s="1"/>
  <c r="N90" i="8"/>
  <c r="H90" i="8"/>
  <c r="AB90" i="8" s="1"/>
  <c r="U90" i="8"/>
  <c r="P90" i="8"/>
  <c r="F90" i="8"/>
  <c r="U89" i="8"/>
  <c r="T89" i="8"/>
  <c r="N89" i="8"/>
  <c r="M89" i="8"/>
  <c r="H89" i="8"/>
  <c r="P89" i="8"/>
  <c r="F89" i="8"/>
  <c r="U88" i="8"/>
  <c r="T88" i="8"/>
  <c r="R88" i="8"/>
  <c r="N88" i="8"/>
  <c r="H88" i="8"/>
  <c r="P88" i="8"/>
  <c r="F88" i="8"/>
  <c r="U87" i="8"/>
  <c r="T87" i="8"/>
  <c r="R87" i="8"/>
  <c r="N87" i="8"/>
  <c r="H87" i="8"/>
  <c r="AB87" i="8" s="1"/>
  <c r="P87" i="8"/>
  <c r="F87" i="8"/>
  <c r="W86" i="8"/>
  <c r="T86" i="8"/>
  <c r="R86" i="8"/>
  <c r="Q86" i="8" s="1"/>
  <c r="N86" i="8"/>
  <c r="H86" i="8"/>
  <c r="AB86" i="8" s="1"/>
  <c r="U86" i="8"/>
  <c r="P86" i="8"/>
  <c r="F86" i="8"/>
  <c r="U85" i="8"/>
  <c r="T85" i="8"/>
  <c r="R85" i="8"/>
  <c r="N85" i="8"/>
  <c r="H85" i="8"/>
  <c r="J85" i="8" s="1"/>
  <c r="Z85" i="8" s="1"/>
  <c r="P85" i="8"/>
  <c r="V85" i="8" s="1"/>
  <c r="F85" i="8"/>
  <c r="U84" i="8"/>
  <c r="T84" i="8"/>
  <c r="N84" i="8"/>
  <c r="M84" i="8"/>
  <c r="H84" i="8"/>
  <c r="P84" i="8"/>
  <c r="F84" i="8"/>
  <c r="N83" i="8"/>
  <c r="H83" i="8"/>
  <c r="J83" i="8" s="1"/>
  <c r="G83" i="8"/>
  <c r="F83" i="8"/>
  <c r="U82" i="8"/>
  <c r="R82" i="8"/>
  <c r="Q82" i="8" s="1"/>
  <c r="N82" i="8"/>
  <c r="H82" i="8"/>
  <c r="K82" i="8" s="1"/>
  <c r="P82" i="8"/>
  <c r="F82" i="8"/>
  <c r="N81" i="8"/>
  <c r="H81" i="8"/>
  <c r="J81" i="8" s="1"/>
  <c r="G81" i="8"/>
  <c r="U81" i="8" s="1"/>
  <c r="F81" i="8"/>
  <c r="N80" i="8"/>
  <c r="H80" i="8"/>
  <c r="G80" i="8"/>
  <c r="F80" i="8"/>
  <c r="AB79" i="8"/>
  <c r="W79" i="8"/>
  <c r="U79" i="8"/>
  <c r="T79" i="8"/>
  <c r="R79" i="8"/>
  <c r="N79" i="8"/>
  <c r="K79" i="8"/>
  <c r="J79" i="8"/>
  <c r="AC79" i="8" s="1"/>
  <c r="P79" i="8"/>
  <c r="F79" i="8"/>
  <c r="U78" i="8"/>
  <c r="T78" i="8"/>
  <c r="R78" i="8"/>
  <c r="N78" i="8"/>
  <c r="H78" i="8"/>
  <c r="AB78" i="8" s="1"/>
  <c r="P78" i="8"/>
  <c r="U77" i="8"/>
  <c r="T77" i="8"/>
  <c r="R77" i="8"/>
  <c r="N77" i="8"/>
  <c r="H77" i="8"/>
  <c r="AB77" i="8" s="1"/>
  <c r="P77" i="8"/>
  <c r="V77" i="8" s="1"/>
  <c r="U76" i="8"/>
  <c r="T76" i="8"/>
  <c r="R76" i="8"/>
  <c r="N76" i="8"/>
  <c r="H76" i="8"/>
  <c r="P76" i="8"/>
  <c r="U75" i="8"/>
  <c r="N75" i="8"/>
  <c r="J75" i="8"/>
  <c r="G75" i="8"/>
  <c r="T75" i="8" s="1"/>
  <c r="N74" i="8"/>
  <c r="H74" i="8"/>
  <c r="G74" i="8"/>
  <c r="F74" i="8"/>
  <c r="U73" i="8"/>
  <c r="R73" i="8"/>
  <c r="N73" i="8"/>
  <c r="H73" i="8"/>
  <c r="AB73" i="8" s="1"/>
  <c r="P73" i="8"/>
  <c r="F73" i="8"/>
  <c r="U72" i="8"/>
  <c r="R72" i="8"/>
  <c r="N72" i="8"/>
  <c r="H72" i="8"/>
  <c r="K72" i="8" s="1"/>
  <c r="P72" i="8"/>
  <c r="V72" i="8" s="1"/>
  <c r="F72" i="8"/>
  <c r="N71" i="8"/>
  <c r="H71" i="8"/>
  <c r="J71" i="8" s="1"/>
  <c r="G71" i="8"/>
  <c r="F71" i="8"/>
  <c r="W70" i="8"/>
  <c r="T70" i="8"/>
  <c r="R70" i="8"/>
  <c r="N70" i="8"/>
  <c r="M70" i="8"/>
  <c r="H70" i="8"/>
  <c r="K70" i="8" s="1"/>
  <c r="P70" i="8"/>
  <c r="F70" i="8"/>
  <c r="W69" i="8"/>
  <c r="T69" i="8"/>
  <c r="R69" i="8"/>
  <c r="N69" i="8"/>
  <c r="H69" i="8"/>
  <c r="J69" i="8" s="1"/>
  <c r="AC69" i="8" s="1"/>
  <c r="P69" i="8"/>
  <c r="F69" i="8"/>
  <c r="N68" i="8"/>
  <c r="H68" i="8"/>
  <c r="J68" i="8" s="1"/>
  <c r="G68" i="8"/>
  <c r="F68" i="8"/>
  <c r="N67" i="8"/>
  <c r="H67" i="8"/>
  <c r="J67" i="8" s="1"/>
  <c r="G67" i="8"/>
  <c r="T67" i="8" s="1"/>
  <c r="F67" i="8"/>
  <c r="N66" i="8"/>
  <c r="H66" i="8"/>
  <c r="J66" i="8" s="1"/>
  <c r="G66" i="8"/>
  <c r="R66" i="8" s="1"/>
  <c r="F66" i="8"/>
  <c r="N10" i="8"/>
  <c r="J10" i="8"/>
  <c r="N8" i="8"/>
  <c r="Q9" i="8" l="1"/>
  <c r="AN9" i="8" s="1"/>
  <c r="K15" i="2"/>
  <c r="AB683" i="3"/>
  <c r="AC683" i="3" s="1"/>
  <c r="AB682" i="3"/>
  <c r="AC682" i="3" s="1"/>
  <c r="X9" i="8"/>
  <c r="AO9" i="8" s="1"/>
  <c r="Q10" i="8"/>
  <c r="I17" i="2"/>
  <c r="Z674" i="3"/>
  <c r="AA674" i="3"/>
  <c r="Z673" i="3"/>
  <c r="AA673" i="3"/>
  <c r="AC10" i="8"/>
  <c r="Z10" i="8"/>
  <c r="X10" i="8" s="1"/>
  <c r="I74" i="2"/>
  <c r="M17" i="2"/>
  <c r="AA650" i="3"/>
  <c r="J17" i="2"/>
  <c r="AA638" i="3"/>
  <c r="N17" i="2"/>
  <c r="AA651" i="3"/>
  <c r="AB651" i="3" s="1"/>
  <c r="AC651" i="3" s="1"/>
  <c r="AA649" i="3"/>
  <c r="P17" i="2"/>
  <c r="Z649" i="3"/>
  <c r="G77" i="2" s="1"/>
  <c r="Z638" i="3"/>
  <c r="AB638" i="3" s="1"/>
  <c r="AC638" i="3" s="1"/>
  <c r="Z658" i="3"/>
  <c r="AB658" i="3" s="1"/>
  <c r="AC658" i="3" s="1"/>
  <c r="AA672" i="3"/>
  <c r="AB672" i="3" s="1"/>
  <c r="AC672" i="3" s="1"/>
  <c r="Z657" i="3"/>
  <c r="AB657" i="3" s="1"/>
  <c r="AC657" i="3" s="1"/>
  <c r="AA656" i="3"/>
  <c r="AB656" i="3" s="1"/>
  <c r="AC656" i="3" s="1"/>
  <c r="Z650" i="3"/>
  <c r="Z665" i="3"/>
  <c r="AB665" i="3" s="1"/>
  <c r="AC665" i="3" s="1"/>
  <c r="AA670" i="3"/>
  <c r="AB670" i="3" s="1"/>
  <c r="AC670" i="3" s="1"/>
  <c r="Z664" i="3"/>
  <c r="AB664" i="3" s="1"/>
  <c r="AC664" i="3" s="1"/>
  <c r="AA679" i="3"/>
  <c r="AB679" i="3" s="1"/>
  <c r="AC679" i="3" s="1"/>
  <c r="AA639" i="3"/>
  <c r="AB639" i="3" s="1"/>
  <c r="AC639" i="3" s="1"/>
  <c r="AA663" i="3"/>
  <c r="AB663" i="3" s="1"/>
  <c r="AC663" i="3" s="1"/>
  <c r="Z671" i="3"/>
  <c r="AB671" i="3" s="1"/>
  <c r="AC671" i="3" s="1"/>
  <c r="Z678" i="3"/>
  <c r="AB678" i="3" s="1"/>
  <c r="AC678" i="3" s="1"/>
  <c r="AA640" i="3"/>
  <c r="AB640" i="3" s="1"/>
  <c r="AC640" i="3" s="1"/>
  <c r="AA677" i="3"/>
  <c r="AB677" i="3" s="1"/>
  <c r="AC677" i="3" s="1"/>
  <c r="AA660" i="3"/>
  <c r="AB660" i="3" s="1"/>
  <c r="AC660" i="3" s="1"/>
  <c r="AA659" i="3"/>
  <c r="AB659" i="3" s="1"/>
  <c r="AC659" i="3" s="1"/>
  <c r="AA667" i="3"/>
  <c r="AB667" i="3" s="1"/>
  <c r="AC667" i="3" s="1"/>
  <c r="AA653" i="3"/>
  <c r="AB653" i="3" s="1"/>
  <c r="AC653" i="3" s="1"/>
  <c r="Z681" i="3"/>
  <c r="AB681" i="3" s="1"/>
  <c r="AC681" i="3" s="1"/>
  <c r="AA684" i="3"/>
  <c r="AB684" i="3" s="1"/>
  <c r="AC684" i="3" s="1"/>
  <c r="Z680" i="3"/>
  <c r="AB680" i="3" s="1"/>
  <c r="AC680" i="3" s="1"/>
  <c r="Z666" i="3"/>
  <c r="AB666" i="3" s="1"/>
  <c r="AC666" i="3" s="1"/>
  <c r="Z652" i="3"/>
  <c r="AB652" i="3" s="1"/>
  <c r="AC652" i="3" s="1"/>
  <c r="AA676" i="3"/>
  <c r="AB676" i="3" s="1"/>
  <c r="AC676" i="3" s="1"/>
  <c r="AA669" i="3"/>
  <c r="AB669" i="3" s="1"/>
  <c r="AC669" i="3" s="1"/>
  <c r="AA662" i="3"/>
  <c r="AB662" i="3" s="1"/>
  <c r="AC662" i="3" s="1"/>
  <c r="AA655" i="3"/>
  <c r="AB655" i="3" s="1"/>
  <c r="AC655" i="3" s="1"/>
  <c r="AA685" i="3"/>
  <c r="AA675" i="3"/>
  <c r="AB675" i="3" s="1"/>
  <c r="AC675" i="3" s="1"/>
  <c r="AA668" i="3"/>
  <c r="AB668" i="3" s="1"/>
  <c r="AC668" i="3" s="1"/>
  <c r="AA661" i="3"/>
  <c r="AB661" i="3" s="1"/>
  <c r="AC661" i="3" s="1"/>
  <c r="AA654" i="3"/>
  <c r="AB654" i="3" s="1"/>
  <c r="AC654" i="3" s="1"/>
  <c r="P81" i="8"/>
  <c r="V81" i="8" s="1"/>
  <c r="P74" i="8"/>
  <c r="V74" i="8" s="1"/>
  <c r="O82" i="8"/>
  <c r="AM82" i="8" s="1"/>
  <c r="O72" i="8"/>
  <c r="AM72" i="8" s="1"/>
  <c r="J126" i="8"/>
  <c r="Z126" i="8" s="1"/>
  <c r="K120" i="8"/>
  <c r="P71" i="8"/>
  <c r="V71" i="8" s="1"/>
  <c r="O106" i="8"/>
  <c r="Q106" i="8" s="1"/>
  <c r="AN106" i="8" s="1"/>
  <c r="AC94" i="8"/>
  <c r="O70" i="8"/>
  <c r="AM70" i="8" s="1"/>
  <c r="P66" i="8"/>
  <c r="AC118" i="8"/>
  <c r="X118" i="8" s="1"/>
  <c r="AB123" i="8"/>
  <c r="P122" i="8"/>
  <c r="Z66" i="8"/>
  <c r="J107" i="8"/>
  <c r="Z107" i="8" s="1"/>
  <c r="AC75" i="8"/>
  <c r="P83" i="8"/>
  <c r="V83" i="8" s="1"/>
  <c r="Z106" i="8"/>
  <c r="X106" i="8" s="1"/>
  <c r="P108" i="8"/>
  <c r="V108" i="8" s="1"/>
  <c r="T100" i="8"/>
  <c r="O92" i="8"/>
  <c r="Q92" i="8" s="1"/>
  <c r="AN92" i="8" s="1"/>
  <c r="AB93" i="8"/>
  <c r="K104" i="8"/>
  <c r="V104" i="8" s="1"/>
  <c r="J124" i="8"/>
  <c r="AC124" i="8" s="1"/>
  <c r="Z75" i="8"/>
  <c r="V106" i="8"/>
  <c r="T123" i="8"/>
  <c r="Z99" i="8"/>
  <c r="X99" i="8" s="1"/>
  <c r="O111" i="8"/>
  <c r="AM111" i="8" s="1"/>
  <c r="J104" i="8"/>
  <c r="AC104" i="8" s="1"/>
  <c r="AB111" i="8"/>
  <c r="X111" i="8" s="1"/>
  <c r="Q85" i="8"/>
  <c r="AB68" i="8"/>
  <c r="T108" i="8"/>
  <c r="K93" i="8"/>
  <c r="O93" i="8" s="1"/>
  <c r="U119" i="8"/>
  <c r="AB124" i="8"/>
  <c r="K83" i="8"/>
  <c r="K85" i="8"/>
  <c r="O85" i="8" s="1"/>
  <c r="AB80" i="8"/>
  <c r="K109" i="8"/>
  <c r="V109" i="8" s="1"/>
  <c r="P100" i="8"/>
  <c r="V100" i="8" s="1"/>
  <c r="O101" i="8"/>
  <c r="Q101" i="8" s="1"/>
  <c r="AN101" i="8" s="1"/>
  <c r="P120" i="8"/>
  <c r="O79" i="8"/>
  <c r="AM79" i="8" s="1"/>
  <c r="F120" i="8"/>
  <c r="J122" i="8"/>
  <c r="Z122" i="8" s="1"/>
  <c r="P75" i="8"/>
  <c r="V75" i="8" s="1"/>
  <c r="AB85" i="8"/>
  <c r="R75" i="8"/>
  <c r="Q75" i="8" s="1"/>
  <c r="Z79" i="8"/>
  <c r="X79" i="8" s="1"/>
  <c r="AB91" i="8"/>
  <c r="AB92" i="8"/>
  <c r="K100" i="8"/>
  <c r="M100" i="8" s="1"/>
  <c r="O100" i="8" s="1"/>
  <c r="K87" i="8"/>
  <c r="V87" i="8" s="1"/>
  <c r="Q87" i="8" s="1"/>
  <c r="J91" i="8"/>
  <c r="Z91" i="8" s="1"/>
  <c r="K119" i="8"/>
  <c r="M119" i="8" s="1"/>
  <c r="O119" i="8" s="1"/>
  <c r="P68" i="8"/>
  <c r="V68" i="8" s="1"/>
  <c r="AB72" i="8"/>
  <c r="AB74" i="8"/>
  <c r="R119" i="8"/>
  <c r="K90" i="8"/>
  <c r="O90" i="8" s="1"/>
  <c r="V90" i="8" s="1"/>
  <c r="J119" i="8"/>
  <c r="Z119" i="8" s="1"/>
  <c r="T68" i="8"/>
  <c r="R68" i="8"/>
  <c r="K68" i="8"/>
  <c r="O68" i="8" s="1"/>
  <c r="K102" i="8"/>
  <c r="K73" i="8"/>
  <c r="O73" i="8" s="1"/>
  <c r="M83" i="8"/>
  <c r="AB83" i="8"/>
  <c r="R83" i="8"/>
  <c r="U83" i="8"/>
  <c r="T83" i="8"/>
  <c r="J113" i="8"/>
  <c r="AC113" i="8" s="1"/>
  <c r="AB119" i="8"/>
  <c r="J90" i="8"/>
  <c r="AC66" i="8"/>
  <c r="K69" i="8"/>
  <c r="O69" i="8" s="1"/>
  <c r="AM69" i="8" s="1"/>
  <c r="T81" i="8"/>
  <c r="R81" i="8"/>
  <c r="T125" i="8"/>
  <c r="K74" i="8"/>
  <c r="M74" i="8" s="1"/>
  <c r="O74" i="8" s="1"/>
  <c r="J102" i="8"/>
  <c r="J73" i="8"/>
  <c r="J74" i="8"/>
  <c r="Z74" i="8" s="1"/>
  <c r="AC85" i="8"/>
  <c r="AC101" i="8"/>
  <c r="Z101" i="8"/>
  <c r="Z69" i="8"/>
  <c r="J72" i="8"/>
  <c r="T74" i="8"/>
  <c r="J100" i="8"/>
  <c r="U68" i="8"/>
  <c r="AB69" i="8"/>
  <c r="U74" i="8"/>
  <c r="U125" i="8"/>
  <c r="J120" i="8"/>
  <c r="Z120" i="8" s="1"/>
  <c r="AB107" i="8"/>
  <c r="R71" i="8"/>
  <c r="U71" i="8"/>
  <c r="V69" i="8"/>
  <c r="Q69" i="8" s="1"/>
  <c r="J80" i="8"/>
  <c r="AC80" i="8" s="1"/>
  <c r="J82" i="8"/>
  <c r="AB82" i="8"/>
  <c r="U108" i="8"/>
  <c r="U123" i="8"/>
  <c r="P80" i="8"/>
  <c r="V80" i="8" s="1"/>
  <c r="J87" i="8"/>
  <c r="J125" i="8"/>
  <c r="Z125" i="8" s="1"/>
  <c r="P119" i="8"/>
  <c r="Q77" i="8"/>
  <c r="O99" i="8"/>
  <c r="AM99" i="8" s="1"/>
  <c r="AB100" i="8"/>
  <c r="Z71" i="8"/>
  <c r="AC71" i="8"/>
  <c r="K76" i="8"/>
  <c r="O76" i="8" s="1"/>
  <c r="AB76" i="8"/>
  <c r="J76" i="8"/>
  <c r="Z67" i="8"/>
  <c r="AC67" i="8"/>
  <c r="K67" i="8"/>
  <c r="O67" i="8" s="1"/>
  <c r="J8" i="8"/>
  <c r="K10" i="8"/>
  <c r="O10" i="8" s="1"/>
  <c r="K114" i="8"/>
  <c r="J114" i="8"/>
  <c r="AB114" i="8"/>
  <c r="J88" i="8"/>
  <c r="AB88" i="8"/>
  <c r="K88" i="8"/>
  <c r="K89" i="8"/>
  <c r="O89" i="8" s="1"/>
  <c r="J89" i="8"/>
  <c r="AB89" i="8"/>
  <c r="V82" i="8"/>
  <c r="V97" i="8"/>
  <c r="V70" i="8"/>
  <c r="Q70" i="8" s="1"/>
  <c r="V73" i="8"/>
  <c r="Q73" i="8" s="1"/>
  <c r="K84" i="8"/>
  <c r="O84" i="8" s="1"/>
  <c r="AB84" i="8"/>
  <c r="J84" i="8"/>
  <c r="V78" i="8"/>
  <c r="Q78" i="8" s="1"/>
  <c r="AC81" i="8"/>
  <c r="Z81" i="8"/>
  <c r="V113" i="8"/>
  <c r="O113" i="8"/>
  <c r="Z93" i="8"/>
  <c r="AC93" i="8"/>
  <c r="AC98" i="8"/>
  <c r="Z98" i="8"/>
  <c r="K107" i="8"/>
  <c r="P126" i="8"/>
  <c r="AB67" i="8"/>
  <c r="U67" i="8"/>
  <c r="R67" i="8"/>
  <c r="P67" i="8"/>
  <c r="J70" i="8"/>
  <c r="AB70" i="8"/>
  <c r="T80" i="8"/>
  <c r="R80" i="8"/>
  <c r="Q80" i="8" s="1"/>
  <c r="U80" i="8"/>
  <c r="K80" i="8"/>
  <c r="O80" i="8" s="1"/>
  <c r="V95" i="8"/>
  <c r="AB96" i="8"/>
  <c r="J96" i="8"/>
  <c r="AB105" i="8"/>
  <c r="J105" i="8"/>
  <c r="K126" i="8"/>
  <c r="U126" i="8"/>
  <c r="T126" i="8"/>
  <c r="R126" i="8"/>
  <c r="V76" i="8"/>
  <c r="Q76" i="8" s="1"/>
  <c r="K96" i="8"/>
  <c r="O96" i="8" s="1"/>
  <c r="K97" i="8"/>
  <c r="O97" i="8" s="1"/>
  <c r="AM97" i="8" s="1"/>
  <c r="J97" i="8"/>
  <c r="AB97" i="8"/>
  <c r="K105" i="8"/>
  <c r="U124" i="8"/>
  <c r="K71" i="8"/>
  <c r="O71" i="8" s="1"/>
  <c r="AB71" i="8"/>
  <c r="Q79" i="8"/>
  <c r="K98" i="8"/>
  <c r="O98" i="8" s="1"/>
  <c r="AB113" i="8"/>
  <c r="R122" i="8"/>
  <c r="K122" i="8"/>
  <c r="U122" i="8"/>
  <c r="T122" i="8"/>
  <c r="U107" i="8"/>
  <c r="R107" i="8"/>
  <c r="T107" i="8"/>
  <c r="AB126" i="8"/>
  <c r="K86" i="8"/>
  <c r="O86" i="8" s="1"/>
  <c r="AM86" i="8" s="1"/>
  <c r="J86" i="8"/>
  <c r="P124" i="8"/>
  <c r="K108" i="8"/>
  <c r="AB108" i="8"/>
  <c r="AN82" i="8"/>
  <c r="K95" i="8"/>
  <c r="O95" i="8" s="1"/>
  <c r="AB95" i="8"/>
  <c r="AB98" i="8"/>
  <c r="AB122" i="8"/>
  <c r="K78" i="8"/>
  <c r="O78" i="8" s="1"/>
  <c r="AM78" i="8" s="1"/>
  <c r="J78" i="8"/>
  <c r="T124" i="8"/>
  <c r="R124" i="8"/>
  <c r="K124" i="8"/>
  <c r="T66" i="8"/>
  <c r="Q66" i="8" s="1"/>
  <c r="AB66" i="8"/>
  <c r="K66" i="8"/>
  <c r="O66" i="8" s="1"/>
  <c r="Q72" i="8"/>
  <c r="K91" i="8"/>
  <c r="U91" i="8"/>
  <c r="T91" i="8"/>
  <c r="R91" i="8"/>
  <c r="P91" i="8"/>
  <c r="AC95" i="8"/>
  <c r="Z95" i="8"/>
  <c r="J109" i="8"/>
  <c r="AC68" i="8"/>
  <c r="Z83" i="8"/>
  <c r="AB94" i="8"/>
  <c r="K94" i="8"/>
  <c r="O94" i="8" s="1"/>
  <c r="AB110" i="8"/>
  <c r="J110" i="8"/>
  <c r="K110" i="8"/>
  <c r="R125" i="8"/>
  <c r="AB125" i="8"/>
  <c r="P125" i="8"/>
  <c r="K125" i="8"/>
  <c r="AB75" i="8"/>
  <c r="K75" i="8"/>
  <c r="O75" i="8" s="1"/>
  <c r="AB81" i="8"/>
  <c r="K81" i="8"/>
  <c r="O81" i="8" s="1"/>
  <c r="AC83" i="8"/>
  <c r="K123" i="8"/>
  <c r="R123" i="8"/>
  <c r="J77" i="8"/>
  <c r="J92" i="8"/>
  <c r="J103" i="8"/>
  <c r="O118" i="8"/>
  <c r="U120" i="8"/>
  <c r="T120" i="8"/>
  <c r="N120" i="8"/>
  <c r="Z68" i="8"/>
  <c r="K77" i="8"/>
  <c r="O77" i="8" s="1"/>
  <c r="K103" i="8"/>
  <c r="P107" i="8"/>
  <c r="J108" i="8"/>
  <c r="P123" i="8"/>
  <c r="J123" i="8"/>
  <c r="U100" i="8"/>
  <c r="AB649" i="3" l="1"/>
  <c r="AC649" i="3" s="1"/>
  <c r="F17" i="2"/>
  <c r="AB650" i="3"/>
  <c r="AC650" i="3" s="1"/>
  <c r="AK9" i="8"/>
  <c r="AP9" i="8" s="1"/>
  <c r="AB673" i="3"/>
  <c r="AC673" i="3" s="1"/>
  <c r="AB674" i="3"/>
  <c r="AC674" i="3" s="1"/>
  <c r="AB685" i="3"/>
  <c r="AC685" i="3" s="1"/>
  <c r="H77" i="2"/>
  <c r="O17" i="2"/>
  <c r="D77" i="2"/>
  <c r="E77" i="2" s="1"/>
  <c r="AM101" i="8"/>
  <c r="Z113" i="8"/>
  <c r="AM71" i="8"/>
  <c r="AN72" i="8"/>
  <c r="O120" i="8"/>
  <c r="V120" i="8" s="1"/>
  <c r="Q120" i="8" s="1"/>
  <c r="AN120" i="8" s="1"/>
  <c r="AC126" i="8"/>
  <c r="AO106" i="8"/>
  <c r="AK106" i="8"/>
  <c r="AP106" i="8" s="1"/>
  <c r="AM106" i="8"/>
  <c r="AN70" i="8"/>
  <c r="AN79" i="8"/>
  <c r="AN69" i="8"/>
  <c r="X94" i="8"/>
  <c r="AO94" i="8" s="1"/>
  <c r="AM75" i="8"/>
  <c r="Q111" i="8"/>
  <c r="AN111" i="8" s="1"/>
  <c r="AC107" i="8"/>
  <c r="X85" i="8"/>
  <c r="AO85" i="8" s="1"/>
  <c r="AO79" i="8"/>
  <c r="AO111" i="8"/>
  <c r="X75" i="8"/>
  <c r="AO75" i="8" s="1"/>
  <c r="Z124" i="8"/>
  <c r="X124" i="8" s="1"/>
  <c r="O109" i="8"/>
  <c r="Q109" i="8" s="1"/>
  <c r="AN109" i="8" s="1"/>
  <c r="AK79" i="8"/>
  <c r="AP79" i="8" s="1"/>
  <c r="AC74" i="8"/>
  <c r="X74" i="8" s="1"/>
  <c r="AO74" i="8" s="1"/>
  <c r="Q74" i="8"/>
  <c r="AN74" i="8" s="1"/>
  <c r="O87" i="8"/>
  <c r="AN87" i="8" s="1"/>
  <c r="AC125" i="8"/>
  <c r="X125" i="8" s="1"/>
  <c r="AC91" i="8"/>
  <c r="X91" i="8" s="1"/>
  <c r="X101" i="8"/>
  <c r="AO101" i="8" s="1"/>
  <c r="O83" i="8"/>
  <c r="AM83" i="8" s="1"/>
  <c r="AM92" i="8"/>
  <c r="O104" i="8"/>
  <c r="Q71" i="8"/>
  <c r="AN71" i="8" s="1"/>
  <c r="AN77" i="8"/>
  <c r="Z80" i="8"/>
  <c r="X80" i="8" s="1"/>
  <c r="AK80" i="8" s="1"/>
  <c r="AP80" i="8" s="1"/>
  <c r="AC122" i="8"/>
  <c r="X122" i="8" s="1"/>
  <c r="Z104" i="8"/>
  <c r="X104" i="8" s="1"/>
  <c r="Q100" i="8"/>
  <c r="AN100" i="8" s="1"/>
  <c r="AO118" i="8"/>
  <c r="AN85" i="8"/>
  <c r="AM85" i="8"/>
  <c r="AM68" i="8"/>
  <c r="AN90" i="8"/>
  <c r="AC120" i="8"/>
  <c r="X120" i="8" s="1"/>
  <c r="AM100" i="8"/>
  <c r="Q83" i="8"/>
  <c r="AM80" i="8"/>
  <c r="AO99" i="8"/>
  <c r="Q99" i="8"/>
  <c r="AN99" i="8" s="1"/>
  <c r="Q68" i="8"/>
  <c r="AN68" i="8" s="1"/>
  <c r="AN78" i="8"/>
  <c r="AC100" i="8"/>
  <c r="Z100" i="8"/>
  <c r="X66" i="8"/>
  <c r="AO66" i="8" s="1"/>
  <c r="Q93" i="8"/>
  <c r="AN93" i="8" s="1"/>
  <c r="AM93" i="8"/>
  <c r="AC119" i="8"/>
  <c r="X119" i="8" s="1"/>
  <c r="AO119" i="8" s="1"/>
  <c r="AM10" i="8"/>
  <c r="AC90" i="8"/>
  <c r="Z90" i="8"/>
  <c r="X90" i="8" s="1"/>
  <c r="AO90" i="8" s="1"/>
  <c r="X107" i="8"/>
  <c r="X95" i="8"/>
  <c r="AO95" i="8" s="1"/>
  <c r="Q108" i="8"/>
  <c r="AM90" i="8"/>
  <c r="Z72" i="8"/>
  <c r="AC72" i="8"/>
  <c r="AC73" i="8"/>
  <c r="Z73" i="8"/>
  <c r="X69" i="8"/>
  <c r="AO69" i="8" s="1"/>
  <c r="Q81" i="8"/>
  <c r="AN81" i="8" s="1"/>
  <c r="AC87" i="8"/>
  <c r="Z87" i="8"/>
  <c r="O102" i="8"/>
  <c r="V102" i="8"/>
  <c r="Z102" i="8"/>
  <c r="AC102" i="8"/>
  <c r="AC82" i="8"/>
  <c r="Z82" i="8"/>
  <c r="AO10" i="8"/>
  <c r="V119" i="8"/>
  <c r="Q119" i="8" s="1"/>
  <c r="AN119" i="8" s="1"/>
  <c r="AM119" i="8"/>
  <c r="M126" i="8"/>
  <c r="O126" i="8" s="1"/>
  <c r="Z92" i="8"/>
  <c r="AC92" i="8"/>
  <c r="AC105" i="8"/>
  <c r="Z105" i="8"/>
  <c r="X105" i="8" s="1"/>
  <c r="AC86" i="8"/>
  <c r="Z86" i="8"/>
  <c r="X86" i="8" s="1"/>
  <c r="AO86" i="8" s="1"/>
  <c r="Z110" i="8"/>
  <c r="AC110" i="8"/>
  <c r="Q95" i="8"/>
  <c r="AN95" i="8" s="1"/>
  <c r="X98" i="8"/>
  <c r="AO98" i="8" s="1"/>
  <c r="V89" i="8"/>
  <c r="Q89" i="8" s="1"/>
  <c r="AN89" i="8" s="1"/>
  <c r="AN76" i="8"/>
  <c r="AC123" i="8"/>
  <c r="Z123" i="8"/>
  <c r="M125" i="8"/>
  <c r="O125" i="8" s="1"/>
  <c r="X113" i="8"/>
  <c r="AO113" i="8" s="1"/>
  <c r="AC88" i="8"/>
  <c r="Z88" i="8"/>
  <c r="AC114" i="8"/>
  <c r="Z114" i="8"/>
  <c r="Z103" i="8"/>
  <c r="AC103" i="8"/>
  <c r="Z76" i="8"/>
  <c r="AC76" i="8"/>
  <c r="O110" i="8"/>
  <c r="V110" i="8"/>
  <c r="X67" i="8"/>
  <c r="AO67" i="8" s="1"/>
  <c r="V107" i="8"/>
  <c r="Q107" i="8" s="1"/>
  <c r="Z96" i="8"/>
  <c r="AC96" i="8"/>
  <c r="Q113" i="8"/>
  <c r="AN113" i="8" s="1"/>
  <c r="AM113" i="8"/>
  <c r="AN66" i="8"/>
  <c r="V86" i="8"/>
  <c r="AN86" i="8"/>
  <c r="AC97" i="8"/>
  <c r="Z97" i="8"/>
  <c r="AC84" i="8"/>
  <c r="Z84" i="8"/>
  <c r="Z89" i="8"/>
  <c r="AC89" i="8"/>
  <c r="AN73" i="8"/>
  <c r="V91" i="8"/>
  <c r="Q91" i="8" s="1"/>
  <c r="V84" i="8"/>
  <c r="Q84" i="8" s="1"/>
  <c r="AN84" i="8" s="1"/>
  <c r="AM76" i="8"/>
  <c r="M107" i="8"/>
  <c r="O107" i="8" s="1"/>
  <c r="AM118" i="8"/>
  <c r="AN118" i="8"/>
  <c r="AK118" i="8"/>
  <c r="AP118" i="8" s="1"/>
  <c r="AN80" i="8"/>
  <c r="AM73" i="8"/>
  <c r="AM84" i="8"/>
  <c r="V114" i="8"/>
  <c r="O114" i="8"/>
  <c r="AM77" i="8"/>
  <c r="AC70" i="8"/>
  <c r="Z70" i="8"/>
  <c r="X126" i="8"/>
  <c r="X68" i="8"/>
  <c r="AO68" i="8" s="1"/>
  <c r="M108" i="8"/>
  <c r="O108" i="8" s="1"/>
  <c r="V67" i="8"/>
  <c r="Q67" i="8" s="1"/>
  <c r="AM67" i="8"/>
  <c r="AC108" i="8"/>
  <c r="Z108" i="8"/>
  <c r="X108" i="8" s="1"/>
  <c r="Z77" i="8"/>
  <c r="AC77" i="8"/>
  <c r="M124" i="8"/>
  <c r="O124" i="8" s="1"/>
  <c r="AM81" i="8"/>
  <c r="Q98" i="8"/>
  <c r="AN98" i="8" s="1"/>
  <c r="AM98" i="8"/>
  <c r="O105" i="8"/>
  <c r="V105" i="8"/>
  <c r="AM66" i="8"/>
  <c r="AC109" i="8"/>
  <c r="Z109" i="8"/>
  <c r="X71" i="8"/>
  <c r="AO71" i="8" s="1"/>
  <c r="Q97" i="8"/>
  <c r="AN97" i="8" s="1"/>
  <c r="Q96" i="8"/>
  <c r="AN96" i="8" s="1"/>
  <c r="AM96" i="8"/>
  <c r="AM95" i="8"/>
  <c r="AN75" i="8"/>
  <c r="Z78" i="8"/>
  <c r="AC78" i="8"/>
  <c r="AM120" i="8"/>
  <c r="X93" i="8"/>
  <c r="X81" i="8"/>
  <c r="AO81" i="8" s="1"/>
  <c r="V88" i="8"/>
  <c r="Q88" i="8" s="1"/>
  <c r="O88" i="8"/>
  <c r="Q94" i="8"/>
  <c r="AN94" i="8" s="1"/>
  <c r="AM94" i="8"/>
  <c r="AM89" i="8"/>
  <c r="AM74" i="8"/>
  <c r="V103" i="8"/>
  <c r="O103" i="8"/>
  <c r="M123" i="8"/>
  <c r="O123" i="8" s="1"/>
  <c r="AM123" i="8" s="1"/>
  <c r="X83" i="8"/>
  <c r="M91" i="8"/>
  <c r="O91" i="8" s="1"/>
  <c r="M122" i="8"/>
  <c r="O122" i="8" s="1"/>
  <c r="AN10" i="8"/>
  <c r="AO120" i="8" l="1"/>
  <c r="AK85" i="8"/>
  <c r="AP85" i="8" s="1"/>
  <c r="AK111" i="8"/>
  <c r="AP111" i="8" s="1"/>
  <c r="AK75" i="8"/>
  <c r="AP75" i="8" s="1"/>
  <c r="X82" i="8"/>
  <c r="AK82" i="8" s="1"/>
  <c r="AP82" i="8" s="1"/>
  <c r="AO80" i="8"/>
  <c r="AK101" i="8"/>
  <c r="AP101" i="8" s="1"/>
  <c r="AO104" i="8"/>
  <c r="AM87" i="8"/>
  <c r="AM109" i="8"/>
  <c r="AN83" i="8"/>
  <c r="X114" i="8"/>
  <c r="AO114" i="8" s="1"/>
  <c r="X100" i="8"/>
  <c r="AO100" i="8" s="1"/>
  <c r="X84" i="8"/>
  <c r="AO84" i="8" s="1"/>
  <c r="X88" i="8"/>
  <c r="AO88" i="8" s="1"/>
  <c r="Q104" i="8"/>
  <c r="AM104" i="8"/>
  <c r="X70" i="8"/>
  <c r="AO70" i="8" s="1"/>
  <c r="AN91" i="8"/>
  <c r="AK90" i="8"/>
  <c r="AP90" i="8" s="1"/>
  <c r="AO91" i="8"/>
  <c r="AK66" i="8"/>
  <c r="AP66" i="8" s="1"/>
  <c r="AK99" i="8"/>
  <c r="AP99" i="8" s="1"/>
  <c r="AK71" i="8"/>
  <c r="AP71" i="8" s="1"/>
  <c r="X72" i="8"/>
  <c r="AO105" i="8"/>
  <c r="X97" i="8"/>
  <c r="AO97" i="8" s="1"/>
  <c r="AK119" i="8"/>
  <c r="AP119" i="8" s="1"/>
  <c r="AK95" i="8"/>
  <c r="AP95" i="8" s="1"/>
  <c r="AK81" i="8"/>
  <c r="AP81" i="8" s="1"/>
  <c r="AK98" i="8"/>
  <c r="AP98" i="8" s="1"/>
  <c r="X110" i="8"/>
  <c r="AO110" i="8" s="1"/>
  <c r="AK74" i="8"/>
  <c r="AP74" i="8" s="1"/>
  <c r="X102" i="8"/>
  <c r="AO102" i="8" s="1"/>
  <c r="AK113" i="8"/>
  <c r="AP113" i="8" s="1"/>
  <c r="X73" i="8"/>
  <c r="AM102" i="8"/>
  <c r="Q102" i="8"/>
  <c r="AN102" i="8" s="1"/>
  <c r="AK69" i="8"/>
  <c r="AP69" i="8" s="1"/>
  <c r="X123" i="8"/>
  <c r="AO123" i="8" s="1"/>
  <c r="X87" i="8"/>
  <c r="AK107" i="8"/>
  <c r="AP107" i="8" s="1"/>
  <c r="AM107" i="8"/>
  <c r="AO107" i="8"/>
  <c r="AN67" i="8"/>
  <c r="AK67" i="8"/>
  <c r="AP67" i="8" s="1"/>
  <c r="V125" i="8"/>
  <c r="Q125" i="8" s="1"/>
  <c r="AN125" i="8" s="1"/>
  <c r="AM125" i="8"/>
  <c r="AO125" i="8"/>
  <c r="AK108" i="8"/>
  <c r="AP108" i="8" s="1"/>
  <c r="AM108" i="8"/>
  <c r="AN108" i="8"/>
  <c r="V122" i="8"/>
  <c r="Q122" i="8" s="1"/>
  <c r="AN122" i="8" s="1"/>
  <c r="AM122" i="8"/>
  <c r="V124" i="8"/>
  <c r="Q124" i="8" s="1"/>
  <c r="AN124" i="8" s="1"/>
  <c r="AO124" i="8"/>
  <c r="AM124" i="8"/>
  <c r="AK94" i="8"/>
  <c r="AP94" i="8" s="1"/>
  <c r="X77" i="8"/>
  <c r="AO108" i="8"/>
  <c r="X89" i="8"/>
  <c r="AO89" i="8" s="1"/>
  <c r="V123" i="8"/>
  <c r="Q123" i="8" s="1"/>
  <c r="AN123" i="8" s="1"/>
  <c r="V126" i="8"/>
  <c r="Q126" i="8" s="1"/>
  <c r="AN126" i="8" s="1"/>
  <c r="AN107" i="8"/>
  <c r="Q105" i="8"/>
  <c r="AN105" i="8" s="1"/>
  <c r="AM105" i="8"/>
  <c r="AO93" i="8"/>
  <c r="AK93" i="8"/>
  <c r="AP93" i="8" s="1"/>
  <c r="AM110" i="8"/>
  <c r="Q110" i="8"/>
  <c r="AN110" i="8" s="1"/>
  <c r="AO83" i="8"/>
  <c r="AK83" i="8"/>
  <c r="AP83" i="8" s="1"/>
  <c r="X76" i="8"/>
  <c r="X78" i="8"/>
  <c r="X103" i="8"/>
  <c r="AO103" i="8" s="1"/>
  <c r="AM88" i="8"/>
  <c r="Q114" i="8"/>
  <c r="AN114" i="8" s="1"/>
  <c r="AM114" i="8"/>
  <c r="X96" i="8"/>
  <c r="AO126" i="8"/>
  <c r="AK10" i="8"/>
  <c r="AP10" i="8" s="1"/>
  <c r="X109" i="8"/>
  <c r="AK86" i="8"/>
  <c r="AP86" i="8" s="1"/>
  <c r="X92" i="8"/>
  <c r="Q103" i="8"/>
  <c r="AN103" i="8" s="1"/>
  <c r="AM103" i="8"/>
  <c r="AK68" i="8"/>
  <c r="AP68" i="8" s="1"/>
  <c r="AM126" i="8"/>
  <c r="AN88" i="8"/>
  <c r="AK91" i="8"/>
  <c r="AP91" i="8" s="1"/>
  <c r="AO122" i="8"/>
  <c r="AK120" i="8"/>
  <c r="AP120" i="8" s="1"/>
  <c r="AM91" i="8"/>
  <c r="AO82" i="8" l="1"/>
  <c r="AK84" i="8"/>
  <c r="AP84" i="8" s="1"/>
  <c r="AK88" i="8"/>
  <c r="AP88" i="8" s="1"/>
  <c r="AK100" i="8"/>
  <c r="AP100" i="8" s="1"/>
  <c r="AK103" i="8"/>
  <c r="AP103" i="8" s="1"/>
  <c r="AN104" i="8"/>
  <c r="AK104" i="8"/>
  <c r="AP104" i="8" s="1"/>
  <c r="AK97" i="8"/>
  <c r="AP97" i="8" s="1"/>
  <c r="AK105" i="8"/>
  <c r="AP105" i="8" s="1"/>
  <c r="AK70" i="8"/>
  <c r="AP70" i="8" s="1"/>
  <c r="AO72" i="8"/>
  <c r="AK72" i="8"/>
  <c r="AP72" i="8" s="1"/>
  <c r="AK114" i="8"/>
  <c r="AP114" i="8" s="1"/>
  <c r="AO87" i="8"/>
  <c r="AK87" i="8"/>
  <c r="AP87" i="8" s="1"/>
  <c r="AK102" i="8"/>
  <c r="AP102" i="8" s="1"/>
  <c r="AK73" i="8"/>
  <c r="AP73" i="8" s="1"/>
  <c r="AO73" i="8"/>
  <c r="AK122" i="8"/>
  <c r="AP122" i="8" s="1"/>
  <c r="AK123" i="8"/>
  <c r="AP123" i="8" s="1"/>
  <c r="AK124" i="8"/>
  <c r="AP124" i="8" s="1"/>
  <c r="AK125" i="8"/>
  <c r="AP125" i="8" s="1"/>
  <c r="AO78" i="8"/>
  <c r="AK78" i="8"/>
  <c r="AP78" i="8" s="1"/>
  <c r="AK110" i="8"/>
  <c r="AP110" i="8" s="1"/>
  <c r="AO77" i="8"/>
  <c r="AK77" i="8"/>
  <c r="AP77" i="8" s="1"/>
  <c r="AO109" i="8"/>
  <c r="AK109" i="8"/>
  <c r="AP109" i="8" s="1"/>
  <c r="AO96" i="8"/>
  <c r="AK96" i="8"/>
  <c r="AP96" i="8" s="1"/>
  <c r="AO92" i="8"/>
  <c r="AK92" i="8"/>
  <c r="AP92" i="8" s="1"/>
  <c r="AO76" i="8"/>
  <c r="AK76" i="8"/>
  <c r="AP76" i="8" s="1"/>
  <c r="AK126" i="8"/>
  <c r="AP126" i="8" s="1"/>
  <c r="AK89" i="8"/>
  <c r="AP89" i="8" s="1"/>
  <c r="W593" i="3" l="1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W592" i="3"/>
  <c r="Z592" i="3" s="1"/>
  <c r="V592" i="3"/>
  <c r="W591" i="3"/>
  <c r="W590" i="3"/>
  <c r="W589" i="3"/>
  <c r="W588" i="3"/>
  <c r="W587" i="3"/>
  <c r="W586" i="3"/>
  <c r="W585" i="3"/>
  <c r="W584" i="3"/>
  <c r="W583" i="3"/>
  <c r="W582" i="3"/>
  <c r="W581" i="3"/>
  <c r="W580" i="3"/>
  <c r="W579" i="3"/>
  <c r="W578" i="3"/>
  <c r="W577" i="3"/>
  <c r="W576" i="3"/>
  <c r="W575" i="3"/>
  <c r="W574" i="3"/>
  <c r="W573" i="3"/>
  <c r="W572" i="3"/>
  <c r="W571" i="3"/>
  <c r="W570" i="3"/>
  <c r="W569" i="3"/>
  <c r="W568" i="3"/>
  <c r="W567" i="3"/>
  <c r="W566" i="3"/>
  <c r="W565" i="3"/>
  <c r="W564" i="3"/>
  <c r="W563" i="3"/>
  <c r="W562" i="3"/>
  <c r="W561" i="3"/>
  <c r="W560" i="3"/>
  <c r="W559" i="3"/>
  <c r="W558" i="3"/>
  <c r="W557" i="3"/>
  <c r="W556" i="3"/>
  <c r="W555" i="3"/>
  <c r="W554" i="3"/>
  <c r="W553" i="3"/>
  <c r="W552" i="3"/>
  <c r="W551" i="3"/>
  <c r="W550" i="3"/>
  <c r="W549" i="3"/>
  <c r="W548" i="3"/>
  <c r="W547" i="3"/>
  <c r="W546" i="3"/>
  <c r="W545" i="3"/>
  <c r="W544" i="3"/>
  <c r="W543" i="3"/>
  <c r="W542" i="3"/>
  <c r="W541" i="3"/>
  <c r="W540" i="3"/>
  <c r="W539" i="3"/>
  <c r="W538" i="3"/>
  <c r="W537" i="3"/>
  <c r="W536" i="3"/>
  <c r="W535" i="3"/>
  <c r="W534" i="3"/>
  <c r="W533" i="3"/>
  <c r="W532" i="3"/>
  <c r="W531" i="3"/>
  <c r="W530" i="3"/>
  <c r="W529" i="3"/>
  <c r="W528" i="3"/>
  <c r="W527" i="3"/>
  <c r="W526" i="3"/>
  <c r="W525" i="3"/>
  <c r="W524" i="3"/>
  <c r="W523" i="3"/>
  <c r="W522" i="3"/>
  <c r="W521" i="3"/>
  <c r="W520" i="3"/>
  <c r="W519" i="3"/>
  <c r="W518" i="3"/>
  <c r="W517" i="3"/>
  <c r="W516" i="3"/>
  <c r="W515" i="3"/>
  <c r="W514" i="3"/>
  <c r="W513" i="3"/>
  <c r="W512" i="3"/>
  <c r="W511" i="3"/>
  <c r="W510" i="3"/>
  <c r="W509" i="3"/>
  <c r="W508" i="3"/>
  <c r="W507" i="3"/>
  <c r="W506" i="3"/>
  <c r="W505" i="3"/>
  <c r="W504" i="3"/>
  <c r="W503" i="3"/>
  <c r="W502" i="3"/>
  <c r="W501" i="3"/>
  <c r="W500" i="3"/>
  <c r="W499" i="3"/>
  <c r="W498" i="3"/>
  <c r="W497" i="3"/>
  <c r="W496" i="3"/>
  <c r="W495" i="3"/>
  <c r="W494" i="3"/>
  <c r="W493" i="3"/>
  <c r="W492" i="3"/>
  <c r="W491" i="3"/>
  <c r="W490" i="3"/>
  <c r="W489" i="3"/>
  <c r="W488" i="3"/>
  <c r="W487" i="3"/>
  <c r="W486" i="3"/>
  <c r="W485" i="3"/>
  <c r="W484" i="3"/>
  <c r="W483" i="3"/>
  <c r="W482" i="3"/>
  <c r="W481" i="3"/>
  <c r="W480" i="3"/>
  <c r="W479" i="3"/>
  <c r="W478" i="3"/>
  <c r="W477" i="3"/>
  <c r="W476" i="3"/>
  <c r="W475" i="3"/>
  <c r="W474" i="3"/>
  <c r="W473" i="3"/>
  <c r="W472" i="3"/>
  <c r="W471" i="3"/>
  <c r="W470" i="3"/>
  <c r="W469" i="3"/>
  <c r="W468" i="3"/>
  <c r="W467" i="3"/>
  <c r="W466" i="3"/>
  <c r="W465" i="3"/>
  <c r="W464" i="3"/>
  <c r="W463" i="3"/>
  <c r="W462" i="3"/>
  <c r="W461" i="3"/>
  <c r="W460" i="3"/>
  <c r="W459" i="3"/>
  <c r="W458" i="3"/>
  <c r="W457" i="3"/>
  <c r="W456" i="3"/>
  <c r="W455" i="3"/>
  <c r="W454" i="3"/>
  <c r="W453" i="3"/>
  <c r="W452" i="3"/>
  <c r="W451" i="3"/>
  <c r="W450" i="3"/>
  <c r="W449" i="3"/>
  <c r="W448" i="3"/>
  <c r="W447" i="3"/>
  <c r="W446" i="3"/>
  <c r="W445" i="3"/>
  <c r="W444" i="3"/>
  <c r="W443" i="3"/>
  <c r="W442" i="3"/>
  <c r="W441" i="3"/>
  <c r="W440" i="3"/>
  <c r="W439" i="3"/>
  <c r="W438" i="3"/>
  <c r="W437" i="3"/>
  <c r="W436" i="3"/>
  <c r="W435" i="3"/>
  <c r="W434" i="3"/>
  <c r="W433" i="3"/>
  <c r="W432" i="3"/>
  <c r="W431" i="3"/>
  <c r="W430" i="3"/>
  <c r="W429" i="3"/>
  <c r="W428" i="3"/>
  <c r="W427" i="3"/>
  <c r="W426" i="3"/>
  <c r="W425" i="3"/>
  <c r="W424" i="3"/>
  <c r="W423" i="3"/>
  <c r="W422" i="3"/>
  <c r="W421" i="3"/>
  <c r="W420" i="3"/>
  <c r="W419" i="3"/>
  <c r="W418" i="3"/>
  <c r="W417" i="3"/>
  <c r="W416" i="3"/>
  <c r="W415" i="3"/>
  <c r="W414" i="3"/>
  <c r="W413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6" i="3"/>
  <c r="V411" i="3"/>
  <c r="V410" i="3"/>
  <c r="W412" i="3"/>
  <c r="L15" i="2" s="1"/>
  <c r="W411" i="3"/>
  <c r="W410" i="3"/>
  <c r="V285" i="3"/>
  <c r="V286" i="3"/>
  <c r="V287" i="3"/>
  <c r="V288" i="3"/>
  <c r="V289" i="3"/>
  <c r="V290" i="3"/>
  <c r="V291" i="3"/>
  <c r="V292" i="3"/>
  <c r="U293" i="3"/>
  <c r="V293" i="3" s="1"/>
  <c r="U294" i="3"/>
  <c r="V294" i="3" s="1"/>
  <c r="U295" i="3"/>
  <c r="V295" i="3" s="1"/>
  <c r="U296" i="3"/>
  <c r="V296" i="3" s="1"/>
  <c r="U297" i="3"/>
  <c r="V297" i="3" s="1"/>
  <c r="U298" i="3"/>
  <c r="V298" i="3" s="1"/>
  <c r="U299" i="3"/>
  <c r="V299" i="3" s="1"/>
  <c r="U300" i="3"/>
  <c r="V300" i="3" s="1"/>
  <c r="U301" i="3"/>
  <c r="V301" i="3" s="1"/>
  <c r="U302" i="3"/>
  <c r="V302" i="3" s="1"/>
  <c r="U303" i="3"/>
  <c r="V303" i="3" s="1"/>
  <c r="U304" i="3"/>
  <c r="V304" i="3" s="1"/>
  <c r="U305" i="3"/>
  <c r="V305" i="3" s="1"/>
  <c r="U306" i="3"/>
  <c r="V306" i="3" s="1"/>
  <c r="U307" i="3"/>
  <c r="V307" i="3" s="1"/>
  <c r="U308" i="3"/>
  <c r="V308" i="3" s="1"/>
  <c r="U309" i="3"/>
  <c r="V309" i="3" s="1"/>
  <c r="U310" i="3"/>
  <c r="V310" i="3" s="1"/>
  <c r="U311" i="3"/>
  <c r="V311" i="3" s="1"/>
  <c r="U312" i="3"/>
  <c r="V312" i="3" s="1"/>
  <c r="U313" i="3"/>
  <c r="V313" i="3" s="1"/>
  <c r="U314" i="3"/>
  <c r="V314" i="3" s="1"/>
  <c r="U315" i="3"/>
  <c r="V315" i="3" s="1"/>
  <c r="U316" i="3"/>
  <c r="V316" i="3" s="1"/>
  <c r="U317" i="3"/>
  <c r="V317" i="3" s="1"/>
  <c r="U318" i="3"/>
  <c r="V318" i="3" s="1"/>
  <c r="U319" i="3"/>
  <c r="V319" i="3" s="1"/>
  <c r="U320" i="3"/>
  <c r="V320" i="3" s="1"/>
  <c r="U321" i="3"/>
  <c r="V321" i="3" s="1"/>
  <c r="U322" i="3"/>
  <c r="V322" i="3" s="1"/>
  <c r="U323" i="3"/>
  <c r="V323" i="3" s="1"/>
  <c r="U324" i="3"/>
  <c r="V324" i="3" s="1"/>
  <c r="U325" i="3"/>
  <c r="V325" i="3" s="1"/>
  <c r="U326" i="3"/>
  <c r="V326" i="3" s="1"/>
  <c r="U327" i="3"/>
  <c r="V327" i="3" s="1"/>
  <c r="U328" i="3"/>
  <c r="V328" i="3" s="1"/>
  <c r="U329" i="3"/>
  <c r="V329" i="3" s="1"/>
  <c r="U330" i="3"/>
  <c r="V330" i="3" s="1"/>
  <c r="U331" i="3"/>
  <c r="V331" i="3" s="1"/>
  <c r="U332" i="3"/>
  <c r="V332" i="3" s="1"/>
  <c r="U333" i="3"/>
  <c r="V333" i="3" s="1"/>
  <c r="U334" i="3"/>
  <c r="V334" i="3" s="1"/>
  <c r="U335" i="3"/>
  <c r="V335" i="3" s="1"/>
  <c r="U336" i="3"/>
  <c r="V336" i="3" s="1"/>
  <c r="U337" i="3"/>
  <c r="V337" i="3" s="1"/>
  <c r="U338" i="3"/>
  <c r="V338" i="3" s="1"/>
  <c r="U339" i="3"/>
  <c r="V339" i="3" s="1"/>
  <c r="U340" i="3"/>
  <c r="V340" i="3" s="1"/>
  <c r="U341" i="3"/>
  <c r="V341" i="3" s="1"/>
  <c r="U342" i="3"/>
  <c r="V342" i="3" s="1"/>
  <c r="U343" i="3"/>
  <c r="V343" i="3" s="1"/>
  <c r="U344" i="3"/>
  <c r="V344" i="3" s="1"/>
  <c r="U345" i="3"/>
  <c r="V345" i="3" s="1"/>
  <c r="U346" i="3"/>
  <c r="V346" i="3" s="1"/>
  <c r="U347" i="3"/>
  <c r="V347" i="3" s="1"/>
  <c r="U348" i="3"/>
  <c r="V348" i="3" s="1"/>
  <c r="U349" i="3"/>
  <c r="V349" i="3" s="1"/>
  <c r="U350" i="3"/>
  <c r="V350" i="3" s="1"/>
  <c r="U351" i="3"/>
  <c r="V351" i="3" s="1"/>
  <c r="U352" i="3"/>
  <c r="V352" i="3" s="1"/>
  <c r="U353" i="3"/>
  <c r="V353" i="3" s="1"/>
  <c r="U354" i="3"/>
  <c r="V354" i="3" s="1"/>
  <c r="U355" i="3"/>
  <c r="V355" i="3" s="1"/>
  <c r="U356" i="3"/>
  <c r="V356" i="3" s="1"/>
  <c r="U357" i="3"/>
  <c r="V357" i="3" s="1"/>
  <c r="U358" i="3"/>
  <c r="V358" i="3" s="1"/>
  <c r="U359" i="3"/>
  <c r="V359" i="3" s="1"/>
  <c r="U360" i="3"/>
  <c r="V360" i="3" s="1"/>
  <c r="U361" i="3"/>
  <c r="V361" i="3" s="1"/>
  <c r="U362" i="3"/>
  <c r="V362" i="3" s="1"/>
  <c r="U363" i="3"/>
  <c r="V363" i="3" s="1"/>
  <c r="U364" i="3"/>
  <c r="V364" i="3" s="1"/>
  <c r="U365" i="3"/>
  <c r="V365" i="3" s="1"/>
  <c r="U366" i="3"/>
  <c r="V366" i="3" s="1"/>
  <c r="U367" i="3"/>
  <c r="V367" i="3" s="1"/>
  <c r="U368" i="3"/>
  <c r="V368" i="3" s="1"/>
  <c r="U369" i="3"/>
  <c r="V369" i="3" s="1"/>
  <c r="U370" i="3"/>
  <c r="V370" i="3" s="1"/>
  <c r="U371" i="3"/>
  <c r="V371" i="3" s="1"/>
  <c r="U372" i="3"/>
  <c r="V372" i="3" s="1"/>
  <c r="U373" i="3"/>
  <c r="V373" i="3" s="1"/>
  <c r="U374" i="3"/>
  <c r="V374" i="3" s="1"/>
  <c r="U375" i="3"/>
  <c r="V375" i="3" s="1"/>
  <c r="U376" i="3"/>
  <c r="V376" i="3" s="1"/>
  <c r="U377" i="3"/>
  <c r="V377" i="3" s="1"/>
  <c r="U378" i="3"/>
  <c r="V378" i="3" s="1"/>
  <c r="U379" i="3"/>
  <c r="V379" i="3" s="1"/>
  <c r="U380" i="3"/>
  <c r="V380" i="3" s="1"/>
  <c r="U381" i="3"/>
  <c r="V381" i="3" s="1"/>
  <c r="U382" i="3"/>
  <c r="V382" i="3" s="1"/>
  <c r="U383" i="3"/>
  <c r="V383" i="3" s="1"/>
  <c r="U384" i="3"/>
  <c r="V384" i="3" s="1"/>
  <c r="U385" i="3"/>
  <c r="V385" i="3" s="1"/>
  <c r="U386" i="3"/>
  <c r="V386" i="3" s="1"/>
  <c r="U387" i="3"/>
  <c r="V387" i="3" s="1"/>
  <c r="U388" i="3"/>
  <c r="V388" i="3" s="1"/>
  <c r="U389" i="3"/>
  <c r="V389" i="3" s="1"/>
  <c r="U390" i="3"/>
  <c r="V390" i="3" s="1"/>
  <c r="U391" i="3"/>
  <c r="V391" i="3" s="1"/>
  <c r="U392" i="3"/>
  <c r="V392" i="3" s="1"/>
  <c r="U393" i="3"/>
  <c r="V393" i="3" s="1"/>
  <c r="U394" i="3"/>
  <c r="V394" i="3" s="1"/>
  <c r="U395" i="3"/>
  <c r="V395" i="3" s="1"/>
  <c r="U396" i="3"/>
  <c r="V396" i="3" s="1"/>
  <c r="U397" i="3"/>
  <c r="V397" i="3" s="1"/>
  <c r="U398" i="3"/>
  <c r="V398" i="3" s="1"/>
  <c r="U399" i="3"/>
  <c r="V399" i="3" s="1"/>
  <c r="U400" i="3"/>
  <c r="V400" i="3" s="1"/>
  <c r="U401" i="3"/>
  <c r="V401" i="3" s="1"/>
  <c r="U402" i="3"/>
  <c r="V402" i="3" s="1"/>
  <c r="U403" i="3"/>
  <c r="V403" i="3" s="1"/>
  <c r="U404" i="3"/>
  <c r="V404" i="3" s="1"/>
  <c r="U405" i="3"/>
  <c r="V405" i="3" s="1"/>
  <c r="U406" i="3"/>
  <c r="V406" i="3" s="1"/>
  <c r="U407" i="3"/>
  <c r="V407" i="3" s="1"/>
  <c r="U408" i="3"/>
  <c r="V408" i="3" s="1"/>
  <c r="U409" i="3"/>
  <c r="V409" i="3" s="1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X6" i="3"/>
  <c r="X5" i="3"/>
  <c r="W5" i="3"/>
  <c r="V11" i="3"/>
  <c r="AA276" i="3"/>
  <c r="AA277" i="3"/>
  <c r="AA278" i="3"/>
  <c r="AA279" i="3"/>
  <c r="AA282" i="3"/>
  <c r="Z276" i="3"/>
  <c r="Z277" i="3"/>
  <c r="Z278" i="3"/>
  <c r="Z279" i="3"/>
  <c r="Z280" i="3"/>
  <c r="AB280" i="3" s="1"/>
  <c r="AC280" i="3" s="1"/>
  <c r="Z282" i="3"/>
  <c r="AB282" i="3" l="1"/>
  <c r="AC282" i="3" s="1"/>
  <c r="AB279" i="3"/>
  <c r="AC279" i="3" s="1"/>
  <c r="AB278" i="3"/>
  <c r="AC278" i="3" s="1"/>
  <c r="AB277" i="3"/>
  <c r="AC277" i="3" s="1"/>
  <c r="AB276" i="3"/>
  <c r="AC276" i="3" s="1"/>
  <c r="N15" i="2"/>
  <c r="AA410" i="3"/>
  <c r="Z410" i="3"/>
  <c r="AB410" i="3"/>
  <c r="AC410" i="3" s="1"/>
  <c r="AA5" i="3"/>
  <c r="Z5" i="3"/>
  <c r="AB5" i="3" s="1"/>
  <c r="AC5" i="3" s="1"/>
  <c r="J10" i="4"/>
  <c r="J9" i="4"/>
  <c r="I6" i="4" s="1"/>
  <c r="J6" i="4" s="1"/>
  <c r="J12" i="2"/>
  <c r="M11" i="2"/>
  <c r="D74" i="2"/>
  <c r="E74" i="2" s="1"/>
  <c r="K11" i="2"/>
  <c r="J16" i="2"/>
  <c r="F16" i="2" s="1"/>
  <c r="I16" i="2"/>
  <c r="M15" i="2"/>
  <c r="I15" i="2"/>
  <c r="F72" i="2"/>
  <c r="I12" i="2"/>
  <c r="J15" i="2"/>
  <c r="F15" i="2" s="1"/>
  <c r="AA637" i="3"/>
  <c r="Z637" i="3"/>
  <c r="AB637" i="3" s="1"/>
  <c r="AC637" i="3" s="1"/>
  <c r="AA636" i="3"/>
  <c r="Z636" i="3"/>
  <c r="AB636" i="3" s="1"/>
  <c r="AC636" i="3" s="1"/>
  <c r="AA635" i="3"/>
  <c r="Z635" i="3"/>
  <c r="AA634" i="3"/>
  <c r="Z634" i="3"/>
  <c r="AB634" i="3" s="1"/>
  <c r="AC634" i="3" s="1"/>
  <c r="AA633" i="3"/>
  <c r="Z633" i="3"/>
  <c r="AB633" i="3" s="1"/>
  <c r="AC633" i="3" s="1"/>
  <c r="AA632" i="3"/>
  <c r="Z632" i="3"/>
  <c r="AB632" i="3" s="1"/>
  <c r="AC632" i="3" s="1"/>
  <c r="AA631" i="3"/>
  <c r="Z631" i="3"/>
  <c r="AB631" i="3" s="1"/>
  <c r="AC631" i="3" s="1"/>
  <c r="AA630" i="3"/>
  <c r="Z630" i="3"/>
  <c r="AB630" i="3" s="1"/>
  <c r="AC630" i="3" s="1"/>
  <c r="AA629" i="3"/>
  <c r="Z629" i="3"/>
  <c r="AB629" i="3" s="1"/>
  <c r="AC629" i="3" s="1"/>
  <c r="AA628" i="3"/>
  <c r="Z628" i="3"/>
  <c r="AA627" i="3"/>
  <c r="Z627" i="3"/>
  <c r="AB627" i="3" s="1"/>
  <c r="AC627" i="3" s="1"/>
  <c r="AA626" i="3"/>
  <c r="Z626" i="3"/>
  <c r="AB626" i="3" s="1"/>
  <c r="AC626" i="3" s="1"/>
  <c r="AA625" i="3"/>
  <c r="Z625" i="3"/>
  <c r="AB625" i="3" s="1"/>
  <c r="AC625" i="3" s="1"/>
  <c r="AA624" i="3"/>
  <c r="Z624" i="3"/>
  <c r="AB624" i="3" s="1"/>
  <c r="AC624" i="3" s="1"/>
  <c r="AA623" i="3"/>
  <c r="Z623" i="3"/>
  <c r="AB623" i="3" s="1"/>
  <c r="AC623" i="3" s="1"/>
  <c r="AA622" i="3"/>
  <c r="Z622" i="3"/>
  <c r="AB622" i="3" s="1"/>
  <c r="AC622" i="3" s="1"/>
  <c r="AA621" i="3"/>
  <c r="Z621" i="3"/>
  <c r="AA620" i="3"/>
  <c r="Z620" i="3"/>
  <c r="AB620" i="3" s="1"/>
  <c r="AC620" i="3" s="1"/>
  <c r="AA619" i="3"/>
  <c r="Z619" i="3"/>
  <c r="AB619" i="3" s="1"/>
  <c r="AC619" i="3" s="1"/>
  <c r="AA618" i="3"/>
  <c r="Z618" i="3"/>
  <c r="AB618" i="3" s="1"/>
  <c r="AC618" i="3" s="1"/>
  <c r="AA617" i="3"/>
  <c r="Z617" i="3"/>
  <c r="AB617" i="3" s="1"/>
  <c r="AC617" i="3" s="1"/>
  <c r="AA616" i="3"/>
  <c r="Z616" i="3"/>
  <c r="AB616" i="3" s="1"/>
  <c r="AC616" i="3" s="1"/>
  <c r="AA615" i="3"/>
  <c r="Z615" i="3"/>
  <c r="AB615" i="3" s="1"/>
  <c r="AC615" i="3" s="1"/>
  <c r="AA614" i="3"/>
  <c r="Z614" i="3"/>
  <c r="AA613" i="3"/>
  <c r="Z613" i="3"/>
  <c r="AB613" i="3" s="1"/>
  <c r="AC613" i="3" s="1"/>
  <c r="AA612" i="3"/>
  <c r="Z612" i="3"/>
  <c r="AB612" i="3" s="1"/>
  <c r="AC612" i="3" s="1"/>
  <c r="AA611" i="3"/>
  <c r="Z611" i="3"/>
  <c r="AB611" i="3" s="1"/>
  <c r="AC611" i="3" s="1"/>
  <c r="AA610" i="3"/>
  <c r="Z610" i="3"/>
  <c r="AB610" i="3" s="1"/>
  <c r="AC610" i="3" s="1"/>
  <c r="AA609" i="3"/>
  <c r="Z609" i="3"/>
  <c r="AB609" i="3" s="1"/>
  <c r="AC609" i="3" s="1"/>
  <c r="AA608" i="3"/>
  <c r="Z608" i="3"/>
  <c r="AB608" i="3" s="1"/>
  <c r="AC608" i="3" s="1"/>
  <c r="AA607" i="3"/>
  <c r="Z607" i="3"/>
  <c r="AA606" i="3"/>
  <c r="Z606" i="3"/>
  <c r="AB606" i="3" s="1"/>
  <c r="AC606" i="3" s="1"/>
  <c r="AA605" i="3"/>
  <c r="Z605" i="3"/>
  <c r="AB605" i="3" s="1"/>
  <c r="AC605" i="3" s="1"/>
  <c r="AA604" i="3"/>
  <c r="Z604" i="3"/>
  <c r="AB604" i="3" s="1"/>
  <c r="AC604" i="3" s="1"/>
  <c r="AA603" i="3"/>
  <c r="Z603" i="3"/>
  <c r="AB603" i="3" s="1"/>
  <c r="AC603" i="3" s="1"/>
  <c r="AA602" i="3"/>
  <c r="Z602" i="3"/>
  <c r="AB602" i="3" s="1"/>
  <c r="AC602" i="3" s="1"/>
  <c r="AA601" i="3"/>
  <c r="Z601" i="3"/>
  <c r="AB601" i="3" s="1"/>
  <c r="AC601" i="3" s="1"/>
  <c r="AA600" i="3"/>
  <c r="Z600" i="3"/>
  <c r="AA599" i="3"/>
  <c r="Z599" i="3"/>
  <c r="AB599" i="3" s="1"/>
  <c r="AC599" i="3" s="1"/>
  <c r="AA598" i="3"/>
  <c r="Z598" i="3"/>
  <c r="AB598" i="3" s="1"/>
  <c r="AC598" i="3" s="1"/>
  <c r="AA597" i="3"/>
  <c r="Z597" i="3"/>
  <c r="AB597" i="3" s="1"/>
  <c r="AC597" i="3" s="1"/>
  <c r="AA596" i="3"/>
  <c r="Z596" i="3"/>
  <c r="AB596" i="3" s="1"/>
  <c r="AC596" i="3" s="1"/>
  <c r="AA595" i="3"/>
  <c r="Z595" i="3"/>
  <c r="AB595" i="3" s="1"/>
  <c r="AC595" i="3" s="1"/>
  <c r="AA594" i="3"/>
  <c r="Z594" i="3"/>
  <c r="AB594" i="3" s="1"/>
  <c r="AC594" i="3" s="1"/>
  <c r="AA593" i="3"/>
  <c r="Z593" i="3"/>
  <c r="J77" i="2"/>
  <c r="K77" i="2" s="1"/>
  <c r="AA592" i="3"/>
  <c r="AB592" i="3" s="1"/>
  <c r="AC592" i="3" s="1"/>
  <c r="AA413" i="3"/>
  <c r="Z413" i="3"/>
  <c r="AB413" i="3" s="1"/>
  <c r="AC413" i="3" s="1"/>
  <c r="AA414" i="3"/>
  <c r="Z414" i="3"/>
  <c r="AB414" i="3" s="1"/>
  <c r="AC414" i="3" s="1"/>
  <c r="AA415" i="3"/>
  <c r="Z415" i="3"/>
  <c r="AB415" i="3" s="1"/>
  <c r="AC415" i="3" s="1"/>
  <c r="AA416" i="3"/>
  <c r="Z416" i="3"/>
  <c r="AB416" i="3" s="1"/>
  <c r="AC416" i="3" s="1"/>
  <c r="AA417" i="3"/>
  <c r="Z417" i="3"/>
  <c r="AB417" i="3" s="1"/>
  <c r="AC417" i="3" s="1"/>
  <c r="AA418" i="3"/>
  <c r="Z418" i="3"/>
  <c r="AA419" i="3"/>
  <c r="Z419" i="3"/>
  <c r="AB419" i="3" s="1"/>
  <c r="AC419" i="3" s="1"/>
  <c r="AA420" i="3"/>
  <c r="Z420" i="3"/>
  <c r="AB420" i="3" s="1"/>
  <c r="AC420" i="3" s="1"/>
  <c r="AA421" i="3"/>
  <c r="Z421" i="3"/>
  <c r="AB421" i="3" s="1"/>
  <c r="AC421" i="3" s="1"/>
  <c r="AA422" i="3"/>
  <c r="Z422" i="3"/>
  <c r="AB422" i="3" s="1"/>
  <c r="AC422" i="3" s="1"/>
  <c r="AA423" i="3"/>
  <c r="Z423" i="3"/>
  <c r="AB423" i="3" s="1"/>
  <c r="AC423" i="3" s="1"/>
  <c r="AA424" i="3"/>
  <c r="Z424" i="3"/>
  <c r="AB424" i="3" s="1"/>
  <c r="AC424" i="3" s="1"/>
  <c r="AA425" i="3"/>
  <c r="Z425" i="3"/>
  <c r="AA426" i="3"/>
  <c r="Z426" i="3"/>
  <c r="AB426" i="3" s="1"/>
  <c r="AC426" i="3" s="1"/>
  <c r="AA427" i="3"/>
  <c r="Z427" i="3"/>
  <c r="AB427" i="3" s="1"/>
  <c r="AC427" i="3" s="1"/>
  <c r="AA428" i="3"/>
  <c r="Z428" i="3"/>
  <c r="AB428" i="3" s="1"/>
  <c r="AC428" i="3" s="1"/>
  <c r="AA429" i="3"/>
  <c r="Z429" i="3"/>
  <c r="AB429" i="3" s="1"/>
  <c r="AC429" i="3" s="1"/>
  <c r="AA430" i="3"/>
  <c r="Z430" i="3"/>
  <c r="AB430" i="3" s="1"/>
  <c r="AC430" i="3" s="1"/>
  <c r="AA431" i="3"/>
  <c r="Z431" i="3"/>
  <c r="AB431" i="3" s="1"/>
  <c r="AC431" i="3" s="1"/>
  <c r="AA432" i="3"/>
  <c r="Z432" i="3"/>
  <c r="AA433" i="3"/>
  <c r="Z433" i="3"/>
  <c r="AB433" i="3" s="1"/>
  <c r="AC433" i="3" s="1"/>
  <c r="AA434" i="3"/>
  <c r="Z434" i="3"/>
  <c r="AB434" i="3" s="1"/>
  <c r="AC434" i="3" s="1"/>
  <c r="AA435" i="3"/>
  <c r="Z435" i="3"/>
  <c r="AB435" i="3" s="1"/>
  <c r="AC435" i="3" s="1"/>
  <c r="AA436" i="3"/>
  <c r="Z436" i="3"/>
  <c r="AB436" i="3" s="1"/>
  <c r="AC436" i="3" s="1"/>
  <c r="AA437" i="3"/>
  <c r="Z437" i="3"/>
  <c r="AB437" i="3" s="1"/>
  <c r="AC437" i="3" s="1"/>
  <c r="AA438" i="3"/>
  <c r="Z438" i="3"/>
  <c r="AB438" i="3" s="1"/>
  <c r="AC438" i="3" s="1"/>
  <c r="AA439" i="3"/>
  <c r="Z439" i="3"/>
  <c r="AA440" i="3"/>
  <c r="Z440" i="3"/>
  <c r="AB440" i="3" s="1"/>
  <c r="AC440" i="3" s="1"/>
  <c r="AA441" i="3"/>
  <c r="Z441" i="3"/>
  <c r="AB441" i="3" s="1"/>
  <c r="AC441" i="3" s="1"/>
  <c r="AA442" i="3"/>
  <c r="Z442" i="3"/>
  <c r="AB442" i="3" s="1"/>
  <c r="AC442" i="3" s="1"/>
  <c r="AA443" i="3"/>
  <c r="Z443" i="3"/>
  <c r="AB443" i="3" s="1"/>
  <c r="AC443" i="3" s="1"/>
  <c r="AA444" i="3"/>
  <c r="Z444" i="3"/>
  <c r="AB444" i="3" s="1"/>
  <c r="AC444" i="3" s="1"/>
  <c r="AA445" i="3"/>
  <c r="Z445" i="3"/>
  <c r="AB445" i="3" s="1"/>
  <c r="AC445" i="3" s="1"/>
  <c r="AA446" i="3"/>
  <c r="Z446" i="3"/>
  <c r="AA447" i="3"/>
  <c r="Z447" i="3"/>
  <c r="AB447" i="3" s="1"/>
  <c r="AC447" i="3" s="1"/>
  <c r="AA448" i="3"/>
  <c r="Z448" i="3"/>
  <c r="AB448" i="3" s="1"/>
  <c r="AC448" i="3" s="1"/>
  <c r="AA449" i="3"/>
  <c r="Z449" i="3"/>
  <c r="AB449" i="3" s="1"/>
  <c r="AC449" i="3" s="1"/>
  <c r="AA450" i="3"/>
  <c r="Z450" i="3"/>
  <c r="AB450" i="3" s="1"/>
  <c r="AC450" i="3" s="1"/>
  <c r="AA451" i="3"/>
  <c r="Z451" i="3"/>
  <c r="AB451" i="3" s="1"/>
  <c r="AC451" i="3" s="1"/>
  <c r="AA452" i="3"/>
  <c r="Z452" i="3"/>
  <c r="AB452" i="3" s="1"/>
  <c r="AC452" i="3" s="1"/>
  <c r="AA453" i="3"/>
  <c r="Z453" i="3"/>
  <c r="AA454" i="3"/>
  <c r="Z454" i="3"/>
  <c r="AB454" i="3" s="1"/>
  <c r="AC454" i="3" s="1"/>
  <c r="AA455" i="3"/>
  <c r="Z455" i="3"/>
  <c r="AB455" i="3" s="1"/>
  <c r="AC455" i="3" s="1"/>
  <c r="AA456" i="3"/>
  <c r="Z456" i="3"/>
  <c r="AB456" i="3" s="1"/>
  <c r="AC456" i="3" s="1"/>
  <c r="AA457" i="3"/>
  <c r="Z457" i="3"/>
  <c r="AB457" i="3" s="1"/>
  <c r="AC457" i="3" s="1"/>
  <c r="AA458" i="3"/>
  <c r="Z458" i="3"/>
  <c r="AB458" i="3" s="1"/>
  <c r="AC458" i="3" s="1"/>
  <c r="AA459" i="3"/>
  <c r="Z459" i="3"/>
  <c r="AB459" i="3" s="1"/>
  <c r="AC459" i="3" s="1"/>
  <c r="AA460" i="3"/>
  <c r="Z460" i="3"/>
  <c r="AA461" i="3"/>
  <c r="Z461" i="3"/>
  <c r="AB461" i="3" s="1"/>
  <c r="AC461" i="3" s="1"/>
  <c r="AA462" i="3"/>
  <c r="Z462" i="3"/>
  <c r="AB462" i="3" s="1"/>
  <c r="AC462" i="3" s="1"/>
  <c r="AA463" i="3"/>
  <c r="Z463" i="3"/>
  <c r="AB463" i="3" s="1"/>
  <c r="AC463" i="3" s="1"/>
  <c r="AA464" i="3"/>
  <c r="Z464" i="3"/>
  <c r="AB464" i="3" s="1"/>
  <c r="AC464" i="3" s="1"/>
  <c r="AA465" i="3"/>
  <c r="Z465" i="3"/>
  <c r="AB465" i="3" s="1"/>
  <c r="AC465" i="3" s="1"/>
  <c r="AA466" i="3"/>
  <c r="Z466" i="3"/>
  <c r="AB466" i="3" s="1"/>
  <c r="AC466" i="3" s="1"/>
  <c r="AA467" i="3"/>
  <c r="Z467" i="3"/>
  <c r="AA468" i="3"/>
  <c r="Z468" i="3"/>
  <c r="AB468" i="3" s="1"/>
  <c r="AC468" i="3" s="1"/>
  <c r="AA469" i="3"/>
  <c r="Z469" i="3"/>
  <c r="AB469" i="3" s="1"/>
  <c r="AC469" i="3" s="1"/>
  <c r="AA470" i="3"/>
  <c r="Z470" i="3"/>
  <c r="AB470" i="3" s="1"/>
  <c r="AC470" i="3" s="1"/>
  <c r="AA471" i="3"/>
  <c r="Z471" i="3"/>
  <c r="AB471" i="3" s="1"/>
  <c r="AC471" i="3" s="1"/>
  <c r="AA472" i="3"/>
  <c r="Z472" i="3"/>
  <c r="AB472" i="3" s="1"/>
  <c r="AC472" i="3" s="1"/>
  <c r="AA473" i="3"/>
  <c r="Z473" i="3"/>
  <c r="AB473" i="3" s="1"/>
  <c r="AC473" i="3" s="1"/>
  <c r="AA474" i="3"/>
  <c r="Z474" i="3"/>
  <c r="AA475" i="3"/>
  <c r="Z475" i="3"/>
  <c r="AB475" i="3" s="1"/>
  <c r="AC475" i="3" s="1"/>
  <c r="AA476" i="3"/>
  <c r="Z476" i="3"/>
  <c r="AB476" i="3" s="1"/>
  <c r="AC476" i="3" s="1"/>
  <c r="AA477" i="3"/>
  <c r="Z477" i="3"/>
  <c r="AB477" i="3" s="1"/>
  <c r="AC477" i="3" s="1"/>
  <c r="AA478" i="3"/>
  <c r="Z478" i="3"/>
  <c r="AB478" i="3" s="1"/>
  <c r="AC478" i="3" s="1"/>
  <c r="AA479" i="3"/>
  <c r="Z479" i="3"/>
  <c r="AB479" i="3" s="1"/>
  <c r="AC479" i="3" s="1"/>
  <c r="AA480" i="3"/>
  <c r="Z480" i="3"/>
  <c r="AB480" i="3" s="1"/>
  <c r="AC480" i="3" s="1"/>
  <c r="AA481" i="3"/>
  <c r="Z481" i="3"/>
  <c r="AA482" i="3"/>
  <c r="Z482" i="3"/>
  <c r="AB482" i="3" s="1"/>
  <c r="AC482" i="3" s="1"/>
  <c r="AA483" i="3"/>
  <c r="Z483" i="3"/>
  <c r="AB483" i="3" s="1"/>
  <c r="AC483" i="3" s="1"/>
  <c r="AA484" i="3"/>
  <c r="Z484" i="3"/>
  <c r="AB484" i="3" s="1"/>
  <c r="AC484" i="3" s="1"/>
  <c r="AA485" i="3"/>
  <c r="Z485" i="3"/>
  <c r="AB485" i="3" s="1"/>
  <c r="AC485" i="3" s="1"/>
  <c r="AA486" i="3"/>
  <c r="Z486" i="3"/>
  <c r="AB486" i="3" s="1"/>
  <c r="AC486" i="3" s="1"/>
  <c r="AA487" i="3"/>
  <c r="Z487" i="3"/>
  <c r="AB487" i="3" s="1"/>
  <c r="AC487" i="3" s="1"/>
  <c r="AA488" i="3"/>
  <c r="Z488" i="3"/>
  <c r="AA489" i="3"/>
  <c r="Z489" i="3"/>
  <c r="AB489" i="3" s="1"/>
  <c r="AC489" i="3" s="1"/>
  <c r="AA490" i="3"/>
  <c r="Z490" i="3"/>
  <c r="AB490" i="3" s="1"/>
  <c r="AC490" i="3" s="1"/>
  <c r="AA491" i="3"/>
  <c r="Z491" i="3"/>
  <c r="AB491" i="3" s="1"/>
  <c r="AC491" i="3" s="1"/>
  <c r="AA492" i="3"/>
  <c r="Z492" i="3"/>
  <c r="AB492" i="3" s="1"/>
  <c r="AC492" i="3" s="1"/>
  <c r="AA493" i="3"/>
  <c r="Z493" i="3"/>
  <c r="AB493" i="3" s="1"/>
  <c r="AC493" i="3" s="1"/>
  <c r="AA494" i="3"/>
  <c r="Z494" i="3"/>
  <c r="AB494" i="3" s="1"/>
  <c r="AC494" i="3" s="1"/>
  <c r="AA495" i="3"/>
  <c r="Z495" i="3"/>
  <c r="AA496" i="3"/>
  <c r="Z496" i="3"/>
  <c r="AB496" i="3" s="1"/>
  <c r="AC496" i="3" s="1"/>
  <c r="AA497" i="3"/>
  <c r="Z497" i="3"/>
  <c r="AB497" i="3" s="1"/>
  <c r="AC497" i="3" s="1"/>
  <c r="AA498" i="3"/>
  <c r="Z498" i="3"/>
  <c r="AB498" i="3" s="1"/>
  <c r="AC498" i="3" s="1"/>
  <c r="AA499" i="3"/>
  <c r="Z499" i="3"/>
  <c r="AB499" i="3" s="1"/>
  <c r="AC499" i="3" s="1"/>
  <c r="AA500" i="3"/>
  <c r="Z500" i="3"/>
  <c r="AB500" i="3" s="1"/>
  <c r="AC500" i="3" s="1"/>
  <c r="AA501" i="3"/>
  <c r="Z501" i="3"/>
  <c r="AB501" i="3" s="1"/>
  <c r="AC501" i="3" s="1"/>
  <c r="AA502" i="3"/>
  <c r="Z502" i="3"/>
  <c r="AA503" i="3"/>
  <c r="Z503" i="3"/>
  <c r="AB503" i="3" s="1"/>
  <c r="AC503" i="3" s="1"/>
  <c r="AA504" i="3"/>
  <c r="Z504" i="3"/>
  <c r="AB504" i="3" s="1"/>
  <c r="AC504" i="3" s="1"/>
  <c r="AA505" i="3"/>
  <c r="Z505" i="3"/>
  <c r="AB505" i="3" s="1"/>
  <c r="AC505" i="3" s="1"/>
  <c r="AA506" i="3"/>
  <c r="Z506" i="3"/>
  <c r="AB506" i="3" s="1"/>
  <c r="AC506" i="3" s="1"/>
  <c r="AA507" i="3"/>
  <c r="Z507" i="3"/>
  <c r="AB507" i="3" s="1"/>
  <c r="AC507" i="3" s="1"/>
  <c r="AA508" i="3"/>
  <c r="Z508" i="3"/>
  <c r="AB508" i="3" s="1"/>
  <c r="AC508" i="3" s="1"/>
  <c r="AA509" i="3"/>
  <c r="Z509" i="3"/>
  <c r="AA510" i="3"/>
  <c r="Z510" i="3"/>
  <c r="AB510" i="3" s="1"/>
  <c r="AC510" i="3" s="1"/>
  <c r="AA511" i="3"/>
  <c r="Z511" i="3"/>
  <c r="AB511" i="3" s="1"/>
  <c r="AC511" i="3" s="1"/>
  <c r="AA512" i="3"/>
  <c r="Z512" i="3"/>
  <c r="AB512" i="3" s="1"/>
  <c r="AC512" i="3" s="1"/>
  <c r="AA513" i="3"/>
  <c r="Z513" i="3"/>
  <c r="AB513" i="3" s="1"/>
  <c r="AC513" i="3" s="1"/>
  <c r="AA514" i="3"/>
  <c r="Z514" i="3"/>
  <c r="AB514" i="3" s="1"/>
  <c r="AC514" i="3" s="1"/>
  <c r="AA515" i="3"/>
  <c r="Z515" i="3"/>
  <c r="AB515" i="3" s="1"/>
  <c r="AC515" i="3" s="1"/>
  <c r="AA516" i="3"/>
  <c r="Z516" i="3"/>
  <c r="AA517" i="3"/>
  <c r="Z517" i="3"/>
  <c r="AB517" i="3" s="1"/>
  <c r="AC517" i="3" s="1"/>
  <c r="AA518" i="3"/>
  <c r="Z518" i="3"/>
  <c r="AB518" i="3" s="1"/>
  <c r="AC518" i="3" s="1"/>
  <c r="AA519" i="3"/>
  <c r="Z519" i="3"/>
  <c r="AB519" i="3" s="1"/>
  <c r="AC519" i="3" s="1"/>
  <c r="AA520" i="3"/>
  <c r="Z520" i="3"/>
  <c r="AB520" i="3" s="1"/>
  <c r="AC520" i="3" s="1"/>
  <c r="AA521" i="3"/>
  <c r="Z521" i="3"/>
  <c r="AB521" i="3" s="1"/>
  <c r="AC521" i="3" s="1"/>
  <c r="AA522" i="3"/>
  <c r="Z522" i="3"/>
  <c r="AB522" i="3" s="1"/>
  <c r="AC522" i="3" s="1"/>
  <c r="AA523" i="3"/>
  <c r="Z523" i="3"/>
  <c r="AA524" i="3"/>
  <c r="Z524" i="3"/>
  <c r="AB524" i="3" s="1"/>
  <c r="AC524" i="3" s="1"/>
  <c r="AA525" i="3"/>
  <c r="Z525" i="3"/>
  <c r="AB525" i="3" s="1"/>
  <c r="AC525" i="3" s="1"/>
  <c r="AA526" i="3"/>
  <c r="Z526" i="3"/>
  <c r="AB526" i="3" s="1"/>
  <c r="AC526" i="3" s="1"/>
  <c r="AA527" i="3"/>
  <c r="Z527" i="3"/>
  <c r="AB527" i="3" s="1"/>
  <c r="AC527" i="3" s="1"/>
  <c r="AA528" i="3"/>
  <c r="Z528" i="3"/>
  <c r="AB528" i="3" s="1"/>
  <c r="AC528" i="3" s="1"/>
  <c r="AA529" i="3"/>
  <c r="Z529" i="3"/>
  <c r="AB529" i="3" s="1"/>
  <c r="AC529" i="3" s="1"/>
  <c r="AA530" i="3"/>
  <c r="Z530" i="3"/>
  <c r="AA531" i="3"/>
  <c r="Z531" i="3"/>
  <c r="AB531" i="3" s="1"/>
  <c r="AC531" i="3" s="1"/>
  <c r="AA532" i="3"/>
  <c r="Z532" i="3"/>
  <c r="AB532" i="3" s="1"/>
  <c r="AC532" i="3" s="1"/>
  <c r="AA533" i="3"/>
  <c r="Z533" i="3"/>
  <c r="AB533" i="3" s="1"/>
  <c r="AC533" i="3" s="1"/>
  <c r="AA534" i="3"/>
  <c r="Z534" i="3"/>
  <c r="AB534" i="3" s="1"/>
  <c r="AC534" i="3" s="1"/>
  <c r="AA535" i="3"/>
  <c r="Z535" i="3"/>
  <c r="AB535" i="3" s="1"/>
  <c r="AC535" i="3" s="1"/>
  <c r="AA536" i="3"/>
  <c r="Z536" i="3"/>
  <c r="AB536" i="3" s="1"/>
  <c r="AC536" i="3" s="1"/>
  <c r="AA537" i="3"/>
  <c r="Z537" i="3"/>
  <c r="AA538" i="3"/>
  <c r="Z538" i="3"/>
  <c r="AB538" i="3" s="1"/>
  <c r="AC538" i="3" s="1"/>
  <c r="AA539" i="3"/>
  <c r="Z539" i="3"/>
  <c r="AB539" i="3" s="1"/>
  <c r="AC539" i="3" s="1"/>
  <c r="AA540" i="3"/>
  <c r="Z540" i="3"/>
  <c r="AB540" i="3" s="1"/>
  <c r="AC540" i="3" s="1"/>
  <c r="AA541" i="3"/>
  <c r="Z541" i="3"/>
  <c r="AB541" i="3" s="1"/>
  <c r="AC541" i="3" s="1"/>
  <c r="AA542" i="3"/>
  <c r="Z542" i="3"/>
  <c r="AB542" i="3" s="1"/>
  <c r="AC542" i="3" s="1"/>
  <c r="AA543" i="3"/>
  <c r="Z543" i="3"/>
  <c r="AB543" i="3" s="1"/>
  <c r="AC543" i="3" s="1"/>
  <c r="AA544" i="3"/>
  <c r="Z544" i="3"/>
  <c r="AA545" i="3"/>
  <c r="Z545" i="3"/>
  <c r="AB545" i="3" s="1"/>
  <c r="AC545" i="3" s="1"/>
  <c r="AA546" i="3"/>
  <c r="Z546" i="3"/>
  <c r="AB546" i="3" s="1"/>
  <c r="AC546" i="3" s="1"/>
  <c r="AA547" i="3"/>
  <c r="Z547" i="3"/>
  <c r="AB547" i="3" s="1"/>
  <c r="AC547" i="3" s="1"/>
  <c r="AA548" i="3"/>
  <c r="Z548" i="3"/>
  <c r="AB548" i="3" s="1"/>
  <c r="AC548" i="3" s="1"/>
  <c r="AA549" i="3"/>
  <c r="Z549" i="3"/>
  <c r="AB549" i="3" s="1"/>
  <c r="AC549" i="3" s="1"/>
  <c r="AA550" i="3"/>
  <c r="Z550" i="3"/>
  <c r="AB550" i="3" s="1"/>
  <c r="AC550" i="3" s="1"/>
  <c r="AA551" i="3"/>
  <c r="Z551" i="3"/>
  <c r="AA552" i="3"/>
  <c r="Z552" i="3"/>
  <c r="AB552" i="3" s="1"/>
  <c r="AC552" i="3" s="1"/>
  <c r="AA553" i="3"/>
  <c r="Z553" i="3"/>
  <c r="AB553" i="3" s="1"/>
  <c r="AC553" i="3" s="1"/>
  <c r="AA554" i="3"/>
  <c r="Z554" i="3"/>
  <c r="AB554" i="3" s="1"/>
  <c r="AC554" i="3" s="1"/>
  <c r="AA555" i="3"/>
  <c r="Z555" i="3"/>
  <c r="AB555" i="3" s="1"/>
  <c r="AC555" i="3" s="1"/>
  <c r="AA556" i="3"/>
  <c r="Z556" i="3"/>
  <c r="AB556" i="3" s="1"/>
  <c r="AC556" i="3" s="1"/>
  <c r="AA557" i="3"/>
  <c r="Z557" i="3"/>
  <c r="AB557" i="3" s="1"/>
  <c r="AC557" i="3" s="1"/>
  <c r="AA558" i="3"/>
  <c r="Z558" i="3"/>
  <c r="AA559" i="3"/>
  <c r="Z559" i="3"/>
  <c r="AB559" i="3" s="1"/>
  <c r="AC559" i="3" s="1"/>
  <c r="AA560" i="3"/>
  <c r="Z560" i="3"/>
  <c r="AB560" i="3" s="1"/>
  <c r="AC560" i="3" s="1"/>
  <c r="AA561" i="3"/>
  <c r="Z561" i="3"/>
  <c r="AB561" i="3" s="1"/>
  <c r="AC561" i="3" s="1"/>
  <c r="AA562" i="3"/>
  <c r="Z562" i="3"/>
  <c r="AB562" i="3" s="1"/>
  <c r="AC562" i="3" s="1"/>
  <c r="AA563" i="3"/>
  <c r="Z563" i="3"/>
  <c r="AB563" i="3" s="1"/>
  <c r="AC563" i="3" s="1"/>
  <c r="AA564" i="3"/>
  <c r="Z564" i="3"/>
  <c r="AB564" i="3" s="1"/>
  <c r="AC564" i="3" s="1"/>
  <c r="AA565" i="3"/>
  <c r="Z565" i="3"/>
  <c r="AA566" i="3"/>
  <c r="Z566" i="3"/>
  <c r="AB566" i="3" s="1"/>
  <c r="AC566" i="3" s="1"/>
  <c r="AA567" i="3"/>
  <c r="Z567" i="3"/>
  <c r="AB567" i="3" s="1"/>
  <c r="AC567" i="3" s="1"/>
  <c r="AA568" i="3"/>
  <c r="Z568" i="3"/>
  <c r="AB568" i="3" s="1"/>
  <c r="AC568" i="3" s="1"/>
  <c r="AA569" i="3"/>
  <c r="Z569" i="3"/>
  <c r="AB569" i="3" s="1"/>
  <c r="AC569" i="3" s="1"/>
  <c r="AA570" i="3"/>
  <c r="Z570" i="3"/>
  <c r="AB570" i="3" s="1"/>
  <c r="AC570" i="3" s="1"/>
  <c r="AA571" i="3"/>
  <c r="Z571" i="3"/>
  <c r="AB571" i="3" s="1"/>
  <c r="AC571" i="3" s="1"/>
  <c r="AA572" i="3"/>
  <c r="Z572" i="3"/>
  <c r="AA573" i="3"/>
  <c r="Z573" i="3"/>
  <c r="AB573" i="3" s="1"/>
  <c r="AC573" i="3" s="1"/>
  <c r="AA574" i="3"/>
  <c r="Z574" i="3"/>
  <c r="AB574" i="3" s="1"/>
  <c r="AC574" i="3" s="1"/>
  <c r="AA575" i="3"/>
  <c r="Z575" i="3"/>
  <c r="AB575" i="3" s="1"/>
  <c r="AC575" i="3" s="1"/>
  <c r="AA576" i="3"/>
  <c r="Z576" i="3"/>
  <c r="AB576" i="3" s="1"/>
  <c r="AC576" i="3" s="1"/>
  <c r="AA577" i="3"/>
  <c r="Z577" i="3"/>
  <c r="AB577" i="3" s="1"/>
  <c r="AC577" i="3" s="1"/>
  <c r="AA578" i="3"/>
  <c r="Z578" i="3"/>
  <c r="AB578" i="3" s="1"/>
  <c r="AC578" i="3" s="1"/>
  <c r="AA579" i="3"/>
  <c r="Z579" i="3"/>
  <c r="AA580" i="3"/>
  <c r="Z580" i="3"/>
  <c r="AB580" i="3" s="1"/>
  <c r="AC580" i="3" s="1"/>
  <c r="AA581" i="3"/>
  <c r="Z581" i="3"/>
  <c r="AB581" i="3" s="1"/>
  <c r="AC581" i="3" s="1"/>
  <c r="AA582" i="3"/>
  <c r="Z582" i="3"/>
  <c r="AB582" i="3" s="1"/>
  <c r="AC582" i="3" s="1"/>
  <c r="AA583" i="3"/>
  <c r="Z583" i="3"/>
  <c r="AB583" i="3" s="1"/>
  <c r="AC583" i="3" s="1"/>
  <c r="AA584" i="3"/>
  <c r="Z584" i="3"/>
  <c r="AB584" i="3" s="1"/>
  <c r="AC584" i="3" s="1"/>
  <c r="AA585" i="3"/>
  <c r="Z585" i="3"/>
  <c r="AB585" i="3" s="1"/>
  <c r="AC585" i="3" s="1"/>
  <c r="AA586" i="3"/>
  <c r="Z586" i="3"/>
  <c r="AA587" i="3"/>
  <c r="Z587" i="3"/>
  <c r="AB587" i="3" s="1"/>
  <c r="AC587" i="3" s="1"/>
  <c r="AA588" i="3"/>
  <c r="Z588" i="3"/>
  <c r="AB588" i="3" s="1"/>
  <c r="AC588" i="3" s="1"/>
  <c r="AA589" i="3"/>
  <c r="Z589" i="3"/>
  <c r="AB589" i="3" s="1"/>
  <c r="AC589" i="3" s="1"/>
  <c r="AA590" i="3"/>
  <c r="Z590" i="3"/>
  <c r="AB590" i="3" s="1"/>
  <c r="AC590" i="3" s="1"/>
  <c r="AA591" i="3"/>
  <c r="Z591" i="3"/>
  <c r="AB591" i="3" s="1"/>
  <c r="AC591" i="3" s="1"/>
  <c r="Z411" i="3"/>
  <c r="AA411" i="3"/>
  <c r="AA412" i="3"/>
  <c r="Z412" i="3"/>
  <c r="AA409" i="3"/>
  <c r="Z409" i="3"/>
  <c r="AB409" i="3" s="1"/>
  <c r="AC409" i="3" s="1"/>
  <c r="Z408" i="3"/>
  <c r="AA408" i="3"/>
  <c r="Z407" i="3"/>
  <c r="AA407" i="3"/>
  <c r="Z406" i="3"/>
  <c r="AA406" i="3"/>
  <c r="Z405" i="3"/>
  <c r="AA405" i="3"/>
  <c r="Z404" i="3"/>
  <c r="AA404" i="3"/>
  <c r="Z403" i="3"/>
  <c r="AA403" i="3"/>
  <c r="Z402" i="3"/>
  <c r="AA402" i="3"/>
  <c r="Z401" i="3"/>
  <c r="AA401" i="3"/>
  <c r="Z400" i="3"/>
  <c r="AA400" i="3"/>
  <c r="Z399" i="3"/>
  <c r="AA399" i="3"/>
  <c r="Z398" i="3"/>
  <c r="AA398" i="3"/>
  <c r="Z397" i="3"/>
  <c r="AA397" i="3"/>
  <c r="Z396" i="3"/>
  <c r="AA396" i="3"/>
  <c r="Z395" i="3"/>
  <c r="AA395" i="3"/>
  <c r="Z394" i="3"/>
  <c r="AA394" i="3"/>
  <c r="Z393" i="3"/>
  <c r="AA393" i="3"/>
  <c r="Z392" i="3"/>
  <c r="AA392" i="3"/>
  <c r="Z391" i="3"/>
  <c r="AA391" i="3"/>
  <c r="Z390" i="3"/>
  <c r="AA390" i="3"/>
  <c r="Z389" i="3"/>
  <c r="AA389" i="3"/>
  <c r="Z388" i="3"/>
  <c r="AA388" i="3"/>
  <c r="Z387" i="3"/>
  <c r="AA387" i="3"/>
  <c r="Z386" i="3"/>
  <c r="AA386" i="3"/>
  <c r="Z385" i="3"/>
  <c r="AA385" i="3"/>
  <c r="Z384" i="3"/>
  <c r="AA384" i="3"/>
  <c r="Z383" i="3"/>
  <c r="AA383" i="3"/>
  <c r="Z382" i="3"/>
  <c r="AA382" i="3"/>
  <c r="Z381" i="3"/>
  <c r="AA381" i="3"/>
  <c r="Z380" i="3"/>
  <c r="AA380" i="3"/>
  <c r="Z379" i="3"/>
  <c r="AA379" i="3"/>
  <c r="Z378" i="3"/>
  <c r="AA378" i="3"/>
  <c r="Z377" i="3"/>
  <c r="AA377" i="3"/>
  <c r="Z376" i="3"/>
  <c r="AA376" i="3"/>
  <c r="AA375" i="3"/>
  <c r="Z375" i="3"/>
  <c r="Z374" i="3"/>
  <c r="AA374" i="3"/>
  <c r="Z373" i="3"/>
  <c r="AA373" i="3"/>
  <c r="Z372" i="3"/>
  <c r="AA372" i="3"/>
  <c r="Z371" i="3"/>
  <c r="AA371" i="3"/>
  <c r="AA370" i="3"/>
  <c r="Z370" i="3"/>
  <c r="AB370" i="3" s="1"/>
  <c r="AC370" i="3" s="1"/>
  <c r="Z369" i="3"/>
  <c r="AA369" i="3"/>
  <c r="Z368" i="3"/>
  <c r="AA368" i="3"/>
  <c r="Z367" i="3"/>
  <c r="AA367" i="3"/>
  <c r="Z366" i="3"/>
  <c r="AA366" i="3"/>
  <c r="Z365" i="3"/>
  <c r="AA365" i="3"/>
  <c r="Z364" i="3"/>
  <c r="AA364" i="3"/>
  <c r="Z363" i="3"/>
  <c r="AA363" i="3"/>
  <c r="Z362" i="3"/>
  <c r="AA362" i="3"/>
  <c r="Z361" i="3"/>
  <c r="AA361" i="3"/>
  <c r="Z360" i="3"/>
  <c r="AA360" i="3"/>
  <c r="Z359" i="3"/>
  <c r="AA359" i="3"/>
  <c r="Z358" i="3"/>
  <c r="AA358" i="3"/>
  <c r="Z357" i="3"/>
  <c r="AA357" i="3"/>
  <c r="Z356" i="3"/>
  <c r="AA356" i="3"/>
  <c r="Z355" i="3"/>
  <c r="AA355" i="3"/>
  <c r="Z354" i="3"/>
  <c r="AA354" i="3"/>
  <c r="Z353" i="3"/>
  <c r="AA353" i="3"/>
  <c r="Z352" i="3"/>
  <c r="AA352" i="3"/>
  <c r="Z351" i="3"/>
  <c r="AA351" i="3"/>
  <c r="Z350" i="3"/>
  <c r="AA350" i="3"/>
  <c r="Z349" i="3"/>
  <c r="AA349" i="3"/>
  <c r="Z348" i="3"/>
  <c r="AA348" i="3"/>
  <c r="Z347" i="3"/>
  <c r="AA347" i="3"/>
  <c r="Z346" i="3"/>
  <c r="AA346" i="3"/>
  <c r="Z345" i="3"/>
  <c r="AA345" i="3"/>
  <c r="Z344" i="3"/>
  <c r="AA344" i="3"/>
  <c r="Z343" i="3"/>
  <c r="AA343" i="3"/>
  <c r="Z342" i="3"/>
  <c r="AA342" i="3"/>
  <c r="Z341" i="3"/>
  <c r="AA341" i="3"/>
  <c r="Z340" i="3"/>
  <c r="AA340" i="3"/>
  <c r="Z339" i="3"/>
  <c r="AA339" i="3"/>
  <c r="Z338" i="3"/>
  <c r="AA338" i="3"/>
  <c r="Z337" i="3"/>
  <c r="AA337" i="3"/>
  <c r="Z336" i="3"/>
  <c r="AA336" i="3"/>
  <c r="Z335" i="3"/>
  <c r="AA335" i="3"/>
  <c r="Z334" i="3"/>
  <c r="AA334" i="3"/>
  <c r="Z333" i="3"/>
  <c r="AA333" i="3"/>
  <c r="Z332" i="3"/>
  <c r="AA332" i="3"/>
  <c r="Z331" i="3"/>
  <c r="AA331" i="3"/>
  <c r="Z330" i="3"/>
  <c r="AA330" i="3"/>
  <c r="Z329" i="3"/>
  <c r="AA329" i="3"/>
  <c r="Z328" i="3"/>
  <c r="AA328" i="3"/>
  <c r="Z327" i="3"/>
  <c r="AA327" i="3"/>
  <c r="Z326" i="3"/>
  <c r="AA326" i="3"/>
  <c r="Z325" i="3"/>
  <c r="AA325" i="3"/>
  <c r="Z324" i="3"/>
  <c r="AA324" i="3"/>
  <c r="Z323" i="3"/>
  <c r="AA323" i="3"/>
  <c r="Z322" i="3"/>
  <c r="AA322" i="3"/>
  <c r="Z321" i="3"/>
  <c r="AA321" i="3"/>
  <c r="Z320" i="3"/>
  <c r="AA320" i="3"/>
  <c r="Z319" i="3"/>
  <c r="AA319" i="3"/>
  <c r="Z318" i="3"/>
  <c r="AA318" i="3"/>
  <c r="Z317" i="3"/>
  <c r="AA317" i="3"/>
  <c r="Z316" i="3"/>
  <c r="AA316" i="3"/>
  <c r="Z315" i="3"/>
  <c r="AA315" i="3"/>
  <c r="Z314" i="3"/>
  <c r="AA314" i="3"/>
  <c r="Z313" i="3"/>
  <c r="AA313" i="3"/>
  <c r="Z312" i="3"/>
  <c r="AA312" i="3"/>
  <c r="Z311" i="3"/>
  <c r="AA311" i="3"/>
  <c r="Z310" i="3"/>
  <c r="AA310" i="3"/>
  <c r="Z309" i="3"/>
  <c r="AA309" i="3"/>
  <c r="Z308" i="3"/>
  <c r="AA308" i="3"/>
  <c r="Z307" i="3"/>
  <c r="AA307" i="3"/>
  <c r="Z306" i="3"/>
  <c r="AA306" i="3"/>
  <c r="Z305" i="3"/>
  <c r="AA305" i="3"/>
  <c r="Z304" i="3"/>
  <c r="AA304" i="3"/>
  <c r="Z303" i="3"/>
  <c r="AA303" i="3"/>
  <c r="Z302" i="3"/>
  <c r="AA302" i="3"/>
  <c r="Z301" i="3"/>
  <c r="AA301" i="3"/>
  <c r="Z300" i="3"/>
  <c r="AA300" i="3"/>
  <c r="Z299" i="3"/>
  <c r="AA299" i="3"/>
  <c r="Z298" i="3"/>
  <c r="AA298" i="3"/>
  <c r="Z297" i="3"/>
  <c r="AA297" i="3"/>
  <c r="Z296" i="3"/>
  <c r="AA296" i="3"/>
  <c r="Z295" i="3"/>
  <c r="AA295" i="3"/>
  <c r="Z294" i="3"/>
  <c r="AA294" i="3"/>
  <c r="Z293" i="3"/>
  <c r="AA293" i="3"/>
  <c r="Z292" i="3"/>
  <c r="AA292" i="3"/>
  <c r="Z291" i="3"/>
  <c r="AA291" i="3"/>
  <c r="Z290" i="3"/>
  <c r="AA290" i="3"/>
  <c r="Z289" i="3"/>
  <c r="AA289" i="3"/>
  <c r="Z288" i="3"/>
  <c r="AA288" i="3"/>
  <c r="Z287" i="3"/>
  <c r="AA287" i="3"/>
  <c r="Z286" i="3"/>
  <c r="AA286" i="3"/>
  <c r="Z285" i="3"/>
  <c r="AA285" i="3"/>
  <c r="P6" i="2"/>
  <c r="O6" i="2"/>
  <c r="O6" i="4"/>
  <c r="W284" i="3"/>
  <c r="Z284" i="3" s="1"/>
  <c r="W283" i="3"/>
  <c r="AA283" i="3" s="1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S275" i="3"/>
  <c r="U275" i="3" s="1"/>
  <c r="V275" i="3" s="1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AB375" i="3" l="1"/>
  <c r="AC375" i="3" s="1"/>
  <c r="AB412" i="3"/>
  <c r="AC412" i="3" s="1"/>
  <c r="AB586" i="3"/>
  <c r="AC586" i="3" s="1"/>
  <c r="AB579" i="3"/>
  <c r="AC579" i="3" s="1"/>
  <c r="AB572" i="3"/>
  <c r="AC572" i="3" s="1"/>
  <c r="AB565" i="3"/>
  <c r="AC565" i="3" s="1"/>
  <c r="AB558" i="3"/>
  <c r="AC558" i="3" s="1"/>
  <c r="AB551" i="3"/>
  <c r="AC551" i="3" s="1"/>
  <c r="AB544" i="3"/>
  <c r="AC544" i="3" s="1"/>
  <c r="AB537" i="3"/>
  <c r="AC537" i="3" s="1"/>
  <c r="AB530" i="3"/>
  <c r="AC530" i="3" s="1"/>
  <c r="AB523" i="3"/>
  <c r="AC523" i="3" s="1"/>
  <c r="AB516" i="3"/>
  <c r="AC516" i="3" s="1"/>
  <c r="AB509" i="3"/>
  <c r="AC509" i="3" s="1"/>
  <c r="AB502" i="3"/>
  <c r="AC502" i="3" s="1"/>
  <c r="AB495" i="3"/>
  <c r="AC495" i="3" s="1"/>
  <c r="AB488" i="3"/>
  <c r="AC488" i="3" s="1"/>
  <c r="AB481" i="3"/>
  <c r="AC481" i="3" s="1"/>
  <c r="AB474" i="3"/>
  <c r="AC474" i="3" s="1"/>
  <c r="AB467" i="3"/>
  <c r="AC467" i="3" s="1"/>
  <c r="AB460" i="3"/>
  <c r="AC460" i="3" s="1"/>
  <c r="AB453" i="3"/>
  <c r="AC453" i="3" s="1"/>
  <c r="AB446" i="3"/>
  <c r="AC446" i="3" s="1"/>
  <c r="AB439" i="3"/>
  <c r="AC439" i="3" s="1"/>
  <c r="AB432" i="3"/>
  <c r="AC432" i="3" s="1"/>
  <c r="AB425" i="3"/>
  <c r="AC425" i="3" s="1"/>
  <c r="AB418" i="3"/>
  <c r="AC418" i="3" s="1"/>
  <c r="AB593" i="3"/>
  <c r="AC593" i="3" s="1"/>
  <c r="AB600" i="3"/>
  <c r="AC600" i="3" s="1"/>
  <c r="AB607" i="3"/>
  <c r="AC607" i="3" s="1"/>
  <c r="AB614" i="3"/>
  <c r="AC614" i="3" s="1"/>
  <c r="AB621" i="3"/>
  <c r="AC621" i="3" s="1"/>
  <c r="AB628" i="3"/>
  <c r="AC628" i="3" s="1"/>
  <c r="AB635" i="3"/>
  <c r="AC635" i="3" s="1"/>
  <c r="F12" i="2"/>
  <c r="Z8" i="3"/>
  <c r="W2" i="3"/>
  <c r="AB285" i="3"/>
  <c r="AC285" i="3" s="1"/>
  <c r="AB286" i="3"/>
  <c r="AC286" i="3" s="1"/>
  <c r="AB287" i="3"/>
  <c r="AC287" i="3" s="1"/>
  <c r="AB288" i="3"/>
  <c r="AC288" i="3" s="1"/>
  <c r="AB289" i="3"/>
  <c r="AC289" i="3" s="1"/>
  <c r="AB290" i="3"/>
  <c r="AC290" i="3" s="1"/>
  <c r="AB291" i="3"/>
  <c r="AC291" i="3" s="1"/>
  <c r="AB292" i="3"/>
  <c r="AC292" i="3" s="1"/>
  <c r="AB293" i="3"/>
  <c r="AC293" i="3" s="1"/>
  <c r="AB294" i="3"/>
  <c r="AC294" i="3" s="1"/>
  <c r="AB295" i="3"/>
  <c r="AC295" i="3" s="1"/>
  <c r="AB296" i="3"/>
  <c r="AC296" i="3" s="1"/>
  <c r="AB297" i="3"/>
  <c r="AC297" i="3" s="1"/>
  <c r="AB298" i="3"/>
  <c r="AC298" i="3" s="1"/>
  <c r="AB299" i="3"/>
  <c r="AC299" i="3" s="1"/>
  <c r="AB300" i="3"/>
  <c r="AC300" i="3" s="1"/>
  <c r="AB301" i="3"/>
  <c r="AC301" i="3" s="1"/>
  <c r="AB302" i="3"/>
  <c r="AC302" i="3" s="1"/>
  <c r="AB303" i="3"/>
  <c r="AC303" i="3" s="1"/>
  <c r="AB304" i="3"/>
  <c r="AC304" i="3" s="1"/>
  <c r="AB305" i="3"/>
  <c r="AC305" i="3" s="1"/>
  <c r="AB306" i="3"/>
  <c r="AC306" i="3" s="1"/>
  <c r="AB307" i="3"/>
  <c r="AC307" i="3" s="1"/>
  <c r="AB308" i="3"/>
  <c r="AC308" i="3" s="1"/>
  <c r="AB309" i="3"/>
  <c r="AC309" i="3" s="1"/>
  <c r="AB310" i="3"/>
  <c r="AC310" i="3" s="1"/>
  <c r="AB311" i="3"/>
  <c r="AC311" i="3" s="1"/>
  <c r="AB312" i="3"/>
  <c r="AC312" i="3" s="1"/>
  <c r="AB313" i="3"/>
  <c r="AC313" i="3" s="1"/>
  <c r="AB314" i="3"/>
  <c r="AC314" i="3" s="1"/>
  <c r="AB315" i="3"/>
  <c r="AC315" i="3" s="1"/>
  <c r="AB316" i="3"/>
  <c r="AC316" i="3" s="1"/>
  <c r="AB317" i="3"/>
  <c r="AC317" i="3" s="1"/>
  <c r="AB318" i="3"/>
  <c r="AC318" i="3" s="1"/>
  <c r="AB319" i="3"/>
  <c r="AC319" i="3" s="1"/>
  <c r="AB320" i="3"/>
  <c r="AC320" i="3" s="1"/>
  <c r="AB321" i="3"/>
  <c r="AC321" i="3" s="1"/>
  <c r="AB322" i="3"/>
  <c r="AC322" i="3" s="1"/>
  <c r="AB323" i="3"/>
  <c r="AC323" i="3" s="1"/>
  <c r="AB324" i="3"/>
  <c r="AC324" i="3" s="1"/>
  <c r="AB325" i="3"/>
  <c r="AC325" i="3" s="1"/>
  <c r="AB326" i="3"/>
  <c r="AC326" i="3" s="1"/>
  <c r="AB327" i="3"/>
  <c r="AC327" i="3" s="1"/>
  <c r="AB328" i="3"/>
  <c r="AC328" i="3" s="1"/>
  <c r="AB329" i="3"/>
  <c r="AC329" i="3" s="1"/>
  <c r="AB330" i="3"/>
  <c r="AC330" i="3" s="1"/>
  <c r="AB331" i="3"/>
  <c r="AC331" i="3" s="1"/>
  <c r="AB332" i="3"/>
  <c r="AC332" i="3" s="1"/>
  <c r="AB333" i="3"/>
  <c r="AC333" i="3" s="1"/>
  <c r="AB334" i="3"/>
  <c r="AC334" i="3" s="1"/>
  <c r="AB335" i="3"/>
  <c r="AC335" i="3" s="1"/>
  <c r="AB336" i="3"/>
  <c r="AC336" i="3" s="1"/>
  <c r="AB337" i="3"/>
  <c r="AC337" i="3" s="1"/>
  <c r="AB338" i="3"/>
  <c r="AC338" i="3" s="1"/>
  <c r="AB339" i="3"/>
  <c r="AC339" i="3" s="1"/>
  <c r="AB340" i="3"/>
  <c r="AC340" i="3" s="1"/>
  <c r="AB341" i="3"/>
  <c r="AC341" i="3" s="1"/>
  <c r="AB342" i="3"/>
  <c r="AC342" i="3" s="1"/>
  <c r="AB343" i="3"/>
  <c r="AC343" i="3" s="1"/>
  <c r="AB344" i="3"/>
  <c r="AC344" i="3" s="1"/>
  <c r="AB345" i="3"/>
  <c r="AC345" i="3" s="1"/>
  <c r="AB346" i="3"/>
  <c r="AC346" i="3" s="1"/>
  <c r="AB347" i="3"/>
  <c r="AC347" i="3" s="1"/>
  <c r="AB348" i="3"/>
  <c r="AC348" i="3" s="1"/>
  <c r="AB349" i="3"/>
  <c r="AC349" i="3" s="1"/>
  <c r="AB350" i="3"/>
  <c r="AC350" i="3" s="1"/>
  <c r="AB351" i="3"/>
  <c r="AC351" i="3" s="1"/>
  <c r="AB352" i="3"/>
  <c r="AC352" i="3" s="1"/>
  <c r="AB353" i="3"/>
  <c r="AC353" i="3" s="1"/>
  <c r="AB354" i="3"/>
  <c r="AC354" i="3" s="1"/>
  <c r="AB355" i="3"/>
  <c r="AC355" i="3" s="1"/>
  <c r="AB356" i="3"/>
  <c r="AC356" i="3" s="1"/>
  <c r="AB357" i="3"/>
  <c r="AC357" i="3" s="1"/>
  <c r="AB358" i="3"/>
  <c r="AC358" i="3" s="1"/>
  <c r="AB359" i="3"/>
  <c r="AC359" i="3" s="1"/>
  <c r="AB360" i="3"/>
  <c r="AC360" i="3" s="1"/>
  <c r="AB361" i="3"/>
  <c r="AC361" i="3" s="1"/>
  <c r="AB362" i="3"/>
  <c r="AC362" i="3" s="1"/>
  <c r="AB363" i="3"/>
  <c r="AC363" i="3" s="1"/>
  <c r="AB364" i="3"/>
  <c r="AC364" i="3" s="1"/>
  <c r="AB365" i="3"/>
  <c r="AC365" i="3" s="1"/>
  <c r="AB366" i="3"/>
  <c r="AC366" i="3" s="1"/>
  <c r="AB367" i="3"/>
  <c r="AC367" i="3" s="1"/>
  <c r="AB368" i="3"/>
  <c r="AC368" i="3" s="1"/>
  <c r="AB369" i="3"/>
  <c r="AC369" i="3" s="1"/>
  <c r="AB371" i="3"/>
  <c r="AC371" i="3" s="1"/>
  <c r="AB372" i="3"/>
  <c r="AC372" i="3" s="1"/>
  <c r="AB373" i="3"/>
  <c r="AC373" i="3" s="1"/>
  <c r="AB374" i="3"/>
  <c r="AC374" i="3" s="1"/>
  <c r="AB376" i="3"/>
  <c r="AC376" i="3" s="1"/>
  <c r="AB377" i="3"/>
  <c r="AC377" i="3" s="1"/>
  <c r="AB378" i="3"/>
  <c r="AC378" i="3" s="1"/>
  <c r="AB379" i="3"/>
  <c r="AC379" i="3" s="1"/>
  <c r="AB380" i="3"/>
  <c r="AC380" i="3" s="1"/>
  <c r="AB381" i="3"/>
  <c r="AC381" i="3" s="1"/>
  <c r="AB382" i="3"/>
  <c r="AC382" i="3" s="1"/>
  <c r="AB383" i="3"/>
  <c r="AC383" i="3" s="1"/>
  <c r="AB384" i="3"/>
  <c r="AC384" i="3" s="1"/>
  <c r="AB385" i="3"/>
  <c r="AC385" i="3" s="1"/>
  <c r="AB386" i="3"/>
  <c r="AC386" i="3" s="1"/>
  <c r="AB387" i="3"/>
  <c r="AC387" i="3" s="1"/>
  <c r="AB388" i="3"/>
  <c r="AC388" i="3" s="1"/>
  <c r="AB389" i="3"/>
  <c r="AC389" i="3" s="1"/>
  <c r="AB390" i="3"/>
  <c r="AC390" i="3" s="1"/>
  <c r="AB391" i="3"/>
  <c r="AC391" i="3" s="1"/>
  <c r="AB392" i="3"/>
  <c r="AC392" i="3" s="1"/>
  <c r="AB393" i="3"/>
  <c r="AC393" i="3" s="1"/>
  <c r="AB394" i="3"/>
  <c r="AC394" i="3" s="1"/>
  <c r="AB395" i="3"/>
  <c r="AC395" i="3" s="1"/>
  <c r="AB396" i="3"/>
  <c r="AC396" i="3" s="1"/>
  <c r="AB397" i="3"/>
  <c r="AC397" i="3" s="1"/>
  <c r="AB398" i="3"/>
  <c r="AC398" i="3" s="1"/>
  <c r="AB399" i="3"/>
  <c r="AC399" i="3" s="1"/>
  <c r="AB400" i="3"/>
  <c r="AC400" i="3" s="1"/>
  <c r="AB401" i="3"/>
  <c r="AC401" i="3" s="1"/>
  <c r="AB402" i="3"/>
  <c r="AC402" i="3" s="1"/>
  <c r="AB403" i="3"/>
  <c r="AC403" i="3" s="1"/>
  <c r="AB404" i="3"/>
  <c r="AC404" i="3" s="1"/>
  <c r="AB405" i="3"/>
  <c r="AC405" i="3" s="1"/>
  <c r="AB406" i="3"/>
  <c r="AC406" i="3" s="1"/>
  <c r="AB407" i="3"/>
  <c r="AC407" i="3" s="1"/>
  <c r="AB408" i="3"/>
  <c r="AC408" i="3" s="1"/>
  <c r="AB411" i="3"/>
  <c r="AC411" i="3" s="1"/>
  <c r="I11" i="2"/>
  <c r="I6" i="2" s="1"/>
  <c r="P8" i="8"/>
  <c r="P12" i="8" s="1"/>
  <c r="G82" i="2" s="1"/>
  <c r="W8" i="8"/>
  <c r="T8" i="8"/>
  <c r="U8" i="8"/>
  <c r="R8" i="8"/>
  <c r="K8" i="8"/>
  <c r="AB8" i="8"/>
  <c r="AC8" i="8"/>
  <c r="Z8" i="8"/>
  <c r="L11" i="2"/>
  <c r="L6" i="2" s="1"/>
  <c r="N12" i="2"/>
  <c r="N11" i="2"/>
  <c r="Q11" i="2"/>
  <c r="R11" i="2"/>
  <c r="R6" i="2" s="1"/>
  <c r="D73" i="2"/>
  <c r="J11" i="2"/>
  <c r="I2" i="4"/>
  <c r="X7" i="3"/>
  <c r="Z275" i="3"/>
  <c r="AB275" i="3" s="1"/>
  <c r="AC275" i="3" s="1"/>
  <c r="AA274" i="3"/>
  <c r="Z274" i="3"/>
  <c r="AB274" i="3" s="1"/>
  <c r="AC274" i="3" s="1"/>
  <c r="AA273" i="3"/>
  <c r="Z273" i="3"/>
  <c r="AA272" i="3"/>
  <c r="Z272" i="3"/>
  <c r="AB272" i="3" s="1"/>
  <c r="AC272" i="3" s="1"/>
  <c r="AA271" i="3"/>
  <c r="Z271" i="3"/>
  <c r="AB271" i="3" s="1"/>
  <c r="AC271" i="3" s="1"/>
  <c r="AA270" i="3"/>
  <c r="Z270" i="3"/>
  <c r="AB270" i="3" s="1"/>
  <c r="AC270" i="3" s="1"/>
  <c r="AA269" i="3"/>
  <c r="Z269" i="3"/>
  <c r="AB269" i="3" s="1"/>
  <c r="AC269" i="3" s="1"/>
  <c r="AA268" i="3"/>
  <c r="Z268" i="3"/>
  <c r="AB268" i="3" s="1"/>
  <c r="AC268" i="3" s="1"/>
  <c r="AA267" i="3"/>
  <c r="Z267" i="3"/>
  <c r="AB267" i="3" s="1"/>
  <c r="AC267" i="3" s="1"/>
  <c r="AA266" i="3"/>
  <c r="Z266" i="3"/>
  <c r="AA265" i="3"/>
  <c r="Z265" i="3"/>
  <c r="AB265" i="3" s="1"/>
  <c r="AC265" i="3" s="1"/>
  <c r="AA264" i="3"/>
  <c r="Z264" i="3"/>
  <c r="AB264" i="3" s="1"/>
  <c r="AC264" i="3" s="1"/>
  <c r="AA263" i="3"/>
  <c r="Z263" i="3"/>
  <c r="AB263" i="3" s="1"/>
  <c r="AC263" i="3" s="1"/>
  <c r="AA262" i="3"/>
  <c r="Z262" i="3"/>
  <c r="AB262" i="3" s="1"/>
  <c r="AC262" i="3" s="1"/>
  <c r="AA261" i="3"/>
  <c r="Z261" i="3"/>
  <c r="AB261" i="3" s="1"/>
  <c r="AC261" i="3" s="1"/>
  <c r="AA260" i="3"/>
  <c r="Z260" i="3"/>
  <c r="AB260" i="3" s="1"/>
  <c r="AC260" i="3" s="1"/>
  <c r="AA259" i="3"/>
  <c r="Z259" i="3"/>
  <c r="AA258" i="3"/>
  <c r="Z258" i="3"/>
  <c r="AB258" i="3" s="1"/>
  <c r="AC258" i="3" s="1"/>
  <c r="AA257" i="3"/>
  <c r="Z257" i="3"/>
  <c r="AB257" i="3" s="1"/>
  <c r="AC257" i="3" s="1"/>
  <c r="AA256" i="3"/>
  <c r="Z256" i="3"/>
  <c r="AB256" i="3" s="1"/>
  <c r="AC256" i="3" s="1"/>
  <c r="AA255" i="3"/>
  <c r="Z255" i="3"/>
  <c r="AB255" i="3" s="1"/>
  <c r="AC255" i="3" s="1"/>
  <c r="AA254" i="3"/>
  <c r="Z254" i="3"/>
  <c r="AB254" i="3" s="1"/>
  <c r="AC254" i="3" s="1"/>
  <c r="AA253" i="3"/>
  <c r="Z253" i="3"/>
  <c r="AB253" i="3" s="1"/>
  <c r="AC253" i="3" s="1"/>
  <c r="AA252" i="3"/>
  <c r="Z252" i="3"/>
  <c r="AA251" i="3"/>
  <c r="Z251" i="3"/>
  <c r="AB251" i="3" s="1"/>
  <c r="AC251" i="3" s="1"/>
  <c r="AA250" i="3"/>
  <c r="Z250" i="3"/>
  <c r="AB250" i="3" s="1"/>
  <c r="AC250" i="3" s="1"/>
  <c r="AA249" i="3"/>
  <c r="Z249" i="3"/>
  <c r="AB249" i="3" s="1"/>
  <c r="AC249" i="3" s="1"/>
  <c r="AA248" i="3"/>
  <c r="Z248" i="3"/>
  <c r="AB248" i="3" s="1"/>
  <c r="AC248" i="3" s="1"/>
  <c r="AA247" i="3"/>
  <c r="Z247" i="3"/>
  <c r="AB247" i="3" s="1"/>
  <c r="AC247" i="3" s="1"/>
  <c r="AA246" i="3"/>
  <c r="Z246" i="3"/>
  <c r="AB246" i="3" s="1"/>
  <c r="AC246" i="3" s="1"/>
  <c r="AA245" i="3"/>
  <c r="Z245" i="3"/>
  <c r="AA244" i="3"/>
  <c r="Z244" i="3"/>
  <c r="AB244" i="3" s="1"/>
  <c r="AC244" i="3" s="1"/>
  <c r="AA243" i="3"/>
  <c r="Z243" i="3"/>
  <c r="AB243" i="3" s="1"/>
  <c r="AC243" i="3" s="1"/>
  <c r="AA242" i="3"/>
  <c r="Z242" i="3"/>
  <c r="AB242" i="3" s="1"/>
  <c r="AC242" i="3" s="1"/>
  <c r="AA241" i="3"/>
  <c r="Z241" i="3"/>
  <c r="AB241" i="3" s="1"/>
  <c r="AC241" i="3" s="1"/>
  <c r="AA240" i="3"/>
  <c r="Z240" i="3"/>
  <c r="AB240" i="3" s="1"/>
  <c r="AC240" i="3" s="1"/>
  <c r="AA239" i="3"/>
  <c r="Z239" i="3"/>
  <c r="AB239" i="3" s="1"/>
  <c r="AC239" i="3" s="1"/>
  <c r="AA238" i="3"/>
  <c r="Z238" i="3"/>
  <c r="AA237" i="3"/>
  <c r="Z237" i="3"/>
  <c r="AB237" i="3" s="1"/>
  <c r="AC237" i="3" s="1"/>
  <c r="AA236" i="3"/>
  <c r="Z236" i="3"/>
  <c r="AB236" i="3" s="1"/>
  <c r="AC236" i="3" s="1"/>
  <c r="AA235" i="3"/>
  <c r="Z235" i="3"/>
  <c r="AB235" i="3" s="1"/>
  <c r="AC235" i="3" s="1"/>
  <c r="AA234" i="3"/>
  <c r="Z234" i="3"/>
  <c r="AB234" i="3" s="1"/>
  <c r="AC234" i="3" s="1"/>
  <c r="AA233" i="3"/>
  <c r="Z233" i="3"/>
  <c r="AB233" i="3" s="1"/>
  <c r="AC233" i="3" s="1"/>
  <c r="AA232" i="3"/>
  <c r="Z232" i="3"/>
  <c r="AB232" i="3" s="1"/>
  <c r="AC232" i="3" s="1"/>
  <c r="AA231" i="3"/>
  <c r="Z231" i="3"/>
  <c r="AA230" i="3"/>
  <c r="Z230" i="3"/>
  <c r="AB230" i="3" s="1"/>
  <c r="AC230" i="3" s="1"/>
  <c r="AA229" i="3"/>
  <c r="Z229" i="3"/>
  <c r="AB229" i="3" s="1"/>
  <c r="AC229" i="3" s="1"/>
  <c r="AA228" i="3"/>
  <c r="Z228" i="3"/>
  <c r="AB228" i="3" s="1"/>
  <c r="AC228" i="3" s="1"/>
  <c r="AA227" i="3"/>
  <c r="Z227" i="3"/>
  <c r="AB227" i="3" s="1"/>
  <c r="AC227" i="3" s="1"/>
  <c r="AA226" i="3"/>
  <c r="Z226" i="3"/>
  <c r="AB226" i="3" s="1"/>
  <c r="AC226" i="3" s="1"/>
  <c r="AA225" i="3"/>
  <c r="Z225" i="3"/>
  <c r="AB225" i="3" s="1"/>
  <c r="AC225" i="3" s="1"/>
  <c r="AA224" i="3"/>
  <c r="Z224" i="3"/>
  <c r="AA223" i="3"/>
  <c r="Z223" i="3"/>
  <c r="AB223" i="3" s="1"/>
  <c r="AC223" i="3" s="1"/>
  <c r="AA222" i="3"/>
  <c r="Z222" i="3"/>
  <c r="AB222" i="3" s="1"/>
  <c r="AC222" i="3" s="1"/>
  <c r="AA221" i="3"/>
  <c r="Z221" i="3"/>
  <c r="AB221" i="3" s="1"/>
  <c r="AC221" i="3" s="1"/>
  <c r="AA220" i="3"/>
  <c r="Z220" i="3"/>
  <c r="AB220" i="3" s="1"/>
  <c r="AC220" i="3" s="1"/>
  <c r="AA219" i="3"/>
  <c r="Z219" i="3"/>
  <c r="AB219" i="3" s="1"/>
  <c r="AC219" i="3" s="1"/>
  <c r="AA218" i="3"/>
  <c r="Z218" i="3"/>
  <c r="AB218" i="3" s="1"/>
  <c r="AC218" i="3" s="1"/>
  <c r="AA217" i="3"/>
  <c r="Z217" i="3"/>
  <c r="AA216" i="3"/>
  <c r="Z216" i="3"/>
  <c r="AB216" i="3" s="1"/>
  <c r="AC216" i="3" s="1"/>
  <c r="AA215" i="3"/>
  <c r="Z215" i="3"/>
  <c r="AB215" i="3" s="1"/>
  <c r="AC215" i="3" s="1"/>
  <c r="AA214" i="3"/>
  <c r="Z214" i="3"/>
  <c r="AB214" i="3" s="1"/>
  <c r="AC214" i="3" s="1"/>
  <c r="AA213" i="3"/>
  <c r="Z213" i="3"/>
  <c r="AB213" i="3" s="1"/>
  <c r="AC213" i="3" s="1"/>
  <c r="AA212" i="3"/>
  <c r="Z212" i="3"/>
  <c r="AB212" i="3" s="1"/>
  <c r="AC212" i="3" s="1"/>
  <c r="AA211" i="3"/>
  <c r="Z211" i="3"/>
  <c r="AB211" i="3" s="1"/>
  <c r="AC211" i="3" s="1"/>
  <c r="AA210" i="3"/>
  <c r="Z210" i="3"/>
  <c r="AA209" i="3"/>
  <c r="Z209" i="3"/>
  <c r="AB209" i="3" s="1"/>
  <c r="AC209" i="3" s="1"/>
  <c r="AA208" i="3"/>
  <c r="Z208" i="3"/>
  <c r="AB208" i="3" s="1"/>
  <c r="AC208" i="3" s="1"/>
  <c r="AA207" i="3"/>
  <c r="Z207" i="3"/>
  <c r="AB207" i="3" s="1"/>
  <c r="AC207" i="3" s="1"/>
  <c r="AA206" i="3"/>
  <c r="Z206" i="3"/>
  <c r="AB206" i="3" s="1"/>
  <c r="AC206" i="3" s="1"/>
  <c r="AA205" i="3"/>
  <c r="Z205" i="3"/>
  <c r="AB205" i="3" s="1"/>
  <c r="AC205" i="3" s="1"/>
  <c r="AA204" i="3"/>
  <c r="Z204" i="3"/>
  <c r="AB204" i="3" s="1"/>
  <c r="AC204" i="3" s="1"/>
  <c r="AA203" i="3"/>
  <c r="Z203" i="3"/>
  <c r="AA202" i="3"/>
  <c r="Z202" i="3"/>
  <c r="AB202" i="3" s="1"/>
  <c r="AC202" i="3" s="1"/>
  <c r="AA201" i="3"/>
  <c r="Z201" i="3"/>
  <c r="AB201" i="3" s="1"/>
  <c r="AC201" i="3" s="1"/>
  <c r="AA200" i="3"/>
  <c r="Z200" i="3"/>
  <c r="AB200" i="3" s="1"/>
  <c r="AC200" i="3" s="1"/>
  <c r="AA199" i="3"/>
  <c r="Z199" i="3"/>
  <c r="AB199" i="3" s="1"/>
  <c r="AC199" i="3" s="1"/>
  <c r="AA198" i="3"/>
  <c r="Z198" i="3"/>
  <c r="AB198" i="3" s="1"/>
  <c r="AC198" i="3" s="1"/>
  <c r="AA197" i="3"/>
  <c r="Z197" i="3"/>
  <c r="AB197" i="3" s="1"/>
  <c r="AC197" i="3" s="1"/>
  <c r="AA196" i="3"/>
  <c r="Z196" i="3"/>
  <c r="AA195" i="3"/>
  <c r="Z195" i="3"/>
  <c r="AB195" i="3" s="1"/>
  <c r="AC195" i="3" s="1"/>
  <c r="AA194" i="3"/>
  <c r="Z194" i="3"/>
  <c r="AB194" i="3" s="1"/>
  <c r="AC194" i="3" s="1"/>
  <c r="AA193" i="3"/>
  <c r="Z193" i="3"/>
  <c r="AB193" i="3" s="1"/>
  <c r="AC193" i="3" s="1"/>
  <c r="AA192" i="3"/>
  <c r="Z192" i="3"/>
  <c r="AB192" i="3" s="1"/>
  <c r="AC192" i="3" s="1"/>
  <c r="AA191" i="3"/>
  <c r="Z191" i="3"/>
  <c r="AB191" i="3" s="1"/>
  <c r="AC191" i="3" s="1"/>
  <c r="AA190" i="3"/>
  <c r="Z190" i="3"/>
  <c r="AB190" i="3" s="1"/>
  <c r="AC190" i="3" s="1"/>
  <c r="AA189" i="3"/>
  <c r="Z189" i="3"/>
  <c r="AA188" i="3"/>
  <c r="Z188" i="3"/>
  <c r="AB188" i="3" s="1"/>
  <c r="AC188" i="3" s="1"/>
  <c r="AA187" i="3"/>
  <c r="Z187" i="3"/>
  <c r="AB187" i="3" s="1"/>
  <c r="AC187" i="3" s="1"/>
  <c r="AA186" i="3"/>
  <c r="Z186" i="3"/>
  <c r="AB186" i="3" s="1"/>
  <c r="AC186" i="3" s="1"/>
  <c r="AA185" i="3"/>
  <c r="Z185" i="3"/>
  <c r="AB185" i="3" s="1"/>
  <c r="AC185" i="3" s="1"/>
  <c r="AA184" i="3"/>
  <c r="Z184" i="3"/>
  <c r="AB184" i="3" s="1"/>
  <c r="AC184" i="3" s="1"/>
  <c r="AA183" i="3"/>
  <c r="Z183" i="3"/>
  <c r="AB183" i="3" s="1"/>
  <c r="AC183" i="3" s="1"/>
  <c r="AA182" i="3"/>
  <c r="Z182" i="3"/>
  <c r="AA181" i="3"/>
  <c r="Z181" i="3"/>
  <c r="AB181" i="3" s="1"/>
  <c r="AC181" i="3" s="1"/>
  <c r="AA180" i="3"/>
  <c r="Z180" i="3"/>
  <c r="AB180" i="3" s="1"/>
  <c r="AC180" i="3" s="1"/>
  <c r="AA179" i="3"/>
  <c r="Z179" i="3"/>
  <c r="AB179" i="3" s="1"/>
  <c r="AC179" i="3" s="1"/>
  <c r="AA178" i="3"/>
  <c r="Z178" i="3"/>
  <c r="AB178" i="3" s="1"/>
  <c r="AC178" i="3" s="1"/>
  <c r="AA177" i="3"/>
  <c r="Z177" i="3"/>
  <c r="AB177" i="3" s="1"/>
  <c r="AC177" i="3" s="1"/>
  <c r="AA176" i="3"/>
  <c r="Z176" i="3"/>
  <c r="AB176" i="3" s="1"/>
  <c r="AC176" i="3" s="1"/>
  <c r="AA175" i="3"/>
  <c r="Z175" i="3"/>
  <c r="AA174" i="3"/>
  <c r="Z174" i="3"/>
  <c r="AB174" i="3" s="1"/>
  <c r="AC174" i="3" s="1"/>
  <c r="AA173" i="3"/>
  <c r="Z173" i="3"/>
  <c r="AB173" i="3" s="1"/>
  <c r="AC173" i="3" s="1"/>
  <c r="AA172" i="3"/>
  <c r="Z172" i="3"/>
  <c r="AB172" i="3" s="1"/>
  <c r="AC172" i="3" s="1"/>
  <c r="AA171" i="3"/>
  <c r="Z171" i="3"/>
  <c r="AB171" i="3" s="1"/>
  <c r="AC171" i="3" s="1"/>
  <c r="AA170" i="3"/>
  <c r="Z170" i="3"/>
  <c r="AB170" i="3" s="1"/>
  <c r="AC170" i="3" s="1"/>
  <c r="AA169" i="3"/>
  <c r="Z169" i="3"/>
  <c r="AB169" i="3" s="1"/>
  <c r="AC169" i="3" s="1"/>
  <c r="AA168" i="3"/>
  <c r="Z168" i="3"/>
  <c r="AA167" i="3"/>
  <c r="Z167" i="3"/>
  <c r="AB167" i="3" s="1"/>
  <c r="AC167" i="3" s="1"/>
  <c r="AA166" i="3"/>
  <c r="Z166" i="3"/>
  <c r="AB166" i="3" s="1"/>
  <c r="AC166" i="3" s="1"/>
  <c r="AA165" i="3"/>
  <c r="Z165" i="3"/>
  <c r="AB165" i="3" s="1"/>
  <c r="AC165" i="3" s="1"/>
  <c r="AA164" i="3"/>
  <c r="Z164" i="3"/>
  <c r="AB164" i="3" s="1"/>
  <c r="AC164" i="3" s="1"/>
  <c r="AA163" i="3"/>
  <c r="Z163" i="3"/>
  <c r="AB163" i="3" s="1"/>
  <c r="AC163" i="3" s="1"/>
  <c r="AA162" i="3"/>
  <c r="Z162" i="3"/>
  <c r="AB162" i="3" s="1"/>
  <c r="AC162" i="3" s="1"/>
  <c r="AA161" i="3"/>
  <c r="Z161" i="3"/>
  <c r="AA160" i="3"/>
  <c r="Z160" i="3"/>
  <c r="AB160" i="3" s="1"/>
  <c r="AC160" i="3" s="1"/>
  <c r="AA159" i="3"/>
  <c r="Z159" i="3"/>
  <c r="AB159" i="3" s="1"/>
  <c r="AC159" i="3" s="1"/>
  <c r="AA158" i="3"/>
  <c r="Z158" i="3"/>
  <c r="AB158" i="3" s="1"/>
  <c r="AC158" i="3" s="1"/>
  <c r="AA157" i="3"/>
  <c r="Z157" i="3"/>
  <c r="AB157" i="3" s="1"/>
  <c r="AC157" i="3" s="1"/>
  <c r="AA156" i="3"/>
  <c r="Z156" i="3"/>
  <c r="AB156" i="3" s="1"/>
  <c r="AC156" i="3" s="1"/>
  <c r="AA155" i="3"/>
  <c r="Z155" i="3"/>
  <c r="AB155" i="3" s="1"/>
  <c r="AC155" i="3" s="1"/>
  <c r="AA154" i="3"/>
  <c r="Z154" i="3"/>
  <c r="AA153" i="3"/>
  <c r="Z153" i="3"/>
  <c r="AB153" i="3" s="1"/>
  <c r="AC153" i="3" s="1"/>
  <c r="AA152" i="3"/>
  <c r="Z152" i="3"/>
  <c r="AB152" i="3" s="1"/>
  <c r="AC152" i="3" s="1"/>
  <c r="AA151" i="3"/>
  <c r="Z151" i="3"/>
  <c r="AB151" i="3" s="1"/>
  <c r="AC151" i="3" s="1"/>
  <c r="AA150" i="3"/>
  <c r="Z150" i="3"/>
  <c r="AB150" i="3" s="1"/>
  <c r="AC150" i="3" s="1"/>
  <c r="AA149" i="3"/>
  <c r="Z149" i="3"/>
  <c r="AB149" i="3" s="1"/>
  <c r="AC149" i="3" s="1"/>
  <c r="AA148" i="3"/>
  <c r="Z148" i="3"/>
  <c r="AB148" i="3" s="1"/>
  <c r="AC148" i="3" s="1"/>
  <c r="AA147" i="3"/>
  <c r="Z147" i="3"/>
  <c r="AA146" i="3"/>
  <c r="Z146" i="3"/>
  <c r="AB146" i="3" s="1"/>
  <c r="AC146" i="3" s="1"/>
  <c r="AA145" i="3"/>
  <c r="Z145" i="3"/>
  <c r="AB145" i="3" s="1"/>
  <c r="AC145" i="3" s="1"/>
  <c r="AA144" i="3"/>
  <c r="Z144" i="3"/>
  <c r="AB144" i="3" s="1"/>
  <c r="AC144" i="3" s="1"/>
  <c r="AA143" i="3"/>
  <c r="Z143" i="3"/>
  <c r="AB143" i="3" s="1"/>
  <c r="AC143" i="3" s="1"/>
  <c r="AA142" i="3"/>
  <c r="Z142" i="3"/>
  <c r="AB142" i="3" s="1"/>
  <c r="AC142" i="3" s="1"/>
  <c r="AA141" i="3"/>
  <c r="Z141" i="3"/>
  <c r="AB141" i="3" s="1"/>
  <c r="AC141" i="3" s="1"/>
  <c r="AA140" i="3"/>
  <c r="Z140" i="3"/>
  <c r="AA139" i="3"/>
  <c r="Z139" i="3"/>
  <c r="AB139" i="3" s="1"/>
  <c r="AC139" i="3" s="1"/>
  <c r="AA138" i="3"/>
  <c r="Z138" i="3"/>
  <c r="AB138" i="3" s="1"/>
  <c r="AC138" i="3" s="1"/>
  <c r="AA137" i="3"/>
  <c r="Z137" i="3"/>
  <c r="AB137" i="3" s="1"/>
  <c r="AC137" i="3" s="1"/>
  <c r="AA136" i="3"/>
  <c r="Z136" i="3"/>
  <c r="AB136" i="3" s="1"/>
  <c r="AC136" i="3" s="1"/>
  <c r="AA135" i="3"/>
  <c r="Z135" i="3"/>
  <c r="AB135" i="3" s="1"/>
  <c r="AC135" i="3" s="1"/>
  <c r="AA134" i="3"/>
  <c r="Z134" i="3"/>
  <c r="AB134" i="3" s="1"/>
  <c r="AC134" i="3" s="1"/>
  <c r="AA133" i="3"/>
  <c r="Z133" i="3"/>
  <c r="AA132" i="3"/>
  <c r="Z132" i="3"/>
  <c r="AB132" i="3" s="1"/>
  <c r="AC132" i="3" s="1"/>
  <c r="AA131" i="3"/>
  <c r="Z131" i="3"/>
  <c r="AB131" i="3" s="1"/>
  <c r="AC131" i="3" s="1"/>
  <c r="AA130" i="3"/>
  <c r="Z130" i="3"/>
  <c r="AB130" i="3" s="1"/>
  <c r="AC130" i="3" s="1"/>
  <c r="AA129" i="3"/>
  <c r="Z129" i="3"/>
  <c r="AB129" i="3" s="1"/>
  <c r="AC129" i="3" s="1"/>
  <c r="AA128" i="3"/>
  <c r="Z128" i="3"/>
  <c r="AB128" i="3" s="1"/>
  <c r="AC128" i="3" s="1"/>
  <c r="AA127" i="3"/>
  <c r="Z127" i="3"/>
  <c r="AB127" i="3" s="1"/>
  <c r="AC127" i="3" s="1"/>
  <c r="AA126" i="3"/>
  <c r="Z126" i="3"/>
  <c r="AA125" i="3"/>
  <c r="Z125" i="3"/>
  <c r="AB125" i="3" s="1"/>
  <c r="AC125" i="3" s="1"/>
  <c r="AA124" i="3"/>
  <c r="Z124" i="3"/>
  <c r="AB124" i="3" s="1"/>
  <c r="AC124" i="3" s="1"/>
  <c r="AA123" i="3"/>
  <c r="Z123" i="3"/>
  <c r="AB123" i="3" s="1"/>
  <c r="AC123" i="3" s="1"/>
  <c r="AA122" i="3"/>
  <c r="Z122" i="3"/>
  <c r="AB122" i="3" s="1"/>
  <c r="AC122" i="3" s="1"/>
  <c r="AA121" i="3"/>
  <c r="Z121" i="3"/>
  <c r="AB121" i="3" s="1"/>
  <c r="AC121" i="3" s="1"/>
  <c r="AA120" i="3"/>
  <c r="Z120" i="3"/>
  <c r="AB120" i="3" s="1"/>
  <c r="AC120" i="3" s="1"/>
  <c r="AA119" i="3"/>
  <c r="Z119" i="3"/>
  <c r="AA118" i="3"/>
  <c r="Z118" i="3"/>
  <c r="AB118" i="3" s="1"/>
  <c r="AC118" i="3" s="1"/>
  <c r="AA117" i="3"/>
  <c r="Z117" i="3"/>
  <c r="AB117" i="3" s="1"/>
  <c r="AC117" i="3" s="1"/>
  <c r="AA116" i="3"/>
  <c r="Z116" i="3"/>
  <c r="AB116" i="3" s="1"/>
  <c r="AC116" i="3" s="1"/>
  <c r="AA115" i="3"/>
  <c r="Z115" i="3"/>
  <c r="AB115" i="3" s="1"/>
  <c r="AC115" i="3" s="1"/>
  <c r="AA114" i="3"/>
  <c r="Z114" i="3"/>
  <c r="AB114" i="3" s="1"/>
  <c r="AC114" i="3" s="1"/>
  <c r="AA113" i="3"/>
  <c r="Z113" i="3"/>
  <c r="AB113" i="3" s="1"/>
  <c r="AC113" i="3" s="1"/>
  <c r="AA112" i="3"/>
  <c r="Z112" i="3"/>
  <c r="AA111" i="3"/>
  <c r="Z111" i="3"/>
  <c r="AB111" i="3" s="1"/>
  <c r="AC111" i="3" s="1"/>
  <c r="AA110" i="3"/>
  <c r="Z110" i="3"/>
  <c r="AB110" i="3" s="1"/>
  <c r="AC110" i="3" s="1"/>
  <c r="AA109" i="3"/>
  <c r="Z109" i="3"/>
  <c r="AB109" i="3" s="1"/>
  <c r="AC109" i="3" s="1"/>
  <c r="AA108" i="3"/>
  <c r="Z108" i="3"/>
  <c r="AB108" i="3" s="1"/>
  <c r="AC108" i="3" s="1"/>
  <c r="AA107" i="3"/>
  <c r="Z107" i="3"/>
  <c r="AB107" i="3" s="1"/>
  <c r="AC107" i="3" s="1"/>
  <c r="AA106" i="3"/>
  <c r="Z106" i="3"/>
  <c r="AB106" i="3" s="1"/>
  <c r="AC106" i="3" s="1"/>
  <c r="AA105" i="3"/>
  <c r="Z105" i="3"/>
  <c r="AA104" i="3"/>
  <c r="Z104" i="3"/>
  <c r="AB104" i="3" s="1"/>
  <c r="AC104" i="3" s="1"/>
  <c r="AA103" i="3"/>
  <c r="Z103" i="3"/>
  <c r="AB103" i="3" s="1"/>
  <c r="AC103" i="3" s="1"/>
  <c r="AA102" i="3"/>
  <c r="Z102" i="3"/>
  <c r="AB102" i="3" s="1"/>
  <c r="AC102" i="3" s="1"/>
  <c r="AA101" i="3"/>
  <c r="Z101" i="3"/>
  <c r="AB101" i="3" s="1"/>
  <c r="AC101" i="3" s="1"/>
  <c r="AA100" i="3"/>
  <c r="Z100" i="3"/>
  <c r="AB100" i="3" s="1"/>
  <c r="AC100" i="3" s="1"/>
  <c r="AA99" i="3"/>
  <c r="Z99" i="3"/>
  <c r="AB99" i="3" s="1"/>
  <c r="AC99" i="3" s="1"/>
  <c r="AA98" i="3"/>
  <c r="Z98" i="3"/>
  <c r="AA97" i="3"/>
  <c r="Z97" i="3"/>
  <c r="AB97" i="3" s="1"/>
  <c r="AC97" i="3" s="1"/>
  <c r="AA96" i="3"/>
  <c r="Z96" i="3"/>
  <c r="AB96" i="3" s="1"/>
  <c r="AC96" i="3" s="1"/>
  <c r="AA95" i="3"/>
  <c r="Z95" i="3"/>
  <c r="AB95" i="3" s="1"/>
  <c r="AC95" i="3" s="1"/>
  <c r="AA94" i="3"/>
  <c r="Z94" i="3"/>
  <c r="AB94" i="3" s="1"/>
  <c r="AC94" i="3" s="1"/>
  <c r="AA93" i="3"/>
  <c r="Z93" i="3"/>
  <c r="AB93" i="3" s="1"/>
  <c r="AC93" i="3" s="1"/>
  <c r="AA92" i="3"/>
  <c r="Z92" i="3"/>
  <c r="AB92" i="3" s="1"/>
  <c r="AC92" i="3" s="1"/>
  <c r="AA91" i="3"/>
  <c r="Z91" i="3"/>
  <c r="AA90" i="3"/>
  <c r="Z90" i="3"/>
  <c r="AB90" i="3" s="1"/>
  <c r="AC90" i="3" s="1"/>
  <c r="AA89" i="3"/>
  <c r="Z89" i="3"/>
  <c r="AB89" i="3" s="1"/>
  <c r="AC89" i="3" s="1"/>
  <c r="AA88" i="3"/>
  <c r="Z88" i="3"/>
  <c r="AB88" i="3" s="1"/>
  <c r="AC88" i="3" s="1"/>
  <c r="AA87" i="3"/>
  <c r="Z87" i="3"/>
  <c r="AB87" i="3" s="1"/>
  <c r="AC87" i="3" s="1"/>
  <c r="AA86" i="3"/>
  <c r="Z86" i="3"/>
  <c r="AB86" i="3" s="1"/>
  <c r="AC86" i="3" s="1"/>
  <c r="AA85" i="3"/>
  <c r="Z85" i="3"/>
  <c r="AB85" i="3" s="1"/>
  <c r="AC85" i="3" s="1"/>
  <c r="AA84" i="3"/>
  <c r="Z84" i="3"/>
  <c r="AA83" i="3"/>
  <c r="Z83" i="3"/>
  <c r="AB83" i="3" s="1"/>
  <c r="AC83" i="3" s="1"/>
  <c r="AA82" i="3"/>
  <c r="Z82" i="3"/>
  <c r="AB82" i="3" s="1"/>
  <c r="AC82" i="3" s="1"/>
  <c r="AA81" i="3"/>
  <c r="Z81" i="3"/>
  <c r="AB81" i="3" s="1"/>
  <c r="AC81" i="3" s="1"/>
  <c r="AA80" i="3"/>
  <c r="Z80" i="3"/>
  <c r="AB80" i="3" s="1"/>
  <c r="AC80" i="3" s="1"/>
  <c r="AA79" i="3"/>
  <c r="Z79" i="3"/>
  <c r="AB79" i="3" s="1"/>
  <c r="AC79" i="3" s="1"/>
  <c r="AA78" i="3"/>
  <c r="Z78" i="3"/>
  <c r="AB78" i="3" s="1"/>
  <c r="AC78" i="3" s="1"/>
  <c r="AA77" i="3"/>
  <c r="Z77" i="3"/>
  <c r="AA76" i="3"/>
  <c r="Z76" i="3"/>
  <c r="AB76" i="3" s="1"/>
  <c r="AC76" i="3" s="1"/>
  <c r="AA75" i="3"/>
  <c r="Z75" i="3"/>
  <c r="AB75" i="3" s="1"/>
  <c r="AC75" i="3" s="1"/>
  <c r="AA74" i="3"/>
  <c r="Z74" i="3"/>
  <c r="AB74" i="3" s="1"/>
  <c r="AC74" i="3" s="1"/>
  <c r="AA73" i="3"/>
  <c r="Z73" i="3"/>
  <c r="AB73" i="3" s="1"/>
  <c r="AC73" i="3" s="1"/>
  <c r="AA72" i="3"/>
  <c r="Z72" i="3"/>
  <c r="AB72" i="3" s="1"/>
  <c r="AC72" i="3" s="1"/>
  <c r="AA71" i="3"/>
  <c r="Z71" i="3"/>
  <c r="AB71" i="3" s="1"/>
  <c r="AC71" i="3" s="1"/>
  <c r="AA70" i="3"/>
  <c r="Z70" i="3"/>
  <c r="AA69" i="3"/>
  <c r="Z69" i="3"/>
  <c r="AB69" i="3" s="1"/>
  <c r="AC69" i="3" s="1"/>
  <c r="AA68" i="3"/>
  <c r="Z68" i="3"/>
  <c r="AB68" i="3" s="1"/>
  <c r="AC68" i="3" s="1"/>
  <c r="AA67" i="3"/>
  <c r="Z67" i="3"/>
  <c r="AB67" i="3" s="1"/>
  <c r="AC67" i="3" s="1"/>
  <c r="AA66" i="3"/>
  <c r="Z66" i="3"/>
  <c r="AB66" i="3" s="1"/>
  <c r="AC66" i="3" s="1"/>
  <c r="AA65" i="3"/>
  <c r="Z65" i="3"/>
  <c r="AB65" i="3" s="1"/>
  <c r="AC65" i="3" s="1"/>
  <c r="AA64" i="3"/>
  <c r="Z64" i="3"/>
  <c r="AB64" i="3" s="1"/>
  <c r="AC64" i="3" s="1"/>
  <c r="AA63" i="3"/>
  <c r="Z63" i="3"/>
  <c r="AA62" i="3"/>
  <c r="Z62" i="3"/>
  <c r="AB62" i="3" s="1"/>
  <c r="AC62" i="3" s="1"/>
  <c r="AA61" i="3"/>
  <c r="Z61" i="3"/>
  <c r="AB61" i="3" s="1"/>
  <c r="AC61" i="3" s="1"/>
  <c r="AA60" i="3"/>
  <c r="Z60" i="3"/>
  <c r="AB60" i="3" s="1"/>
  <c r="AC60" i="3" s="1"/>
  <c r="AA59" i="3"/>
  <c r="Z59" i="3"/>
  <c r="AB59" i="3" s="1"/>
  <c r="AC59" i="3" s="1"/>
  <c r="AA58" i="3"/>
  <c r="Z58" i="3"/>
  <c r="AB58" i="3" s="1"/>
  <c r="AC58" i="3" s="1"/>
  <c r="AA57" i="3"/>
  <c r="Z57" i="3"/>
  <c r="AB57" i="3" s="1"/>
  <c r="AC57" i="3" s="1"/>
  <c r="AA56" i="3"/>
  <c r="Z56" i="3"/>
  <c r="AA55" i="3"/>
  <c r="Z55" i="3"/>
  <c r="AB55" i="3" s="1"/>
  <c r="AC55" i="3" s="1"/>
  <c r="AA54" i="3"/>
  <c r="Z54" i="3"/>
  <c r="AB54" i="3" s="1"/>
  <c r="AC54" i="3" s="1"/>
  <c r="AA53" i="3"/>
  <c r="Z53" i="3"/>
  <c r="AB53" i="3" s="1"/>
  <c r="AC53" i="3" s="1"/>
  <c r="AA52" i="3"/>
  <c r="Z52" i="3"/>
  <c r="AB52" i="3" s="1"/>
  <c r="AC52" i="3" s="1"/>
  <c r="AA51" i="3"/>
  <c r="Z51" i="3"/>
  <c r="AB51" i="3" s="1"/>
  <c r="AC51" i="3" s="1"/>
  <c r="AA50" i="3"/>
  <c r="Z50" i="3"/>
  <c r="AB50" i="3" s="1"/>
  <c r="AC50" i="3" s="1"/>
  <c r="AA49" i="3"/>
  <c r="Z49" i="3"/>
  <c r="AA48" i="3"/>
  <c r="Z48" i="3"/>
  <c r="AB48" i="3" s="1"/>
  <c r="AC48" i="3" s="1"/>
  <c r="AA47" i="3"/>
  <c r="Z47" i="3"/>
  <c r="AB47" i="3" s="1"/>
  <c r="AC47" i="3" s="1"/>
  <c r="AA46" i="3"/>
  <c r="Z46" i="3"/>
  <c r="AB46" i="3" s="1"/>
  <c r="AC46" i="3" s="1"/>
  <c r="AA45" i="3"/>
  <c r="Z45" i="3"/>
  <c r="AB45" i="3" s="1"/>
  <c r="AC45" i="3" s="1"/>
  <c r="AA44" i="3"/>
  <c r="Z44" i="3"/>
  <c r="AB44" i="3" s="1"/>
  <c r="AC44" i="3" s="1"/>
  <c r="AA43" i="3"/>
  <c r="Z43" i="3"/>
  <c r="AB43" i="3" s="1"/>
  <c r="AC43" i="3" s="1"/>
  <c r="AA42" i="3"/>
  <c r="Z42" i="3"/>
  <c r="AA41" i="3"/>
  <c r="Z41" i="3"/>
  <c r="AB41" i="3" s="1"/>
  <c r="AC41" i="3" s="1"/>
  <c r="AA40" i="3"/>
  <c r="Z40" i="3"/>
  <c r="AB40" i="3" s="1"/>
  <c r="AC40" i="3" s="1"/>
  <c r="AA39" i="3"/>
  <c r="Z39" i="3"/>
  <c r="AB39" i="3" s="1"/>
  <c r="AC39" i="3" s="1"/>
  <c r="AA38" i="3"/>
  <c r="Z38" i="3"/>
  <c r="AB38" i="3" s="1"/>
  <c r="AC38" i="3" s="1"/>
  <c r="AA37" i="3"/>
  <c r="Z37" i="3"/>
  <c r="AB37" i="3" s="1"/>
  <c r="AC37" i="3" s="1"/>
  <c r="AA36" i="3"/>
  <c r="Z36" i="3"/>
  <c r="AB36" i="3" s="1"/>
  <c r="AC36" i="3" s="1"/>
  <c r="AA35" i="3"/>
  <c r="Z35" i="3"/>
  <c r="AA34" i="3"/>
  <c r="Z34" i="3"/>
  <c r="AB34" i="3" s="1"/>
  <c r="AC34" i="3" s="1"/>
  <c r="AA33" i="3"/>
  <c r="Z33" i="3"/>
  <c r="AB33" i="3" s="1"/>
  <c r="AC33" i="3" s="1"/>
  <c r="AA32" i="3"/>
  <c r="Z32" i="3"/>
  <c r="AB32" i="3" s="1"/>
  <c r="AC32" i="3" s="1"/>
  <c r="AA31" i="3"/>
  <c r="Z31" i="3"/>
  <c r="AB31" i="3" s="1"/>
  <c r="AC31" i="3" s="1"/>
  <c r="AA30" i="3"/>
  <c r="Z30" i="3"/>
  <c r="AB30" i="3" s="1"/>
  <c r="AC30" i="3" s="1"/>
  <c r="AA29" i="3"/>
  <c r="Z29" i="3"/>
  <c r="AB29" i="3" s="1"/>
  <c r="AC29" i="3" s="1"/>
  <c r="AA28" i="3"/>
  <c r="Z28" i="3"/>
  <c r="AA27" i="3"/>
  <c r="Z27" i="3"/>
  <c r="AB27" i="3" s="1"/>
  <c r="AC27" i="3" s="1"/>
  <c r="AA26" i="3"/>
  <c r="Z26" i="3"/>
  <c r="AB26" i="3" s="1"/>
  <c r="AC26" i="3" s="1"/>
  <c r="AA25" i="3"/>
  <c r="Z25" i="3"/>
  <c r="AB25" i="3" s="1"/>
  <c r="AC25" i="3" s="1"/>
  <c r="AA24" i="3"/>
  <c r="Z24" i="3"/>
  <c r="AB24" i="3" s="1"/>
  <c r="AC24" i="3" s="1"/>
  <c r="AA23" i="3"/>
  <c r="Z23" i="3"/>
  <c r="AB23" i="3" s="1"/>
  <c r="AC23" i="3" s="1"/>
  <c r="AA22" i="3"/>
  <c r="Z22" i="3"/>
  <c r="AB22" i="3" s="1"/>
  <c r="AC22" i="3" s="1"/>
  <c r="AA21" i="3"/>
  <c r="Z21" i="3"/>
  <c r="Z20" i="3"/>
  <c r="AA20" i="3"/>
  <c r="AA19" i="3"/>
  <c r="Z19" i="3"/>
  <c r="AB19" i="3" s="1"/>
  <c r="AC19" i="3" s="1"/>
  <c r="AA18" i="3"/>
  <c r="Z18" i="3"/>
  <c r="AB18" i="3" s="1"/>
  <c r="AC18" i="3" s="1"/>
  <c r="AA17" i="3"/>
  <c r="Z17" i="3"/>
  <c r="AB17" i="3" s="1"/>
  <c r="AC17" i="3" s="1"/>
  <c r="AA16" i="3"/>
  <c r="Z16" i="3"/>
  <c r="AB16" i="3" s="1"/>
  <c r="AC16" i="3" s="1"/>
  <c r="AA15" i="3"/>
  <c r="Z15" i="3"/>
  <c r="AB15" i="3" s="1"/>
  <c r="AC15" i="3" s="1"/>
  <c r="AA14" i="3"/>
  <c r="Z14" i="3"/>
  <c r="AA13" i="3"/>
  <c r="Z13" i="3"/>
  <c r="AB13" i="3" s="1"/>
  <c r="AC13" i="3" s="1"/>
  <c r="AA12" i="3"/>
  <c r="Z12" i="3"/>
  <c r="AB12" i="3" s="1"/>
  <c r="AC12" i="3" s="1"/>
  <c r="AA11" i="3"/>
  <c r="Z11" i="3"/>
  <c r="AA10" i="3"/>
  <c r="Z10" i="3"/>
  <c r="AB10" i="3" s="1"/>
  <c r="AC10" i="3" s="1"/>
  <c r="AA9" i="3"/>
  <c r="Z9" i="3"/>
  <c r="AB9" i="3" s="1"/>
  <c r="AC9" i="3" s="1"/>
  <c r="AA8" i="3"/>
  <c r="AA7" i="3"/>
  <c r="Z7" i="3"/>
  <c r="AA6" i="3"/>
  <c r="Z6" i="3"/>
  <c r="AB6" i="3" s="1"/>
  <c r="AC6" i="3" s="1"/>
  <c r="Z283" i="3"/>
  <c r="AA284" i="3"/>
  <c r="Y284" i="3"/>
  <c r="K6" i="2"/>
  <c r="H6" i="2"/>
  <c r="F36" i="2"/>
  <c r="F35" i="2" s="1"/>
  <c r="E36" i="2"/>
  <c r="E35" i="2" s="1"/>
  <c r="O4" i="4"/>
  <c r="J6" i="2" l="1"/>
  <c r="F11" i="2"/>
  <c r="AB8" i="3"/>
  <c r="H73" i="2"/>
  <c r="Y2" i="3"/>
  <c r="AD2" i="3" s="1"/>
  <c r="AE284" i="3"/>
  <c r="AE2" i="3" s="1"/>
  <c r="H74" i="2"/>
  <c r="AB14" i="3"/>
  <c r="AC14" i="3" s="1"/>
  <c r="AB21" i="3"/>
  <c r="AC21" i="3" s="1"/>
  <c r="AB28" i="3"/>
  <c r="AC28" i="3" s="1"/>
  <c r="AB35" i="3"/>
  <c r="AC35" i="3" s="1"/>
  <c r="AB42" i="3"/>
  <c r="AC42" i="3" s="1"/>
  <c r="AB49" i="3"/>
  <c r="AC49" i="3" s="1"/>
  <c r="AB56" i="3"/>
  <c r="AC56" i="3" s="1"/>
  <c r="AB63" i="3"/>
  <c r="AC63" i="3" s="1"/>
  <c r="AB70" i="3"/>
  <c r="AC70" i="3" s="1"/>
  <c r="AB77" i="3"/>
  <c r="AC77" i="3" s="1"/>
  <c r="AB84" i="3"/>
  <c r="AC84" i="3" s="1"/>
  <c r="AB91" i="3"/>
  <c r="AC91" i="3" s="1"/>
  <c r="AB98" i="3"/>
  <c r="AC98" i="3" s="1"/>
  <c r="AB105" i="3"/>
  <c r="AC105" i="3" s="1"/>
  <c r="AB112" i="3"/>
  <c r="AC112" i="3" s="1"/>
  <c r="AB119" i="3"/>
  <c r="AC119" i="3" s="1"/>
  <c r="AB126" i="3"/>
  <c r="AC126" i="3" s="1"/>
  <c r="AB133" i="3"/>
  <c r="AC133" i="3" s="1"/>
  <c r="AB140" i="3"/>
  <c r="AC140" i="3" s="1"/>
  <c r="AB147" i="3"/>
  <c r="AC147" i="3" s="1"/>
  <c r="AB154" i="3"/>
  <c r="AC154" i="3" s="1"/>
  <c r="AB161" i="3"/>
  <c r="AC161" i="3" s="1"/>
  <c r="AB168" i="3"/>
  <c r="AC168" i="3" s="1"/>
  <c r="AB175" i="3"/>
  <c r="AC175" i="3" s="1"/>
  <c r="AB182" i="3"/>
  <c r="AC182" i="3" s="1"/>
  <c r="AB189" i="3"/>
  <c r="AC189" i="3" s="1"/>
  <c r="AB196" i="3"/>
  <c r="AC196" i="3" s="1"/>
  <c r="AB203" i="3"/>
  <c r="AC203" i="3" s="1"/>
  <c r="AB210" i="3"/>
  <c r="AC210" i="3" s="1"/>
  <c r="AB217" i="3"/>
  <c r="AC217" i="3" s="1"/>
  <c r="AB224" i="3"/>
  <c r="AC224" i="3" s="1"/>
  <c r="AB231" i="3"/>
  <c r="AC231" i="3" s="1"/>
  <c r="AB238" i="3"/>
  <c r="AC238" i="3" s="1"/>
  <c r="AB245" i="3"/>
  <c r="AC245" i="3" s="1"/>
  <c r="AB252" i="3"/>
  <c r="AC252" i="3" s="1"/>
  <c r="AB259" i="3"/>
  <c r="AC259" i="3" s="1"/>
  <c r="AB266" i="3"/>
  <c r="AC266" i="3" s="1"/>
  <c r="AB273" i="3"/>
  <c r="AC273" i="3" s="1"/>
  <c r="AB7" i="3"/>
  <c r="AC7" i="3" s="1"/>
  <c r="AA2" i="3"/>
  <c r="Z2" i="3"/>
  <c r="AC8" i="3"/>
  <c r="G73" i="2"/>
  <c r="AB11" i="3"/>
  <c r="AC11" i="3" s="1"/>
  <c r="AB20" i="3"/>
  <c r="AC20" i="3" s="1"/>
  <c r="J73" i="2"/>
  <c r="E73" i="2"/>
  <c r="I75" i="2"/>
  <c r="I72" i="2" s="1"/>
  <c r="G75" i="2"/>
  <c r="H75" i="2"/>
  <c r="Q8" i="8"/>
  <c r="G74" i="2"/>
  <c r="X8" i="8"/>
  <c r="X12" i="8" s="1"/>
  <c r="I82" i="2" s="1"/>
  <c r="Q12" i="2"/>
  <c r="Q6" i="2" s="1"/>
  <c r="D76" i="2"/>
  <c r="E76" i="2" s="1"/>
  <c r="O8" i="8"/>
  <c r="K12" i="8"/>
  <c r="D82" i="2" s="1"/>
  <c r="G76" i="2"/>
  <c r="H76" i="2"/>
  <c r="N6" i="2"/>
  <c r="V284" i="3"/>
  <c r="V283" i="3"/>
  <c r="P6" i="4"/>
  <c r="P4" i="4" s="1"/>
  <c r="AN8" i="8" l="1"/>
  <c r="K73" i="2"/>
  <c r="AB283" i="3"/>
  <c r="V2" i="3"/>
  <c r="AB284" i="3"/>
  <c r="AC284" i="3" s="1"/>
  <c r="Q12" i="8"/>
  <c r="H82" i="2" s="1"/>
  <c r="AM8" i="8"/>
  <c r="O12" i="8"/>
  <c r="E82" i="2" s="1"/>
  <c r="AK8" i="8"/>
  <c r="AP8" i="8" s="1"/>
  <c r="AO8" i="8"/>
  <c r="N6" i="4"/>
  <c r="N4" i="4" s="1"/>
  <c r="J2" i="4"/>
  <c r="M12" i="2"/>
  <c r="D75" i="2"/>
  <c r="G72" i="2"/>
  <c r="J74" i="2"/>
  <c r="K74" i="2" s="1"/>
  <c r="H72" i="2"/>
  <c r="J76" i="2"/>
  <c r="K76" i="2" s="1"/>
  <c r="F6" i="2"/>
  <c r="E75" i="2" l="1"/>
  <c r="D72" i="2"/>
  <c r="AC283" i="3"/>
  <c r="AB2" i="3"/>
  <c r="AC2" i="3" s="1"/>
  <c r="J75" i="2"/>
  <c r="K75" i="2" s="1"/>
  <c r="AK12" i="8"/>
  <c r="J82" i="2" s="1"/>
  <c r="K82" i="2" s="1"/>
  <c r="E72" i="2"/>
  <c r="E6" i="2"/>
  <c r="M6" i="2"/>
  <c r="J72" i="2" l="1"/>
  <c r="K7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tc={D81E8543-0AAA-4E05-9AAD-D5B11B9C8C11}</author>
  </authors>
  <commentList>
    <comment ref="I73" authorId="0" shapeId="0" xr:uid="{D81E8543-0AAA-4E05-9AAD-D5B11B9C8C11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리씽크 방송 샘플 20팩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tc={86482C14-F2A7-4D7A-813C-26A5E323A25F}</author>
    <author>이진우1</author>
    <author>tc={D2BD45BD-FC5A-4092-A040-40259A53192B}</author>
    <author>tc={25A33A3F-344F-4E63-8AD1-E76E0D4FCCA9}</author>
  </authors>
  <commentList>
    <comment ref="H9" authorId="0" shapeId="0" xr:uid="{86482C14-F2A7-4D7A-813C-26A5E323A25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1. SK스토아 QC 샘플 (8개)
2. 리씽크 방송용 샘플 (20개)</t>
      </text>
    </comment>
    <comment ref="J11" authorId="1" shapeId="0" xr:uid="{2651FFE0-6AC6-4E8C-9780-A79C165FDEE3}">
      <text>
        <r>
          <rPr>
            <b/>
            <sz val="9"/>
            <color indexed="81"/>
            <rFont val="Tahoma"/>
            <family val="2"/>
            <charset val="129"/>
          </rPr>
          <t>이진우1:</t>
        </r>
        <r>
          <rPr>
            <sz val="9"/>
            <color indexed="81"/>
            <rFont val="Tahoma"/>
            <family val="2"/>
            <charset val="129"/>
          </rPr>
          <t xml:space="preserve">
반품 제외, 양수 출고만 집계</t>
        </r>
      </text>
    </comment>
    <comment ref="J12" authorId="1" shapeId="0" xr:uid="{D1203AAE-4637-454C-AC13-F583485A9F03}">
      <text>
        <r>
          <rPr>
            <b/>
            <sz val="9"/>
            <color indexed="81"/>
            <rFont val="Tahoma"/>
            <family val="2"/>
            <charset val="129"/>
          </rPr>
          <t>이진우1:</t>
        </r>
        <r>
          <rPr>
            <sz val="9"/>
            <color indexed="81"/>
            <rFont val="Tahoma"/>
            <family val="2"/>
            <charset val="129"/>
          </rPr>
          <t xml:space="preserve">
반품 제외, 양수 출고만 집계</t>
        </r>
      </text>
    </comment>
    <comment ref="H13" authorId="2" shapeId="0" xr:uid="{D2BD45BD-FC5A-4092-A040-40259A53192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명절 선물</t>
      </text>
    </comment>
    <comment ref="J13" authorId="3" shapeId="0" xr:uid="{25A33A3F-344F-4E63-8AD1-E76E0D4FCC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홈쇼핑 반품 3건 포함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tc={1E5AED48-9E44-49E6-9F34-6C5644CD013A}</author>
    <author>tc={CFC28ACD-8E10-4109-899E-91E30CAF85BF}</author>
    <author>tc={BCDE379E-8100-4A50-BDB5-FEE68992EDC4}</author>
    <author>tc={0647B396-63BD-4AF3-8796-F89B9BC0DBEB}</author>
    <author>tc={291A631E-C879-4152-A5F7-8E67D863DA35}</author>
    <author>tc={8B7219D9-FEA0-4BCC-A0CB-CC5F2B801F8C}</author>
  </authors>
  <commentList>
    <comment ref="L3" authorId="0" shapeId="0" xr:uid="{1E5AED48-9E44-49E6-9F34-6C5644CD013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배송메세지</t>
      </text>
    </comment>
    <comment ref="N3" authorId="1" shapeId="0" xr:uid="{CFC28ACD-8E10-4109-899E-91E30CAF85B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주문번호</t>
      </text>
    </comment>
    <comment ref="O3" authorId="2" shapeId="0" xr:uid="{BCDE379E-8100-4A50-BDB5-FEE68992EDC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상품번호</t>
      </text>
    </comment>
    <comment ref="P3" authorId="3" shapeId="0" xr:uid="{0647B396-63BD-4AF3-8796-F89B9BC0DBE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채널명</t>
      </text>
    </comment>
    <comment ref="Y3" authorId="4" shapeId="0" xr:uid="{291A631E-C879-4152-A5F7-8E67D863DA3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채널 정산금액(vat+) = 총 매출액 - 수수료</t>
      </text>
    </comment>
    <comment ref="AJ8" authorId="5" shapeId="0" xr:uid="{8B7219D9-FEA0-4BCC-A0CB-CC5F2B801F8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판매수수료 : 10.6% (VAT별도 기준)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tc={8E41B881-D6CE-4C32-82A1-BDB477D551BD}</author>
    <author>tc={9EEF9B8A-42CC-4D0D-8E07-FDD5D3272F36}</author>
    <author>tc={125EDE98-88E1-49B2-A0DA-581E4D43D1F0}</author>
    <author>tc={C3265032-DF55-4DDB-B290-96035DCC7640}</author>
    <author>tc={E467DEE8-278D-48DD-AFB0-A1DF74B020BB}</author>
  </authors>
  <commentList>
    <comment ref="I74" authorId="0" shapeId="0" xr:uid="{8E41B881-D6CE-4C32-82A1-BDB477D551BD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주식회사 프레시지-2025-13806 </t>
      </text>
    </comment>
    <comment ref="I91" authorId="1" shapeId="0" xr:uid="{9EEF9B8A-42CC-4D0D-8E07-FDD5D3272F3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주식회사 프레시지-2025-15370 </t>
      </text>
    </comment>
    <comment ref="I107" authorId="2" shapeId="0" xr:uid="{125EDE98-88E1-49B2-A0DA-581E4D43D1F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주식회사 프레시지-2025-16847 </t>
      </text>
    </comment>
    <comment ref="I108" authorId="3" shapeId="0" xr:uid="{C3265032-DF55-4DDB-B290-96035DCC764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주식회사 프레시지-2025-16847 </t>
      </text>
    </comment>
    <comment ref="AA120" authorId="4" shapeId="0" xr:uid="{E467DEE8-278D-48DD-AFB0-A1DF74B020B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세로형 P&amp;L 공헌이익 값 맞추기 위해 로열티 4.77%→3.77%로 임의 수정(영업전략팀 공유완료)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<sst xmlns="http://schemas.openxmlformats.org/spreadsheetml/2006/main" count="19479" uniqueCount="5927">
  <si>
    <r>
      <rPr>
        <b/>
        <sz val="9"/>
        <color rgb="FFFFFFFF"/>
        <rFont val="맑은 고딕"/>
        <family val="3"/>
        <charset val="129"/>
      </rPr>
      <t xml:space="preserve"> · 일자별 실적 현황</t>
    </r>
    <r>
      <rPr>
        <b/>
        <sz val="9"/>
        <color rgb="FFFF0000"/>
        <rFont val="맑은 고딕"/>
        <family val="3"/>
        <charset val="129"/>
      </rPr>
      <t xml:space="preserve"> (vat-)</t>
    </r>
  </si>
  <si>
    <t>월</t>
  </si>
  <si>
    <t>WK</t>
    <phoneticPr fontId="18" type="noConversion"/>
  </si>
  <si>
    <t>일자</t>
    <phoneticPr fontId="18" type="noConversion"/>
  </si>
  <si>
    <t>TOTAL</t>
    <phoneticPr fontId="18" type="noConversion"/>
  </si>
  <si>
    <t>SK스토아</t>
    <phoneticPr fontId="18" type="noConversion"/>
  </si>
  <si>
    <t>리씽크</t>
    <phoneticPr fontId="18" type="noConversion"/>
  </si>
  <si>
    <t>스마트스토어</t>
  </si>
  <si>
    <t>쿠팡</t>
  </si>
  <si>
    <t>카카오</t>
  </si>
  <si>
    <t>톡스토어</t>
  </si>
  <si>
    <t>기타</t>
  </si>
  <si>
    <t>매출</t>
  </si>
  <si>
    <t>수량</t>
  </si>
  <si>
    <t>2월</t>
  </si>
  <si>
    <t>W5</t>
    <phoneticPr fontId="18" type="noConversion"/>
  </si>
  <si>
    <t>W6</t>
    <phoneticPr fontId="18" type="noConversion"/>
  </si>
  <si>
    <t>W7</t>
    <phoneticPr fontId="18" type="noConversion"/>
  </si>
  <si>
    <t>W8</t>
    <phoneticPr fontId="18" type="noConversion"/>
  </si>
  <si>
    <t>W9</t>
    <phoneticPr fontId="18" type="noConversion"/>
  </si>
  <si>
    <t>3월</t>
  </si>
  <si>
    <t>W9</t>
  </si>
  <si>
    <t>W10</t>
  </si>
  <si>
    <t>W11</t>
  </si>
  <si>
    <t>W12</t>
  </si>
  <si>
    <t>W13</t>
  </si>
  <si>
    <t>W14</t>
  </si>
  <si>
    <r>
      <rPr>
        <b/>
        <sz val="9"/>
        <color rgb="FFFFFFFF"/>
        <rFont val="맑은 고딕"/>
        <family val="3"/>
        <charset val="129"/>
      </rPr>
      <t xml:space="preserve"> · 월별 실적 현황</t>
    </r>
    <r>
      <rPr>
        <b/>
        <sz val="9"/>
        <color rgb="FFFF0000"/>
        <rFont val="맑은 고딕"/>
        <family val="3"/>
        <charset val="129"/>
      </rPr>
      <t xml:space="preserve"> (vat-)</t>
    </r>
  </si>
  <si>
    <t>*샘플, 이벤트/광고 비용, 채널 수수료 등</t>
  </si>
  <si>
    <t>팀</t>
    <phoneticPr fontId="3" type="noConversion"/>
  </si>
  <si>
    <t>채널</t>
    <phoneticPr fontId="3" type="noConversion"/>
  </si>
  <si>
    <t>매출(차감전)</t>
  </si>
  <si>
    <t>매출(차감후)</t>
  </si>
  <si>
    <t>쿠폰비</t>
    <phoneticPr fontId="3" type="noConversion"/>
  </si>
  <si>
    <t>원가</t>
    <phoneticPr fontId="3" type="noConversion"/>
  </si>
  <si>
    <t>물류비</t>
    <phoneticPr fontId="3" type="noConversion"/>
  </si>
  <si>
    <t>판관비</t>
  </si>
  <si>
    <t>공헌이익</t>
    <phoneticPr fontId="3" type="noConversion"/>
  </si>
  <si>
    <t>공헌이익율</t>
    <phoneticPr fontId="3" type="noConversion"/>
  </si>
  <si>
    <t>플랫폼커머스팀</t>
  </si>
  <si>
    <t>2월 누계</t>
  </si>
  <si>
    <t>리씽크</t>
  </si>
  <si>
    <t>미디어커머스팀</t>
  </si>
  <si>
    <t>재고내역</t>
    <phoneticPr fontId="56" type="noConversion"/>
  </si>
  <si>
    <t>차이</t>
  </si>
  <si>
    <t xml:space="preserve">정인 </t>
  </si>
  <si>
    <t>로가온</t>
  </si>
  <si>
    <t>x</t>
    <phoneticPr fontId="18" type="noConversion"/>
  </si>
  <si>
    <t>유통전문판매원</t>
    <phoneticPr fontId="18" type="noConversion"/>
  </si>
  <si>
    <t>창고명</t>
    <phoneticPr fontId="18" type="noConversion"/>
  </si>
  <si>
    <t>보관유형</t>
    <phoneticPr fontId="18" type="noConversion"/>
  </si>
  <si>
    <t>분류</t>
    <phoneticPr fontId="18" type="noConversion"/>
  </si>
  <si>
    <t>상품명</t>
    <phoneticPr fontId="18" type="noConversion"/>
  </si>
  <si>
    <t>단위</t>
    <phoneticPr fontId="18" type="noConversion"/>
  </si>
  <si>
    <t>입고</t>
  </si>
  <si>
    <t>출고</t>
    <phoneticPr fontId="18" type="noConversion"/>
  </si>
  <si>
    <t>현 재고</t>
    <phoneticPr fontId="18" type="noConversion"/>
  </si>
  <si>
    <t>유통기한</t>
  </si>
  <si>
    <t>비고</t>
    <phoneticPr fontId="18" type="noConversion"/>
  </si>
  <si>
    <t>단가</t>
    <phoneticPr fontId="18" type="noConversion"/>
  </si>
  <si>
    <t>재고금액(VAT별도)</t>
    <phoneticPr fontId="18" type="noConversion"/>
  </si>
  <si>
    <t>입고금액(VAT별도)</t>
    <phoneticPr fontId="18" type="noConversion"/>
  </si>
  <si>
    <t>출고금액(VAT별도)</t>
    <phoneticPr fontId="18" type="noConversion"/>
  </si>
  <si>
    <t>SK네트웍스</t>
    <phoneticPr fontId="18" type="noConversion"/>
  </si>
  <si>
    <t>정인</t>
    <phoneticPr fontId="18" type="noConversion"/>
  </si>
  <si>
    <t>냉동</t>
  </si>
  <si>
    <t>상품</t>
  </si>
  <si>
    <t>[워커힐] 시그니처 양념본갈비 300G</t>
  </si>
  <si>
    <t>EA</t>
    <phoneticPr fontId="18" type="noConversion"/>
  </si>
  <si>
    <t>옵션</t>
  </si>
  <si>
    <t>샘플</t>
  </si>
  <si>
    <t>워커힐 시그니처 양념 본갈비 300g, 1개</t>
  </si>
  <si>
    <t>워커힐 시그니처 양념 본갈비 300g, 2개</t>
  </si>
  <si>
    <t>워커힐 시그니처 양념 본갈비 300g, 4개</t>
  </si>
  <si>
    <t>워커힐 시그니처 양념 본갈비 300g, 6개</t>
  </si>
  <si>
    <t>워커힐 시그니처 양념 본갈비 300g, 8개</t>
  </si>
  <si>
    <t>정인 출고수량</t>
  </si>
  <si>
    <t>홈쇼핑 외 출고수량</t>
  </si>
  <si>
    <t>차이 수량</t>
  </si>
  <si>
    <t>날짜</t>
  </si>
  <si>
    <t>8개입 출고 (+)</t>
  </si>
  <si>
    <t>8개입 반품 (-)</t>
  </si>
  <si>
    <t>4개입 출고 (+)</t>
  </si>
  <si>
    <t>4개입 반품 (-)</t>
  </si>
  <si>
    <t>합계</t>
  </si>
  <si>
    <t>*큰 박스 최대 8개, 작은 박스 최대 4개 투입</t>
  </si>
  <si>
    <t>수식</t>
  </si>
  <si>
    <t>받으시는 분</t>
  </si>
  <si>
    <t>받으시는 분 전화</t>
  </si>
  <si>
    <t>받는분담당자</t>
  </si>
  <si>
    <t>받는분핸드폰</t>
  </si>
  <si>
    <t>받는분우편번호</t>
  </si>
  <si>
    <t>받는분총주소</t>
  </si>
  <si>
    <t>품목명</t>
  </si>
  <si>
    <t>운임Type</t>
  </si>
  <si>
    <t>지불조건</t>
  </si>
  <si>
    <t>출고번호</t>
  </si>
  <si>
    <t>특기사항</t>
  </si>
  <si>
    <t>메모1</t>
  </si>
  <si>
    <t>메모2</t>
  </si>
  <si>
    <t>메모3</t>
  </si>
  <si>
    <t>메모4</t>
  </si>
  <si>
    <t>출고일</t>
  </si>
  <si>
    <t>매출처명</t>
  </si>
  <si>
    <t>판매가</t>
  </si>
  <si>
    <t>쿠폰비</t>
  </si>
  <si>
    <t>총 매출액</t>
  </si>
  <si>
    <t>실 매출(vat-)</t>
  </si>
  <si>
    <t>수량(1ea 단품 기준)</t>
  </si>
  <si>
    <t>수수료</t>
  </si>
  <si>
    <t>원가</t>
  </si>
  <si>
    <t>물류비</t>
  </si>
  <si>
    <t>공헌이익</t>
  </si>
  <si>
    <t>공헌이익율</t>
  </si>
  <si>
    <t>비고</t>
  </si>
  <si>
    <t>지급예정금액</t>
  </si>
  <si>
    <t>리씽크 샘플</t>
  </si>
  <si>
    <t>이진우</t>
  </si>
  <si>
    <t>010-4516-7881</t>
  </si>
  <si>
    <t>08279</t>
  </si>
  <si>
    <t>서울특별시 구로구 구로동로47길 24 (구로동, 구로중앙하이츠아파트) 102-906</t>
  </si>
  <si>
    <t>2026020586412211</t>
  </si>
  <si>
    <t>2026020586548501</t>
  </si>
  <si>
    <t>13026511254</t>
  </si>
  <si>
    <t>선우동국</t>
  </si>
  <si>
    <t>010-3090-6765</t>
  </si>
  <si>
    <t>02533</t>
  </si>
  <si>
    <t>서울특별시 동대문구 사가정로 190 (전농동, 전농우성아파트) 3동 1103호</t>
  </si>
  <si>
    <t>2026020586046791</t>
  </si>
  <si>
    <t>2026020586295071</t>
  </si>
  <si>
    <t>13026511253</t>
  </si>
  <si>
    <t>*쿠팡 즉시할인</t>
  </si>
  <si>
    <t>2/5~2/11</t>
  </si>
  <si>
    <t>*채널 수수료</t>
  </si>
  <si>
    <t>합계 : 수량(1ea 단품 기준)</t>
  </si>
  <si>
    <t>서은경</t>
  </si>
  <si>
    <t>010-7470-6174</t>
  </si>
  <si>
    <t>02535</t>
  </si>
  <si>
    <t>서울특별시 동대문구 한천로37길 33 (답십리동, 래미안엘파인아파트) 108동 1103호</t>
  </si>
  <si>
    <t>2026020477087661</t>
  </si>
  <si>
    <t>2026020480361831</t>
  </si>
  <si>
    <t>이정례</t>
  </si>
  <si>
    <t>0502-4122-2717</t>
  </si>
  <si>
    <t>10021</t>
  </si>
  <si>
    <t>경기도 김포시 월곶면 용강로57번길 31-5 1층</t>
  </si>
  <si>
    <t>문 앞</t>
  </si>
  <si>
    <t>651343802793997</t>
  </si>
  <si>
    <t>12100169248866</t>
  </si>
  <si>
    <t>94659124876</t>
  </si>
  <si>
    <t>0502-1697-1836</t>
  </si>
  <si>
    <t>서울특별시 동대문구 한천로37길 33 래미안 엘파인 아파트, 108동 1103호 ( 답십리동, 래미안엘파인아파트 )</t>
  </si>
  <si>
    <t>651376581296215</t>
  </si>
  <si>
    <t>28100169339326</t>
  </si>
  <si>
    <t>이미숙</t>
  </si>
  <si>
    <t>0502-5119-6719</t>
  </si>
  <si>
    <t>31168</t>
  </si>
  <si>
    <t>충청남도 천안시 서북구 공원로 196 103동2002호 ( 불당동, 펜타포트 )</t>
  </si>
  <si>
    <t>651516109013044</t>
  </si>
  <si>
    <t>30100169868577</t>
  </si>
  <si>
    <t>편경화</t>
  </si>
  <si>
    <t>010-6268-4062</t>
  </si>
  <si>
    <t>13993</t>
  </si>
  <si>
    <t>경기 안양시 만안구 안양천서로 357 안양역한양수자인리버파크 101동 2404호</t>
  </si>
  <si>
    <t/>
  </si>
  <si>
    <t>OPT-2474637-2720942</t>
  </si>
  <si>
    <t>정희순</t>
  </si>
  <si>
    <t>010-8509-1977</t>
  </si>
  <si>
    <t>48414</t>
  </si>
  <si>
    <t>부산 남구 전포대로20번길 15 102동 2402호</t>
  </si>
  <si>
    <t>문 앞에 놔주세요.</t>
  </si>
  <si>
    <t>OPT-2474614-2720917</t>
  </si>
  <si>
    <t>2/12~2/28</t>
  </si>
  <si>
    <t>서경수</t>
  </si>
  <si>
    <t>010-3268-6326</t>
  </si>
  <si>
    <t>22779</t>
  </si>
  <si>
    <t>인천광역시 서구 봉오재1로 49 (신현동, 루원시티루에블리) 806동2203호</t>
  </si>
  <si>
    <t>OPT-2474611-2720914</t>
  </si>
  <si>
    <t>유경태</t>
  </si>
  <si>
    <t>010-7104-8919</t>
  </si>
  <si>
    <t>03438</t>
  </si>
  <si>
    <t>서울 은평구 갈현로1길 31 103동701호</t>
  </si>
  <si>
    <t>OPT-2474591-2720893</t>
  </si>
  <si>
    <t>김남희</t>
  </si>
  <si>
    <t>010-5018-5129</t>
  </si>
  <si>
    <t>31971</t>
  </si>
  <si>
    <t>충남 서산시 부춘2로 47 대림동신아파트 202동1308호</t>
  </si>
  <si>
    <t>OPT-2474590-2720892</t>
  </si>
  <si>
    <t>(비어 있음)</t>
  </si>
  <si>
    <t>노 도빈</t>
  </si>
  <si>
    <t>010-5095-3185</t>
  </si>
  <si>
    <t>06276</t>
  </si>
  <si>
    <t>서울특별시 강남구 선릉로 221 (도곡동, 도곡렉슬아파트) 212동 201호</t>
  </si>
  <si>
    <t>OPT-2474583-2720885</t>
  </si>
  <si>
    <t>총합계</t>
  </si>
  <si>
    <t>김인경</t>
  </si>
  <si>
    <t>010-4276-8831</t>
  </si>
  <si>
    <t>13595</t>
  </si>
  <si>
    <t>경기도 성남시 분당구 백현로 105 (수내동) B동 1601</t>
  </si>
  <si>
    <t>OPT-2474579-2720881</t>
  </si>
  <si>
    <t>김성민</t>
  </si>
  <si>
    <t>010-2799-5539</t>
  </si>
  <si>
    <t>04969</t>
  </si>
  <si>
    <t>서울 광진구 아차산로76길 31 102동805호(광장동, 광나루현대아파트)</t>
  </si>
  <si>
    <t>문앞</t>
  </si>
  <si>
    <t>OPT-2474568-2720870</t>
  </si>
  <si>
    <t>신현정</t>
  </si>
  <si>
    <t>010-8395-9816</t>
  </si>
  <si>
    <t>02095</t>
  </si>
  <si>
    <t>서울 중랑구 동일로 752 중화한신아파트 105동2106호</t>
  </si>
  <si>
    <t>OPT-2474500-2720801</t>
  </si>
  <si>
    <t>zzangbc</t>
  </si>
  <si>
    <t>010-8931-5099</t>
  </si>
  <si>
    <t>54406</t>
  </si>
  <si>
    <t>전북특별자치도 김제시 남북3길 10 오베르힐1201</t>
  </si>
  <si>
    <t>문앞에 놔주시고 문자주세요</t>
  </si>
  <si>
    <t>OPT-2474485-2720782</t>
  </si>
  <si>
    <t>오경숙</t>
  </si>
  <si>
    <t>010-9052-5262</t>
  </si>
  <si>
    <t>55357</t>
  </si>
  <si>
    <t>전북특별자치도 완주군 소양면 신교응암길 95-28 단독주택</t>
  </si>
  <si>
    <t>OPT-2474476-2720770</t>
  </si>
  <si>
    <t>김민정</t>
  </si>
  <si>
    <t>010-9995-6948</t>
  </si>
  <si>
    <t>16582</t>
  </si>
  <si>
    <t>경기 수원시 권선구 권광로 55 122동1104호</t>
  </si>
  <si>
    <t>OPT-2474473-2720767</t>
  </si>
  <si>
    <t>eunhee</t>
  </si>
  <si>
    <t>010-5642-1975</t>
  </si>
  <si>
    <t>17336</t>
  </si>
  <si>
    <t>경기 이천시 대월면 대산로288번길 72 카페드르와</t>
  </si>
  <si>
    <t>OPT-2474470-2720764</t>
  </si>
  <si>
    <t>김민경</t>
  </si>
  <si>
    <t>010-9319-4939</t>
  </si>
  <si>
    <t>08257</t>
  </si>
  <si>
    <t>서울특별시 구로구 부일로 927 (궁동, 궁동 우남푸르미아아파트) 101동 503호</t>
  </si>
  <si>
    <t>OPT-2474469-2720763</t>
  </si>
  <si>
    <t>구동욱</t>
  </si>
  <si>
    <t>010-9479-1804</t>
  </si>
  <si>
    <t>42833</t>
  </si>
  <si>
    <t>대구 달서구 한실로 117 309동703호</t>
  </si>
  <si>
    <t>OPT-2474466-2720760</t>
  </si>
  <si>
    <t>지희</t>
  </si>
  <si>
    <t>010-6359-8751</t>
  </si>
  <si>
    <t>10909</t>
  </si>
  <si>
    <t>경기 파주시 하우고개길 183 104-101</t>
  </si>
  <si>
    <t>OPT-2474457-2720749</t>
  </si>
  <si>
    <t>김동길</t>
  </si>
  <si>
    <t>010-9919-7804</t>
  </si>
  <si>
    <t>41091</t>
  </si>
  <si>
    <t>대구광역시 동구 금강로16길 17-8 (신서동) 201호</t>
  </si>
  <si>
    <t>OPT-2474448-2720740</t>
  </si>
  <si>
    <t>예지</t>
  </si>
  <si>
    <t>010-4321-4906</t>
  </si>
  <si>
    <t>31090</t>
  </si>
  <si>
    <t>충남 천안시 서북구 오성8길 8 코지빌 403호</t>
  </si>
  <si>
    <t>OPT-2474438-2720728</t>
  </si>
  <si>
    <t>고종희</t>
  </si>
  <si>
    <t>010-3266-0597</t>
  </si>
  <si>
    <t>03357</t>
  </si>
  <si>
    <t>서울특별시 은평구 통일로 796 (불광동, 북한산 힐스테이트7차) 108동 202호</t>
  </si>
  <si>
    <t>OPT-2474427-2720716</t>
  </si>
  <si>
    <t>김진수</t>
  </si>
  <si>
    <t>010-4145-7149</t>
  </si>
  <si>
    <t>33475</t>
  </si>
  <si>
    <t>충남 보령시 명천로 106 105동 905호</t>
  </si>
  <si>
    <t>OPT-2474425-2720714</t>
  </si>
  <si>
    <t>엄순덕</t>
  </si>
  <si>
    <t>010-7702-2826</t>
  </si>
  <si>
    <t>26346</t>
  </si>
  <si>
    <t>강원특별자치도 원주시 지정면 조엄로 391 130동 1402호</t>
  </si>
  <si>
    <t>OPT-2474423-2720712</t>
  </si>
  <si>
    <t>jmin</t>
  </si>
  <si>
    <t>010-8918-6118</t>
  </si>
  <si>
    <t>13544</t>
  </si>
  <si>
    <t>경기 성남시 분당구 판교대장로5길 58 1107동 1301호</t>
  </si>
  <si>
    <t>OPT-2474421-2720710</t>
  </si>
  <si>
    <t>황인아</t>
  </si>
  <si>
    <t>010-9107-3089</t>
  </si>
  <si>
    <t>03903</t>
  </si>
  <si>
    <t>서울 마포구 상암산로1길 92 701동 701호</t>
  </si>
  <si>
    <t>OPT-2474418-2720707</t>
  </si>
  <si>
    <t>김호종</t>
  </si>
  <si>
    <t>010-4611-1343</t>
  </si>
  <si>
    <t>16828</t>
  </si>
  <si>
    <t>경기도 용인시 수지구 손곡로 67 (동천동, 수진마을 우미 이노스빌) 301-106</t>
  </si>
  <si>
    <t>OPT-2474417-2720706</t>
  </si>
  <si>
    <t>김교욱</t>
  </si>
  <si>
    <t>010-9402-9909</t>
  </si>
  <si>
    <t>16822</t>
  </si>
  <si>
    <t>경기 용인시 수지구 동천로153번길 7 1102동 602호</t>
  </si>
  <si>
    <t>OPT-2474412-2720701</t>
  </si>
  <si>
    <t>문효진</t>
  </si>
  <si>
    <t>010-3382-1494</t>
  </si>
  <si>
    <t>05224</t>
  </si>
  <si>
    <t>서울 강동구 고덕로 333 118동 2102호</t>
  </si>
  <si>
    <t>문앞 배송후 문자부탁드립니다</t>
  </si>
  <si>
    <t>OPT-2474407-2720696</t>
  </si>
  <si>
    <t>Yumi Chun</t>
  </si>
  <si>
    <t>010-9011-3805</t>
  </si>
  <si>
    <t>16868</t>
  </si>
  <si>
    <t>경기 용인시 수지구 용구대로 2720 105동 1206호</t>
  </si>
  <si>
    <t>OPT-2474405-2720694</t>
  </si>
  <si>
    <t>박순자</t>
  </si>
  <si>
    <t>010-5503-6926</t>
  </si>
  <si>
    <t>57161</t>
  </si>
  <si>
    <t>전남 함평군 학교면 선암길 28-8 집앞</t>
  </si>
  <si>
    <t>대문 안쪽 집앞에 부탁드립니다</t>
  </si>
  <si>
    <t>OPT-2474398-2720685</t>
  </si>
  <si>
    <t>친절한 재무코치 희순</t>
  </si>
  <si>
    <t>010-9346-2780</t>
  </si>
  <si>
    <t>48288</t>
  </si>
  <si>
    <t>부산 수영구 광안해변로307번길 37 101호</t>
  </si>
  <si>
    <t>현관문안쪽두세요</t>
  </si>
  <si>
    <t>OPT-2474395-2720682</t>
  </si>
  <si>
    <t>코코넛</t>
  </si>
  <si>
    <t>010-7531-0337</t>
  </si>
  <si>
    <t>05846</t>
  </si>
  <si>
    <t>서울특별시 송파구 위례송파로 123 (거여동, 포레나송파) 1707동 603호</t>
  </si>
  <si>
    <t>드라이스 아이스 빵빵하게 부탁드립니다.</t>
  </si>
  <si>
    <t>OPT-2474394-2720681</t>
  </si>
  <si>
    <t>조종원</t>
  </si>
  <si>
    <t>010-3837-3626</t>
  </si>
  <si>
    <t>50650</t>
  </si>
  <si>
    <t>경남 양산시 동면 금오16길 65 경남 양산시 동면 금오16길65,106동2401호(남양산이편한세상1차)</t>
  </si>
  <si>
    <t>OPT-2474387-2720672</t>
  </si>
  <si>
    <t>최수연</t>
  </si>
  <si>
    <t>010-9984-1481</t>
  </si>
  <si>
    <t>서울 성북구 서경로 28 102동 1001호</t>
  </si>
  <si>
    <t>OPT-2474385-2720670</t>
  </si>
  <si>
    <t>Harry”</t>
  </si>
  <si>
    <t>010-8868-1996</t>
  </si>
  <si>
    <t>13539</t>
  </si>
  <si>
    <t>경기 성남시 분당구 판교백현로 38 101동 1201호</t>
  </si>
  <si>
    <t>OPT-2474381-2720665</t>
  </si>
  <si>
    <t>박진혁</t>
  </si>
  <si>
    <t>010-9158-3106</t>
  </si>
  <si>
    <t>16517</t>
  </si>
  <si>
    <t>경기 수원시 영통구 광교호수공원로 277 110동 4603호</t>
  </si>
  <si>
    <t>OPT-2474377-2720661</t>
  </si>
  <si>
    <t>구자봉</t>
  </si>
  <si>
    <t>010-3067-1884</t>
  </si>
  <si>
    <t>05274</t>
  </si>
  <si>
    <t>서울 강동구 고덕로 360 아르테온 아파트 323동705호</t>
  </si>
  <si>
    <t>아르테온 아파트 323동705호</t>
  </si>
  <si>
    <t>OPT-2474376-2720660</t>
  </si>
  <si>
    <t>명열</t>
  </si>
  <si>
    <t>010-2730-5221</t>
  </si>
  <si>
    <t>경기 용인시 수지구 동천로135번길 21 1310-802</t>
  </si>
  <si>
    <t>OPT-2474370-2720653</t>
  </si>
  <si>
    <t>장석경</t>
  </si>
  <si>
    <t>010-8419-0367</t>
  </si>
  <si>
    <t>63090</t>
  </si>
  <si>
    <t>제주특별자치도 제주시 과원로 11 부영2차 204동 910호</t>
  </si>
  <si>
    <t>OPT-2474362-2720644</t>
  </si>
  <si>
    <t>Jin 김현진</t>
  </si>
  <si>
    <t>010-4880-9223</t>
  </si>
  <si>
    <t>06714</t>
  </si>
  <si>
    <t>서울 서초구 남부순환로 2311-12 105-1901(방배래미안아트힐아파트)</t>
  </si>
  <si>
    <t>OPT-2474361-2720643</t>
  </si>
  <si>
    <t>송병선</t>
  </si>
  <si>
    <t>010-5360-4696</t>
  </si>
  <si>
    <t>14596</t>
  </si>
  <si>
    <t>경기 부천시 원미구 부흥로 102 한아름한국아파트 1538동 103호</t>
  </si>
  <si>
    <t>OPT-2474355-2720635</t>
  </si>
  <si>
    <t>Jeeyoung</t>
  </si>
  <si>
    <t>010-9097-7084</t>
  </si>
  <si>
    <t>16021</t>
  </si>
  <si>
    <t>경기 의왕시 내손중앙로 11 1110-2504</t>
  </si>
  <si>
    <t>OPT-2474350-2720629</t>
  </si>
  <si>
    <t>제민맘짱</t>
  </si>
  <si>
    <t>010-4427-5129</t>
  </si>
  <si>
    <t>31091</t>
  </si>
  <si>
    <t>충청남도 천안시 서북구 한들3로 100 (백석동, 백석마을아이파크아파트) 114동 402호</t>
  </si>
  <si>
    <t>OPT-2474349-2720628</t>
  </si>
  <si>
    <t>chungyoul</t>
  </si>
  <si>
    <t>010-6360-8033</t>
  </si>
  <si>
    <t>03911</t>
  </si>
  <si>
    <t>서울특별시 마포구 월드컵로 338 (상암동, 상암월드컵파크 3단지) 309동301호</t>
  </si>
  <si>
    <t>OPT-2474341-2720620</t>
  </si>
  <si>
    <t>곽규환</t>
  </si>
  <si>
    <t>010-6389-1775</t>
  </si>
  <si>
    <t>경기도 성남시 분당구 판교대장로5길 20 (대장동, 판교 풍경채 어바니티 5단지) 502동 1003호</t>
  </si>
  <si>
    <t>OPT-2474340-2720619</t>
  </si>
  <si>
    <t>손민기(칡소)</t>
  </si>
  <si>
    <t>010-5217-7255</t>
  </si>
  <si>
    <t>13379</t>
  </si>
  <si>
    <t>경기 성남시 수정구 수정로 2 103동 706호(수진동,삼정그린뷰아파트)</t>
  </si>
  <si>
    <t>OPT-2474338-2720617</t>
  </si>
  <si>
    <t>최복식</t>
  </si>
  <si>
    <t>010-3198-2621</t>
  </si>
  <si>
    <t>46017</t>
  </si>
  <si>
    <t>부산광역시 기장군 정관읍 정관5로 12 (동원로얄듀크2차아파트) 214동 1705호</t>
  </si>
  <si>
    <t>OPT-2474337-2720616</t>
  </si>
  <si>
    <t>jihyun</t>
  </si>
  <si>
    <t>010-8501-9350</t>
  </si>
  <si>
    <t>47748</t>
  </si>
  <si>
    <t>부산광역시 동래구 명륜로 170 (명륜동, 명륜아이파크1단지) 107동 802호</t>
  </si>
  <si>
    <t>OPT-2474335-2720614</t>
  </si>
  <si>
    <t>이순분</t>
  </si>
  <si>
    <t>010-7135-4709</t>
  </si>
  <si>
    <t>21434</t>
  </si>
  <si>
    <t>인천광역시 부평구 아트센터로 118 (십정동, 동암신동아아파트) 신동아104동205호</t>
  </si>
  <si>
    <t>OPT-2474334-2720613</t>
  </si>
  <si>
    <t>시냇가에 심은 나무처럼~</t>
  </si>
  <si>
    <t>010-3412-0497</t>
  </si>
  <si>
    <t>07046</t>
  </si>
  <si>
    <t>서울 동작구 성대로 164 상도푸르지오클라베뉴  106동905호</t>
  </si>
  <si>
    <t>OPT-2474332-2720611</t>
  </si>
  <si>
    <t>WJ</t>
  </si>
  <si>
    <t>010-8602-5630</t>
  </si>
  <si>
    <t>10391</t>
  </si>
  <si>
    <t>경기 고양시 일산서구 킨텍스로 240 106동 2201호</t>
  </si>
  <si>
    <t>OPT-2474319-2720594</t>
  </si>
  <si>
    <t>이정희martha</t>
  </si>
  <si>
    <t>010-4538-2572</t>
  </si>
  <si>
    <t>23026</t>
  </si>
  <si>
    <t>인천광역시 강화군 강화읍 강화대로 96-1 (강화씨앤블루빌) 2동 18호</t>
  </si>
  <si>
    <t>삼프로 홍보 보고 주문해요</t>
  </si>
  <si>
    <t>OPT-2474316-2720591</t>
  </si>
  <si>
    <t>김지혜 / jumjum__2</t>
  </si>
  <si>
    <t>010-4274-7225</t>
  </si>
  <si>
    <t>16035</t>
  </si>
  <si>
    <t>경기 의왕시 내손순환로 8 202동 403호</t>
  </si>
  <si>
    <t>OPT-2474314-2720589</t>
  </si>
  <si>
    <t>김은영</t>
  </si>
  <si>
    <t>010-4991-3103</t>
  </si>
  <si>
    <t>51001</t>
  </si>
  <si>
    <t>경남 김해시 장유로 500 103동3603호</t>
  </si>
  <si>
    <t>OPT-2474311-2720586</t>
  </si>
  <si>
    <t>노영신</t>
  </si>
  <si>
    <t>010-3371-3214</t>
  </si>
  <si>
    <t>07584</t>
  </si>
  <si>
    <t>서울 강서구 강서로56나길 37 307동 603호</t>
  </si>
  <si>
    <t>OPT-2474308-2720583</t>
  </si>
  <si>
    <t>박보경</t>
  </si>
  <si>
    <t>010-4180-0848</t>
  </si>
  <si>
    <t>34074</t>
  </si>
  <si>
    <t>대전 유성구 지족로190번길 36 102동604호</t>
  </si>
  <si>
    <t>OPT-2474304-2720579</t>
  </si>
  <si>
    <t>신혜순</t>
  </si>
  <si>
    <t>010-6401-4459</t>
  </si>
  <si>
    <t>16693</t>
  </si>
  <si>
    <t>경기도 수원시 영통구 영통로200번길 112 (망포동, 영통 SK VIEW) 102동 1503호</t>
  </si>
  <si>
    <t>OPT-2474303-2720578</t>
  </si>
  <si>
    <t>곽판수님</t>
  </si>
  <si>
    <t>010-4555-7150</t>
  </si>
  <si>
    <t>49520</t>
  </si>
  <si>
    <t>부산 사하구 다대로 473 113-405</t>
  </si>
  <si>
    <t>문앞에 놔주세요</t>
  </si>
  <si>
    <t>OPT-2474298-2720573</t>
  </si>
  <si>
    <t>박정훈</t>
  </si>
  <si>
    <t>010-6733-7558</t>
  </si>
  <si>
    <t>21553</t>
  </si>
  <si>
    <t>인천광역시 남동구 구월로60번길 5 (간석동) 이한팔라티움 301호</t>
  </si>
  <si>
    <t>OPT-2474293-2720567</t>
  </si>
  <si>
    <t>곽민지(Hailey)</t>
  </si>
  <si>
    <t>010-8945-6652</t>
  </si>
  <si>
    <t>13599</t>
  </si>
  <si>
    <t>경기 성남시 분당구 수내로 148 114-3002</t>
  </si>
  <si>
    <t>OPT-2474287-2720559</t>
  </si>
  <si>
    <t>김종민</t>
  </si>
  <si>
    <t>010-5758-6251</t>
  </si>
  <si>
    <t>28123</t>
  </si>
  <si>
    <t>충북 청주시 청원구 오창읍 오창중앙로 105 908동 804호</t>
  </si>
  <si>
    <t>OPT-2474286-2720558</t>
  </si>
  <si>
    <t>오희웅</t>
  </si>
  <si>
    <t>010-5529-7174</t>
  </si>
  <si>
    <t>14706</t>
  </si>
  <si>
    <t>경기 부천시 소사구 은성로37번길 61 3층</t>
  </si>
  <si>
    <t>3층 안쪽에 넣어주세요</t>
  </si>
  <si>
    <t>OPT-2474282-2720554</t>
  </si>
  <si>
    <t>강동현</t>
  </si>
  <si>
    <t>010-9302-2134</t>
  </si>
  <si>
    <t>46765</t>
  </si>
  <si>
    <t>부산 강서구 명지오션시티1로 155 105동 202호</t>
  </si>
  <si>
    <t>OPT-2474281-2720553</t>
  </si>
  <si>
    <t>김한영</t>
  </si>
  <si>
    <t>010-9947-6428</t>
  </si>
  <si>
    <t>01707</t>
  </si>
  <si>
    <t>서울특별시 노원구 덕릉로77길 5 (중계동, 벽산아파트) 101동 1403호</t>
  </si>
  <si>
    <t>OPT-2474276-2720546</t>
  </si>
  <si>
    <t>유정희</t>
  </si>
  <si>
    <t>010-3220-0063</t>
  </si>
  <si>
    <t>11479</t>
  </si>
  <si>
    <t>경기도 양주시 옥정서로1길 60 (옥정동, e편한세상 옥정 더퍼스트) 1501-104</t>
  </si>
  <si>
    <t>OPT-2474274-2720544</t>
  </si>
  <si>
    <t>여영찬</t>
  </si>
  <si>
    <t>010-4880-0685</t>
  </si>
  <si>
    <t>06270</t>
  </si>
  <si>
    <t>서울특별시 강남구 논현로 209 (도곡동, 경남아파트) 104동 105호</t>
  </si>
  <si>
    <t>OPT-2474273-2720543</t>
  </si>
  <si>
    <t>강유정</t>
  </si>
  <si>
    <t>010-5094-7257</t>
  </si>
  <si>
    <t>49514</t>
  </si>
  <si>
    <t>부산 사하구 다대로 381 삼환2차 101동 1402호</t>
  </si>
  <si>
    <t>배송전 안내문자 요청드림</t>
  </si>
  <si>
    <t>OPT-2474272-2720542</t>
  </si>
  <si>
    <t>성영아</t>
  </si>
  <si>
    <t>010-4691-0932</t>
  </si>
  <si>
    <t>02598</t>
  </si>
  <si>
    <t>서울 동대문구 답십리로 130 304동902호</t>
  </si>
  <si>
    <t>OPT-2474270-2720540</t>
  </si>
  <si>
    <t>차은경</t>
  </si>
  <si>
    <t>010-4118-3866</t>
  </si>
  <si>
    <t>06784</t>
  </si>
  <si>
    <t>서울 서초구 동산로10길 13 이설하이츠빌라 203호</t>
  </si>
  <si>
    <t>OPT-2474269-2720539</t>
  </si>
  <si>
    <t>이현정</t>
  </si>
  <si>
    <t>010-3699-7964</t>
  </si>
  <si>
    <t>17943</t>
  </si>
  <si>
    <t>경기 평택시 안중읍 안현로서7길 9 201동 1301호</t>
  </si>
  <si>
    <t>OPT-2474268-2720538</t>
  </si>
  <si>
    <t>선화</t>
  </si>
  <si>
    <t>010-7544-5398</t>
  </si>
  <si>
    <t>22376</t>
  </si>
  <si>
    <t>인천 중구 흰바위로 249 239-802</t>
  </si>
  <si>
    <t>OPT-2474266-2720536</t>
  </si>
  <si>
    <t>조영훈</t>
  </si>
  <si>
    <t>010-9088-8007</t>
  </si>
  <si>
    <t>17058</t>
  </si>
  <si>
    <t>경기 용인시 처인구 명지로116번길 9-70 명지엘펜하임 103-604</t>
  </si>
  <si>
    <t>문앞, 전화</t>
  </si>
  <si>
    <t>OPT-2474263-2720533</t>
  </si>
  <si>
    <t>02712</t>
  </si>
  <si>
    <t>서울 성북구 솔샘로 120 122동 604호</t>
  </si>
  <si>
    <t>OPT-2474262-2720532</t>
  </si>
  <si>
    <t>김수이</t>
  </si>
  <si>
    <t>010-7600-4839</t>
  </si>
  <si>
    <t>18439</t>
  </si>
  <si>
    <t>경기 화성시 10용사2길 38 301</t>
  </si>
  <si>
    <t>OPT-2474259-2720529</t>
  </si>
  <si>
    <t>임용식</t>
  </si>
  <si>
    <t>010-3459-3122</t>
  </si>
  <si>
    <t>16704</t>
  </si>
  <si>
    <t>경기 수원시 영통구 봉영로 1620 102동 2301호</t>
  </si>
  <si>
    <t>문앞에 놓아주시고 문자주세요</t>
  </si>
  <si>
    <t>OPT-2474257-2720527</t>
  </si>
  <si>
    <t>추정미</t>
  </si>
  <si>
    <t>010-2520-6161</t>
  </si>
  <si>
    <t>06578</t>
  </si>
  <si>
    <t>서울 서초구 사평대로 142 신반포궁전아파트 1동306호</t>
  </si>
  <si>
    <t>OPT-2474252-2720522</t>
  </si>
  <si>
    <t>김연희</t>
  </si>
  <si>
    <t>010-4415-1588</t>
  </si>
  <si>
    <t>22879</t>
  </si>
  <si>
    <t>인천광역시 서구 이음2로 90 (당하동, 우미린 파크뷰 2단지) 201동 2304호</t>
  </si>
  <si>
    <t>OPT-2474251-2720521</t>
  </si>
  <si>
    <t>정희</t>
  </si>
  <si>
    <t>010-7444-9867</t>
  </si>
  <si>
    <t>31733</t>
  </si>
  <si>
    <t>충남 당진시 송악읍 틀모시로 768-38 305동301호</t>
  </si>
  <si>
    <t>OPT-2474250-2720520</t>
  </si>
  <si>
    <t>장하선</t>
  </si>
  <si>
    <t>010-2263-4795</t>
  </si>
  <si>
    <t>18032</t>
  </si>
  <si>
    <t>경기 평택시 상서재로 80 506-2504</t>
  </si>
  <si>
    <t>OPT-2474248-2720518</t>
  </si>
  <si>
    <t>진경안 (징카)</t>
  </si>
  <si>
    <t>010-2609-8728</t>
  </si>
  <si>
    <t>06216</t>
  </si>
  <si>
    <t>서울 강남구 역삼로 306 105-803</t>
  </si>
  <si>
    <t>OPT-2474246-2720516</t>
  </si>
  <si>
    <t>신현준</t>
  </si>
  <si>
    <t>010-7412-9077</t>
  </si>
  <si>
    <t>13339</t>
  </si>
  <si>
    <t>경기 성남시 수정구 수정로170번길 20-8 1층</t>
  </si>
  <si>
    <t>OPT-2474245-2720515</t>
  </si>
  <si>
    <t>전혜진</t>
  </si>
  <si>
    <t>010-3151-0372</t>
  </si>
  <si>
    <t>03180</t>
  </si>
  <si>
    <t>서울특별시 종로구 경교장길 35 (평동, 경희궁자이 3단지) 303동1506호</t>
  </si>
  <si>
    <t>OPT-2474240-2720510</t>
  </si>
  <si>
    <t>임정</t>
  </si>
  <si>
    <t>010-9181-5414</t>
  </si>
  <si>
    <t>14346</t>
  </si>
  <si>
    <t>경기 광명시 양지로 16 광명역 써밋103-604</t>
  </si>
  <si>
    <t>OPT-2474234-2720503</t>
  </si>
  <si>
    <t>홍성호</t>
  </si>
  <si>
    <t>010-8995-0281</t>
  </si>
  <si>
    <t>15596</t>
  </si>
  <si>
    <t>경기도 안산시 상록구 해양5로 17 (사동, 그랑시티자이 2차) 203동 3003호</t>
  </si>
  <si>
    <t>OPT-2474233-2720502</t>
  </si>
  <si>
    <t>레오</t>
  </si>
  <si>
    <t>010-3129-3165</t>
  </si>
  <si>
    <t>06289</t>
  </si>
  <si>
    <t>서울특별시 강남구 선릉로 120 (대치동, 개포1,2차우성아파트) 7동 1503호</t>
  </si>
  <si>
    <t>OPT-2474232-2720501</t>
  </si>
  <si>
    <t>류경아</t>
  </si>
  <si>
    <t>010-9301-3583</t>
  </si>
  <si>
    <t>50322</t>
  </si>
  <si>
    <t>경남 창녕군 창녕읍 조산서재골로 69-3 104동403호010  9301  3583</t>
  </si>
  <si>
    <t>배송 전 안내문자주세요</t>
  </si>
  <si>
    <t>OPT-2474230-2720499</t>
  </si>
  <si>
    <t>허경란</t>
  </si>
  <si>
    <t>010-6567-4263</t>
  </si>
  <si>
    <t>55084</t>
  </si>
  <si>
    <t>전북특별자치도 전주시 완산구 송정로 42-8 1층</t>
  </si>
  <si>
    <t>대문안 1층 계단위에 올려주세요</t>
  </si>
  <si>
    <t>OPT-2474229-2720498</t>
  </si>
  <si>
    <t>허원</t>
  </si>
  <si>
    <t>010-5536-3020</t>
  </si>
  <si>
    <t>51024</t>
  </si>
  <si>
    <t>경남 김해시 율하5로 46 109-1204</t>
  </si>
  <si>
    <t>OPT-2474228-2720497</t>
  </si>
  <si>
    <t>종윤</t>
  </si>
  <si>
    <t>010-3565-6861</t>
  </si>
  <si>
    <t>31467</t>
  </si>
  <si>
    <t>충남 아산시 배방읍 설화고길2번길 3-7 2층</t>
  </si>
  <si>
    <t>배송전 연락주세요</t>
  </si>
  <si>
    <t>OPT-2474227-2720496</t>
  </si>
  <si>
    <t>이현우</t>
  </si>
  <si>
    <t>010-4507-9876</t>
  </si>
  <si>
    <t>52353</t>
  </si>
  <si>
    <t>경남 하동군 금성면 회목길 58 103동 502호</t>
  </si>
  <si>
    <t>대문앞에 놓아주세요</t>
  </si>
  <si>
    <t>OPT-2474226-2720495</t>
  </si>
  <si>
    <t>김봉여</t>
  </si>
  <si>
    <t>010-6789-8686</t>
  </si>
  <si>
    <t>03333</t>
  </si>
  <si>
    <t>서울 은평구 연서로27길 11-9 타미 에코빌 602호</t>
  </si>
  <si>
    <t>문앞에</t>
  </si>
  <si>
    <t>OPT-2474224-2720493</t>
  </si>
  <si>
    <t>JEONG 근자</t>
  </si>
  <si>
    <t>010-5467-2931</t>
  </si>
  <si>
    <t>16699</t>
  </si>
  <si>
    <t>경기 수원시 영통구 매영로310번길 27 651동902호</t>
  </si>
  <si>
    <t>OPT-2474222-2720490</t>
  </si>
  <si>
    <t>(예정)</t>
  </si>
  <si>
    <t>010-4295-3200</t>
  </si>
  <si>
    <t>18480</t>
  </si>
  <si>
    <t>경기 화성시 동탄구 동탄기흥로353번길 76 1631동 207호</t>
  </si>
  <si>
    <t>OPT-2474220-2720488</t>
  </si>
  <si>
    <t>박미정</t>
  </si>
  <si>
    <t>010-4313-5662</t>
  </si>
  <si>
    <t>10579</t>
  </si>
  <si>
    <t>경기 고양시 덕양구 오금2로 26 201동402호</t>
  </si>
  <si>
    <t>OPT-2474219-2720487</t>
  </si>
  <si>
    <t>이대영</t>
  </si>
  <si>
    <t>010-3043-1632</t>
  </si>
  <si>
    <t>16281</t>
  </si>
  <si>
    <t>경기 수원시 장안구 금당로39번길 34 211동1403호</t>
  </si>
  <si>
    <t>OPT-2474218-2720486</t>
  </si>
  <si>
    <t>쭈니향기(현자 김)</t>
  </si>
  <si>
    <t>010-4757-8078</t>
  </si>
  <si>
    <t>16809</t>
  </si>
  <si>
    <t>경기 용인시 수지구 성복2로 158 605동202호(lg빌리지6차)</t>
  </si>
  <si>
    <t>OPT-2474217-2720485</t>
  </si>
  <si>
    <t>김소정</t>
  </si>
  <si>
    <t>010-8872-3470</t>
  </si>
  <si>
    <t>06360</t>
  </si>
  <si>
    <t>서울 강남구 광평로10길 15 101-202</t>
  </si>
  <si>
    <t>OPT-2474215-2720483</t>
  </si>
  <si>
    <t>차은영</t>
  </si>
  <si>
    <t>010-2358-8874</t>
  </si>
  <si>
    <t>21070</t>
  </si>
  <si>
    <t>인천광역시 계양구 계산새로 108 (계산동, 은행마을강북.삼보아파트) 403동1502호</t>
  </si>
  <si>
    <t>문앞배송</t>
  </si>
  <si>
    <t>OPT-2474214-2720482</t>
  </si>
  <si>
    <t>임희규</t>
  </si>
  <si>
    <t>010-2551-3537</t>
  </si>
  <si>
    <t>05501</t>
  </si>
  <si>
    <t>서울특별시 송파구 올림픽로 99 (잠실동, 잠실엘스) 129동 1601호</t>
  </si>
  <si>
    <t>OPT-2474212-2720480</t>
  </si>
  <si>
    <t>Bumjoon Kim</t>
  </si>
  <si>
    <t>010-5484-9644</t>
  </si>
  <si>
    <t>03505</t>
  </si>
  <si>
    <t>서울 은평구 수색로 200 103동 303호</t>
  </si>
  <si>
    <t>OPT-2474210-2720478</t>
  </si>
  <si>
    <t>최희</t>
  </si>
  <si>
    <t>010-5156-6560</t>
  </si>
  <si>
    <t>06937</t>
  </si>
  <si>
    <t>서울특별시 동작구 장승배기로11가길 11 (상도동, 상도파크자이) 101-1403</t>
  </si>
  <si>
    <t>OPT-2474211-2720479</t>
  </si>
  <si>
    <t>전명경</t>
  </si>
  <si>
    <t>010-5556-5716</t>
  </si>
  <si>
    <t>10472</t>
  </si>
  <si>
    <t>경기 고양시 덕양구 화중로 219 118동 404호</t>
  </si>
  <si>
    <t>감사합니다</t>
  </si>
  <si>
    <t>OPT-2474206-2720473</t>
  </si>
  <si>
    <t>김송제</t>
  </si>
  <si>
    <t>010-9049-0476</t>
  </si>
  <si>
    <t>12786</t>
  </si>
  <si>
    <t>경기 광주시 태봉로13번길 6 상가2층 미진세탁</t>
  </si>
  <si>
    <t>맛있게드세요!(경덕&amp;동민)</t>
  </si>
  <si>
    <t>OPT-2474205-2720472</t>
  </si>
  <si>
    <t>이여빈</t>
  </si>
  <si>
    <t>010-8863-6984</t>
  </si>
  <si>
    <t>55079</t>
  </si>
  <si>
    <t>전북특별자치도 전주시 완산구 홍산로 77 211동204호(우미린더프레스티지)</t>
  </si>
  <si>
    <t>문앞에 놓아주세요</t>
  </si>
  <si>
    <t>OPT-2474202-2720469</t>
  </si>
  <si>
    <t>장성원</t>
  </si>
  <si>
    <t>010-2593-0906</t>
  </si>
  <si>
    <t>58654</t>
  </si>
  <si>
    <t>전남 목포시 산정로 165-1 모락모락떡집 4층</t>
  </si>
  <si>
    <t>4층 문 앞에 부탁드립니다</t>
  </si>
  <si>
    <t>OPT-2474200-2720467</t>
  </si>
  <si>
    <t>오용석</t>
  </si>
  <si>
    <t>010-7191-3771</t>
  </si>
  <si>
    <t>12285</t>
  </si>
  <si>
    <t>경기 남양주시 다산중앙로82번길 12 5310-1703</t>
  </si>
  <si>
    <t>OPT-2474199-2720466</t>
  </si>
  <si>
    <t>김현진</t>
  </si>
  <si>
    <t>010-4703-1188</t>
  </si>
  <si>
    <t>11189</t>
  </si>
  <si>
    <t>경기 포천시 내촌면 포천로 63-7 가운데 큰창고</t>
  </si>
  <si>
    <t>주말은 사람 없어요.</t>
  </si>
  <si>
    <t>OPT-2474197-2720464</t>
  </si>
  <si>
    <t>이은희</t>
  </si>
  <si>
    <t>010-6551-4162</t>
  </si>
  <si>
    <t>12905</t>
  </si>
  <si>
    <t>경기 하남시 미사강변대로 270 707-1803</t>
  </si>
  <si>
    <t>OPT-2474196-2720463</t>
  </si>
  <si>
    <t>류주현</t>
  </si>
  <si>
    <t>010-3318-2976</t>
  </si>
  <si>
    <t>21982</t>
  </si>
  <si>
    <t>인천광역시 연수구 송도과학로51번길 136 (송도동, 송도 캐슬&amp;amp;해모로) 210-102</t>
  </si>
  <si>
    <t>OPT-2474195-2720462</t>
  </si>
  <si>
    <t>이순덕</t>
  </si>
  <si>
    <t>010-9185-2905</t>
  </si>
  <si>
    <t>05236</t>
  </si>
  <si>
    <t>서울특별시 강동구 고덕로 131 (암사동, 강동 롯데캐슬퍼스트아파트) 136동1701호</t>
  </si>
  <si>
    <t>OPT-2474192-2720459</t>
  </si>
  <si>
    <t>배수정</t>
  </si>
  <si>
    <t>010-7108-3332</t>
  </si>
  <si>
    <t>02117</t>
  </si>
  <si>
    <t>서울특별시 중랑구 망우로 223-8 (중화동, 미영리치타운102) 1401호</t>
  </si>
  <si>
    <t>OPT-2474193-2720460</t>
  </si>
  <si>
    <t>김경은</t>
  </si>
  <si>
    <t>010-3273-9870</t>
  </si>
  <si>
    <t>24414</t>
  </si>
  <si>
    <t>강원특별자치도 춘천시 지석로 67 201동 501호</t>
  </si>
  <si>
    <t>OPT-2474191-2720458</t>
  </si>
  <si>
    <t>이정민</t>
  </si>
  <si>
    <t>010-9271-5244</t>
  </si>
  <si>
    <t>경기도 남양주시 다산중앙로146번길 7 (다산동, 다산롯데캐슬) 2206-2503호</t>
  </si>
  <si>
    <t>OPT-2474190-2720457</t>
  </si>
  <si>
    <t>소잉랩 베로 구미애</t>
  </si>
  <si>
    <t>010-7475-5610</t>
  </si>
  <si>
    <t>06999</t>
  </si>
  <si>
    <t>서울 동작구 동작대로29길 91 208동동 706호</t>
  </si>
  <si>
    <t>문앞에 놓아주세요. 감사합니다.</t>
  </si>
  <si>
    <t>OPT-2474186-2720453</t>
  </si>
  <si>
    <t>이상현</t>
  </si>
  <si>
    <t>010-8171-3411</t>
  </si>
  <si>
    <t>16941</t>
  </si>
  <si>
    <t>경기도 용인시 수지구 상현로 30-10 (상현동, 광교상떼빌파크뷰) 4808-201</t>
  </si>
  <si>
    <t>OPT-2474187-2720454</t>
  </si>
  <si>
    <t>권수경</t>
  </si>
  <si>
    <t>010-5280-2553</t>
  </si>
  <si>
    <t>50987</t>
  </si>
  <si>
    <t>경남 김해시 대청로210번길 13 904동201호</t>
  </si>
  <si>
    <t>OPT-2474185-2720452</t>
  </si>
  <si>
    <t>김영회</t>
  </si>
  <si>
    <t>010-5478-1299</t>
  </si>
  <si>
    <t>03730</t>
  </si>
  <si>
    <t>서울특별시 서대문구 통일로 395 (홍제동, 홍제 센트럴 IPARK) 108/1601</t>
  </si>
  <si>
    <t>OPT-2474184-2720451</t>
  </si>
  <si>
    <t>류문식</t>
  </si>
  <si>
    <t>010-9250-9947</t>
  </si>
  <si>
    <t>44774</t>
  </si>
  <si>
    <t xml:space="preserve">울산 남구 두왕로34번길 42 104동1502호 </t>
  </si>
  <si>
    <t>OPT-2474183-2720450</t>
  </si>
  <si>
    <t>손상철</t>
  </si>
  <si>
    <t>010-2560-7715</t>
  </si>
  <si>
    <t>36057</t>
  </si>
  <si>
    <t>경북 영주시 가흥로 345-27 401동 1101호</t>
  </si>
  <si>
    <t>OPT-2474182-2720449</t>
  </si>
  <si>
    <t>우지안</t>
  </si>
  <si>
    <t>010-8897-7574</t>
  </si>
  <si>
    <t>06378</t>
  </si>
  <si>
    <t>서울 강남구 밤고개로23길 20-14 102호</t>
  </si>
  <si>
    <t>OPT-2474181-2720448</t>
  </si>
  <si>
    <t>김미애</t>
  </si>
  <si>
    <t>010-6490-1227</t>
  </si>
  <si>
    <t>55114</t>
  </si>
  <si>
    <t>전북특별자치도 전주시 완산구 장승배기로 398 101동801호</t>
  </si>
  <si>
    <t>부재시 문 앞에</t>
  </si>
  <si>
    <t>OPT-2474179-2720446</t>
  </si>
  <si>
    <t>서영민</t>
  </si>
  <si>
    <t>010-4906-7992</t>
  </si>
  <si>
    <t>17079</t>
  </si>
  <si>
    <t>경기도 용인시 기흥구 사은로84번길 10 (보라동, 용인 보라 효성해링턴플레이스) 106동701호</t>
  </si>
  <si>
    <t>OPT-2474178-2720445</t>
  </si>
  <si>
    <t>박영미</t>
  </si>
  <si>
    <t>010-3110-2474</t>
  </si>
  <si>
    <t>01752</t>
  </si>
  <si>
    <t>서울특별시 노원구 노해로 508 (상계동, 상계주공6단지아파트) 618-102호</t>
  </si>
  <si>
    <t>OPT-2474176-2720443</t>
  </si>
  <si>
    <t>임명희</t>
  </si>
  <si>
    <t>010-3226-1378</t>
  </si>
  <si>
    <t>35377</t>
  </si>
  <si>
    <t>대전 서구 구봉산북로 52 2차 207-303</t>
  </si>
  <si>
    <t>OPT-2474175-2720442</t>
  </si>
  <si>
    <t>정진영</t>
  </si>
  <si>
    <t>010-5564-8600</t>
  </si>
  <si>
    <t>11744</t>
  </si>
  <si>
    <t>경기 의정부시 시민로179번길 10 203동  501호</t>
  </si>
  <si>
    <t>OPT-2474174-2720441</t>
  </si>
  <si>
    <t>김진희</t>
  </si>
  <si>
    <t>010-8979-0151</t>
  </si>
  <si>
    <t>13260</t>
  </si>
  <si>
    <t>경기도 성남시 수정구 수정로 319 (신흥동, 산성역포레스티아아파트) 133동805호</t>
  </si>
  <si>
    <t>OPT-2474173-2720440</t>
  </si>
  <si>
    <t>신문우</t>
  </si>
  <si>
    <t>010-3425-2192</t>
  </si>
  <si>
    <t>충북 청주시 청원구 오창읍 오창중앙로 94 807동 1005호</t>
  </si>
  <si>
    <t>OPT-2474171-2720438</t>
  </si>
  <si>
    <t>유익종</t>
  </si>
  <si>
    <t>010-2085-3390</t>
  </si>
  <si>
    <t>42637</t>
  </si>
  <si>
    <t>대구광역시 달서구 장산남로 33 (용산동, 용산롯데캐슬그랜드) 111동1402</t>
  </si>
  <si>
    <t>OPT-2474170-2720437</t>
  </si>
  <si>
    <t>우경미</t>
  </si>
  <si>
    <t>010-4309-3737</t>
  </si>
  <si>
    <t>21321</t>
  </si>
  <si>
    <t>인천 부평구 영성중로 16 505동1103호</t>
  </si>
  <si>
    <t>부재시 문앞에두세요</t>
  </si>
  <si>
    <t>OPT-2474166-2720433</t>
  </si>
  <si>
    <t>정우연</t>
  </si>
  <si>
    <t>010-6479-0261</t>
  </si>
  <si>
    <t>03320</t>
  </si>
  <si>
    <t>서울 은평구 갈현로 263 5층</t>
  </si>
  <si>
    <t>문앞에 놓아 주세요</t>
  </si>
  <si>
    <t>OPT-2474164-2720431</t>
  </si>
  <si>
    <t>지현미</t>
  </si>
  <si>
    <t>010-4408-5742</t>
  </si>
  <si>
    <t>27502</t>
  </si>
  <si>
    <t>충북 충주시 호암수청1로 13 104동 1504호</t>
  </si>
  <si>
    <t>OPT-2474163-2720430</t>
  </si>
  <si>
    <t>홍수오</t>
  </si>
  <si>
    <t>010-4595-6327</t>
  </si>
  <si>
    <t>31161</t>
  </si>
  <si>
    <t>충남 천안시 서북구 봉서산1길 35 114-102</t>
  </si>
  <si>
    <t>OPT-2474161-2720428</t>
  </si>
  <si>
    <t>백선정</t>
  </si>
  <si>
    <t>010-5000-5266</t>
  </si>
  <si>
    <t>13914</t>
  </si>
  <si>
    <t>경기도 안양시 만안구 경수대로 1184 (안양동, 디아망) 디아망 1502호</t>
  </si>
  <si>
    <t>현관,  종+2580</t>
  </si>
  <si>
    <t>OPT-2474159-2720426</t>
  </si>
  <si>
    <t>현숙(민정♡연정)</t>
  </si>
  <si>
    <t>010-6327-5437</t>
  </si>
  <si>
    <t>14039</t>
  </si>
  <si>
    <t>경기도 안양시 동안구 안양천동로 162 (비산동, 비산힐스테이트아파트) 비산힐스테이트 107동1202호</t>
  </si>
  <si>
    <t>OPT-2474158-2720425</t>
  </si>
  <si>
    <t>김갑민</t>
  </si>
  <si>
    <t>010-9447-1354</t>
  </si>
  <si>
    <t>31564</t>
  </si>
  <si>
    <t>충남 아산시 남부로8번길 46-11 .</t>
  </si>
  <si>
    <t>OPT-2474157-2720424</t>
  </si>
  <si>
    <t>홍현용</t>
  </si>
  <si>
    <t>010-5348-0400</t>
  </si>
  <si>
    <t>18237</t>
  </si>
  <si>
    <t>경기 화성시 수노을1로 108 306동501호</t>
  </si>
  <si>
    <t>OPT-2474154-2720421</t>
  </si>
  <si>
    <t>이수진</t>
  </si>
  <si>
    <t>010-8992-7590</t>
  </si>
  <si>
    <t>13571</t>
  </si>
  <si>
    <t>경기도 성남시 분당구 이매로 160 (이매동, 이매동연립주택 베스티아3차) 301동 101호</t>
  </si>
  <si>
    <t>OPT-2474153-2720420</t>
  </si>
  <si>
    <t>김법희</t>
  </si>
  <si>
    <t>010-2656-2491</t>
  </si>
  <si>
    <t>16686</t>
  </si>
  <si>
    <t>경기 수원시 영통구 태장로36번길 36 201동 2203호</t>
  </si>
  <si>
    <t>OPT-2474152-2720419</t>
  </si>
  <si>
    <t>Amber</t>
  </si>
  <si>
    <t>010-9992-3343</t>
  </si>
  <si>
    <t>31528</t>
  </si>
  <si>
    <t>충남 아산시 못마루로 139 1006동 2404호</t>
  </si>
  <si>
    <t>OPT-2474151-2720418</t>
  </si>
  <si>
    <t>김상오</t>
  </si>
  <si>
    <t>010-4317-7022</t>
  </si>
  <si>
    <t>31165</t>
  </si>
  <si>
    <t>충청남도 천안시 서북구 불당13길 2 (불당동) 302호</t>
  </si>
  <si>
    <t>OPT-2474150-2720417</t>
  </si>
  <si>
    <t>고우열</t>
  </si>
  <si>
    <t>010-3427-3509</t>
  </si>
  <si>
    <t>34023</t>
  </si>
  <si>
    <t>대전 유성구 배울2로 78 612동 1402호</t>
  </si>
  <si>
    <t>OPT-2474149-2720416</t>
  </si>
  <si>
    <t>박윤주</t>
  </si>
  <si>
    <t>010-7133-8869</t>
  </si>
  <si>
    <t>46526</t>
  </si>
  <si>
    <t>부산 북구 화명신도시로 70 109-2005</t>
  </si>
  <si>
    <t>OPT-2474147-2720414</t>
  </si>
  <si>
    <t>박경희</t>
  </si>
  <si>
    <t>010-2630-1228</t>
  </si>
  <si>
    <t>07964</t>
  </si>
  <si>
    <t>서울특별시 양천구 목동중앙서로 37 (목동, 목동금호어울림아파트) 105동104호</t>
  </si>
  <si>
    <t>OPT-2474146-2720413</t>
  </si>
  <si>
    <t>Kim Kwanghan</t>
  </si>
  <si>
    <t>010-8863-1686</t>
  </si>
  <si>
    <t>16916</t>
  </si>
  <si>
    <t>경기도 용인시 기흥구 언남로29번길 34 (언남동, 더포레타운하우스) 104동402호</t>
  </si>
  <si>
    <t>OPT-2474145-2720412</t>
  </si>
  <si>
    <t>박정섭</t>
  </si>
  <si>
    <t>010-3587-8023</t>
  </si>
  <si>
    <t>48075</t>
  </si>
  <si>
    <t>부산 해운대구 대천로103번길 47 대림1차 108동 603호</t>
  </si>
  <si>
    <t>OPT-2474144-2720411</t>
  </si>
  <si>
    <t>김미연</t>
  </si>
  <si>
    <t>010-8373-0665</t>
  </si>
  <si>
    <t>06025</t>
  </si>
  <si>
    <t>서울특별시 강남구 논현로154길 12 (신사동, 압구정 아인빌) 102호</t>
  </si>
  <si>
    <t>OPT-2474143-2720410</t>
  </si>
  <si>
    <t>임해창</t>
  </si>
  <si>
    <t>010-9019-3195</t>
  </si>
  <si>
    <t>05507</t>
  </si>
  <si>
    <t>서울특별시 송파구 올림픽로 435 (신천동, 파크리오) 223동 501호</t>
  </si>
  <si>
    <t>OPT-2474142-2720409</t>
  </si>
  <si>
    <t>주일이당!</t>
  </si>
  <si>
    <t>010-5309-5340</t>
  </si>
  <si>
    <t>36633</t>
  </si>
  <si>
    <t>경상북도 안동시 송현길 154-16 (송현동, 송현2차삼성명가타운) 202동 405호</t>
  </si>
  <si>
    <t>OPT-2474140-2720407</t>
  </si>
  <si>
    <t>신유파파</t>
  </si>
  <si>
    <t>010-9530-6942</t>
  </si>
  <si>
    <t>04315</t>
  </si>
  <si>
    <t>서울 용산구 청파로 213 A동 1302호</t>
  </si>
  <si>
    <t>OPT-2474139-2720406</t>
  </si>
  <si>
    <t>김정현</t>
  </si>
  <si>
    <t>010-3442-3310</t>
  </si>
  <si>
    <t>22868</t>
  </si>
  <si>
    <t>인천 서구 이음6로 33 3203-802</t>
  </si>
  <si>
    <t>OPT-2474138-2720405</t>
  </si>
  <si>
    <t>이경미</t>
  </si>
  <si>
    <t>010-4247-9396</t>
  </si>
  <si>
    <t>47234</t>
  </si>
  <si>
    <t>부산광역시 부산진구 진남로 455 (전포동, e편한세상 시민공원 1단지) 113동 402호</t>
  </si>
  <si>
    <t>OPT-2474137-2720404</t>
  </si>
  <si>
    <t>전지현❤️</t>
  </si>
  <si>
    <t>010-7721-6531</t>
  </si>
  <si>
    <t>47894</t>
  </si>
  <si>
    <t>부산광역시 동래구 안남로 79 (안락동, 강변뜨란채) 106동 204호</t>
  </si>
  <si>
    <t>OPT-2474136-2720403</t>
  </si>
  <si>
    <t>박선혜</t>
  </si>
  <si>
    <t>010-5508-7504</t>
  </si>
  <si>
    <t>44641</t>
  </si>
  <si>
    <t>울산 남구 남부순환도로29번길 36 고운말언어치료실</t>
  </si>
  <si>
    <t>OPT-2474127-2720393</t>
  </si>
  <si>
    <t>이성계</t>
  </si>
  <si>
    <t>010-9371-9979</t>
  </si>
  <si>
    <t>21378</t>
  </si>
  <si>
    <t>인천 부평구 부영로166번길 16 창보아파트 101동 1706호</t>
  </si>
  <si>
    <t>OPT-2474119-2720385</t>
  </si>
  <si>
    <t>고국진</t>
  </si>
  <si>
    <t>010-3639-5450</t>
  </si>
  <si>
    <t>63142</t>
  </si>
  <si>
    <t>제주특별자치도 제주시 아연로 51 (연동) 파인그로브 101동 402호</t>
  </si>
  <si>
    <t>OPT-2474109-2720374</t>
  </si>
  <si>
    <t>송춘자님</t>
  </si>
  <si>
    <t>010-5612-8933</t>
  </si>
  <si>
    <t>54619</t>
  </si>
  <si>
    <t>전북특별자치도 익산시 동서로16길 13-10 동서로 16길 13-1</t>
  </si>
  <si>
    <t>OPT-2474107-2720372</t>
  </si>
  <si>
    <t>배재이</t>
  </si>
  <si>
    <t>010-3717-7025</t>
  </si>
  <si>
    <t>15010</t>
  </si>
  <si>
    <t>경기 시흥시 배곧3로 27-7 713-404</t>
  </si>
  <si>
    <t>OPT-2474103-2720368</t>
  </si>
  <si>
    <t>최숙현</t>
  </si>
  <si>
    <t>010-2840-1956</t>
  </si>
  <si>
    <t>48751</t>
  </si>
  <si>
    <t>부산 동구 충장대로 160 협성마리나 A동6001호</t>
  </si>
  <si>
    <t>OPT-2474102-2720367</t>
  </si>
  <si>
    <t>박윤영</t>
  </si>
  <si>
    <t>010-9719-9942</t>
  </si>
  <si>
    <t>12746</t>
  </si>
  <si>
    <t>경기도 광주시 행정타운로69번길 36-6 (송정동, 송정낙원 포레시티) 103동102호</t>
  </si>
  <si>
    <t>OPT-2474094-2720359</t>
  </si>
  <si>
    <t>ro</t>
  </si>
  <si>
    <t>010-9105-7514</t>
  </si>
  <si>
    <t>10121</t>
  </si>
  <si>
    <t>경기 김포시 고촌읍 상미1로 7 208-301</t>
  </si>
  <si>
    <t>OPT-2474092-2720357</t>
  </si>
  <si>
    <t>김보경</t>
  </si>
  <si>
    <t>010-8562-0056</t>
  </si>
  <si>
    <t>37624</t>
  </si>
  <si>
    <t>경상북도 포항시 북구 학전로 103 (두호동, 우방하이츠) 포항시 북구 학전로 103  우방하이츠101동605호</t>
  </si>
  <si>
    <t>OPT-2474089-2720352</t>
  </si>
  <si>
    <t>010-3069-6373</t>
  </si>
  <si>
    <t>36849</t>
  </si>
  <si>
    <t>경북 예천군 호명읍 새움3로 7 경북도청아이파크아파트 104동 502호</t>
  </si>
  <si>
    <t>OPT-2474085-2720348</t>
  </si>
  <si>
    <t>이노경</t>
  </si>
  <si>
    <t>010-4333-3327</t>
  </si>
  <si>
    <t>57629</t>
  </si>
  <si>
    <t>전남 구례군 간전면 중평길 3 (886-1)</t>
  </si>
  <si>
    <t>OPT-2474084-2720347</t>
  </si>
  <si>
    <t>조은구</t>
  </si>
  <si>
    <t>010-2291-4335</t>
  </si>
  <si>
    <t>06598</t>
  </si>
  <si>
    <t>서울 서초구 고무래로 89 101동 1901호</t>
  </si>
  <si>
    <t>OPT-2474074-2720336</t>
  </si>
  <si>
    <t>문장혁  행복한 나</t>
  </si>
  <si>
    <t>010-2373-8634</t>
  </si>
  <si>
    <t>10412</t>
  </si>
  <si>
    <t>경기 고양시 일산동구 경의로 375-93 3층</t>
  </si>
  <si>
    <t>OPT-2474071-2720332</t>
  </si>
  <si>
    <t>현</t>
  </si>
  <si>
    <t>010-4657-3897</t>
  </si>
  <si>
    <t>57985</t>
  </si>
  <si>
    <t>전남 순천시 해룡면 장선배기길 298 104동 1304호</t>
  </si>
  <si>
    <t>배송후 문자 남겨 주세요~~</t>
  </si>
  <si>
    <t>OPT-2474069-2720330</t>
  </si>
  <si>
    <t>윤기환</t>
  </si>
  <si>
    <t>010-5329-9911</t>
  </si>
  <si>
    <t>16823</t>
  </si>
  <si>
    <t>경기도 용인시 수지구 동천로63번길 10 (동천동, 동천마을현대2차홈타운) 209동1601호</t>
  </si>
  <si>
    <t>OPT-2474068-2720329</t>
  </si>
  <si>
    <t>김상섭</t>
  </si>
  <si>
    <t>010-4427-1977</t>
  </si>
  <si>
    <t>13646</t>
  </si>
  <si>
    <t>경기도 성남시 수정구 위례광장로 19 (창곡동) 지하1층 위례파크 사우나</t>
  </si>
  <si>
    <t>OPT-2474058-2720318</t>
  </si>
  <si>
    <t>김태형</t>
  </si>
  <si>
    <t>010-8614-1525</t>
  </si>
  <si>
    <t>59723</t>
  </si>
  <si>
    <t>전남 여수시 박람회길 61 112동 1501호</t>
  </si>
  <si>
    <t>OPT-2474057-2720317</t>
  </si>
  <si>
    <t>문태훈</t>
  </si>
  <si>
    <t>010-4193-9699</t>
  </si>
  <si>
    <t>15803</t>
  </si>
  <si>
    <t>경기 군포시 고산로643번길 10 1156동402호</t>
  </si>
  <si>
    <t>OPT-2474055-2720315</t>
  </si>
  <si>
    <t>김복운</t>
  </si>
  <si>
    <t>010-7360-6593</t>
  </si>
  <si>
    <t>10905</t>
  </si>
  <si>
    <t>경기 파주시 한울로 100 603동1803호</t>
  </si>
  <si>
    <t>OPT-2474053-2720312</t>
  </si>
  <si>
    <t>최명희 엘리사벳</t>
  </si>
  <si>
    <t>010-5244-3580</t>
  </si>
  <si>
    <t>24877</t>
  </si>
  <si>
    <t>강원특별자치도 속초시 청대로 210 102동 1401호</t>
  </si>
  <si>
    <t>OPT-2474052-2720311</t>
  </si>
  <si>
    <t>임태순</t>
  </si>
  <si>
    <t>010-9187-0406</t>
  </si>
  <si>
    <t>16709</t>
  </si>
  <si>
    <t>경기도 수원시 영통구 청명북로 33 (영통동, 청명마을삼성아파트) 438-802</t>
  </si>
  <si>
    <t>OPT-2474051-2720310</t>
  </si>
  <si>
    <t>이성철</t>
  </si>
  <si>
    <t>010-2809-5088</t>
  </si>
  <si>
    <t>07336</t>
  </si>
  <si>
    <t>서울 영등포구 여의대로6길 17 공작아파트 D동102호</t>
  </si>
  <si>
    <t>배송비 문자 주세요</t>
  </si>
  <si>
    <t>OPT-2474047-2720306</t>
  </si>
  <si>
    <t>정연수</t>
  </si>
  <si>
    <t>010-6395-7611</t>
  </si>
  <si>
    <t>05649</t>
  </si>
  <si>
    <t>서울 송파구 양재대로 1218 올림픽선수촌아파트 128동 1903호</t>
  </si>
  <si>
    <t>OPT-2474046-2720305</t>
  </si>
  <si>
    <t>Rebekah.Kim</t>
  </si>
  <si>
    <t>010-9937-0424</t>
  </si>
  <si>
    <t>16684</t>
  </si>
  <si>
    <t>경기 수원시 영통구 망포로84번길 10 305-202</t>
  </si>
  <si>
    <t>배송 전 연락주세요</t>
  </si>
  <si>
    <t>OPT-2474044-2720303</t>
  </si>
  <si>
    <t>이은광</t>
  </si>
  <si>
    <t>010-4366-6778</t>
  </si>
  <si>
    <t>31179</t>
  </si>
  <si>
    <t>충청남도 천안시 서북구 충무로 5-16 (쌍용동, 쌍용동일하이빌아파트) 107동1202호</t>
  </si>
  <si>
    <t>OPT-2474043-2720302</t>
  </si>
  <si>
    <t>신충태</t>
  </si>
  <si>
    <t>010-9797-4481</t>
  </si>
  <si>
    <t>05118</t>
  </si>
  <si>
    <t>서울 광진구 광나루로56길 32 구의현대2단지 210동 2102호</t>
  </si>
  <si>
    <t>문 앞 배송 부탁합니다.</t>
  </si>
  <si>
    <t>OPT-2474039-2720298</t>
  </si>
  <si>
    <t>여덕수</t>
  </si>
  <si>
    <t>010-7670-8224</t>
  </si>
  <si>
    <t>05023</t>
  </si>
  <si>
    <t>서울 광진구 자양로23나길 26 명진아트빌 502호</t>
  </si>
  <si>
    <t>OPT-2474038-2720297</t>
  </si>
  <si>
    <t>김광훈</t>
  </si>
  <si>
    <t>010-2231-3587</t>
  </si>
  <si>
    <t>10496</t>
  </si>
  <si>
    <t>경기 고양시 덕양구 화정로 27 602동602호</t>
  </si>
  <si>
    <t>OPT-2474034-2720293</t>
  </si>
  <si>
    <t>위주아</t>
  </si>
  <si>
    <t>010-9737-1728</t>
  </si>
  <si>
    <t>14061</t>
  </si>
  <si>
    <t>경기 안양시 동안구 학의로408번길 13 117동 2105호</t>
  </si>
  <si>
    <t>OPT-2474031-2720288</t>
  </si>
  <si>
    <t>김향원(호놀)</t>
  </si>
  <si>
    <t>010-6686-2747</t>
  </si>
  <si>
    <t>03784</t>
  </si>
  <si>
    <t>서울 서대문구 연희로4길 24 5층(공동현관비번 종2658)</t>
  </si>
  <si>
    <t>OPT-2474028-2720285</t>
  </si>
  <si>
    <t>이혜정dani</t>
  </si>
  <si>
    <t>010-6209-2676</t>
  </si>
  <si>
    <t>10416</t>
  </si>
  <si>
    <t>경기도 고양시 일산동구 일산로 205 (마두동, 백마마을2단지아파트) 207동802호</t>
  </si>
  <si>
    <t>OPT-2474025-2720281</t>
  </si>
  <si>
    <t>길상규</t>
  </si>
  <si>
    <t>010-8624-2030</t>
  </si>
  <si>
    <t>62001</t>
  </si>
  <si>
    <t>광주 서구 금호운천길 83 상무푸르지오 103동 1301호</t>
  </si>
  <si>
    <t>OPT-2474023-2720279</t>
  </si>
  <si>
    <t>정상수(서진파파)</t>
  </si>
  <si>
    <t>010-8847-6716</t>
  </si>
  <si>
    <t>16016</t>
  </si>
  <si>
    <t>경기 의왕시 백운중앙로 46 107동 1301호</t>
  </si>
  <si>
    <t>OPT-2474022-2720278</t>
  </si>
  <si>
    <t>서보우</t>
  </si>
  <si>
    <t>010-6421-9142</t>
  </si>
  <si>
    <t>28808</t>
  </si>
  <si>
    <t>충청북도 청주시 상당구 호미로 2 (동남지구 대성베르힐2차) 208동404호</t>
  </si>
  <si>
    <t>OPT-2474021-2720277</t>
  </si>
  <si>
    <t>노유정</t>
  </si>
  <si>
    <t>010-3119-3693</t>
  </si>
  <si>
    <t>62024</t>
  </si>
  <si>
    <t>광주 서구 학생독립로9번길 8 101동509호</t>
  </si>
  <si>
    <t>OPT-2474020-2720276</t>
  </si>
  <si>
    <t>김진훈</t>
  </si>
  <si>
    <t>010-9997-8001</t>
  </si>
  <si>
    <t>16851</t>
  </si>
  <si>
    <t>경기 용인시 수지구 성복2로 126 307동 102호</t>
  </si>
  <si>
    <t>OPT-2474017-2720273</t>
  </si>
  <si>
    <t>고기봉</t>
  </si>
  <si>
    <t>010-5659-9711</t>
  </si>
  <si>
    <t>13014</t>
  </si>
  <si>
    <t>경기 하남시 위례중앙로 215 6413동2504호</t>
  </si>
  <si>
    <t>OPT-2474015-2720271</t>
  </si>
  <si>
    <t>ㆍ한봉우</t>
  </si>
  <si>
    <t>010-2909-2051</t>
  </si>
  <si>
    <t>01850</t>
  </si>
  <si>
    <t>서울 노원구 섬밭로 139 풍림아파트 110동 1901호</t>
  </si>
  <si>
    <t>OPT-2474014-2720270</t>
  </si>
  <si>
    <t>이은한</t>
  </si>
  <si>
    <t>010-3993-7537</t>
  </si>
  <si>
    <t>12546</t>
  </si>
  <si>
    <t>경기도 양평군 양평읍 마유산로 33 (더샵양평리버포레) 101동301호</t>
  </si>
  <si>
    <t>OPT-2474013-2720269</t>
  </si>
  <si>
    <t>엄성운</t>
  </si>
  <si>
    <t>010-8433-4900</t>
  </si>
  <si>
    <t>서울 은평구 통일로 796 101동 503호</t>
  </si>
  <si>
    <t>문앞에 부탁드려요</t>
  </si>
  <si>
    <t>OPT-2474008-2720264</t>
  </si>
  <si>
    <t>윤숙희</t>
  </si>
  <si>
    <t>010-9227-0806</t>
  </si>
  <si>
    <t>52006</t>
  </si>
  <si>
    <t>경남 함안군 칠북면 검단4길 31 1층</t>
  </si>
  <si>
    <t>OPT-2474009-2720265</t>
  </si>
  <si>
    <t>하성운</t>
  </si>
  <si>
    <t>010-3582-7933</t>
  </si>
  <si>
    <t>51312</t>
  </si>
  <si>
    <t>경남 창원시 마산회원구 석전서1길 12-19 1층</t>
  </si>
  <si>
    <t>OPT-2474007-2720263</t>
  </si>
  <si>
    <t>김지숙</t>
  </si>
  <si>
    <t>010-4614-0480</t>
  </si>
  <si>
    <t>21419</t>
  </si>
  <si>
    <t>인천 부평구 경인로 1110 이도엘리브 1002호</t>
  </si>
  <si>
    <t>집앞에 두고 가세요 감사합니다</t>
  </si>
  <si>
    <t>OPT-2474006-2720262</t>
  </si>
  <si>
    <t>김성중</t>
  </si>
  <si>
    <t>010-5505-1410</t>
  </si>
  <si>
    <t>42114</t>
  </si>
  <si>
    <t>대구광역시 수성구 청수로 261 (황금동, 캐슬골드파크 4단지) 1412동 1103호</t>
  </si>
  <si>
    <t>OPT-2474004-2720260</t>
  </si>
  <si>
    <t>고남숙</t>
  </si>
  <si>
    <t>010-4592-2993</t>
  </si>
  <si>
    <t>28413</t>
  </si>
  <si>
    <t>충청북도 청주시 흥덕구 서경로12번길 2 (가경동) 301호</t>
  </si>
  <si>
    <t>OPT-2474003-2720259</t>
  </si>
  <si>
    <t>김령아</t>
  </si>
  <si>
    <t>010-5716-5251</t>
  </si>
  <si>
    <t>12913</t>
  </si>
  <si>
    <t>경기 하남시 미사강변중앙로 190 1036호</t>
  </si>
  <si>
    <t>OPT-2473998-2720254</t>
  </si>
  <si>
    <t>이태우</t>
  </si>
  <si>
    <t>010-9158-2606</t>
  </si>
  <si>
    <t>06352</t>
  </si>
  <si>
    <t>서울 강남구 광평로47길 17 702-203</t>
  </si>
  <si>
    <t>OPT-2473997-2720253</t>
  </si>
  <si>
    <t>최현우</t>
  </si>
  <si>
    <t>010-2922-7778</t>
  </si>
  <si>
    <t>02748</t>
  </si>
  <si>
    <t>서울 성북구 화랑로13길 69 102호</t>
  </si>
  <si>
    <t>OPT-2473996-2720252</t>
  </si>
  <si>
    <t>심지혜</t>
  </si>
  <si>
    <t>010-6488-1443</t>
  </si>
  <si>
    <t>05594</t>
  </si>
  <si>
    <t>서울 송파구 백제고분로22길 34-14 301호</t>
  </si>
  <si>
    <t>OPT-2473994-2720250</t>
  </si>
  <si>
    <t>목연수</t>
  </si>
  <si>
    <t>010-3238-1873</t>
  </si>
  <si>
    <t>04360</t>
  </si>
  <si>
    <t>서울 용산구 효창원로8길 16 101동 302호</t>
  </si>
  <si>
    <t>OPT-2473992-2720248</t>
  </si>
  <si>
    <t>온누리</t>
  </si>
  <si>
    <t>010-2867-4643</t>
  </si>
  <si>
    <t>55152</t>
  </si>
  <si>
    <t>전북특별자치도 전주시 완산구 효천중앙로 50 (효자동2가, 리버클래스) 306동 1104호</t>
  </si>
  <si>
    <t>OPT-2473991-2720247</t>
  </si>
  <si>
    <t>김지연</t>
  </si>
  <si>
    <t>010-8527-9943</t>
  </si>
  <si>
    <t>46762</t>
  </si>
  <si>
    <t>부산 강서구 명지오션시티10로 16 211-103</t>
  </si>
  <si>
    <t>OPT-2473990-2720246</t>
  </si>
  <si>
    <t>.명화석</t>
  </si>
  <si>
    <t>010-6349-3689</t>
  </si>
  <si>
    <t>28809</t>
  </si>
  <si>
    <t>충북 청주시 상당구 월운로 116 동남힐데스하임 107동802호</t>
  </si>
  <si>
    <t>OPT-2473989-2720245</t>
  </si>
  <si>
    <t>김가림</t>
  </si>
  <si>
    <t>010-6761-5251</t>
  </si>
  <si>
    <t>02210</t>
  </si>
  <si>
    <t>서울 중랑구 면목로54길 44 301호</t>
  </si>
  <si>
    <t>OPT-2473988-2720244</t>
  </si>
  <si>
    <t>이제신</t>
  </si>
  <si>
    <t>010-3338-3924</t>
  </si>
  <si>
    <t>61754</t>
  </si>
  <si>
    <t>광주광역시 남구 효천2로 1 (임암동, 시티프라디움 아파트) 105동 805호</t>
  </si>
  <si>
    <t>OPT-2473985-2720241</t>
  </si>
  <si>
    <t>김태근</t>
  </si>
  <si>
    <t>010-2809-0006</t>
  </si>
  <si>
    <t>07270</t>
  </si>
  <si>
    <t>서울 영등포구 선유서로 116 양평역월드메르디앙아파트 101동 306호</t>
  </si>
  <si>
    <t>OPT-2473982-2720238</t>
  </si>
  <si>
    <t>김재현</t>
  </si>
  <si>
    <t>010-9007-4353</t>
  </si>
  <si>
    <t>13608</t>
  </si>
  <si>
    <t>경기도 성남시 분당구 불정로 219 (한솔마을청구아파트) 113동1601호</t>
  </si>
  <si>
    <t>OPT-2473975-2720231</t>
  </si>
  <si>
    <t>강성진</t>
  </si>
  <si>
    <t>010-4855-3990</t>
  </si>
  <si>
    <t>61031</t>
  </si>
  <si>
    <t>광주 북구 우치로537번길 10 동아 103동 104호</t>
  </si>
  <si>
    <t>OPT-2473970-2720224</t>
  </si>
  <si>
    <t>김종숙</t>
  </si>
  <si>
    <t>010-5505-7798</t>
  </si>
  <si>
    <t>13995</t>
  </si>
  <si>
    <t>경기 안양시 만안구 안양천서로 249 115동1505호</t>
  </si>
  <si>
    <t>OPT-2473946-2720196</t>
  </si>
  <si>
    <t>이승은</t>
  </si>
  <si>
    <t>010-9772-0830</t>
  </si>
  <si>
    <t>08012</t>
  </si>
  <si>
    <t>서울 양천구 목동서로 280 810-404</t>
  </si>
  <si>
    <t>문앞에두세요</t>
  </si>
  <si>
    <t>OPT-2473924-2720171</t>
  </si>
  <si>
    <t>김태흥</t>
  </si>
  <si>
    <t>010-9543-6676</t>
  </si>
  <si>
    <t>대구 달서구 장산남로 33 용산롯데캐슬그랜드 109동2307호</t>
  </si>
  <si>
    <t>OPT-2473897-2720141</t>
  </si>
  <si>
    <t>서남순</t>
  </si>
  <si>
    <t>010-5477-3264</t>
  </si>
  <si>
    <t>04989</t>
  </si>
  <si>
    <t>서울 광진구 능동로30길 39 2층</t>
  </si>
  <si>
    <t>2층 현관 앞에 두시고 전화 주세요</t>
  </si>
  <si>
    <t>OPT-2473884-2720128</t>
  </si>
  <si>
    <t>이혜영</t>
  </si>
  <si>
    <t>010-5070-2378</t>
  </si>
  <si>
    <t>12097</t>
  </si>
  <si>
    <t>경기 남양주시 덕송2로10번길 27-2 302호</t>
  </si>
  <si>
    <t>OPT-2473852-2720095</t>
  </si>
  <si>
    <t>오은숙</t>
  </si>
  <si>
    <t>010-7536-3669</t>
  </si>
  <si>
    <t>34049</t>
  </si>
  <si>
    <t>대전 유성구 엑스포로 448 엑스포아파트109동304호</t>
  </si>
  <si>
    <t>집앞배송</t>
  </si>
  <si>
    <t>OPT-2473723-2719953</t>
  </si>
  <si>
    <t>김 연 경</t>
  </si>
  <si>
    <t>010-2046-2940</t>
  </si>
  <si>
    <t>08236</t>
  </si>
  <si>
    <t>서울 구로구 남부순환로 775 푸르지오아파트 103동 2001호</t>
  </si>
  <si>
    <t>OPT-2473710-2719935</t>
  </si>
  <si>
    <t>정재호</t>
  </si>
  <si>
    <t>010-3720-9452</t>
  </si>
  <si>
    <t>13485</t>
  </si>
  <si>
    <t>경기 성남시 분당구 판교로 20 103동 1702호</t>
  </si>
  <si>
    <t>OPT-2473700-2719925</t>
  </si>
  <si>
    <t>강효진</t>
  </si>
  <si>
    <t>010-3691-6905</t>
  </si>
  <si>
    <t>07671</t>
  </si>
  <si>
    <t>서울 강서구 등촌로 163 122-403</t>
  </si>
  <si>
    <t>OPT-2473690-2719915</t>
  </si>
  <si>
    <t>한성국</t>
  </si>
  <si>
    <t>010-9771-0129</t>
  </si>
  <si>
    <t>07039</t>
  </si>
  <si>
    <t>서울특별시 동작구 상도로 346-1 (상도동, 힐스테이트 상도 센트럴파크) 116동 1405호</t>
  </si>
  <si>
    <t>OPT-2473679-2719903</t>
  </si>
  <si>
    <t>이선화</t>
  </si>
  <si>
    <t>010-4635-2663</t>
  </si>
  <si>
    <t>02418</t>
  </si>
  <si>
    <t>서울 동대문구 이문로 120 이문아이파크자이오피스텔 100-1424</t>
  </si>
  <si>
    <t>OPT-2473673-2719896</t>
  </si>
  <si>
    <t>한희정</t>
  </si>
  <si>
    <t>010-2633-4717</t>
  </si>
  <si>
    <t>48533</t>
  </si>
  <si>
    <t>부산 남구 석포로 128 2층 아이비치과</t>
  </si>
  <si>
    <t>OPT-2473625-2719843</t>
  </si>
  <si>
    <t>김종열</t>
  </si>
  <si>
    <t>010-2506-0225</t>
  </si>
  <si>
    <t>40053</t>
  </si>
  <si>
    <t>경북 성주군 용암면 운용로 1044 2층</t>
  </si>
  <si>
    <t>이월생 010-3493-0603</t>
  </si>
  <si>
    <t>OPT-2473603-2719817</t>
  </si>
  <si>
    <t>원미애</t>
  </si>
  <si>
    <t>010-3776-7136</t>
  </si>
  <si>
    <t>10073</t>
  </si>
  <si>
    <t>경기 김포시 김포한강11로 275 309동2102호  롯데캐슬</t>
  </si>
  <si>
    <t>OPT-2473587-2719800</t>
  </si>
  <si>
    <t>최성우</t>
  </si>
  <si>
    <t>010-2656-9682</t>
  </si>
  <si>
    <t>04731</t>
  </si>
  <si>
    <t>서울 성동구 매봉길 50 123동 1201호</t>
  </si>
  <si>
    <t>OPT-2473550-2719760</t>
  </si>
  <si>
    <t>김영수</t>
  </si>
  <si>
    <t>010-3372-5622</t>
  </si>
  <si>
    <t>12137</t>
  </si>
  <si>
    <t>경기도 남양주시 사릉로452번길 3 (동성아파트) 동성아파트102동1106호</t>
  </si>
  <si>
    <t>OPT-2473544-2719753</t>
  </si>
  <si>
    <t>김미미</t>
  </si>
  <si>
    <t>010-9823-0302</t>
  </si>
  <si>
    <t>05502</t>
  </si>
  <si>
    <t>서울 송파구 올림픽로 135 237동 2501호</t>
  </si>
  <si>
    <t>OPT-2473503-2719711</t>
  </si>
  <si>
    <t>녹산 (sbw)</t>
  </si>
  <si>
    <t>OPT-2473500-2719708</t>
  </si>
  <si>
    <t>김현우</t>
  </si>
  <si>
    <t>010-3419-0242</t>
  </si>
  <si>
    <t>32264</t>
  </si>
  <si>
    <t>충남 홍성군 홍북읍 신대로 54 106동 2601호</t>
  </si>
  <si>
    <t>OPT-2473394-2719584</t>
  </si>
  <si>
    <t>김재성</t>
  </si>
  <si>
    <t>010-5068-1144</t>
  </si>
  <si>
    <t>04912</t>
  </si>
  <si>
    <t>서울 광진구 동일로70길 32 202호</t>
  </si>
  <si>
    <t>OPT-2473376-2719558</t>
  </si>
  <si>
    <t>정명진</t>
  </si>
  <si>
    <t>010-6382-1918</t>
  </si>
  <si>
    <t>02799</t>
  </si>
  <si>
    <t>서울특별시 성북구 종암로24가길 80 (종암동, 래미안라센트) 109동 1002호</t>
  </si>
  <si>
    <t>SUB-2474633-306901</t>
  </si>
  <si>
    <t>이치우</t>
  </si>
  <si>
    <t>010-7546-3173</t>
  </si>
  <si>
    <t>18477</t>
  </si>
  <si>
    <t>경기도 화성시 동탄대로시범길 53 (청계동, 동탄역시범대원칸타빌아파트) 1452동1901호</t>
  </si>
  <si>
    <t>SUB-2474615-306899</t>
  </si>
  <si>
    <t>김보삼</t>
  </si>
  <si>
    <t>010-3638-8184</t>
  </si>
  <si>
    <t>01057</t>
  </si>
  <si>
    <t>서울특별시 강북구 한천로130가길 12-12 (번동) 2층</t>
  </si>
  <si>
    <t>SUB-2474608-306898</t>
  </si>
  <si>
    <t>신길수</t>
  </si>
  <si>
    <t>010-5465-5404</t>
  </si>
  <si>
    <t>서울 강동구 고덕로 333 146동 1206호</t>
  </si>
  <si>
    <t>SUB-2474456-306893</t>
  </si>
  <si>
    <t>최혜령</t>
  </si>
  <si>
    <t>010-2574-8739</t>
  </si>
  <si>
    <t>61112</t>
  </si>
  <si>
    <t>광주 북구 청계로 13 103-304</t>
  </si>
  <si>
    <t>SUB-2474419-306891</t>
  </si>
  <si>
    <t>정유선</t>
  </si>
  <si>
    <t>010-2266-7510</t>
  </si>
  <si>
    <t>07729</t>
  </si>
  <si>
    <t>서울 강서구 초록마을로 176 2동603호</t>
  </si>
  <si>
    <t>SUB-2474399-306889</t>
  </si>
  <si>
    <t>최디나</t>
  </si>
  <si>
    <t>010-4696-5879</t>
  </si>
  <si>
    <t>06280</t>
  </si>
  <si>
    <t>서울 강남구 삼성로51길 37 109-1505</t>
  </si>
  <si>
    <t>SUB-2474348-306885</t>
  </si>
  <si>
    <t>윤종철</t>
  </si>
  <si>
    <t>010-3165-0970</t>
  </si>
  <si>
    <t>12216</t>
  </si>
  <si>
    <t>경기 남양주시 와부읍 덕소로2번길 39 107동 1502호</t>
  </si>
  <si>
    <t>SUB-2474323-306884</t>
  </si>
  <si>
    <t>날개</t>
  </si>
  <si>
    <t>010-5822-7576</t>
  </si>
  <si>
    <t>16519</t>
  </si>
  <si>
    <t>경기 수원시 영통구 중부대로448번길 28 205동 1705호</t>
  </si>
  <si>
    <t>SUB-2474320-306882</t>
  </si>
  <si>
    <t>오성훈</t>
  </si>
  <si>
    <t>010-3943-3304</t>
  </si>
  <si>
    <t>12110</t>
  </si>
  <si>
    <t>경기 남양주시 별내3로 23 4404동 802호</t>
  </si>
  <si>
    <t>SUB-2474317-306881</t>
  </si>
  <si>
    <t>한상호</t>
  </si>
  <si>
    <t>010-5693-4023</t>
  </si>
  <si>
    <t>21385</t>
  </si>
  <si>
    <t>인천 부평구 마장로 121 현대아파트 304동705호</t>
  </si>
  <si>
    <t>SUB-2474280-306880</t>
  </si>
  <si>
    <t>이진영 선생님</t>
  </si>
  <si>
    <t>010-2877-8271</t>
  </si>
  <si>
    <t>10483</t>
  </si>
  <si>
    <t>경기 고양시 덕양구 성신로 77 햇빛마을 1815동 103호</t>
  </si>
  <si>
    <t>SUB-2474265-306879</t>
  </si>
  <si>
    <t>이길용</t>
  </si>
  <si>
    <t>010-9082-7231</t>
  </si>
  <si>
    <t>12284</t>
  </si>
  <si>
    <t>경기 남양주시 다산지금로16번길 88 7102-2401</t>
  </si>
  <si>
    <t>SUB-2474244-306878</t>
  </si>
  <si>
    <t>sunny</t>
  </si>
  <si>
    <t>010-2210-0532</t>
  </si>
  <si>
    <t>13556</t>
  </si>
  <si>
    <t>경기 성남시 분당구 정자일로213번길 19 201동 1604호</t>
  </si>
  <si>
    <t>SUB-2474238-306877</t>
  </si>
  <si>
    <t>곽윤탁</t>
  </si>
  <si>
    <t>010-3824-5300</t>
  </si>
  <si>
    <t>41962</t>
  </si>
  <si>
    <t>대구 중구 명덕로 241 101-1002</t>
  </si>
  <si>
    <t>SUB-2474231-306876</t>
  </si>
  <si>
    <t>sun</t>
  </si>
  <si>
    <t>010-6313-0649</t>
  </si>
  <si>
    <t>13821</t>
  </si>
  <si>
    <t>경기 과천시 광창로 56-1 Sy골드빌 103동201호</t>
  </si>
  <si>
    <t>문앞에 놔 주세요</t>
  </si>
  <si>
    <t>SUB-2474221-306875</t>
  </si>
  <si>
    <t>김옥희</t>
  </si>
  <si>
    <t>010-3816-6266</t>
  </si>
  <si>
    <t>42016</t>
  </si>
  <si>
    <t>대구 수성구 들안로 360 105 동  2601호</t>
  </si>
  <si>
    <t>SUB-2474209-306874</t>
  </si>
  <si>
    <t>한대천</t>
  </si>
  <si>
    <t>010-4228-9956</t>
  </si>
  <si>
    <t>18433</t>
  </si>
  <si>
    <t>경기도 화성시 동탄지성로 150-12 (동탄능동마을 주공아파트) 721동804호</t>
  </si>
  <si>
    <t>SUB-2474204-306873</t>
  </si>
  <si>
    <t>패랭이(김혜영)</t>
  </si>
  <si>
    <t>010-4784-4705</t>
  </si>
  <si>
    <t>10402</t>
  </si>
  <si>
    <t>경기도 고양시 일산동구 호수로 606 (장항동) B동1511호</t>
  </si>
  <si>
    <t>SUB-2474194-306872</t>
  </si>
  <si>
    <t>김종현</t>
  </si>
  <si>
    <t>010-3859-1863</t>
  </si>
  <si>
    <t>48298</t>
  </si>
  <si>
    <t>부산광역시 수영구 광안로 12 (광안동, 광안동에스케이뷰) 103동1101호</t>
  </si>
  <si>
    <t>SUB-2474155-306870</t>
  </si>
  <si>
    <t>최지영</t>
  </si>
  <si>
    <t>010-5209-1004</t>
  </si>
  <si>
    <t>06218</t>
  </si>
  <si>
    <t>서울 강남구 도곡로57길 12 역삼2차아이파크 103동1203호</t>
  </si>
  <si>
    <t>SUB-2474125-306869</t>
  </si>
  <si>
    <t>조상준</t>
  </si>
  <si>
    <t>010-5260-0855</t>
  </si>
  <si>
    <t>13645</t>
  </si>
  <si>
    <t>경기 성남시 수정구 위례동로 15 5710동 202호</t>
  </si>
  <si>
    <t>SUB-2474067-306866</t>
  </si>
  <si>
    <t>禎源</t>
  </si>
  <si>
    <t>010-4023-8815</t>
  </si>
  <si>
    <t>58580</t>
  </si>
  <si>
    <t>전남 무안군 일로읍 오룡중앙동로 37 102동902호</t>
  </si>
  <si>
    <t>SUB-2474059-306865</t>
  </si>
  <si>
    <t>이정균</t>
  </si>
  <si>
    <t>010-5300-1745</t>
  </si>
  <si>
    <t>27938</t>
  </si>
  <si>
    <t>충북 증평군 증평읍 초중4길 57 블루힐 402호</t>
  </si>
  <si>
    <t>SUB-2474030-306864</t>
  </si>
  <si>
    <t>최광열</t>
  </si>
  <si>
    <t>010-8826-2979</t>
  </si>
  <si>
    <t>34857</t>
  </si>
  <si>
    <t>대전 중구 동서대로1322번길 107 1층 나무대문안</t>
  </si>
  <si>
    <t>SUB-2474002-306863</t>
  </si>
  <si>
    <t>구양회</t>
  </si>
  <si>
    <t>010-5211-4758</t>
  </si>
  <si>
    <t>07013</t>
  </si>
  <si>
    <t>서울 동작구 동작대로19길 24 302호</t>
  </si>
  <si>
    <t>SUB-2473986-306862</t>
  </si>
  <si>
    <t>박범우</t>
  </si>
  <si>
    <t>010-3363-1864</t>
  </si>
  <si>
    <t>30095</t>
  </si>
  <si>
    <t>세종특별자치시 해밀2로 78 (해밀동) 시그니메종빌리지 103동 103호</t>
  </si>
  <si>
    <t>SUB-2473984-306861</t>
  </si>
  <si>
    <t>서영석</t>
  </si>
  <si>
    <t>010-9348-4430</t>
  </si>
  <si>
    <t>16848</t>
  </si>
  <si>
    <t>경기 용인시 수지구 성복2로76번길 31 101동404호</t>
  </si>
  <si>
    <t>SUB-2473898-306857</t>
  </si>
  <si>
    <t>김윤상</t>
  </si>
  <si>
    <t>010-2048-5904</t>
  </si>
  <si>
    <t>10306</t>
  </si>
  <si>
    <t>경기 고양시 일산동구 숲속마을1로 87 501동101호</t>
  </si>
  <si>
    <t>SUB-2473863-306855</t>
  </si>
  <si>
    <t>구용주</t>
  </si>
  <si>
    <t>010-3235-2685</t>
  </si>
  <si>
    <t>10362</t>
  </si>
  <si>
    <t>경기 고양시 일산동구 무궁화로75번길 15 211-303</t>
  </si>
  <si>
    <t>SUB-2473750-306851</t>
  </si>
  <si>
    <t>윤혁</t>
  </si>
  <si>
    <t>010-9891-2535</t>
  </si>
  <si>
    <t>21586</t>
  </si>
  <si>
    <t>인천 남동구 선수촌로 8 803동404호</t>
  </si>
  <si>
    <t>SUB-2473683-306845</t>
  </si>
  <si>
    <t>이규진</t>
  </si>
  <si>
    <t xml:space="preserve">01086269715 </t>
  </si>
  <si>
    <t xml:space="preserve">서울시 성북구 종암동 3-226 단독 주택 </t>
  </si>
  <si>
    <t>01037450577</t>
  </si>
  <si>
    <t xml:space="preserve">서울시 성북구 석관동 67-1 101호 </t>
  </si>
  <si>
    <t>두산위브트레지움아파트 206동2001호 
서울 강북구 삼양로27길 95 (미아동)</t>
  </si>
  <si>
    <t>경기도 평택시 비전동 876
비전동 한빛아파트 106동 303호</t>
  </si>
  <si>
    <t xml:space="preserve">전경준 </t>
  </si>
  <si>
    <t xml:space="preserve">010-9037-4612 </t>
  </si>
  <si>
    <t>광주광역시 첨단중앙로 181번길 88-21 대우아파트 106동 604호</t>
  </si>
  <si>
    <t>최승정</t>
  </si>
  <si>
    <t>010-2334-5540</t>
  </si>
  <si>
    <t>역삼동 카일룸 블랙 1502호</t>
  </si>
  <si>
    <t>이영준</t>
  </si>
  <si>
    <t>010-8879-4851</t>
  </si>
  <si>
    <t>10350</t>
  </si>
  <si>
    <t xml:space="preserve">경기 고양시 일산서구 원일로58번길7-2 더힐102동402호 </t>
  </si>
  <si>
    <t>박진성</t>
  </si>
  <si>
    <t xml:space="preserve">010-9296-0299 </t>
  </si>
  <si>
    <t>10239</t>
  </si>
  <si>
    <t>경기도 고양시 일산서구 일현로140 대림현대아파트 107동  1002호</t>
  </si>
  <si>
    <t>지금란</t>
  </si>
  <si>
    <t>010-3212-7953</t>
  </si>
  <si>
    <t>08569</t>
  </si>
  <si>
    <t>서울금천구  시흥4동 독산로36길 36, 월드메르디앙102동404호</t>
  </si>
  <si>
    <t>지금순</t>
  </si>
  <si>
    <t>010-9076-3498</t>
  </si>
  <si>
    <t>14009</t>
  </si>
  <si>
    <t>경기도 안양시 만안구  박달동94-66, 뉴타운빌201호</t>
  </si>
  <si>
    <t>이상근</t>
  </si>
  <si>
    <t>010-2565-4851</t>
  </si>
  <si>
    <t>10539</t>
  </si>
  <si>
    <t>경기도 덕양구  덕은동 9-23  1층</t>
  </si>
  <si>
    <t>조해민</t>
  </si>
  <si>
    <t>010-8505-4882</t>
  </si>
  <si>
    <t>12141</t>
  </si>
  <si>
    <t>경기도 남양주시 천마산로65,호평파라곤아파트 108동 502호</t>
  </si>
  <si>
    <t>지영준</t>
  </si>
  <si>
    <t>010-8960-9389</t>
  </si>
  <si>
    <t>10493</t>
  </si>
  <si>
    <t>경기도고양시  덕양구 행신로 359번길40, 201호</t>
  </si>
  <si>
    <t>김원정</t>
  </si>
  <si>
    <t>0502-5175-0051</t>
  </si>
  <si>
    <t>25919</t>
  </si>
  <si>
    <t>강원특별자치도 삼척시 건지동 173 건지주공아파트 106동 906호</t>
  </si>
  <si>
    <t>651643817082938</t>
  </si>
  <si>
    <t>19100169693948</t>
  </si>
  <si>
    <t>최복임</t>
  </si>
  <si>
    <t>0502-5169-1516</t>
  </si>
  <si>
    <t>01402</t>
  </si>
  <si>
    <t>서울특별시 도봉구 해등로 118 2동 207호(상아1차 @) ( 창동, 상아1차아파트 )</t>
  </si>
  <si>
    <t>651742110662698</t>
  </si>
  <si>
    <t>26100169614931</t>
  </si>
  <si>
    <t>94659124877</t>
  </si>
  <si>
    <t>함수민</t>
  </si>
  <si>
    <t>010-4733-1490</t>
  </si>
  <si>
    <t>05303</t>
  </si>
  <si>
    <t>서울 강동구 양재대로122길 34 가동 202호</t>
  </si>
  <si>
    <t>2026020507574972730</t>
  </si>
  <si>
    <t>OPT-2474188-2720455</t>
  </si>
  <si>
    <t>143790</t>
  </si>
  <si>
    <t>박희연</t>
  </si>
  <si>
    <t>010-3717-4702</t>
  </si>
  <si>
    <t>05080</t>
  </si>
  <si>
    <t>서울 광진구 뚝섬로 467 105동2805호</t>
  </si>
  <si>
    <t>2026020508524719427</t>
  </si>
  <si>
    <t>OPT-2474390-2720676</t>
  </si>
  <si>
    <t>윤용강</t>
  </si>
  <si>
    <t>010-6257-3828</t>
  </si>
  <si>
    <t>16909</t>
  </si>
  <si>
    <t>경기 용인시 기흥구 연원로42번길 2 벽산아파트 113동 2004호</t>
  </si>
  <si>
    <t>2026020510424958497</t>
  </si>
  <si>
    <t>OPT-2474638-2720943</t>
  </si>
  <si>
    <t>박연풍</t>
  </si>
  <si>
    <t>010-2354-0899</t>
  </si>
  <si>
    <t>04346</t>
  </si>
  <si>
    <t>서울특별시 용산구 회나무로 64 (이태원동, 언트플러스(피지대사관)) F동 202호 (라마라마꽃집 건물 3층)</t>
  </si>
  <si>
    <t>2026020511023156660</t>
  </si>
  <si>
    <t>OPT-2474639-2720944</t>
  </si>
  <si>
    <t>이범설</t>
  </si>
  <si>
    <t>010-6343-6701</t>
  </si>
  <si>
    <t>14743</t>
  </si>
  <si>
    <t>경기도 부천시 소사구 경인로26번길 22 (송내동, 송내 자이) 송내자이102동1501호</t>
  </si>
  <si>
    <t>2026020511031072485</t>
  </si>
  <si>
    <t>OPT-2474656-2720962</t>
  </si>
  <si>
    <t>ky kim</t>
  </si>
  <si>
    <t>010-2405-7787</t>
  </si>
  <si>
    <t>02524</t>
  </si>
  <si>
    <t>서울 동대문구 장안벚꽃로 167 202 동 1201호</t>
  </si>
  <si>
    <t>2026020511122156340</t>
  </si>
  <si>
    <t>OPT-2474662-2720968</t>
  </si>
  <si>
    <t>신중배</t>
  </si>
  <si>
    <t>010-9017-1258</t>
  </si>
  <si>
    <t>02816</t>
  </si>
  <si>
    <t>서울 성북구 정릉로34길 26-2 2층</t>
  </si>
  <si>
    <t>2026020511191177415</t>
  </si>
  <si>
    <t>OPT-2474671-2720979</t>
  </si>
  <si>
    <t>최은아</t>
  </si>
  <si>
    <t>010-7633-1716</t>
  </si>
  <si>
    <t>38127</t>
  </si>
  <si>
    <t>경북 경주시 불국신택지3길 13 디멘션커피</t>
  </si>
  <si>
    <t>2026020511341309606</t>
  </si>
  <si>
    <t>OPT-2474694-2721003</t>
  </si>
  <si>
    <t>한영순</t>
  </si>
  <si>
    <t>010-9332-2966</t>
  </si>
  <si>
    <t>16222</t>
  </si>
  <si>
    <t>경기도 수원시 영통구 웰빙타운로 70 (이의동, 광교 호반베르디움) 8707동1502호</t>
  </si>
  <si>
    <t>2026020511342014124</t>
  </si>
  <si>
    <t>OPT-2474696-2721005</t>
  </si>
  <si>
    <t>쭈잉</t>
  </si>
  <si>
    <t>010-7511-6740</t>
  </si>
  <si>
    <t>21561</t>
  </si>
  <si>
    <t>인천광역시 남동구 구월로 192 (구월동, 힐스테이트롯데캐슬골드1단지아파트) 1114동 1002호</t>
  </si>
  <si>
    <t>2026020511330836698</t>
  </si>
  <si>
    <t>OPT-2474701-2721010</t>
  </si>
  <si>
    <t>백경흠</t>
  </si>
  <si>
    <t>010-4248-3453</t>
  </si>
  <si>
    <t>02435</t>
  </si>
  <si>
    <t>서울특별시 동대문구 외대역동로 36 (휘경동, 동양2차아파트) 202동 1101호</t>
  </si>
  <si>
    <t>2026020511410800934</t>
  </si>
  <si>
    <t>OPT-2474714-2721024</t>
  </si>
  <si>
    <t>꼬마야랑</t>
  </si>
  <si>
    <t>010-7110-9243</t>
  </si>
  <si>
    <t>17722</t>
  </si>
  <si>
    <t>경기 평택시 동막길 55-25 돌계단집</t>
  </si>
  <si>
    <t>2026020511454158022</t>
  </si>
  <si>
    <t>OPT-2474718-2721028</t>
  </si>
  <si>
    <t>서재원</t>
  </si>
  <si>
    <t>010-2325-0175</t>
  </si>
  <si>
    <t>16813</t>
  </si>
  <si>
    <t>경기 용인시 수지구 신봉2로 72 222동 504호</t>
  </si>
  <si>
    <t>2026020511450136815</t>
  </si>
  <si>
    <t>OPT-2474719-2721029</t>
  </si>
  <si>
    <t>김정엽</t>
  </si>
  <si>
    <t>010-4933-7213</t>
  </si>
  <si>
    <t>49208</t>
  </si>
  <si>
    <t>부산 서구 대티로 159 106동 601호</t>
  </si>
  <si>
    <t>2026020511511361831</t>
  </si>
  <si>
    <t>OPT-2474728-2721038</t>
  </si>
  <si>
    <t>김민수</t>
  </si>
  <si>
    <t>010-8705-3653</t>
  </si>
  <si>
    <t>47262</t>
  </si>
  <si>
    <t>부산 부산진구 가야대로 701 611호</t>
  </si>
  <si>
    <t>2026020511531186361</t>
  </si>
  <si>
    <t>OPT-2474731-2721041</t>
  </si>
  <si>
    <t>이경석</t>
  </si>
  <si>
    <t>010-3149-0549</t>
  </si>
  <si>
    <t>16824</t>
  </si>
  <si>
    <t>경기 용인시 수지구 고기로45번길 40-18 205동 1104호</t>
  </si>
  <si>
    <t>문앞에 두시면 고맙습니다</t>
  </si>
  <si>
    <t>2026020511514474739</t>
  </si>
  <si>
    <t>OPT-2474732-2721042</t>
  </si>
  <si>
    <t>송용미</t>
  </si>
  <si>
    <t>010-4191-8416</t>
  </si>
  <si>
    <t>06777</t>
  </si>
  <si>
    <t>서울 서초구 언남길 47 501호</t>
  </si>
  <si>
    <t>2026020512051334825</t>
  </si>
  <si>
    <t>OPT-2474739-2721050</t>
  </si>
  <si>
    <t>ParkSungHm</t>
  </si>
  <si>
    <t>010-9050-1364</t>
  </si>
  <si>
    <t>14537</t>
  </si>
  <si>
    <t>경기 부천시 원미구 계남로 128 상가 지하1층 중동세탁</t>
  </si>
  <si>
    <t>2026020512125038991</t>
  </si>
  <si>
    <t>OPT-2474747-2721058</t>
  </si>
  <si>
    <t>이영신</t>
  </si>
  <si>
    <t>010-7508-3692</t>
  </si>
  <si>
    <t>21364</t>
  </si>
  <si>
    <t>인천 부평구 부평대로165번길 102-8 113동 202호</t>
  </si>
  <si>
    <t>2026020512135335125</t>
  </si>
  <si>
    <t>OPT-2474748-2721059</t>
  </si>
  <si>
    <t>신만규</t>
  </si>
  <si>
    <t>010-6413-3751</t>
  </si>
  <si>
    <t>02834</t>
  </si>
  <si>
    <t>서울 성북구 성북로6가길 23 504호</t>
  </si>
  <si>
    <t>2026020512150840156</t>
  </si>
  <si>
    <t>OPT-2474750-2721061</t>
  </si>
  <si>
    <t>노현주</t>
  </si>
  <si>
    <t>010-3702-1424</t>
  </si>
  <si>
    <t>11812</t>
  </si>
  <si>
    <t>경기 의정부시 용민로 442 1504동 1204호</t>
  </si>
  <si>
    <t>2026020512170002805</t>
  </si>
  <si>
    <t>OPT-2474755-2721066</t>
  </si>
  <si>
    <t>박원모 대표</t>
  </si>
  <si>
    <t>010-8339-8041</t>
  </si>
  <si>
    <t>06618</t>
  </si>
  <si>
    <t>서울 서초구 서운로19길 22 서초월드오피스텔 907호</t>
  </si>
  <si>
    <t>2026020512340561783</t>
  </si>
  <si>
    <t>OPT-2474772-2721083</t>
  </si>
  <si>
    <t>요니 (LEE yoo yeon)</t>
  </si>
  <si>
    <t>010-6331-9470</t>
  </si>
  <si>
    <t>16818</t>
  </si>
  <si>
    <t>경기 용인시 수지구 수풍로23번길 35 112동 405호</t>
  </si>
  <si>
    <t>2026020512425710373</t>
  </si>
  <si>
    <t>OPT-2474784-2721096</t>
  </si>
  <si>
    <t>김현지</t>
  </si>
  <si>
    <t>010-5606-9866</t>
  </si>
  <si>
    <t>10892</t>
  </si>
  <si>
    <t>경기 파주시 산내로 90 1209-803</t>
  </si>
  <si>
    <t>2026020512520483185</t>
  </si>
  <si>
    <t>OPT-2474801-2721114</t>
  </si>
  <si>
    <t>안창순</t>
  </si>
  <si>
    <t>010-9038-2610</t>
  </si>
  <si>
    <t>16825</t>
  </si>
  <si>
    <t>경기 용인시 수지구 동천로 18 풍림아파트 201동803호</t>
  </si>
  <si>
    <t>2026020513053897965</t>
  </si>
  <si>
    <t>OPT-2474816-2721140</t>
  </si>
  <si>
    <t>김지현</t>
  </si>
  <si>
    <t>010-2125-0504</t>
  </si>
  <si>
    <t>28125</t>
  </si>
  <si>
    <t>충청북도 청주시 청원구 오창읍 과학산업3로 216 (오창반도유보라퍼스티지) 오창반도유보라 104동 104호</t>
  </si>
  <si>
    <t>2026020513152792288</t>
  </si>
  <si>
    <t>OPT-2474828-2721153</t>
  </si>
  <si>
    <t>지니</t>
  </si>
  <si>
    <t>010-2350-9981</t>
  </si>
  <si>
    <t>10823</t>
  </si>
  <si>
    <t>경기도 파주시 문산읍 문향로 22 (한진아파트) 1동808호</t>
  </si>
  <si>
    <t>2026020513245239677</t>
  </si>
  <si>
    <t>OPT-2474838-2721164</t>
  </si>
  <si>
    <t>성준용</t>
  </si>
  <si>
    <t>010-2172-4136</t>
  </si>
  <si>
    <t>01150</t>
  </si>
  <si>
    <t>서울 강북구 오현로25가길 51 202호</t>
  </si>
  <si>
    <t>2026020513330141106</t>
  </si>
  <si>
    <t>OPT-2474847-2721173</t>
  </si>
  <si>
    <t>도대회</t>
  </si>
  <si>
    <t>010-2567-3455</t>
  </si>
  <si>
    <t>13618</t>
  </si>
  <si>
    <t>경기 성남시 분당구 미금로 215 802-1304</t>
  </si>
  <si>
    <t>2026020513384671342</t>
  </si>
  <si>
    <t>OPT-2474863-2721190</t>
  </si>
  <si>
    <t>이시원</t>
  </si>
  <si>
    <t>010-6210-7733</t>
  </si>
  <si>
    <t>08725</t>
  </si>
  <si>
    <t>서울특별시 관악구 봉천동 1712-1 관악드림타운아파트 147동 215호</t>
  </si>
  <si>
    <t>2026020513403317630</t>
  </si>
  <si>
    <t>OPT-2474871-2721198</t>
  </si>
  <si>
    <t>윤은경</t>
  </si>
  <si>
    <t>010-8976-4659</t>
  </si>
  <si>
    <t>08608</t>
  </si>
  <si>
    <t>서울 금천구 시흥대로 291 금천롯데캐슬골드파크3차 305동 1005호</t>
  </si>
  <si>
    <t>2026020513511684085</t>
  </si>
  <si>
    <t>OPT-2474903-2721232</t>
  </si>
  <si>
    <t>jin</t>
  </si>
  <si>
    <t>010-9116-5578</t>
  </si>
  <si>
    <t>48107</t>
  </si>
  <si>
    <t>부산 해운대구 대천로 187 103동 1501호</t>
  </si>
  <si>
    <t>2026020513530111079</t>
  </si>
  <si>
    <t>OPT-2474908-2721237</t>
  </si>
  <si>
    <t>이친구 귀엽구만</t>
  </si>
  <si>
    <t>010-7788-8108</t>
  </si>
  <si>
    <t>01708</t>
  </si>
  <si>
    <t>서울 노원구 덕릉로 595 102동 2108호</t>
  </si>
  <si>
    <t>2026020513592783428</t>
  </si>
  <si>
    <t>OPT-2474923-2721252</t>
  </si>
  <si>
    <t>지금주</t>
  </si>
  <si>
    <t>010-6776-7609</t>
  </si>
  <si>
    <t>42605</t>
  </si>
  <si>
    <t>대구 달서구 선원로 171 105동 109호</t>
  </si>
  <si>
    <t>배송전 문자주세요</t>
  </si>
  <si>
    <t>2026020514345519721</t>
  </si>
  <si>
    <t>OPT-2474980-2721314</t>
  </si>
  <si>
    <t>박시훈</t>
  </si>
  <si>
    <t>010-3123-9684</t>
  </si>
  <si>
    <t>51763</t>
  </si>
  <si>
    <t>경상남도 창원시 마산합포구 문화북2길 50 단독주택</t>
  </si>
  <si>
    <t>부재시 파란작은대문안</t>
  </si>
  <si>
    <t>2026020514473946139</t>
  </si>
  <si>
    <t>OPT-2474995-2721331</t>
  </si>
  <si>
    <t>김수연</t>
  </si>
  <si>
    <t>010-4114-0389</t>
  </si>
  <si>
    <t>13262</t>
  </si>
  <si>
    <t>경기 성남시 수정구 수정로 288 201동 1103호</t>
  </si>
  <si>
    <t>2026020516052355277</t>
  </si>
  <si>
    <t>OPT-2475093-2721437</t>
  </si>
  <si>
    <t>김주영(종문맘)</t>
  </si>
  <si>
    <t>010-2585-9290</t>
  </si>
  <si>
    <t>06703</t>
  </si>
  <si>
    <t>서울 서초구 방배로 21 103-1801</t>
  </si>
  <si>
    <t>2026020516085672965</t>
  </si>
  <si>
    <t>OPT-2475102-2721447</t>
  </si>
  <si>
    <t>한연신</t>
  </si>
  <si>
    <t>010-3056-7369</t>
  </si>
  <si>
    <t>03733</t>
  </si>
  <si>
    <t>서울 서대문구 독립문공원길 17 극동아파트 113-102</t>
  </si>
  <si>
    <t>2026020516095452567</t>
  </si>
  <si>
    <t>OPT-2475103-2721448</t>
  </si>
  <si>
    <t>박혜련</t>
  </si>
  <si>
    <t>010-4749-9087</t>
  </si>
  <si>
    <t>서울 강남구 역삼로 306 103-1403</t>
  </si>
  <si>
    <t>2026020516100255626</t>
  </si>
  <si>
    <t>OPT-2475104-2721449</t>
  </si>
  <si>
    <t>백옥련</t>
  </si>
  <si>
    <t>010-2224-7782</t>
  </si>
  <si>
    <t>05048</t>
  </si>
  <si>
    <t>서울 광진구 구의강변로3가길 39 703동 1807호</t>
  </si>
  <si>
    <t>2026020516101115617</t>
  </si>
  <si>
    <t>OPT-2475106-2721451</t>
  </si>
  <si>
    <t>김정은</t>
  </si>
  <si>
    <t>010-8874-1159</t>
  </si>
  <si>
    <t>22001</t>
  </si>
  <si>
    <t>인천 연수구 컨벤시아대로42번길 77 906동 1002호</t>
  </si>
  <si>
    <t>2026020516115538753</t>
  </si>
  <si>
    <t>OPT-2475109-2721454</t>
  </si>
  <si>
    <t>정의석</t>
  </si>
  <si>
    <t>010-9181-4418</t>
  </si>
  <si>
    <t>02057</t>
  </si>
  <si>
    <t>서울 중랑구 용마산로 670 206동2401호</t>
  </si>
  <si>
    <t>2026020516103379741</t>
  </si>
  <si>
    <t>OPT-2475110-2721455</t>
  </si>
  <si>
    <t>정순실</t>
  </si>
  <si>
    <t>010-5268-3252</t>
  </si>
  <si>
    <t>05210</t>
  </si>
  <si>
    <t>서울특별시 강동구 아리수로93길 40 (강일동, 강일리버파크3단지아파트) 308동807호</t>
  </si>
  <si>
    <t>2026020516130369048</t>
  </si>
  <si>
    <t>OPT-2475115-2721460</t>
  </si>
  <si>
    <t>플로라</t>
  </si>
  <si>
    <t>010-5428-7634</t>
  </si>
  <si>
    <t>21552</t>
  </si>
  <si>
    <t>인천 남동구 구월로 65 현대홈타운 109동 702호</t>
  </si>
  <si>
    <t>2026020516110177974</t>
  </si>
  <si>
    <t>OPT-2475117-2721462</t>
  </si>
  <si>
    <t>문영숙</t>
  </si>
  <si>
    <t>010-6255-0975</t>
  </si>
  <si>
    <t>11809</t>
  </si>
  <si>
    <t>경기도 의정부시 용현로 118 (민락동, 송산센트럴아파트) 705동303호</t>
  </si>
  <si>
    <t>2026020516124579182</t>
  </si>
  <si>
    <t>OPT-2475119-2721464</t>
  </si>
  <si>
    <t>이정은</t>
  </si>
  <si>
    <t>010-9082-6153</t>
  </si>
  <si>
    <t>10895</t>
  </si>
  <si>
    <t>경기 파주시 가람로116번길 130 710동1101호</t>
  </si>
  <si>
    <t>2026020516133718534</t>
  </si>
  <si>
    <t>OPT-2475121-2721466</t>
  </si>
  <si>
    <t>김민균</t>
  </si>
  <si>
    <t>010-8393-8303</t>
  </si>
  <si>
    <t>63084</t>
  </si>
  <si>
    <t>제주특별자치도 제주시 원노형2길 29-2 802호</t>
  </si>
  <si>
    <t>현관비번 열쇠2765열쇠</t>
  </si>
  <si>
    <t>2026020516122301570</t>
  </si>
  <si>
    <t>OPT-2475123-2721468</t>
  </si>
  <si>
    <t>유연주</t>
  </si>
  <si>
    <t>010-7152-8850</t>
  </si>
  <si>
    <t>경기 남양주시 천마산로 65 116동 1703호</t>
  </si>
  <si>
    <t>2026020516172400556</t>
  </si>
  <si>
    <t>OPT-2475128-2721473</t>
  </si>
  <si>
    <t>오영란</t>
  </si>
  <si>
    <t>010-6749-8922</t>
  </si>
  <si>
    <t>24536</t>
  </si>
  <si>
    <t>강원특별자치도 양구군 양구읍 중앙길 68 형제방아</t>
  </si>
  <si>
    <t>2026020516171063387</t>
  </si>
  <si>
    <t>OPT-2475130-2721475</t>
  </si>
  <si>
    <t>김규형</t>
  </si>
  <si>
    <t>010-4365-7999</t>
  </si>
  <si>
    <t>17077</t>
  </si>
  <si>
    <t>경기 용인시 기흥구 중부대로788번길 15 205-704</t>
  </si>
  <si>
    <t>부재시 현관앞에</t>
  </si>
  <si>
    <t>2026020516165993676</t>
  </si>
  <si>
    <t>OPT-2475131-2721476</t>
  </si>
  <si>
    <t>코스모스</t>
  </si>
  <si>
    <t>010-7536-6575</t>
  </si>
  <si>
    <t>18239</t>
  </si>
  <si>
    <t>경기 화성시 수노을중앙로 293 1003동 903호</t>
  </si>
  <si>
    <t>2026020516190040882</t>
  </si>
  <si>
    <t>OPT-2475136-2721482</t>
  </si>
  <si>
    <t>정경옥</t>
  </si>
  <si>
    <t>010-7722-8062</t>
  </si>
  <si>
    <t>13903</t>
  </si>
  <si>
    <t>경기 안양시 만안구 연현로79번길 84 엘지빌리지 301동201호</t>
  </si>
  <si>
    <t>배송전 미리 문자 남겨 주세요</t>
  </si>
  <si>
    <t>2026020516160415110</t>
  </si>
  <si>
    <t>OPT-2475141-2721487</t>
  </si>
  <si>
    <t>유상심</t>
  </si>
  <si>
    <t>010-4426-0963</t>
  </si>
  <si>
    <t>57723</t>
  </si>
  <si>
    <t>전남 광양시 금영로 16 201동1303호</t>
  </si>
  <si>
    <t>2026020516265504725</t>
  </si>
  <si>
    <t>OPT-2475146-2721492</t>
  </si>
  <si>
    <t>한선진</t>
  </si>
  <si>
    <t>010-2877-2095</t>
  </si>
  <si>
    <t>05410</t>
  </si>
  <si>
    <t>서울 강동구 양재대로 1300 올림픽파크포레온 313동1801호</t>
  </si>
  <si>
    <t>2026020516310176727</t>
  </si>
  <si>
    <t>OPT-2475151-2721498</t>
  </si>
  <si>
    <t>신화수</t>
  </si>
  <si>
    <t>010-9487-5442</t>
  </si>
  <si>
    <t>13824</t>
  </si>
  <si>
    <t>경기도 과천시 과천대로 12 (갈현동) 오르투스 103동1205호</t>
  </si>
  <si>
    <t>2026020516330712420</t>
  </si>
  <si>
    <t>OPT-2475159-2721507</t>
  </si>
  <si>
    <t>이성행</t>
  </si>
  <si>
    <t>010-6471-6921</t>
  </si>
  <si>
    <t>31739</t>
  </si>
  <si>
    <t>충남 당진시 신평면 소창길 20 단독주택</t>
  </si>
  <si>
    <t>2026020516321391707</t>
  </si>
  <si>
    <t>OPT-2475160-2721508</t>
  </si>
  <si>
    <t>sehhee</t>
  </si>
  <si>
    <t>010-5404-1416</t>
  </si>
  <si>
    <t>10324</t>
  </si>
  <si>
    <t>경기 고양시 일산동구 위시티3로 111 202동3201호</t>
  </si>
  <si>
    <t>2026020516351291007</t>
  </si>
  <si>
    <t>OPT-2475166-2721515</t>
  </si>
  <si>
    <t>이동석</t>
  </si>
  <si>
    <t>010-9981-0102</t>
  </si>
  <si>
    <t>04702</t>
  </si>
  <si>
    <t>서울 성동구 무학로 33 106동704호</t>
  </si>
  <si>
    <t>문앞에 부탁드립니다</t>
  </si>
  <si>
    <t>2026020516401848086</t>
  </si>
  <si>
    <t>OPT-2475181-2721530</t>
  </si>
  <si>
    <t>이명아</t>
  </si>
  <si>
    <t>010-5885-2349</t>
  </si>
  <si>
    <t>63527</t>
  </si>
  <si>
    <t>제주특별자치도 서귀포시 안덕면 평화로319번길 145 145</t>
  </si>
  <si>
    <t>2026020516450362871</t>
  </si>
  <si>
    <t>OPT-2475185-2721534</t>
  </si>
  <si>
    <t>박광수</t>
  </si>
  <si>
    <t>010-9272-2101</t>
  </si>
  <si>
    <t>15038</t>
  </si>
  <si>
    <t>경기 시흥시 중심상가로 106 104-304</t>
  </si>
  <si>
    <t>2026020516493709629</t>
  </si>
  <si>
    <t>OPT-2475189-2721539</t>
  </si>
  <si>
    <t>김 효신</t>
  </si>
  <si>
    <t>010-8228-4100</t>
  </si>
  <si>
    <t>22748</t>
  </si>
  <si>
    <t>인천 서구 청라루비로144번길 16 201호</t>
  </si>
  <si>
    <t>2026020516523749695</t>
  </si>
  <si>
    <t>OPT-2475194-2721544</t>
  </si>
  <si>
    <t>김효정</t>
  </si>
  <si>
    <t>010-2795-0740</t>
  </si>
  <si>
    <t>14321</t>
  </si>
  <si>
    <t>경기 광명시 소하로 162 701동 1001호</t>
  </si>
  <si>
    <t>2026020517031500290</t>
  </si>
  <si>
    <t>OPT-2475207-2721557</t>
  </si>
  <si>
    <t>08599</t>
  </si>
  <si>
    <t>서울 금천구 한내로 62 한신아파트 8동 706호</t>
  </si>
  <si>
    <t>2026020517062133209</t>
  </si>
  <si>
    <t>OPT-2475211-2721561</t>
  </si>
  <si>
    <t>이경숙</t>
  </si>
  <si>
    <t>010-2284-7047</t>
  </si>
  <si>
    <t>10492</t>
  </si>
  <si>
    <t>경기 고양시 덕양구 화신로 106 2412-303</t>
  </si>
  <si>
    <t>2026020517130732747</t>
  </si>
  <si>
    <t>OPT-2475223-2721574</t>
  </si>
  <si>
    <t>주진형</t>
  </si>
  <si>
    <t>010-8162-4389</t>
  </si>
  <si>
    <t>07542</t>
  </si>
  <si>
    <t>서울 강서구 양천로71가길 22 101동 1502호</t>
  </si>
  <si>
    <t>2026020517124468724</t>
  </si>
  <si>
    <t>OPT-2475227-2721578</t>
  </si>
  <si>
    <t>이장현</t>
  </si>
  <si>
    <t>010-2724-2503</t>
  </si>
  <si>
    <t>06374</t>
  </si>
  <si>
    <t>서울 강남구 자곡로 101 611동 803호</t>
  </si>
  <si>
    <t>2026020517215142126</t>
  </si>
  <si>
    <t>OPT-2475238-2721589</t>
  </si>
  <si>
    <t>김자옥</t>
  </si>
  <si>
    <t>010-6238-9265</t>
  </si>
  <si>
    <t>58307</t>
  </si>
  <si>
    <t>전남 나주시 봉황면 봉황로 632 착한푸드</t>
  </si>
  <si>
    <t>2026020517234880378</t>
  </si>
  <si>
    <t>OPT-2475243-2721595</t>
  </si>
  <si>
    <t>은서채</t>
  </si>
  <si>
    <t>010-8906-4814</t>
  </si>
  <si>
    <t>14238</t>
  </si>
  <si>
    <t>경기 광명시 디지털로 63 1208동902호</t>
  </si>
  <si>
    <t>2026020517290777512</t>
  </si>
  <si>
    <t>OPT-2475253-2721606</t>
  </si>
  <si>
    <t>한진숙</t>
  </si>
  <si>
    <t>010-8661-5244</t>
  </si>
  <si>
    <t>63322</t>
  </si>
  <si>
    <t>제주특별자치도 제주시 화삼로 167 307동1002호</t>
  </si>
  <si>
    <t>2026020517283732573</t>
  </si>
  <si>
    <t>OPT-2475257-2721610</t>
  </si>
  <si>
    <t>김민우</t>
  </si>
  <si>
    <t>010-7143-6786</t>
  </si>
  <si>
    <t>16928</t>
  </si>
  <si>
    <t>경기도 용인시 수지구 만현로 25 (상현동, 만현마을롯데캐슬아파트) 103동 101호</t>
  </si>
  <si>
    <t>2026020517414423802</t>
  </si>
  <si>
    <t>OPT-2475282-2721637</t>
  </si>
  <si>
    <t>유여사</t>
  </si>
  <si>
    <t>010-9907-1942</t>
  </si>
  <si>
    <t>16217</t>
  </si>
  <si>
    <t>경기 수원시 장안구 창훈로 30 104동 302호</t>
  </si>
  <si>
    <t>2026020517413141023</t>
  </si>
  <si>
    <t>OPT-2475285-2721640</t>
  </si>
  <si>
    <t>윤동진</t>
  </si>
  <si>
    <t>010-2690-0523</t>
  </si>
  <si>
    <t>42732</t>
  </si>
  <si>
    <t>대구 달서구 학산로 15 102동 1007호</t>
  </si>
  <si>
    <t>2026020517554549624</t>
  </si>
  <si>
    <t>OPT-2475293-2721648</t>
  </si>
  <si>
    <t>김준형</t>
  </si>
  <si>
    <t>010-3772-1244</t>
  </si>
  <si>
    <t>61685</t>
  </si>
  <si>
    <t>광주 남구 봉선중앙로 46 105동 1106호</t>
  </si>
  <si>
    <t>2026020518121761535</t>
  </si>
  <si>
    <t>OPT-2475301-2721656</t>
  </si>
  <si>
    <t>김태윤</t>
  </si>
  <si>
    <t>010-2644-3452</t>
  </si>
  <si>
    <t>63132</t>
  </si>
  <si>
    <t>제주특별자치도 제주시 연동4길 6-11 해모로루민 201동802호</t>
  </si>
  <si>
    <t>2026020518225095053</t>
  </si>
  <si>
    <t>OPT-2475311-2721666</t>
  </si>
  <si>
    <t>잔디</t>
  </si>
  <si>
    <t>010-5153-9722</t>
  </si>
  <si>
    <t>11776</t>
  </si>
  <si>
    <t>경기 의정부시 장곡로596번길 18 108-1801</t>
  </si>
  <si>
    <t>2026020518264124479</t>
  </si>
  <si>
    <t>OPT-2475315-2721671</t>
  </si>
  <si>
    <t>무창</t>
  </si>
  <si>
    <t>010-7242-2396</t>
  </si>
  <si>
    <t>경기 부천시 소사구 경인로26번길 22 송내자이 108동 1902호</t>
  </si>
  <si>
    <t>부재시 문앞에 부탁드려요</t>
  </si>
  <si>
    <t>2026020518395856402</t>
  </si>
  <si>
    <t>OPT-2475322-2721679</t>
  </si>
  <si>
    <t>조영순</t>
  </si>
  <si>
    <t>010-9269-3817</t>
  </si>
  <si>
    <t>10068</t>
  </si>
  <si>
    <t>경기 김포시 김포한강8로 173-88 603동1002호</t>
  </si>
  <si>
    <t>2026020518480401168</t>
  </si>
  <si>
    <t>OPT-2475335-2721694</t>
  </si>
  <si>
    <t>하성수</t>
  </si>
  <si>
    <t>010-3711-3165</t>
  </si>
  <si>
    <t>01468</t>
  </si>
  <si>
    <t>서울특별시 도봉구 덕릉로59바길 37-5 (창동) 창2동585-27호</t>
  </si>
  <si>
    <t>2026020518472564745</t>
  </si>
  <si>
    <t>OPT-2475336-2721695</t>
  </si>
  <si>
    <t>권혁천</t>
  </si>
  <si>
    <t>010-3360-5919</t>
  </si>
  <si>
    <t>14244</t>
  </si>
  <si>
    <t>경기 광명시 광덕산로 26 광명 두산위브트레지움 101동 1203호</t>
  </si>
  <si>
    <t>2026020519172120308</t>
  </si>
  <si>
    <t>OPT-2475374-2721735</t>
  </si>
  <si>
    <t>홍진옥</t>
  </si>
  <si>
    <t>010-3331-1992</t>
  </si>
  <si>
    <t>63308</t>
  </si>
  <si>
    <t>제주특별자치도 제주시 기와4길 14-16 효성해링턴코트 2차202동202호</t>
  </si>
  <si>
    <t>2026020519251273862</t>
  </si>
  <si>
    <t>OPT-2475388-2721749</t>
  </si>
  <si>
    <t>전태우</t>
  </si>
  <si>
    <t>010-5332-6288</t>
  </si>
  <si>
    <t>04588</t>
  </si>
  <si>
    <t>서울 중구 청구로1길 23 104동 902호</t>
  </si>
  <si>
    <t>문 앞에 두고 연락 부탁드립니다.</t>
  </si>
  <si>
    <t>2026020519484941530</t>
  </si>
  <si>
    <t>OPT-2475410-2721772</t>
  </si>
  <si>
    <t>김진오</t>
  </si>
  <si>
    <t>010-2081-8759</t>
  </si>
  <si>
    <t>42928</t>
  </si>
  <si>
    <t>대구 달성군 다사읍 서재로12길 41-16 102동 208호</t>
  </si>
  <si>
    <t>2026020519493304997</t>
  </si>
  <si>
    <t>OPT-2475416-2721778</t>
  </si>
  <si>
    <t>주은정</t>
  </si>
  <si>
    <t>010-2974-1512</t>
  </si>
  <si>
    <t>35355</t>
  </si>
  <si>
    <t>대전 서구 도안동로 183 1503동1303호</t>
  </si>
  <si>
    <t>2026020520050264066</t>
  </si>
  <si>
    <t>OPT-2475432-2721794</t>
  </si>
  <si>
    <t>정현~</t>
  </si>
  <si>
    <t>010-5320-4406</t>
  </si>
  <si>
    <t>08760</t>
  </si>
  <si>
    <t>서울 관악구 신림동3길 30 7층</t>
  </si>
  <si>
    <t>공동현관9403#</t>
  </si>
  <si>
    <t>2026020520272234466</t>
  </si>
  <si>
    <t>OPT-2475458-2721821</t>
  </si>
  <si>
    <t>정대규</t>
  </si>
  <si>
    <t>010-3739-0296</t>
  </si>
  <si>
    <t>05813</t>
  </si>
  <si>
    <t>서울특별시 송파구 송파대로8길 42 (장지동, 송파파인타운12단지) 1201동 201호</t>
  </si>
  <si>
    <t>2026020520310341359</t>
  </si>
  <si>
    <t>OPT-2475465-2721828</t>
  </si>
  <si>
    <t>김강미</t>
  </si>
  <si>
    <t>010-5213-4358</t>
  </si>
  <si>
    <t>30152</t>
  </si>
  <si>
    <t>세종특별자치시 대평로 80 해들마을6단지 604동 2702호</t>
  </si>
  <si>
    <t>배송시 문자메세지</t>
  </si>
  <si>
    <t>2026020521040351653</t>
  </si>
  <si>
    <t>OPT-2475499-2721864</t>
  </si>
  <si>
    <t>김용자</t>
  </si>
  <si>
    <t>010-7724-6701</t>
  </si>
  <si>
    <t>59549</t>
  </si>
  <si>
    <t>전남 고흥군 풍양면 하림길 63-3 1층</t>
  </si>
  <si>
    <t>2026020521162757235</t>
  </si>
  <si>
    <t>OPT-2475517-2721885</t>
  </si>
  <si>
    <t>백종민</t>
  </si>
  <si>
    <t>010-2234-1481</t>
  </si>
  <si>
    <t>08018</t>
  </si>
  <si>
    <t>서울 양천구 목동동로 130 1427동 606호</t>
  </si>
  <si>
    <t>2026020521183235946</t>
  </si>
  <si>
    <t>OPT-2475519-2721887</t>
  </si>
  <si>
    <t>윤</t>
  </si>
  <si>
    <t>010-9979-3438</t>
  </si>
  <si>
    <t>17332</t>
  </si>
  <si>
    <t>경기도 이천시 부발읍 경충대로2050번길 15-44 (현대성우오스타3단지) 현대성우3단지 302-1203</t>
  </si>
  <si>
    <t>문앞에 놔주세요 감사합니다</t>
  </si>
  <si>
    <t>2026020522205453759</t>
  </si>
  <si>
    <t>OPT-2475572-2721941</t>
  </si>
  <si>
    <t>송은미</t>
  </si>
  <si>
    <t>010-9930-2687</t>
  </si>
  <si>
    <t>14329</t>
  </si>
  <si>
    <t>경기 광명시 성채로 37 413동101호</t>
  </si>
  <si>
    <t>2026020522305024077</t>
  </si>
  <si>
    <t>OPT-2475579-2721948</t>
  </si>
  <si>
    <t>김주순</t>
  </si>
  <si>
    <t>010-9530-7132</t>
  </si>
  <si>
    <t>16847</t>
  </si>
  <si>
    <t>경기 용인시 수지구 성복2로 10 성복역 롯데캐슬 골드타운 111동1006호</t>
  </si>
  <si>
    <t>2026020522374464118</t>
  </si>
  <si>
    <t>OPT-2475586-2721955</t>
  </si>
  <si>
    <t>김형진</t>
  </si>
  <si>
    <t>010-5254-3824</t>
  </si>
  <si>
    <t>서울 양천구 목동동로 130 1413-1104</t>
  </si>
  <si>
    <t>2026020522415475512</t>
  </si>
  <si>
    <t>OPT-2475594-2721963</t>
  </si>
  <si>
    <t>김광석</t>
  </si>
  <si>
    <t>010-5069-7341</t>
  </si>
  <si>
    <t>12276</t>
  </si>
  <si>
    <t xml:space="preserve">경기 남양주시 와부읍 덕소로 286 105동1702호 </t>
  </si>
  <si>
    <t>2026020522465419778</t>
  </si>
  <si>
    <t>OPT-2475599-2721968</t>
  </si>
  <si>
    <t>이혜원</t>
  </si>
  <si>
    <t>010-9064-3284</t>
  </si>
  <si>
    <t>24415</t>
  </si>
  <si>
    <t>강원특별자치도 춘천시 지석로 97 103동1005호</t>
  </si>
  <si>
    <t>2026020523332732014</t>
  </si>
  <si>
    <t>OPT-2475644-2722015</t>
  </si>
  <si>
    <t>숙영</t>
  </si>
  <si>
    <t>010-9804-2981</t>
  </si>
  <si>
    <t>34899</t>
  </si>
  <si>
    <t>대전 중구 계백로1615번길 34 115-1904</t>
  </si>
  <si>
    <t>2026020523382814280</t>
  </si>
  <si>
    <t>OPT-2475649-2722020</t>
  </si>
  <si>
    <t>Angel</t>
  </si>
  <si>
    <t>010-3261-1038</t>
  </si>
  <si>
    <t>31516</t>
  </si>
  <si>
    <t>충남 아산시 권곡로 47 더샵퍼스트타워아파트104동702호</t>
  </si>
  <si>
    <t>2026020523473737902</t>
  </si>
  <si>
    <t>OPT-2475658-2722029</t>
  </si>
  <si>
    <t>김경희</t>
  </si>
  <si>
    <t>010-9149-8778</t>
  </si>
  <si>
    <t>06359</t>
  </si>
  <si>
    <t>서울 강남구 광평로10길 6 106동 306호</t>
  </si>
  <si>
    <t>2026020523475853523</t>
  </si>
  <si>
    <t>OPT-2475659-2722030</t>
  </si>
  <si>
    <t>최필규01052712158</t>
  </si>
  <si>
    <t>010-5271-2158</t>
  </si>
  <si>
    <t>21038</t>
  </si>
  <si>
    <t>인천 계양구 하느재로 15 103동404호</t>
  </si>
  <si>
    <t>2026020600080506534</t>
  </si>
  <si>
    <t>OPT-2475673-2722045</t>
  </si>
  <si>
    <t>김영규</t>
  </si>
  <si>
    <t>010-3877-3300</t>
  </si>
  <si>
    <t>48516</t>
  </si>
  <si>
    <t>부산 남구 분포로 111 140동1002호</t>
  </si>
  <si>
    <t>2026020600195274242</t>
  </si>
  <si>
    <t>OPT-2475680-2722053</t>
  </si>
  <si>
    <t>최애란</t>
  </si>
  <si>
    <t>010-9401-3639</t>
  </si>
  <si>
    <t>34090</t>
  </si>
  <si>
    <t>대전 유성구 은구비남로 34 804동1402호</t>
  </si>
  <si>
    <t>2026020600424373360</t>
  </si>
  <si>
    <t>OPT-2475688-2722062</t>
  </si>
  <si>
    <t>김태훈</t>
  </si>
  <si>
    <t>010-2976-2927</t>
  </si>
  <si>
    <t>02159</t>
  </si>
  <si>
    <t>서울 중랑구 상봉로15길 41 B동 201호</t>
  </si>
  <si>
    <t>2026020601232125186</t>
  </si>
  <si>
    <t>OPT-2475704-2722085</t>
  </si>
  <si>
    <t>31793</t>
  </si>
  <si>
    <t>충남 당진시 고대면 항곡로 279-46 1층</t>
  </si>
  <si>
    <t>2026020601253706807</t>
  </si>
  <si>
    <t>OPT-2475709-2722091</t>
  </si>
  <si>
    <t>류지숙</t>
  </si>
  <si>
    <t>010-2576-4061</t>
  </si>
  <si>
    <t>44224</t>
  </si>
  <si>
    <t>울산 북구 제내3길 6-10 예담빌 2동 401호</t>
  </si>
  <si>
    <t>2026020606421003679</t>
  </si>
  <si>
    <t>OPT-2475765-2722151</t>
  </si>
  <si>
    <t>lee sunsuk</t>
  </si>
  <si>
    <t>010-4253-7165</t>
  </si>
  <si>
    <t>04776</t>
  </si>
  <si>
    <t>서울 성동구 둘레15길 7 청구강변 101동203호</t>
  </si>
  <si>
    <t>2026020607251011328</t>
  </si>
  <si>
    <t>OPT-2475814-2722203</t>
  </si>
  <si>
    <t>김찬이</t>
  </si>
  <si>
    <t>010-5546-5595</t>
  </si>
  <si>
    <t>06503</t>
  </si>
  <si>
    <t>서울 서초구 신반포로15길 19 103-1103</t>
  </si>
  <si>
    <t>2026020607554916420</t>
  </si>
  <si>
    <t>OPT-2475858-2722251</t>
  </si>
  <si>
    <t>김재욱</t>
  </si>
  <si>
    <t>06006</t>
  </si>
  <si>
    <t>서울 강남구 압구정로 313 43-603</t>
  </si>
  <si>
    <t>2026020607572318844</t>
  </si>
  <si>
    <t>OPT-2475873-2722267</t>
  </si>
  <si>
    <t>아현맘</t>
  </si>
  <si>
    <t>010-6285-6400</t>
  </si>
  <si>
    <t>13832</t>
  </si>
  <si>
    <t>경기 과천시 별양로 164 706동1201호</t>
  </si>
  <si>
    <t>2026020608003295113</t>
  </si>
  <si>
    <t>OPT-2475913-2722307</t>
  </si>
  <si>
    <t>추정희</t>
  </si>
  <si>
    <t>010-8034-9332</t>
  </si>
  <si>
    <t>44480</t>
  </si>
  <si>
    <t>울산 중구 약사로 25 306동504호</t>
  </si>
  <si>
    <t>2026020608041857358</t>
  </si>
  <si>
    <t>OPT-2475917-2722311</t>
  </si>
  <si>
    <t>강성용</t>
  </si>
  <si>
    <t>010-9929-5789</t>
  </si>
  <si>
    <t>53244</t>
  </si>
  <si>
    <t>경상남도 거제시 양정5길 36 (양정동, 거제아이파크1차) 106동1303호</t>
  </si>
  <si>
    <t>2026020608103336084</t>
  </si>
  <si>
    <t>OPT-2475925-2722322</t>
  </si>
  <si>
    <t>유금자</t>
  </si>
  <si>
    <t>010-8841-4743</t>
  </si>
  <si>
    <t>14996</t>
  </si>
  <si>
    <t>경기 시흥시 장현순환로 58 호반1203동802호</t>
  </si>
  <si>
    <t>2026020608260228781</t>
  </si>
  <si>
    <t>OPT-2475936-2722333</t>
  </si>
  <si>
    <t>김계남</t>
  </si>
  <si>
    <t>010-4133-2257</t>
  </si>
  <si>
    <t>13013</t>
  </si>
  <si>
    <t>경기 하남시 위례순환로 270 위례그린파크 푸르지오 6501동801호</t>
  </si>
  <si>
    <t>부재시 문앞에 두고 가주세요</t>
  </si>
  <si>
    <t>2026020610042136312</t>
  </si>
  <si>
    <t>OPT-2476107-2722512</t>
  </si>
  <si>
    <t>최진호</t>
  </si>
  <si>
    <t>010-9416-7526</t>
  </si>
  <si>
    <t>02760</t>
  </si>
  <si>
    <t>서울 성북구 한천로 713 506-1704</t>
  </si>
  <si>
    <t>2026020610122130744</t>
  </si>
  <si>
    <t>OPT-2476121-2722526</t>
  </si>
  <si>
    <t>최순자</t>
  </si>
  <si>
    <t>010-2286-0747</t>
  </si>
  <si>
    <t>26461</t>
  </si>
  <si>
    <t>강원특별자치도 원주시 배울로 154 116동 503호</t>
  </si>
  <si>
    <t>2026020610572738227</t>
  </si>
  <si>
    <t>OPT-2476181-2722596</t>
  </si>
  <si>
    <t>010-9007-7000</t>
  </si>
  <si>
    <t>16668</t>
  </si>
  <si>
    <t>경기 수원시 권선구 망포로 14 210-1104</t>
  </si>
  <si>
    <t>2026020610590047168</t>
  </si>
  <si>
    <t>OPT-2476182-2722597</t>
  </si>
  <si>
    <t>이종성</t>
  </si>
  <si>
    <t>043-847-3901</t>
  </si>
  <si>
    <t>27340</t>
  </si>
  <si>
    <t>충북 충주시 금제1길 5 1동1002호</t>
  </si>
  <si>
    <t>현관앞에 배송해주세요.</t>
  </si>
  <si>
    <t>2026020513213512299</t>
  </si>
  <si>
    <t>SUB-2474836-306911</t>
  </si>
  <si>
    <t>최해주</t>
  </si>
  <si>
    <t>010-2540-9617</t>
  </si>
  <si>
    <t>06277</t>
  </si>
  <si>
    <t>서울 강남구 언주로 202 109동 604호</t>
  </si>
  <si>
    <t>2026020513383284644</t>
  </si>
  <si>
    <t>SUB-2474882-306913</t>
  </si>
  <si>
    <t>김성대</t>
  </si>
  <si>
    <t>010-6384-3119</t>
  </si>
  <si>
    <t>07380</t>
  </si>
  <si>
    <t>서울특별시 영등포구 도신로 68 (신길동, 신길우성아파트) 103동903호</t>
  </si>
  <si>
    <t>2026020516473730837</t>
  </si>
  <si>
    <t>SUB-2475186-306922</t>
  </si>
  <si>
    <t>엄지유</t>
  </si>
  <si>
    <t>010-2286-9979</t>
  </si>
  <si>
    <t>12668</t>
  </si>
  <si>
    <t>경기도 여주시 점동면 한밭들길 31-2 1층</t>
  </si>
  <si>
    <t>2026020517294118202</t>
  </si>
  <si>
    <t>SUB-2475259-306925</t>
  </si>
  <si>
    <t>안경</t>
  </si>
  <si>
    <t>010-7583-1609</t>
  </si>
  <si>
    <t>41141</t>
  </si>
  <si>
    <t>대구 동구 입석로1길 32-2 루비5차 301호</t>
  </si>
  <si>
    <t>2026020517481139248</t>
  </si>
  <si>
    <t>SUB-2475290-306927</t>
  </si>
  <si>
    <t>18496</t>
  </si>
  <si>
    <t>경기 화성시 동탄구 동탄순환대로17길 15 서희스타힐스 2421동1904호</t>
  </si>
  <si>
    <t>2026020517553664664</t>
  </si>
  <si>
    <t>SUB-2475295-306929</t>
  </si>
  <si>
    <t>최기정</t>
  </si>
  <si>
    <t>010-5635-5464</t>
  </si>
  <si>
    <t>11947</t>
  </si>
  <si>
    <t>경기 구리시 장자대로111번길 11 201동 1506호</t>
  </si>
  <si>
    <t>2026020519421726606</t>
  </si>
  <si>
    <t>SUB-2475405-306933</t>
  </si>
  <si>
    <t>양은성</t>
  </si>
  <si>
    <t>010-7612-7674</t>
  </si>
  <si>
    <t>04145</t>
  </si>
  <si>
    <t>서울 마포구 마포대로 115-8 104동 907호</t>
  </si>
  <si>
    <t>2026020522391926002</t>
  </si>
  <si>
    <t>SUB-2475590-306938</t>
  </si>
  <si>
    <t>An_Teon</t>
  </si>
  <si>
    <t>010-3264-3082</t>
  </si>
  <si>
    <t>04122</t>
  </si>
  <si>
    <t>서울 마포구 대흥로24길 41 1층 상가안</t>
  </si>
  <si>
    <t>2026020603055910491</t>
  </si>
  <si>
    <t>SUB-2475728-306947</t>
  </si>
  <si>
    <t>권오경</t>
  </si>
  <si>
    <t>010-9859-8500</t>
  </si>
  <si>
    <t>16311</t>
  </si>
  <si>
    <t>경기도 수원시 장안구 수성로339번길 14-37 (정자동) 401호</t>
  </si>
  <si>
    <t>2026020608281998628</t>
  </si>
  <si>
    <t>SUB-2475941-306960</t>
  </si>
  <si>
    <t>이나래</t>
  </si>
  <si>
    <t>010-3381-8921</t>
  </si>
  <si>
    <t>경기 안양시 만안구 안양천서로 249 111-104</t>
  </si>
  <si>
    <t>공동현관문 104#1234</t>
  </si>
  <si>
    <t>2026020610394220276</t>
  </si>
  <si>
    <t>SUB-2476162-306968</t>
  </si>
  <si>
    <t>최명신</t>
  </si>
  <si>
    <t>0504-1889-4017</t>
  </si>
  <si>
    <t>08291</t>
  </si>
  <si>
    <t>서울특별시 구로구 구로동 1263 신도림롯데아파트 108동 901호</t>
  </si>
  <si>
    <t>함미자</t>
  </si>
  <si>
    <t>0504-2720-8765</t>
  </si>
  <si>
    <t>05209</t>
  </si>
  <si>
    <t>서울특별시 강동구 아리수로97길 20 강일리버507동901호 ( 강일동, 강일리버파크5단지아파트 )</t>
  </si>
  <si>
    <t>현정화</t>
  </si>
  <si>
    <t>010-8718-8985</t>
  </si>
  <si>
    <t>경기도 고양시 덕양구 대덕산로 21 (덕은동, DMC자이 더 포레리버뷰) 104동 804호</t>
  </si>
  <si>
    <t>cha</t>
  </si>
  <si>
    <t>010-2048-6133</t>
  </si>
  <si>
    <t>서울 송파구 오금로32길 14 송파 래미안아파트 110동703호</t>
  </si>
  <si>
    <t>　</t>
  </si>
  <si>
    <t>OPT-2479440-2726054</t>
  </si>
  <si>
    <t>김석진</t>
  </si>
  <si>
    <t>010-9168-7889</t>
  </si>
  <si>
    <t>서울특별시 강남구 선릉로 221 (도곡동, 도곡렉슬아파트) 406-301</t>
  </si>
  <si>
    <t>OPT-2479142-2725748</t>
  </si>
  <si>
    <t>이영호</t>
  </si>
  <si>
    <t>010-2094-2405</t>
  </si>
  <si>
    <t>경기 평택시 청북읍 안청로4길 42 104동602호</t>
  </si>
  <si>
    <t>설명절 연휴이전 배송 부탁드립니다 꼭!!</t>
  </si>
  <si>
    <t>OPT-2478930-2725532</t>
  </si>
  <si>
    <t>권광열</t>
  </si>
  <si>
    <t>010-2913-9995</t>
  </si>
  <si>
    <t>경기 화성시 봉담읍 와우로34번길 11 108동 802호</t>
  </si>
  <si>
    <t>OPT-2478903-2725503</t>
  </si>
  <si>
    <t>KY</t>
  </si>
  <si>
    <t>010-7126-3389</t>
  </si>
  <si>
    <t>강원특별자치도 속초시 청호로 22 102-903</t>
  </si>
  <si>
    <t>OPT-2478886-2725485</t>
  </si>
  <si>
    <t>서지수</t>
  </si>
  <si>
    <t>010-2959-0757</t>
  </si>
  <si>
    <t>서울특별시 서대문구 연희로41길 162 (홍은동, 홍은동동아아파트) 동아빌라 101호</t>
  </si>
  <si>
    <t>OPT-2478871-2725469</t>
  </si>
  <si>
    <t>엄병철</t>
  </si>
  <si>
    <t>010-4371-6531</t>
  </si>
  <si>
    <t>울산 중구 고복수길 11 302호</t>
  </si>
  <si>
    <t>OPT-2478683-2725265</t>
  </si>
  <si>
    <t>성향아  85097608</t>
  </si>
  <si>
    <t>010-8509-7608</t>
  </si>
  <si>
    <t>서울 광진구 아차산로27길 19-7 2층</t>
  </si>
  <si>
    <t>OPT-2478669-2725251</t>
  </si>
  <si>
    <t>예닮이명희</t>
  </si>
  <si>
    <t>010-6268-0657</t>
  </si>
  <si>
    <t>서울 성북구 돌곶이로8다길 6-9 석관동 62-16</t>
  </si>
  <si>
    <t>OPT-2478575-2725150</t>
  </si>
  <si>
    <t>Sophia</t>
  </si>
  <si>
    <t>010-2051-2576</t>
  </si>
  <si>
    <t>경기도 용인시 수지구 신봉2로 26 (신봉마을엘지자이1차아파트) 113동 1403호</t>
  </si>
  <si>
    <t>OPT-2478562-2725137</t>
  </si>
  <si>
    <t>도융남</t>
  </si>
  <si>
    <t>대구 중구 남산로13길 17 보성황실 106동 1205호</t>
  </si>
  <si>
    <t>OPT-2478560-2725135</t>
  </si>
  <si>
    <t>김현식</t>
  </si>
  <si>
    <t>010-5418-1975</t>
  </si>
  <si>
    <t>경기 양주시 옥정로7길 34 214동3001호</t>
  </si>
  <si>
    <t>OPT-2478552-2725127</t>
  </si>
  <si>
    <t>OPT-2478543-2725117</t>
  </si>
  <si>
    <t>주영지</t>
  </si>
  <si>
    <t>010-2350-6785</t>
  </si>
  <si>
    <t>경기도 용인시 처인구 한터로275번길 40 (고림동, 예원마을코아루아파트) 101동1503호</t>
  </si>
  <si>
    <t>OPT-2478516-2725090</t>
  </si>
  <si>
    <t>김경원</t>
  </si>
  <si>
    <t>010-6359-5362</t>
  </si>
  <si>
    <t>서울 강동구 천중로9길 50 304호</t>
  </si>
  <si>
    <t>OPT-2478513-2725087</t>
  </si>
  <si>
    <t>윤여훈</t>
  </si>
  <si>
    <t>010-7209-7422</t>
  </si>
  <si>
    <t>충청남도 공주시 우금티로 704 (덕성그린타운) 102동 604호</t>
  </si>
  <si>
    <t>OPT-2478487-2725058</t>
  </si>
  <si>
    <t>박경환</t>
  </si>
  <si>
    <t>010-5082-7442</t>
  </si>
  <si>
    <t>전라남도 장성군 삼계면 능성로 548 (상무아파트) 210동403호</t>
  </si>
  <si>
    <t>OPT-2478434-2725005</t>
  </si>
  <si>
    <t>황인선</t>
  </si>
  <si>
    <t>010-6214-5190</t>
  </si>
  <si>
    <t>서울 성북구 종암로25길 30 102동 1801호</t>
  </si>
  <si>
    <t>OPT-2478409-2724979</t>
  </si>
  <si>
    <t>이영희</t>
  </si>
  <si>
    <t>010-7322-5685</t>
  </si>
  <si>
    <t>서울 광진구 답십리로76길 10 302호</t>
  </si>
  <si>
    <t>OPT-2478384-2724947</t>
  </si>
  <si>
    <t>김민영</t>
  </si>
  <si>
    <t>010-6768-0699</t>
  </si>
  <si>
    <t>경기 군포시 군포로 109 101동1402호</t>
  </si>
  <si>
    <t>OPT-2478377-2724940</t>
  </si>
  <si>
    <t>강동윤</t>
  </si>
  <si>
    <t>010-3833-6277</t>
  </si>
  <si>
    <t>서울 동작구 동작대로29길 118 501동 1310호(신동아아파트, 사당동)</t>
  </si>
  <si>
    <t>배송저 연락요망</t>
  </si>
  <si>
    <t>OPT-2478297-2724859</t>
  </si>
  <si>
    <t>이재호(ihad)</t>
  </si>
  <si>
    <t>010-2019-1173</t>
  </si>
  <si>
    <t>경기 광주시 장지3길 51 304</t>
  </si>
  <si>
    <t>OPT-2478296-2724858</t>
  </si>
  <si>
    <t>최수빈</t>
  </si>
  <si>
    <t>010-3078-9712</t>
  </si>
  <si>
    <t>강원특별자치도 춘천시 충열로 32 108동1005호</t>
  </si>
  <si>
    <t>현관 #1005 /3817</t>
  </si>
  <si>
    <t>OPT-2478282-2724843</t>
  </si>
  <si>
    <t>김현혜</t>
  </si>
  <si>
    <t>010-5577-4403</t>
  </si>
  <si>
    <t>경남 의령군 용덕면 덕암로4길 39 1층</t>
  </si>
  <si>
    <t>OPT-2478198-2724743</t>
  </si>
  <si>
    <t>나지연</t>
  </si>
  <si>
    <t>010-3778-2204</t>
  </si>
  <si>
    <t>경기 시흥시 배곧1로 27-16 한라 208동 1404호</t>
  </si>
  <si>
    <t>OPT-2478184-2724729</t>
  </si>
  <si>
    <t>양원호</t>
  </si>
  <si>
    <t>010-3639-7438</t>
  </si>
  <si>
    <t>제주특별자치도 제주시 애월읍 광령8길 47 1층</t>
  </si>
  <si>
    <t>OPT-2478180-2724725</t>
  </si>
  <si>
    <t>함원준</t>
  </si>
  <si>
    <t>010-2858-7887</t>
  </si>
  <si>
    <t>경기 고양시 일산동구 무궁화로 7-63 438호</t>
  </si>
  <si>
    <t>OPT-2478171-2724716</t>
  </si>
  <si>
    <t>이재원</t>
  </si>
  <si>
    <t>010-3674-9762</t>
  </si>
  <si>
    <t>경기 고양시 덕양구 대덕산로 20 107-2005</t>
  </si>
  <si>
    <t>OPT-2478167-2724712</t>
  </si>
  <si>
    <t>이점복</t>
  </si>
  <si>
    <t>010-3438-6257</t>
  </si>
  <si>
    <t>대구 서구 당산로 324 8동 207호</t>
  </si>
  <si>
    <t>OPT-2478140-2724684</t>
  </si>
  <si>
    <t>유성훈</t>
  </si>
  <si>
    <t>010-8488-7777</t>
  </si>
  <si>
    <t>서울 강남구 영동대로112길 67 동일파크스위트 903호</t>
  </si>
  <si>
    <t>OPT-2478126-2724670</t>
  </si>
  <si>
    <t>JM•SW</t>
  </si>
  <si>
    <t>010-3144-0215</t>
  </si>
  <si>
    <t>경기 수원시 영통구 대학로 98 8107동1304호</t>
  </si>
  <si>
    <t>OPT-2478121-2724665</t>
  </si>
  <si>
    <t>김미자</t>
  </si>
  <si>
    <t>010-9288-7004</t>
  </si>
  <si>
    <t>경기 부천시 소사구 송내대로33번길 48-3 1층</t>
  </si>
  <si>
    <t>OPT-2478110-2724653</t>
  </si>
  <si>
    <t>이상혁</t>
  </si>
  <si>
    <t>010-6389-4568</t>
  </si>
  <si>
    <t>경기 동두천시 거북마루로 64 대방샤인힐 703동1404호</t>
  </si>
  <si>
    <t>OPT-2478101-2724644</t>
  </si>
  <si>
    <t>김준영</t>
  </si>
  <si>
    <t>010-3738-7587</t>
  </si>
  <si>
    <t>경기 화성시 동탄구 동탄신리천로5길 43 3862동 1403호</t>
  </si>
  <si>
    <t>OPT-2478099-2724642</t>
  </si>
  <si>
    <t>정미진</t>
  </si>
  <si>
    <t>010-3666-2136</t>
  </si>
  <si>
    <t>경기 남양주시 미금로57번길 20 713동 1101호 다산리버펠리체</t>
  </si>
  <si>
    <t>OPT-2478098-2724641</t>
  </si>
  <si>
    <t>이상희</t>
  </si>
  <si>
    <t>010-9509-9328</t>
  </si>
  <si>
    <t>부산 사상구 학감대로49번길 15 구학마을아파트101동501호</t>
  </si>
  <si>
    <t>현관문앞에 놓아주세요</t>
  </si>
  <si>
    <t>OPT-2478096-2724639</t>
  </si>
  <si>
    <t>유상현</t>
  </si>
  <si>
    <t>010-4656-6562</t>
  </si>
  <si>
    <t>충북 청주시 흥덕구 짐대로 6 벽산A 102-1203</t>
  </si>
  <si>
    <t>OPT-2478084-2724627</t>
  </si>
  <si>
    <t>김홍현</t>
  </si>
  <si>
    <t>010-6327-3251</t>
  </si>
  <si>
    <t>서울 양천구 신정로 300 501동 603호</t>
  </si>
  <si>
    <t>OPT-2478013-2724553</t>
  </si>
  <si>
    <t>나성희</t>
  </si>
  <si>
    <t>010-6444-8506</t>
  </si>
  <si>
    <t>경기도 광주시 태재로 20-15 (이편한세상태재1단지) 107동 1301호</t>
  </si>
  <si>
    <t>OPT-2478008-2724548</t>
  </si>
  <si>
    <t>장연옥</t>
  </si>
  <si>
    <t>010-2694-0823</t>
  </si>
  <si>
    <t>충청북도 청주시 서원구 용호로15번길 21 (성화동) 용호빌301호</t>
  </si>
  <si>
    <t>OPT-2477994-2724534</t>
  </si>
  <si>
    <t>강동휘</t>
  </si>
  <si>
    <t>010-9391-6536</t>
  </si>
  <si>
    <t>서울 강서구 강서로 348 우장산힐스테이트A 137동 702호</t>
  </si>
  <si>
    <t>배송 도착전 문자 연락부탁드립니다</t>
  </si>
  <si>
    <t>OPT-2477802-2724328</t>
  </si>
  <si>
    <t>곽지원</t>
  </si>
  <si>
    <t>010-8717-3402</t>
  </si>
  <si>
    <t>서울특별시 도봉구 도봉로110다길 51 (창동, 태영창동데시앙) 109동 1601호</t>
  </si>
  <si>
    <t>OPT-2477789-2724315</t>
  </si>
  <si>
    <t>고정래</t>
  </si>
  <si>
    <t>010-3645-4393</t>
  </si>
  <si>
    <t>전남 나주시 남평읍 남평3로 21 단독주택</t>
  </si>
  <si>
    <t>부재 시 대문 앞에 보관 부탁 드립니다.</t>
  </si>
  <si>
    <t>OPT-2477648-2724158</t>
  </si>
  <si>
    <t>남병옥</t>
  </si>
  <si>
    <t>010-4532-5041</t>
  </si>
  <si>
    <t>경북 영덕군 축산면 도곡길 23 구 141번지</t>
  </si>
  <si>
    <t>부재시 전화부탁드립니다</t>
  </si>
  <si>
    <t>OPT-2477647-2724157</t>
  </si>
  <si>
    <t>전광현</t>
  </si>
  <si>
    <t>010-2791-0479</t>
  </si>
  <si>
    <t>경기도 의정부시 용현로 111 (민락동, 송산푸르지오) 101-1203</t>
  </si>
  <si>
    <t>OPT-2477621-2724131</t>
  </si>
  <si>
    <t>임정애</t>
  </si>
  <si>
    <t>010-6650-7110</t>
  </si>
  <si>
    <t>전북특별자치도 완주군 용진읍 용흥시천길 30-1 시천마을</t>
  </si>
  <si>
    <t>OPT-2477601-2724111</t>
  </si>
  <si>
    <t>박병국</t>
  </si>
  <si>
    <t>010-2138-1160</t>
  </si>
  <si>
    <t>서울 도봉구 도봉로123길 39-10 정원파크빌 401호</t>
  </si>
  <si>
    <t>OPT-2477582-2724087</t>
  </si>
  <si>
    <t>김종심</t>
  </si>
  <si>
    <t>010-2763-4242</t>
  </si>
  <si>
    <t>전북특별자치도 부안군 위도면 진리안길 32 집앞</t>
  </si>
  <si>
    <t>OPT-2477573-2724077</t>
  </si>
  <si>
    <t>박병완</t>
  </si>
  <si>
    <t>010-9274-5923</t>
  </si>
  <si>
    <t>경기 용인시 기흥구 흥덕2로 126 현대 힐스테이트아파트 701동 602호</t>
  </si>
  <si>
    <t>OPT-2477572-2724076</t>
  </si>
  <si>
    <t>심영선</t>
  </si>
  <si>
    <t>010-9039-7820</t>
  </si>
  <si>
    <t>서울 강남구 삼성로85길 11 101동 1601호</t>
  </si>
  <si>
    <t>OPT-2477561-2724064</t>
  </si>
  <si>
    <t>김지영</t>
  </si>
  <si>
    <t>010-4457-0246</t>
  </si>
  <si>
    <t>서울 동작구 신대방3길 28 2층</t>
  </si>
  <si>
    <t>벨눌러 주시고 문앞에 놓아 주세요.</t>
  </si>
  <si>
    <t>OPT-2477524-2724027</t>
  </si>
  <si>
    <t>김민아</t>
  </si>
  <si>
    <t>010-2213-7524</t>
  </si>
  <si>
    <t>서울특별시 도봉구 시루봉로6길 53 (쌍문동, 쌍문동현대아파트) 201동1503호</t>
  </si>
  <si>
    <t>OPT-2477517-2724020</t>
  </si>
  <si>
    <t>이훈민</t>
  </si>
  <si>
    <t>010-7444-5590</t>
  </si>
  <si>
    <t>광주 서구 눌재로 470 시내버스차고지 사무동 3층</t>
  </si>
  <si>
    <t>짬이 잘 안나서 직접 인사못드리고 감사의 마음 전합니다. 전화기 보내주셔서 감사해요!</t>
  </si>
  <si>
    <t>OPT-2477504-2724007</t>
  </si>
  <si>
    <t>김유경</t>
  </si>
  <si>
    <t>010-8446-8313</t>
  </si>
  <si>
    <t>경기도 안산시 상록구 광덕산1로 39-20 302호</t>
  </si>
  <si>
    <t>OPT-2477500-2724003</t>
  </si>
  <si>
    <t>이상준</t>
  </si>
  <si>
    <t>010-5438-4194</t>
  </si>
  <si>
    <t>경북 포항시 남구 구룡포읍 호미로449번길 229 끝집농장</t>
  </si>
  <si>
    <t>OPT-2477478-2723981</t>
  </si>
  <si>
    <t>남혜린</t>
  </si>
  <si>
    <t>010-4773-5001</t>
  </si>
  <si>
    <t xml:space="preserve">경남 창원시 진해구 충장로 361 2층 육내과 </t>
  </si>
  <si>
    <t>OPT-2477374-2723871</t>
  </si>
  <si>
    <t>박명희</t>
  </si>
  <si>
    <t>010-4786-9484</t>
  </si>
  <si>
    <t>경남 창원시 진해구 해원로 45 114-604</t>
  </si>
  <si>
    <t>OPT-2477370-2723867</t>
  </si>
  <si>
    <t>벅영미</t>
  </si>
  <si>
    <t>010-7156-6545</t>
  </si>
  <si>
    <t xml:space="preserve">경남 창원시 진해구 태백서로45번길 3 102동801호 </t>
  </si>
  <si>
    <t>OPT-2477367-2723864</t>
  </si>
  <si>
    <t>김용겸</t>
  </si>
  <si>
    <t>010-8703-4479</t>
  </si>
  <si>
    <t>충남 천안시 동남구 순천향4길 50 2층 모임방다방</t>
  </si>
  <si>
    <t>OPT-2477354-2723851</t>
  </si>
  <si>
    <t>홍승민</t>
  </si>
  <si>
    <t>010-5684-7858</t>
  </si>
  <si>
    <t>서울 영등포구 63로 45 6동21호</t>
  </si>
  <si>
    <t>OPT-2477348-2723844</t>
  </si>
  <si>
    <t>정희경</t>
  </si>
  <si>
    <t>010-8845-7683</t>
  </si>
  <si>
    <t>충북 충주시 염밭로 22 106동1406호(용산동,남산동일하이빌)</t>
  </si>
  <si>
    <t>OPT-2477345-2723841</t>
  </si>
  <si>
    <t>김연주</t>
  </si>
  <si>
    <t>010-3358-6455</t>
  </si>
  <si>
    <t>서울 마포구 백범로37길 12 102동 2104호</t>
  </si>
  <si>
    <t>OPT-2477324-2723818</t>
  </si>
  <si>
    <t>정하연</t>
  </si>
  <si>
    <t>010-6790-8939</t>
  </si>
  <si>
    <t>전남 화순군 화순읍 광덕로 204 부영아파트 506동 304호</t>
  </si>
  <si>
    <t>OPT-2477296-2723790</t>
  </si>
  <si>
    <t>태하맘</t>
  </si>
  <si>
    <t>010-6559-8885</t>
  </si>
  <si>
    <t>울산광역시 동구 서부로 51 (서부동, 신영 울산 지웰시티 자이 2단지) 206동 402호</t>
  </si>
  <si>
    <t>OPT-2477244-2723733</t>
  </si>
  <si>
    <t>은영</t>
  </si>
  <si>
    <t>010-4541-7076</t>
  </si>
  <si>
    <t>경기 평택시 포승읍 여술로43번길 18 203동702호</t>
  </si>
  <si>
    <t>OPT-2477238-2723727</t>
  </si>
  <si>
    <t>이광호</t>
  </si>
  <si>
    <t>010-5555-2440</t>
  </si>
  <si>
    <t>대구광역시 동구 안심로73길 22 (신서 롯데캐슬레전드) 101~1809</t>
  </si>
  <si>
    <t>OPT-2477208-2723693</t>
  </si>
  <si>
    <t>김장환</t>
  </si>
  <si>
    <t>010-3872-6502</t>
  </si>
  <si>
    <t>부산 북구 화명신도시로 194 103동 803호</t>
  </si>
  <si>
    <t>OPT-2477172-2723656</t>
  </si>
  <si>
    <t>박영심</t>
  </si>
  <si>
    <t>010-4609-8775</t>
  </si>
  <si>
    <t>서울 강서구 방화대로21길 73 국제방아간</t>
  </si>
  <si>
    <t>OPT-2477169-2723653</t>
  </si>
  <si>
    <t>손용현</t>
  </si>
  <si>
    <t>010-9373-1422</t>
  </si>
  <si>
    <t>대전 유성구 엑스포로151번길 19 B동506호</t>
  </si>
  <si>
    <t>OPT-2477125-2723609</t>
  </si>
  <si>
    <t>서연의</t>
  </si>
  <si>
    <t>010-5720-1064</t>
  </si>
  <si>
    <t>대전 서구 둔산북로 215 12동501호 가람아파트</t>
  </si>
  <si>
    <t>OPT-2477107-2723591</t>
  </si>
  <si>
    <t>JOY</t>
  </si>
  <si>
    <t>010-4609-9533</t>
  </si>
  <si>
    <t>광주 광산구 수완로73번길 40 602동1103호</t>
  </si>
  <si>
    <t>OPT-2477106-2723590</t>
  </si>
  <si>
    <t>이희백</t>
  </si>
  <si>
    <t>010-5553-8731</t>
  </si>
  <si>
    <t>경상북도 영천시 자양면 배양골길 36-3 36-3</t>
  </si>
  <si>
    <t>OPT-2477087-2723570</t>
  </si>
  <si>
    <t>jiNa</t>
  </si>
  <si>
    <t>010-5624-8834</t>
  </si>
  <si>
    <t>경기 과천시 별양로 110 623-205</t>
  </si>
  <si>
    <t>OPT-2477064-2723545</t>
  </si>
  <si>
    <t>김경숙 미카엘라</t>
  </si>
  <si>
    <t>010-3238-9741</t>
  </si>
  <si>
    <t>경기도 김포시 고촌읍 고송로 17 (숲속마을대우아파트) 105-1302</t>
  </si>
  <si>
    <t>OPT-2477056-2723537</t>
  </si>
  <si>
    <t>김형일</t>
  </si>
  <si>
    <t>010-2867-5977</t>
  </si>
  <si>
    <t>서울 서초구 서초중앙로29길 28 306-1207</t>
  </si>
  <si>
    <t>OPT-2477038-2723519</t>
  </si>
  <si>
    <t>형종</t>
  </si>
  <si>
    <t>010-8605-9000</t>
  </si>
  <si>
    <t>광주광역시 서구 화개중앙로 116 (금호동, 이지더원아파트) 101809</t>
  </si>
  <si>
    <t>OPT-2477032-2723513</t>
  </si>
  <si>
    <t>인생은 속도가 아니라 방향이다</t>
  </si>
  <si>
    <t>010-3041-6666</t>
  </si>
  <si>
    <t>부산 동래구 아시아드대로181번가길 88 제일아트빌 201호</t>
  </si>
  <si>
    <t>배송 후 연락주세요</t>
  </si>
  <si>
    <t>OPT-2477029-2723510</t>
  </si>
  <si>
    <t>천수빈</t>
  </si>
  <si>
    <t>010-4017-0282</t>
  </si>
  <si>
    <t>대구 북구 칠곡중앙대로 434 103동603호</t>
  </si>
  <si>
    <t>OPT-2477028-2723509</t>
  </si>
  <si>
    <t>민주현</t>
  </si>
  <si>
    <t>010-9034-1349</t>
  </si>
  <si>
    <t>서울 영등포구 영등포로 206 신한드림빌 205호</t>
  </si>
  <si>
    <t>OPT-2477023-2723502</t>
  </si>
  <si>
    <t>권호준</t>
  </si>
  <si>
    <t>010-2324-8727</t>
  </si>
  <si>
    <t>경기 성남시 분당구 서현로 177 105동 1304호</t>
  </si>
  <si>
    <t>OPT-2477021-2723500</t>
  </si>
  <si>
    <t>권호웅</t>
  </si>
  <si>
    <t>010-3318-3030</t>
  </si>
  <si>
    <t>경기 안성시 석정2길 13-8 신원아침도시 105동 601호</t>
  </si>
  <si>
    <t>OPT-2477018-2723497</t>
  </si>
  <si>
    <t>서화정</t>
  </si>
  <si>
    <t>010-9207-7067</t>
  </si>
  <si>
    <t>서울 영등포구 도신로62길 23 202호</t>
  </si>
  <si>
    <t>배송전 연락 바랍니다</t>
  </si>
  <si>
    <t>OPT-2477006-2723485</t>
  </si>
  <si>
    <t>우성제(한산)</t>
  </si>
  <si>
    <t>010-7773-0773</t>
  </si>
  <si>
    <t>서울 강북구 삼양로87길 24-4 1층</t>
  </si>
  <si>
    <t>인증샷</t>
  </si>
  <si>
    <t>OPT-2476979-2723453</t>
  </si>
  <si>
    <t>강유진</t>
  </si>
  <si>
    <t>010-2747-0904</t>
  </si>
  <si>
    <t>서울 마포구 독막로42길 5 101동 1402호</t>
  </si>
  <si>
    <t>OPT-2476974-2723447</t>
  </si>
  <si>
    <t>김성자</t>
  </si>
  <si>
    <t>010-2004-1645</t>
  </si>
  <si>
    <t>서울 중랑구 공릉로18길 59 브라운스톤태릉아파트 102동 1506호</t>
  </si>
  <si>
    <t>집앞에 놓아주세요</t>
  </si>
  <si>
    <t>OPT-2476965-2723435</t>
  </si>
  <si>
    <t>신민영</t>
  </si>
  <si>
    <t>010-6605-7701</t>
  </si>
  <si>
    <t>경상남도 진주시 에나로175번길 11 (충무공동, 혁신도시중흥에스-클래스센트럴시티4단지) 401/1703</t>
  </si>
  <si>
    <t>OPT-2476953-2723420</t>
  </si>
  <si>
    <t>조민정</t>
  </si>
  <si>
    <t>010-4585-6999</t>
  </si>
  <si>
    <t>서울 송파구 양재대로 1218 107-1501</t>
  </si>
  <si>
    <t>OPT-2476935-2723402</t>
  </si>
  <si>
    <t>황영숙</t>
  </si>
  <si>
    <t>010-9460-3105</t>
  </si>
  <si>
    <t>강원특별자치도 강릉시 연당길 89 (초당동아트피아아파트) 511호</t>
  </si>
  <si>
    <t>OPT-2476860-2723320</t>
  </si>
  <si>
    <t>이정현</t>
  </si>
  <si>
    <t>010-6653-3316</t>
  </si>
  <si>
    <t>서울특별시 광진구 뚝섬로46길 33 (자양동) 401호</t>
  </si>
  <si>
    <t>OPT-2476855-2723315</t>
  </si>
  <si>
    <t>한길례</t>
  </si>
  <si>
    <t>010-2974-0815</t>
  </si>
  <si>
    <t>경기 용인시 기흥구 기흥역로58번길 10 205-3302</t>
  </si>
  <si>
    <t>OPT-2476848-2723308</t>
  </si>
  <si>
    <t>오진완</t>
  </si>
  <si>
    <t>010-5320-6474</t>
  </si>
  <si>
    <t>서울특별시 성동구 매봉길 50 (옥수동, 이편한세상옥수파크힐스) 104동 905호</t>
  </si>
  <si>
    <t>OPT-2476846-2723305</t>
  </si>
  <si>
    <t>용인조군.조현우</t>
  </si>
  <si>
    <t>010-5411-5690</t>
  </si>
  <si>
    <t>경기 평택시 현신2길 33-48 풀하우스 402호</t>
  </si>
  <si>
    <t>OPT-2476843-2723302</t>
  </si>
  <si>
    <t>forest</t>
  </si>
  <si>
    <t>010-4730-3120</t>
  </si>
  <si>
    <t>경기 의정부시 장곡로226번길 83 107동2003호</t>
  </si>
  <si>
    <t>OPT-2476840-2723299</t>
  </si>
  <si>
    <t>010-3726-2595</t>
  </si>
  <si>
    <t>전라남도 여수시 여서로 304 (여서동, 경남1차아파트) 105동903호</t>
  </si>
  <si>
    <t>OPT-2476809-2723265</t>
  </si>
  <si>
    <t>한현숙</t>
  </si>
  <si>
    <t>010-9639-7845</t>
  </si>
  <si>
    <t>광주 서구 상무공원로 92 치평동 상무대주1차  103동 1210호</t>
  </si>
  <si>
    <t>OPT-2476796-2723252</t>
  </si>
  <si>
    <t>이란아</t>
  </si>
  <si>
    <t>010-7305-7786</t>
  </si>
  <si>
    <t>전북특별자치도 전주시 완산구 안행2길 14 (삼천동1가, 안행현대아파트) 101동1104호</t>
  </si>
  <si>
    <t>OPT-2476794-2723249</t>
  </si>
  <si>
    <t>이은주</t>
  </si>
  <si>
    <t>010-2772-4072</t>
  </si>
  <si>
    <t xml:space="preserve">경기 시흥시 정왕천로389번길 17-1 3층 </t>
  </si>
  <si>
    <t>OPT-2476789-2723244</t>
  </si>
  <si>
    <t>ᆢㆍ소나무</t>
  </si>
  <si>
    <t>010-5180-4372</t>
  </si>
  <si>
    <t>서울 성북구 화랑로13길 79-4 하월곡동  101호</t>
  </si>
  <si>
    <t>OPT-2476788-2723243</t>
  </si>
  <si>
    <t>최진희</t>
  </si>
  <si>
    <t>010-6361-5227</t>
  </si>
  <si>
    <t>경기도 수원시 장안구 만석로 29 (천천동, 비단마을현대성우.우방아파트) 716동 1206호</t>
  </si>
  <si>
    <t>OPT-2476784-2723239</t>
  </si>
  <si>
    <t>김경애</t>
  </si>
  <si>
    <t>010-2353-3799</t>
  </si>
  <si>
    <t>충북 충주시 동수5길 12 102호</t>
  </si>
  <si>
    <t>배송전 연락바랍니다</t>
  </si>
  <si>
    <t>OPT-2476780-2723235</t>
  </si>
  <si>
    <t>유종석</t>
  </si>
  <si>
    <t>010-8336-3614</t>
  </si>
  <si>
    <t>경기도 용인시 처인구 남사읍 한숲로 123 (e편한세상 용인 한숲시티) 308동 1804호</t>
  </si>
  <si>
    <t>OPT-2476779-2723234</t>
  </si>
  <si>
    <t>김윤미</t>
  </si>
  <si>
    <t>010-9053-8285</t>
  </si>
  <si>
    <t>서울 광진구 능동로 165-1 화양동 프라하임 505호</t>
  </si>
  <si>
    <t>OPT-2476778-2723233</t>
  </si>
  <si>
    <t>송미진(승환승원맘)</t>
  </si>
  <si>
    <t>010-3541-4734</t>
  </si>
  <si>
    <t>서울 강동구 양재대로 1300 302-3404</t>
  </si>
  <si>
    <t>OPT-2476771-2723226</t>
  </si>
  <si>
    <t>심정보</t>
  </si>
  <si>
    <t>010-3608-2508</t>
  </si>
  <si>
    <t>광주 북구 설죽로 515 메디팜일곡큰사랑약국</t>
  </si>
  <si>
    <t>OPT-2476767-2723222</t>
  </si>
  <si>
    <t>홍성표</t>
  </si>
  <si>
    <t>010-2634-2378</t>
  </si>
  <si>
    <t>경기도 용인시 수지구 신봉1로 112-2 (신봉동, 신봉마을 엘지빌리지5차) 513동 1404호</t>
  </si>
  <si>
    <t>OPT-2476764-2723218</t>
  </si>
  <si>
    <t>이주화</t>
  </si>
  <si>
    <t>010-9929-9958</t>
  </si>
  <si>
    <t>경북 경주시 강변로 540 e편한세상 102동 1304호</t>
  </si>
  <si>
    <t>OPT-2476758-2723212</t>
  </si>
  <si>
    <t>박상미</t>
  </si>
  <si>
    <t>010-9259-1577</t>
  </si>
  <si>
    <t>경기도 성남시 분당구 판교대장로7길 69 (대장동, 판교 퍼스트힐 푸르지오 1단지) 101동 1603호</t>
  </si>
  <si>
    <t>OPT-2476736-2723188</t>
  </si>
  <si>
    <t>박진우</t>
  </si>
  <si>
    <t>010-9136-6935</t>
  </si>
  <si>
    <t>서울특별시 은평구 녹번로1길 23-9 (녹번동, 대림에코빌) 601호</t>
  </si>
  <si>
    <t>OPT-2476727-2723178</t>
  </si>
  <si>
    <t>김주희</t>
  </si>
  <si>
    <t>010-8934-7637</t>
  </si>
  <si>
    <t>경기도 남양주시 불암로 337 (별내동, 남양주별내 유승 한내들) 5101-1502</t>
  </si>
  <si>
    <t>OPT-2476725-2723176</t>
  </si>
  <si>
    <t>김춘례</t>
  </si>
  <si>
    <t>010-2611-5178</t>
  </si>
  <si>
    <t>경기 남양주시 별내면 청학로68번길 24 408동 903호</t>
  </si>
  <si>
    <t>OPT-2476704-2723155</t>
  </si>
  <si>
    <t>양종선</t>
  </si>
  <si>
    <t>010-8565-2555</t>
  </si>
  <si>
    <t>경기도 안산시 단원구 당곡로 33 (고잔동) 102-1906</t>
  </si>
  <si>
    <t>OPT-2476693-2723143</t>
  </si>
  <si>
    <t>김선희</t>
  </si>
  <si>
    <t>010-2593-8868</t>
  </si>
  <si>
    <t>서울특별시 노원구 동일로242라길 21-11 (상계동, 비콘드림힐아파트) 201-302</t>
  </si>
  <si>
    <t>OPT-2476662-2723110</t>
  </si>
  <si>
    <t>박재형</t>
  </si>
  <si>
    <t>010-2142-1756</t>
  </si>
  <si>
    <t>인천 남동구 인주대로591번길 94 위너스타워 703호</t>
  </si>
  <si>
    <t>OPT-2476652-2723100</t>
  </si>
  <si>
    <t>조성곤</t>
  </si>
  <si>
    <t>010-5334-1883</t>
  </si>
  <si>
    <t>경기 하남시 위례순환로 270 6504동1402호</t>
  </si>
  <si>
    <t>OPT-2476651-2723099</t>
  </si>
  <si>
    <t>김정태</t>
  </si>
  <si>
    <t>010-2735-1076</t>
  </si>
  <si>
    <t>서울 성북구 낙산길 255 보문동3가이편한세상 대림.@  106동603호</t>
  </si>
  <si>
    <t>OPT-2476648-2723096</t>
  </si>
  <si>
    <t>오정욱</t>
  </si>
  <si>
    <t>010-9665-6365</t>
  </si>
  <si>
    <t>부산광역시 동래구 복천로5번길 31 (복천동, 동래복천현대아파트) 102동 503호</t>
  </si>
  <si>
    <t>문 앞에 놓아 주세요</t>
  </si>
  <si>
    <t>OPT-2476642-2723090</t>
  </si>
  <si>
    <t>Anna</t>
  </si>
  <si>
    <t>010-5378-6493</t>
  </si>
  <si>
    <t>서울 광진구 뚝섬로 467 롯데캐슬리버파크시그니처 103-2605</t>
  </si>
  <si>
    <t>OPT-2476641-2723089</t>
  </si>
  <si>
    <t>오분선</t>
  </si>
  <si>
    <t>010-6234-1228</t>
  </si>
  <si>
    <t>경남 거제시 국산로 191 자이온더퍼스트아파트102동1102호</t>
  </si>
  <si>
    <t>OPT-2476633-2723076</t>
  </si>
  <si>
    <t>현숙</t>
  </si>
  <si>
    <t>010-3381-6930</t>
  </si>
  <si>
    <t>경기 파주시 해솔로 20 411-2003</t>
  </si>
  <si>
    <t>OPT-2476631-2723073</t>
  </si>
  <si>
    <t>장미</t>
  </si>
  <si>
    <t>010-8670-9057</t>
  </si>
  <si>
    <t>서울특별시 광진구 뚝섬로30가길 5-13 (자양동) 2층자양동</t>
  </si>
  <si>
    <t>오렌지색작은대문열고2층 펜스안쪽에 넣어주세요</t>
  </si>
  <si>
    <t>OPT-2476630-2723072</t>
  </si>
  <si>
    <t>TAEYEON</t>
  </si>
  <si>
    <t>010-8274-3357</t>
  </si>
  <si>
    <t>서울특별시 동대문구 이문로12길 3-10 (이문동, 래미안이문2차아파트) 101동 702호</t>
  </si>
  <si>
    <t>OPT-2476626-2723068</t>
  </si>
  <si>
    <t>조주연</t>
  </si>
  <si>
    <t>010-2701-4331</t>
  </si>
  <si>
    <t>서울 강남구 도곡로 404 101동 603호</t>
  </si>
  <si>
    <t>OPT-2476624-2723066</t>
  </si>
  <si>
    <t>한정희</t>
  </si>
  <si>
    <t>010-5240-0014</t>
  </si>
  <si>
    <t>서울특별시 성북구 길음로 16 (길음동, 길음뉴타운) 612동 202호</t>
  </si>
  <si>
    <t>OPT-2476622-2723064</t>
  </si>
  <si>
    <t>김태영</t>
  </si>
  <si>
    <t>010-2080-8837</t>
  </si>
  <si>
    <t>경기 남양주시 식송1로 216 301호</t>
  </si>
  <si>
    <t>OPT-2476621-2723063</t>
  </si>
  <si>
    <t>신연성</t>
  </si>
  <si>
    <t>010-3228-1330</t>
  </si>
  <si>
    <t>경기도 성남시 분당구 양현로 138 (이매동, 이매촌진흥아파트) 진흥아파트802동402호</t>
  </si>
  <si>
    <t>OPT-2476499-2722932</t>
  </si>
  <si>
    <t>김의원</t>
  </si>
  <si>
    <t>010-4842-2311</t>
  </si>
  <si>
    <t>서울 강동구 아리수로93길 40 308동 706호</t>
  </si>
  <si>
    <t>OPT-2476497-2722930</t>
  </si>
  <si>
    <t>이미화</t>
  </si>
  <si>
    <t>010-3735-6633</t>
  </si>
  <si>
    <t>경기 군포시 번영로 403 503동 1502호</t>
  </si>
  <si>
    <t>OPT-2476486-2722917</t>
  </si>
  <si>
    <t>이범하</t>
  </si>
  <si>
    <t>010-8955-6904</t>
  </si>
  <si>
    <t>경기도 성남시 분당구 판교대장로5길 19 (대장동, 힐스테이트 판교 엘포레 A4BL) 401-502</t>
  </si>
  <si>
    <t>OPT-2476479-2722910</t>
  </si>
  <si>
    <t>류지현</t>
  </si>
  <si>
    <t>010-6538-6934</t>
  </si>
  <si>
    <t>경기 용인시 기흥구 죽전로27번길 14-8 3층  302호</t>
  </si>
  <si>
    <t>OPT-2476435-2722865</t>
  </si>
  <si>
    <t>박승구</t>
  </si>
  <si>
    <t>010-7121-3248</t>
  </si>
  <si>
    <t>서울 금천구 독산로78가길 20 401호</t>
  </si>
  <si>
    <t>OPT-2476429-2722859</t>
  </si>
  <si>
    <t>임도형</t>
  </si>
  <si>
    <t>인천 서구 청라라임로 40 134동 1304호</t>
  </si>
  <si>
    <t>OPT-2476426-2722856</t>
  </si>
  <si>
    <t>이영애</t>
  </si>
  <si>
    <t>010-7477-1598</t>
  </si>
  <si>
    <t>대전 서구 둔산로 201 국화아파트 105동 1202호</t>
  </si>
  <si>
    <t>OPT-2476421-2722850</t>
  </si>
  <si>
    <t>010-5604-9638</t>
  </si>
  <si>
    <t>광주 서구 풍암순환로 82 남양삼능 103~1406</t>
  </si>
  <si>
    <t>OPT-2476420-2722849</t>
  </si>
  <si>
    <t>조성근</t>
  </si>
  <si>
    <t>010-4227-8733</t>
  </si>
  <si>
    <t>서울 강동구 아리수로94길 19 610동101호</t>
  </si>
  <si>
    <t>OPT-2476416-2722845</t>
  </si>
  <si>
    <t>이현희</t>
  </si>
  <si>
    <t>010-6397-2567</t>
  </si>
  <si>
    <t>경기 의정부시 동일로 397 장암주공2단지 212동 1404호</t>
  </si>
  <si>
    <t>OPT-2476412-2722841</t>
  </si>
  <si>
    <t>한승원</t>
  </si>
  <si>
    <t>010-3793-0103</t>
  </si>
  <si>
    <t>서울 용산구 이촌로 324-10 2동506호</t>
  </si>
  <si>
    <t>대문앞에 놓아 주세요</t>
  </si>
  <si>
    <t>OPT-2476410-2722839</t>
  </si>
  <si>
    <t>박은미</t>
  </si>
  <si>
    <t>010-9633-4969</t>
  </si>
  <si>
    <t>서울 금천구 가산디지털1로 119 B동 811호</t>
  </si>
  <si>
    <t>OPT-2476396-2722824</t>
  </si>
  <si>
    <t>정병진</t>
  </si>
  <si>
    <t>010-2973-8283</t>
  </si>
  <si>
    <t>광주 북구 중문로 55 301동707호</t>
  </si>
  <si>
    <t>OPT-2476387-2722815</t>
  </si>
  <si>
    <t>양수준</t>
  </si>
  <si>
    <t>010-9786-0801</t>
  </si>
  <si>
    <t>경기 광주시 능평로30번길 30-11 303호</t>
  </si>
  <si>
    <t>OPT-2476380-2722808</t>
  </si>
  <si>
    <t>쁠루 jack.lee</t>
  </si>
  <si>
    <t>010-3239-1905</t>
  </si>
  <si>
    <t>서울특별시 금천구 벚꽃로 100 (독산동, 독산역 롯데캐슬) 101동203호</t>
  </si>
  <si>
    <t>OPT-2476325-2722749</t>
  </si>
  <si>
    <t>고소영</t>
  </si>
  <si>
    <t>010-5105-1731</t>
  </si>
  <si>
    <t>경기 수원시 영통구 영통로 232 두산우성한신 아파트 824동1604호</t>
  </si>
  <si>
    <t>OPT-2476277-2722697</t>
  </si>
  <si>
    <t>박정화</t>
  </si>
  <si>
    <t>010-6287-8323</t>
  </si>
  <si>
    <t>경기 남양주시 도농로17번길 17-15 202호 공통현관 열쇠4321종</t>
  </si>
  <si>
    <t>OPT-2476269-2722689</t>
  </si>
  <si>
    <t>김홍진(outdoor)</t>
  </si>
  <si>
    <t>010-5313-1268</t>
  </si>
  <si>
    <t>강원특별자치도 원주시 흥업면 남원로 52-25 103동 1103호</t>
  </si>
  <si>
    <t>OPT-2476236-2722654</t>
  </si>
  <si>
    <t>김동순</t>
  </si>
  <si>
    <t>010-8895-6674</t>
  </si>
  <si>
    <t>강원특별자치도 춘천시 우두1길 70 (우두동, 춘천우두이지더원시그니처) 106동 602호</t>
  </si>
  <si>
    <t>OPT-2476216-2722634</t>
  </si>
  <si>
    <t>윤한성</t>
  </si>
  <si>
    <t>01-2566-8627</t>
  </si>
  <si>
    <t>울산 중구 남외로 60 207동506호</t>
  </si>
  <si>
    <t>OPT-2476205-2722623</t>
  </si>
  <si>
    <t>최규광</t>
  </si>
  <si>
    <t>010-3569-9963</t>
  </si>
  <si>
    <t>울산 남구 은월로40번길 8 울산남구은월로40번길8대륙2차102동908호</t>
  </si>
  <si>
    <t>OPT-2475736-2722120</t>
  </si>
  <si>
    <t>최청순</t>
  </si>
  <si>
    <t>010-4534-8986</t>
  </si>
  <si>
    <t>경기 고양시 덕양구 충장로 118-30 샘터마을206동1101호</t>
  </si>
  <si>
    <t>OPT-2475735-2722119</t>
  </si>
  <si>
    <t>은주련</t>
  </si>
  <si>
    <t>010-8993-4179</t>
  </si>
  <si>
    <t>경기도 성남시 수정구 위례광장로 70 (창곡동, 위례 아트리버 푸르지오 1단지) 101동801호</t>
  </si>
  <si>
    <t>OPT-2475674-2722046</t>
  </si>
  <si>
    <t>박병노</t>
  </si>
  <si>
    <t>010-4612-6820</t>
  </si>
  <si>
    <t>서울 서대문구 통일로34길 43 110동 204호</t>
  </si>
  <si>
    <t>OPT-2479247-2725857</t>
  </si>
  <si>
    <t>윤홍내</t>
  </si>
  <si>
    <t>010-8996-6318</t>
  </si>
  <si>
    <t>대전 중구 목동로 37 107동302호</t>
  </si>
  <si>
    <t>설전에 배송부탁드립니다</t>
  </si>
  <si>
    <t>OPT-2479153-2725759</t>
  </si>
  <si>
    <t>김효연</t>
  </si>
  <si>
    <t>010-6252-6149</t>
  </si>
  <si>
    <t>서울 서초구 방배중앙로15길 39 201호</t>
  </si>
  <si>
    <t>OPT-2478994-2725598</t>
  </si>
  <si>
    <t>신용조</t>
  </si>
  <si>
    <t>010-3587-6781</t>
  </si>
  <si>
    <t>부산광역시 수영구 황령대로473번길 15 (남천동, 남천 엑슬루타워) 101동3004호</t>
  </si>
  <si>
    <t>SUB-2478510-307130</t>
  </si>
  <si>
    <t>뿌꾸엄마</t>
  </si>
  <si>
    <t>010-9448-2098</t>
  </si>
  <si>
    <t>부산 수영구 수영로 754 104동2703호</t>
  </si>
  <si>
    <t>SUB-2478413-307120</t>
  </si>
  <si>
    <t>이정춘</t>
  </si>
  <si>
    <t>010-3682-2934</t>
  </si>
  <si>
    <t>전북특별자치도 전주시 완산구 안행로 175 (중화산동1가, 현대1차아파트) 103동504호</t>
  </si>
  <si>
    <t>SUB-2478329-307113</t>
  </si>
  <si>
    <t>안은수</t>
  </si>
  <si>
    <t>010-9797-3266</t>
  </si>
  <si>
    <t>경기 화성시 동탄순환대로20길 69 2255/102</t>
  </si>
  <si>
    <t>SUB-2478319-307108</t>
  </si>
  <si>
    <t>송연아</t>
  </si>
  <si>
    <t>010-9500-4702</t>
  </si>
  <si>
    <t>전남 여수시 여문2로 54-26 코아루수 107동 901호</t>
  </si>
  <si>
    <t>SUB-2478287-307107</t>
  </si>
  <si>
    <t>조호성</t>
  </si>
  <si>
    <t>010-5670-1436</t>
  </si>
  <si>
    <t>서울 강서구 강서로 348 105동 203호</t>
  </si>
  <si>
    <t>SUB-2478170-307097</t>
  </si>
  <si>
    <t>김상목</t>
  </si>
  <si>
    <t>010-8772-2942</t>
  </si>
  <si>
    <t>경기 하남시 미사강변동로 100 104동2702호</t>
  </si>
  <si>
    <t>SUB-2478144-307094</t>
  </si>
  <si>
    <t>SUB-2478142-307093</t>
  </si>
  <si>
    <t>떡써는 석봉</t>
  </si>
  <si>
    <t>010-8696-3141</t>
  </si>
  <si>
    <t>강원특별자치도 강릉시 가작로 78 (교동, 강릉 교동(1)주공아파트) 106동 804호</t>
  </si>
  <si>
    <t>SUB-2477719-307075</t>
  </si>
  <si>
    <t>SUB-2477717-307074</t>
  </si>
  <si>
    <t>이경희</t>
  </si>
  <si>
    <t>010-7227-6658</t>
  </si>
  <si>
    <t>서울특별시 구로구 신도림로 16 (신도림동, 신도림 대림아파트) 506-1001</t>
  </si>
  <si>
    <t>SUB-2477599-307064</t>
  </si>
  <si>
    <t>010-5342-6321</t>
  </si>
  <si>
    <t>서울 강남구 광평로10길 15 상록수아파트 205동306호</t>
  </si>
  <si>
    <t>도착전 문자주세요</t>
  </si>
  <si>
    <t>SUB-2477593-307063</t>
  </si>
  <si>
    <t>최상재</t>
  </si>
  <si>
    <t>010-3725-6432</t>
  </si>
  <si>
    <t>경기 용인시 수지구 만현로 127 두산위브아파트802동702호</t>
  </si>
  <si>
    <t>SUB-2477539-307058</t>
  </si>
  <si>
    <t>이철수</t>
  </si>
  <si>
    <t>010-9780-9579</t>
  </si>
  <si>
    <t>경기 고양시 일산서구 주엽로 161 동아아파트 809동 1902호</t>
  </si>
  <si>
    <t>SUB-2477436-307052</t>
  </si>
  <si>
    <t>김세영</t>
  </si>
  <si>
    <t>010-5161-9330</t>
  </si>
  <si>
    <t>서울 동대문구 장한로22길 20-16 301호</t>
  </si>
  <si>
    <t>SUB-2477334-307044</t>
  </si>
  <si>
    <t>SUB-2477013-307027</t>
  </si>
  <si>
    <t>황진원</t>
  </si>
  <si>
    <t>010-8314-3521</t>
  </si>
  <si>
    <t>경기도 안양시 동안구 귀인로 210 (귀인마을현대홈타운) 201동 1501호</t>
  </si>
  <si>
    <t>SUB-2476906-307020</t>
  </si>
  <si>
    <t>이건진</t>
  </si>
  <si>
    <t>010-2409-0245</t>
  </si>
  <si>
    <t>강원특별자치도 원주시 관설안길 10 302호</t>
  </si>
  <si>
    <t>SUB-2476875-307018</t>
  </si>
  <si>
    <t>이영복</t>
  </si>
  <si>
    <t>010-7731-3470</t>
  </si>
  <si>
    <t>서울 강남구 도곡로78길 22 108동2106호</t>
  </si>
  <si>
    <t>SUB-2476829-307016</t>
  </si>
  <si>
    <t>김성준</t>
  </si>
  <si>
    <t>010-9903-9635</t>
  </si>
  <si>
    <t>경기 성남시 중원구 둔촌대로127번길 6-12 3층</t>
  </si>
  <si>
    <t>SUB-2476799-307011</t>
  </si>
  <si>
    <t>이풍수</t>
  </si>
  <si>
    <t>010-3709-3838</t>
  </si>
  <si>
    <t>경기 성남시 중원구 제일로63번길 8-5 104호/대문옆 우측에, 작은문으로 들어서면 계단위에104호 보입니다.</t>
  </si>
  <si>
    <t>배송전 미리 연락주십시요.</t>
  </si>
  <si>
    <t>SUB-2476792-307010</t>
  </si>
  <si>
    <t>jhp</t>
  </si>
  <si>
    <t>SUB-2476754-307009</t>
  </si>
  <si>
    <t>김선기</t>
  </si>
  <si>
    <t>010-9099-4123</t>
  </si>
  <si>
    <t>경기 과천시 매봉로 29 매일해오름</t>
  </si>
  <si>
    <t>SUB-2476742-307008</t>
  </si>
  <si>
    <t>스키마</t>
  </si>
  <si>
    <t>010-8927-7284</t>
  </si>
  <si>
    <t>경기 성남시 분당구 정자일로 55 107-1302호</t>
  </si>
  <si>
    <t>SUB-2476610-307002</t>
  </si>
  <si>
    <t>010-9098-7077</t>
  </si>
  <si>
    <t>인천광역시 미추홀구 염전로 414 (주안동, 주안역 센트레빌) 107동 1601호</t>
  </si>
  <si>
    <t>SUB-2476519-306995</t>
  </si>
  <si>
    <t>배경률</t>
  </si>
  <si>
    <t>010-3236-8155</t>
  </si>
  <si>
    <t>서울특별시 송파구 송이로19길 4-8 (가락동) 5층</t>
  </si>
  <si>
    <t>부재시 문앞에 두시기 바랍니다~</t>
  </si>
  <si>
    <t>SUB-2476390-306983</t>
  </si>
  <si>
    <t>배수현</t>
  </si>
  <si>
    <t>010-8028-8155</t>
  </si>
  <si>
    <t xml:space="preserve">충남 천안시 동남구 일봉로 110 삼성쉐르빌 104동1002호 </t>
  </si>
  <si>
    <t>SUB-2476386-306982</t>
  </si>
  <si>
    <t>임남정</t>
  </si>
  <si>
    <t>010-9008-8516</t>
  </si>
  <si>
    <t>인천광역시 동구 방축로23번길 38 (송현동) 우복기계</t>
  </si>
  <si>
    <t>평일배송바람. 직장주소임</t>
  </si>
  <si>
    <t>SUB-2476343-306979</t>
  </si>
  <si>
    <t>송현근</t>
  </si>
  <si>
    <t>0502-5003-2593</t>
  </si>
  <si>
    <t>서울특별시 용산구 유엔빌리지길 94 조이하우스 B101호(B1F) 엘레베이터 타시고 지하1층입니다. ( 한남동 )</t>
  </si>
  <si>
    <t>이보미</t>
  </si>
  <si>
    <t>010-6688-8064</t>
  </si>
  <si>
    <t>서울특별시 마포구 토정로 158 (하중동, 한강밤섬자이) 102-503</t>
  </si>
  <si>
    <t>OPT-2481555-2728241</t>
  </si>
  <si>
    <t>조우진</t>
  </si>
  <si>
    <t>010-4317-1205</t>
  </si>
  <si>
    <t>경기 부천시 원미구 장말로 137 1622동 1502호 (상동,사랑마을청구아파트)</t>
  </si>
  <si>
    <t>OPT-2481126-2727807</t>
  </si>
  <si>
    <t>임지연</t>
  </si>
  <si>
    <t>010-9874-5774</t>
  </si>
  <si>
    <t>경기도 고양시 덕양구 중앙로558번길 57 (행신동, 햇빛마을18단지아파트) 1823동1904 호</t>
  </si>
  <si>
    <t>OPT-2481090-2727770</t>
  </si>
  <si>
    <t>과거가 현재를 도울 수 있는가</t>
  </si>
  <si>
    <t>010-4946-3095</t>
  </si>
  <si>
    <t>인천 계양구 안남로 560 206동402호</t>
  </si>
  <si>
    <t>부재시 문앞에 놔두세요</t>
  </si>
  <si>
    <t>OPT-2480801-2727479</t>
  </si>
  <si>
    <t>김경심</t>
  </si>
  <si>
    <t>010-9470-1586</t>
  </si>
  <si>
    <t>전남 보성군 벌교읍 홍암로 123-6 901호</t>
  </si>
  <si>
    <t>베송전 연락주세요</t>
  </si>
  <si>
    <t>OPT-2480536-2727201</t>
  </si>
  <si>
    <t>송광</t>
  </si>
  <si>
    <t>010-5943-0688</t>
  </si>
  <si>
    <t>인천 연수구 원인재로 56 106동 601호</t>
  </si>
  <si>
    <t>OPT-2480408-2727069</t>
  </si>
  <si>
    <t>지인천</t>
  </si>
  <si>
    <t>010-5833-5211</t>
  </si>
  <si>
    <t>전북특별자치도 전주시 완산구 새터로 60 201동 702호</t>
  </si>
  <si>
    <t>집앞현관문앞에놔둬주세요</t>
  </si>
  <si>
    <t>OPT-2480405-2727066</t>
  </si>
  <si>
    <t>ㄱ.정원욱</t>
  </si>
  <si>
    <t>010-4712-3231</t>
  </si>
  <si>
    <t>경기 수원시 영통구 효원로 363 131동406호</t>
  </si>
  <si>
    <t>OPT-2480388-2727049</t>
  </si>
  <si>
    <t>이남기</t>
  </si>
  <si>
    <t>010-2831-0209</t>
  </si>
  <si>
    <t>경기 의정부시 상금로 36 107동 202호</t>
  </si>
  <si>
    <t>OPT-2480344-2727003</t>
  </si>
  <si>
    <t>그린비</t>
  </si>
  <si>
    <t>010-5518-4256</t>
  </si>
  <si>
    <t>서울 성동구 독서당로 344 힐스테이트 서울숲리버 104동 503호</t>
  </si>
  <si>
    <t>OPT-2480306-2726965</t>
  </si>
  <si>
    <t>허성규</t>
  </si>
  <si>
    <t>010-9968-2641</t>
  </si>
  <si>
    <t>서울 마포구 대흥로4길 20 402호</t>
  </si>
  <si>
    <t>OPT-2480285-2726944</t>
  </si>
  <si>
    <t>김재완</t>
  </si>
  <si>
    <t>010-2039-8186</t>
  </si>
  <si>
    <t>경남 김해시 분성로 14 일동한신 127동 901호</t>
  </si>
  <si>
    <t>문 앞에 놔둬주세요~</t>
  </si>
  <si>
    <t>OPT-2480211-2726868</t>
  </si>
  <si>
    <t>윤용</t>
  </si>
  <si>
    <t>010-5697-1359</t>
  </si>
  <si>
    <t>세종특별자치시 누리로 59 첫마을5단지 515동402호</t>
  </si>
  <si>
    <t>OPT-2480111-2726760</t>
  </si>
  <si>
    <t>주연희</t>
  </si>
  <si>
    <t>010-3242-4367</t>
  </si>
  <si>
    <t>경기도 안양시 동안구 관평로 68 (평촌동, 꿈마을한신아파트) 706동 501호</t>
  </si>
  <si>
    <t>OPT-2480104-2726753</t>
  </si>
  <si>
    <t>정수</t>
  </si>
  <si>
    <t>010-6551-1589</t>
  </si>
  <si>
    <t>경기 고양시 일산동구 하늘마을1로 25 511동 1404호</t>
  </si>
  <si>
    <t>OPT-2480095-2726744</t>
  </si>
  <si>
    <t>이기례</t>
  </si>
  <si>
    <t>010-4079-3900</t>
  </si>
  <si>
    <t>서울 영등포구 디지털로 420 101동 202호</t>
  </si>
  <si>
    <t>OPT-2479634-2726259</t>
  </si>
  <si>
    <t>김태원</t>
  </si>
  <si>
    <t>010-7756-8315</t>
  </si>
  <si>
    <t>서울 마포구 백범로 178 B동603호</t>
  </si>
  <si>
    <t>OPT-2479629-2726254</t>
  </si>
  <si>
    <t>최현수</t>
  </si>
  <si>
    <t>010-6550-6972</t>
  </si>
  <si>
    <t>경남 거제시 거제면 내간2길 56 경로당 옆집</t>
  </si>
  <si>
    <t>OPT-2479581-2726205</t>
  </si>
  <si>
    <t>김문호</t>
  </si>
  <si>
    <t>010-2488-5534</t>
  </si>
  <si>
    <t>서울 마포구 마포대로1길 21 마포대림1차 102동802호</t>
  </si>
  <si>
    <t>OPT-2479557-2726175</t>
  </si>
  <si>
    <t>윤병준</t>
  </si>
  <si>
    <t>010-3746-0811</t>
  </si>
  <si>
    <t>강원도 횡성군 갑천로807번길 12-30 (상대리 467)</t>
  </si>
  <si>
    <t>현관 문앞에 놓아주세요.</t>
  </si>
  <si>
    <t>OPT-2479539-2726156</t>
  </si>
  <si>
    <t>양혁승</t>
  </si>
  <si>
    <t>010-2354-8749</t>
  </si>
  <si>
    <t>부산 금정구 서곡로 27-2 2층 목양실</t>
  </si>
  <si>
    <t>빠른 배송 바랍니다.</t>
  </si>
  <si>
    <t>OPT-2479516-2726133</t>
  </si>
  <si>
    <t>JIYOUNG BONG</t>
  </si>
  <si>
    <t>010-5682-6322</t>
  </si>
  <si>
    <t>경기도 군포시 수리산로 40 (산본동, 한양수리아파트) 808-2101</t>
  </si>
  <si>
    <t>OPT-2479471-2726088</t>
  </si>
  <si>
    <t>이경원</t>
  </si>
  <si>
    <t>010-8167-2100</t>
  </si>
  <si>
    <t>대구 동구 파계로116길 40 전원주택</t>
  </si>
  <si>
    <t>OPT-2478181-2724726</t>
  </si>
  <si>
    <t>정창모</t>
  </si>
  <si>
    <t>010-3726-3870</t>
  </si>
  <si>
    <t xml:space="preserve">서울 강남구 압구정로29길 71 31동 602호 압구정동 현대아파트 </t>
  </si>
  <si>
    <t>OPT-2478151-2724696</t>
  </si>
  <si>
    <t>백수인</t>
  </si>
  <si>
    <t>010-8545-9739</t>
  </si>
  <si>
    <t xml:space="preserve">경기 평택시 평택로 17 롯데 인벤스 스카이 아파트 104동804호 </t>
  </si>
  <si>
    <t>OPT-2477448-2723949</t>
  </si>
  <si>
    <t>김정미</t>
  </si>
  <si>
    <t>010-2468-3528</t>
  </si>
  <si>
    <t>경남 창원시 마산회원구 용마로 142 102동 705호</t>
  </si>
  <si>
    <t>OPT-2477368-2723865</t>
  </si>
  <si>
    <t>오승열</t>
  </si>
  <si>
    <t>010-5236-2156</t>
  </si>
  <si>
    <t>경기 시흥시 서울대학로278번길 43-7 1738호</t>
  </si>
  <si>
    <t>OPT-2477053-2723534</t>
  </si>
  <si>
    <t>최규수</t>
  </si>
  <si>
    <t>010-2248-0261</t>
  </si>
  <si>
    <t>충남 서산시 갈산8길 144-9 전원주택</t>
  </si>
  <si>
    <t>OPT-2475737-2722121</t>
  </si>
  <si>
    <t>010-5264-4149</t>
  </si>
  <si>
    <t>경기 안양시 만안구 병목안로130번길 18-8 102동 501호</t>
  </si>
  <si>
    <t>OPT-2475734-2722118</t>
  </si>
  <si>
    <t>김애자</t>
  </si>
  <si>
    <t>010-3574-0852</t>
  </si>
  <si>
    <t>부산 해운대구 청사포로 12 sk뷰 아파트 116동 104호</t>
  </si>
  <si>
    <t>OPT-2474471-2720765</t>
  </si>
  <si>
    <t>박용근</t>
  </si>
  <si>
    <t>010-5112-3624</t>
  </si>
  <si>
    <t>서울특별시 송파구 거마로 56 (송파시그니처롯데캐슬) 113동 801호</t>
  </si>
  <si>
    <t>OPT-2482163-2728855</t>
  </si>
  <si>
    <t>OPT-2482148-2728840</t>
  </si>
  <si>
    <t>이재희</t>
  </si>
  <si>
    <t>010-4578-0078</t>
  </si>
  <si>
    <t>경상북도 경주시 안강읍 칠평남길 25 (대흥강변타운아파트) 306호</t>
  </si>
  <si>
    <t>OPT-2482130-2728822</t>
  </si>
  <si>
    <t>이재근</t>
  </si>
  <si>
    <t>010-8994-3336</t>
  </si>
  <si>
    <t>경기 용인시 수지구 용구대로2771번길 66 수지벽산 2단지 206동 1502호</t>
  </si>
  <si>
    <t>OPT-2482100-2728792</t>
  </si>
  <si>
    <t>배주환</t>
  </si>
  <si>
    <t>010-7170-0108</t>
  </si>
  <si>
    <t>서울특별시 송파구 양재대로 1218 (방이동, 올림픽선수기자촌아파트) 314동 402호</t>
  </si>
  <si>
    <t>OPT-2481669-2728355</t>
  </si>
  <si>
    <t>최진영</t>
  </si>
  <si>
    <t>010-2002-1543</t>
  </si>
  <si>
    <t>서울 구로구 개봉로17마길 17-23 한백아트리움 401호</t>
  </si>
  <si>
    <t>OPT-2480358-2727018</t>
  </si>
  <si>
    <t>오상우</t>
  </si>
  <si>
    <t>010-8757-7185</t>
  </si>
  <si>
    <t>전북특별자치도 익산시 무왕로16길 26 103동 1303호</t>
  </si>
  <si>
    <t>OPT-2480099-2726748</t>
  </si>
  <si>
    <t>문경길</t>
  </si>
  <si>
    <t>010-5383-9599</t>
  </si>
  <si>
    <t>서울 영등포구 대방천로14길 32 305동 206호</t>
  </si>
  <si>
    <t>OPT-2480092-2726741</t>
  </si>
  <si>
    <t>정서연</t>
  </si>
  <si>
    <t>010-5645-7768</t>
  </si>
  <si>
    <t>충청북도 제천시 하소로1안길 8-2 (하소동) 서연세탁소</t>
  </si>
  <si>
    <t>OPT-2480013-2726655</t>
  </si>
  <si>
    <t>김동건</t>
  </si>
  <si>
    <t>010-3802-1224</t>
  </si>
  <si>
    <t>서울 서대문구 연희로 377 102동 902호</t>
  </si>
  <si>
    <t>OPT-2479643-2726268</t>
  </si>
  <si>
    <t>정철수</t>
  </si>
  <si>
    <t>010-7579-5678</t>
  </si>
  <si>
    <t>경기도 안양시 동안구 흥안대로223번길 47 (호계동, 샘마을대우,한양아파트) 샘마을 한양아파트 119동 502호</t>
  </si>
  <si>
    <t>SUB-2480711-307328</t>
  </si>
  <si>
    <t>김수형</t>
  </si>
  <si>
    <t>010-8948-5299</t>
  </si>
  <si>
    <t>서울 강동구 진황도로61길 7 101동 402호</t>
  </si>
  <si>
    <t>SUB-2480409-307302</t>
  </si>
  <si>
    <t>김신실</t>
  </si>
  <si>
    <t>010-7747-2176</t>
  </si>
  <si>
    <t>서울 강동구 올림픽로 659 530호</t>
  </si>
  <si>
    <t>SUB-2480073-307267</t>
  </si>
  <si>
    <t>ㆍ</t>
  </si>
  <si>
    <t>SUB-2479687-307232</t>
  </si>
  <si>
    <t>배소현</t>
  </si>
  <si>
    <t>010-5623-9929</t>
  </si>
  <si>
    <t>서울 강북구 도봉로96가길 24-6 부강훼밀리 D동 201호</t>
  </si>
  <si>
    <t>SUB-2476384-306981</t>
  </si>
  <si>
    <t>박영애</t>
  </si>
  <si>
    <t>0502-1688-7274</t>
  </si>
  <si>
    <t>03978</t>
  </si>
  <si>
    <t>서울특별시 마포구 성산동 13-21 예림아너스빌 301호</t>
  </si>
  <si>
    <t>장경남</t>
  </si>
  <si>
    <t>0502-1585-1491</t>
  </si>
  <si>
    <t>경기도 고양시 일산동구 장항동 877 호수마을3단지아파트 314동902호</t>
  </si>
  <si>
    <t>이은신</t>
  </si>
  <si>
    <t>0502-1811-1690</t>
  </si>
  <si>
    <t>경기도 안양시 동안구 동편로 80 동편마을204동1004호 ( 관양동, 동편마을2단지 )</t>
  </si>
  <si>
    <t>도착전에 연락바랍니다  수고하세요</t>
  </si>
  <si>
    <t>최현석 셰프님</t>
  </si>
  <si>
    <t>010-3758-7150</t>
  </si>
  <si>
    <t>12058</t>
  </si>
  <si>
    <t>경기 남양주시 진접읍 신영지웰 2009동 403호</t>
  </si>
  <si>
    <t>명절 선물 배송</t>
  </si>
  <si>
    <t>박원숙 선생님</t>
  </si>
  <si>
    <t>010-5414-8384</t>
  </si>
  <si>
    <t>52447</t>
  </si>
  <si>
    <t>경남 남해군 삼동면 동부대로 1130</t>
  </si>
  <si>
    <t>이명일 이사님</t>
  </si>
  <si>
    <t>010-7700-6121</t>
  </si>
  <si>
    <t>22202</t>
  </si>
  <si>
    <t>인천광역시 미추홀구 매소홀로309번길 32, 104동 1304호</t>
  </si>
  <si>
    <t>이응구 대표님</t>
  </si>
  <si>
    <t>010-4704-1859</t>
  </si>
  <si>
    <t>33621</t>
  </si>
  <si>
    <t>충남 서천군 마산면 팔지길 80-15</t>
  </si>
  <si>
    <t>최한나</t>
  </si>
  <si>
    <t>010-5421-2262</t>
  </si>
  <si>
    <t>33640</t>
  </si>
  <si>
    <t>충남 서천군 서천읍 서천로 143번길 51 104동 1302호</t>
  </si>
  <si>
    <t>박혜숙</t>
  </si>
  <si>
    <t>010-2280-0111</t>
  </si>
  <si>
    <t>03340</t>
  </si>
  <si>
    <t>서울 은평구 불광동 391-134</t>
  </si>
  <si>
    <t>이근희</t>
  </si>
  <si>
    <t>010-9302-5857</t>
  </si>
  <si>
    <t>16892</t>
  </si>
  <si>
    <t>경기도 용인시 구성3로 65 물푸레휴먼시아 322동 티101호</t>
  </si>
  <si>
    <t>김창섭 본부장님</t>
  </si>
  <si>
    <t>010-5706-6630</t>
  </si>
  <si>
    <t>13972</t>
  </si>
  <si>
    <t>경기도 안양시 충훈로 92 석수 코오롱 아파트 109동 302호</t>
  </si>
  <si>
    <t>서O경</t>
  </si>
  <si>
    <t>서울 동대문구 한천로33길 11 (답십리동, 래미안엘파인아파트) 108동 1103호</t>
  </si>
  <si>
    <t>이삼례</t>
  </si>
  <si>
    <t>010-3367-6275</t>
  </si>
  <si>
    <t>서울 종로구 통일로 246-20 무악현대아파트 109-1603</t>
  </si>
  <si>
    <t>벨 눌러 주시고 문 앞에 놓아 주세요.</t>
  </si>
  <si>
    <t>OPT-2483865-2730654</t>
  </si>
  <si>
    <t>박한성</t>
  </si>
  <si>
    <t>010-6630-0722</t>
  </si>
  <si>
    <t>경기도 남양주시 별내5로 22 (별내동, 별빛마을3단지) 3305동 1203호</t>
  </si>
  <si>
    <t>OPT-2483850-2730639</t>
  </si>
  <si>
    <t>이성하</t>
  </si>
  <si>
    <t>010-8588-9055</t>
  </si>
  <si>
    <t>경북 경주시 봉황로 128-12 다은빌502</t>
  </si>
  <si>
    <t>OPT-2483644-2730424</t>
  </si>
  <si>
    <t>이태훈</t>
  </si>
  <si>
    <t>010-9071-0504</t>
  </si>
  <si>
    <t>서울 강북구 도봉로45길 34-7 토암하이빌 302호</t>
  </si>
  <si>
    <t>OPT-2483198-2729968</t>
  </si>
  <si>
    <t>신용호</t>
  </si>
  <si>
    <t>010-3045-0749</t>
  </si>
  <si>
    <t>서울 마포구 독막로 266 태영아파트 114-205</t>
  </si>
  <si>
    <t>OPT-2483197-2729967</t>
  </si>
  <si>
    <t>김연배</t>
  </si>
  <si>
    <t>010-8839-4829</t>
  </si>
  <si>
    <t>경기 하남시 미사강변대로 95 센트럴 자이아파트 108-601</t>
  </si>
  <si>
    <t>OPT-2483196-2729966</t>
  </si>
  <si>
    <t>박찬길</t>
  </si>
  <si>
    <t>010-3748-6268</t>
  </si>
  <si>
    <t>경기 고양시 일산서구 대산로 141 407-303</t>
  </si>
  <si>
    <t>OPT-2483194-2729964</t>
  </si>
  <si>
    <t>한향임</t>
  </si>
  <si>
    <t>010-4549-9122</t>
  </si>
  <si>
    <t>경상남도 산청군 오부면 오동로 632-24 ㆍ</t>
  </si>
  <si>
    <t>OPT-2482968-2729716</t>
  </si>
  <si>
    <t>홍태양</t>
  </si>
  <si>
    <t>010-4735-7498</t>
  </si>
  <si>
    <t>울산 남구 삼호로 68 105-1804</t>
  </si>
  <si>
    <t>OPT-2482791-2729525</t>
  </si>
  <si>
    <t>임상혁</t>
  </si>
  <si>
    <t>010-3628-1079</t>
  </si>
  <si>
    <t>전남 목포시 정의로 30 108호 법무사 이달호 사무소</t>
  </si>
  <si>
    <t>OPT-2482452-2729169</t>
  </si>
  <si>
    <t>지원</t>
  </si>
  <si>
    <t>010-6348-1910</t>
  </si>
  <si>
    <t>경기도 남양주시 순화궁로 384 (별내동, 대원 칸타빌) 2405동901호</t>
  </si>
  <si>
    <t>OPT-2482300-2729001</t>
  </si>
  <si>
    <t>이명열</t>
  </si>
  <si>
    <t>010-6366-1539</t>
  </si>
  <si>
    <t>경기 의정부시 녹양로62번길 12 104동 2101호  녹양힐스테이트</t>
  </si>
  <si>
    <t>배송전 문자 후에 문앞에 두세요.</t>
  </si>
  <si>
    <t>OPT-2482213-2728910</t>
  </si>
  <si>
    <t>안창원</t>
  </si>
  <si>
    <t>010-3465-6411</t>
  </si>
  <si>
    <t>서울특별시 송파구 올림픽로 99 (잠실동, 잠실엘스) 145동 2601호</t>
  </si>
  <si>
    <t>OPT-2482199-2728895</t>
  </si>
  <si>
    <t>안경환</t>
  </si>
  <si>
    <t>010-2070-4744</t>
  </si>
  <si>
    <t>서울특별시 동대문구 외대역동로1길 60-3 (휘경동, 휘경 해모로 프레스티지) 104동 302호</t>
  </si>
  <si>
    <t>OPT-2483837-2730626</t>
  </si>
  <si>
    <t>김선아</t>
  </si>
  <si>
    <t>010-4244-2047</t>
  </si>
  <si>
    <t>서울 관악구 봉천로35길 20-5 2층</t>
  </si>
  <si>
    <t>2층 문앞에 놓아주세요.  출입구비번 6999*</t>
  </si>
  <si>
    <t>OPT-2483686-2730468</t>
  </si>
  <si>
    <t>최정자</t>
  </si>
  <si>
    <t>010-2658-4190</t>
  </si>
  <si>
    <t>충북 제천시 청풍호로10길 53 104동 301호</t>
  </si>
  <si>
    <t>OPT-2483670-2730451</t>
  </si>
  <si>
    <t>김기성</t>
  </si>
  <si>
    <t>010-3282-9288</t>
  </si>
  <si>
    <t>경기도 용인시 기흥구 구성로 90 (언남동, 삼성래미안2차아파트) 208-201</t>
  </si>
  <si>
    <t>OPT-2483331-2730104</t>
  </si>
  <si>
    <t>김태복</t>
  </si>
  <si>
    <t>010-3581-5219</t>
  </si>
  <si>
    <t>경기 광명시 광이로 49 104동 1501호</t>
  </si>
  <si>
    <t>OPT-2483122-2729882</t>
  </si>
  <si>
    <t>김주태</t>
  </si>
  <si>
    <t>010-5420-1308</t>
  </si>
  <si>
    <t>충남 부여군 충화면 가화로38번길 8 가화로 38번길 8</t>
  </si>
  <si>
    <t>OPT-2483077-2729833</t>
  </si>
  <si>
    <t>한서현</t>
  </si>
  <si>
    <t>010-3997-7569</t>
  </si>
  <si>
    <t>서울 노원구 덕릉로71길 30 102동2104호</t>
  </si>
  <si>
    <t>OPT-2483035-2729785</t>
  </si>
  <si>
    <t>박창민</t>
  </si>
  <si>
    <t>010-2995-6720</t>
  </si>
  <si>
    <t>경기 화성시 동탄구 동탄기흥로257번나길 24-11 5층</t>
  </si>
  <si>
    <t>OPT-2483021-2729771</t>
  </si>
  <si>
    <t>강종수</t>
  </si>
  <si>
    <t>010-8788-0864</t>
  </si>
  <si>
    <t>경북 구미시 선산읍 조남로 183 단독주택</t>
  </si>
  <si>
    <t>OPT-2482909-2729655</t>
  </si>
  <si>
    <t>정미영</t>
  </si>
  <si>
    <t>010-3494-0043</t>
  </si>
  <si>
    <t>경북 구미시 옥성면 하농소길 17-5 단독주택</t>
  </si>
  <si>
    <t>OPT-2482906-2729651</t>
  </si>
  <si>
    <t>현식 수빈맘</t>
  </si>
  <si>
    <t>010-8895-3503</t>
  </si>
  <si>
    <t>서울특별시 마포구 광성로 17 (신수동, 신촌숲아이파크) 101동 605호</t>
  </si>
  <si>
    <t>OPT-2482705-2729431</t>
  </si>
  <si>
    <t>윤성빈</t>
  </si>
  <si>
    <t>010-6297-3857</t>
  </si>
  <si>
    <t>충북 청주시 서원구 수곡로 88 101동 808호</t>
  </si>
  <si>
    <t>OPT-2482234-2728931</t>
  </si>
  <si>
    <t>이준용</t>
  </si>
  <si>
    <t>010-7450-1104</t>
  </si>
  <si>
    <t>서울특별시 동작구 남부순환로267길 20 (사당동) 101호</t>
  </si>
  <si>
    <t>SUB-2483575-307439</t>
  </si>
  <si>
    <t>강소엽</t>
  </si>
  <si>
    <t>010-3289-6364</t>
  </si>
  <si>
    <t>경기 광명시 소하로 162 715-1502</t>
  </si>
  <si>
    <t>SUB-2483165-307412</t>
  </si>
  <si>
    <t>백정옥</t>
  </si>
  <si>
    <t>010-2523-4622</t>
  </si>
  <si>
    <t>경상북도 포항시 북구 성실로 55 (장성동, 현진에버빌1단지아파트) 104동802</t>
  </si>
  <si>
    <t>SUB-2483141-307406</t>
  </si>
  <si>
    <t>윤정남</t>
  </si>
  <si>
    <t>010-9348-0212</t>
  </si>
  <si>
    <t>경기도 파주시 한빛로 20 (야당동, 롯데캐슬 파크타운 Ⅱ) 405동 701호</t>
  </si>
  <si>
    <t>SUB-2483059-307401</t>
  </si>
  <si>
    <t>이일용</t>
  </si>
  <si>
    <t>010-7494-1234</t>
  </si>
  <si>
    <t>충남 천안시 서북구 성정로 75 102동106호</t>
  </si>
  <si>
    <t>SUB-2482959-307395</t>
  </si>
  <si>
    <t>이민주</t>
  </si>
  <si>
    <t>010-2634-0783</t>
  </si>
  <si>
    <t>전북특별자치도 전주시 완산구 태평2길 22 (태평동, 태평SKVIEW아파트) 106동 701호</t>
  </si>
  <si>
    <t>SUB-2482410-307370</t>
  </si>
  <si>
    <t>서울폰</t>
  </si>
  <si>
    <t>010-9456-9298</t>
  </si>
  <si>
    <t>서울 관악구 청룡16길 43 이편한 세상 서울대입구 2단지 205동404호</t>
  </si>
  <si>
    <t>문앞배송부탁드립니다</t>
  </si>
  <si>
    <t>SUB-2482209-307358</t>
  </si>
  <si>
    <t>서광농산</t>
  </si>
  <si>
    <t>010-3780-2860</t>
  </si>
  <si>
    <t>11916</t>
  </si>
  <si>
    <t>경기도 구리시 도매시장로 68 구리농수산물도매시장  286호</t>
  </si>
  <si>
    <t>김수남</t>
  </si>
  <si>
    <t>010-6323-0060</t>
  </si>
  <si>
    <t>남양주시 호평동723 임광그대가 102동 201호</t>
  </si>
  <si>
    <t>조현경</t>
  </si>
  <si>
    <t>0504-1314-8287</t>
  </si>
  <si>
    <t>서울 송파구 잠실4동 파크리오아파트 115동204호</t>
  </si>
  <si>
    <t>이O아</t>
  </si>
  <si>
    <t>010-7558-1194</t>
  </si>
  <si>
    <t>충북 충주시 염밭로 22 (용산동, 남산동일하이빌) 110-603</t>
  </si>
  <si>
    <t>이인숙</t>
  </si>
  <si>
    <t>0504-3476-6324</t>
  </si>
  <si>
    <t>경기도 고양시 일산동구 장항동 호수마을 푸르지오 102동2104호</t>
  </si>
  <si>
    <t>직접 받고 부재 시 문 앞</t>
  </si>
  <si>
    <t>황복연</t>
  </si>
  <si>
    <t>0504-3494-0413</t>
  </si>
  <si>
    <t>서울특별시 종로구 부암동 245-1 1층(배송은2층자동문 들어와서 오른쪽 3번택배함에 요청)</t>
  </si>
  <si>
    <t>2층자동문 들어와서 오른쪽 3번택배함에 넣어주세요.</t>
  </si>
  <si>
    <t>김성옥</t>
  </si>
  <si>
    <t>0504-3431-5415</t>
  </si>
  <si>
    <t>서울특별시 영등포구 당산동2가 16-1 대우아파트 101동1710호</t>
  </si>
  <si>
    <t>010-4178-6174</t>
  </si>
  <si>
    <t>서울 동대문구 한천로33길 11 (답십리동, 래미안엘파인아파트) 래미안엘파인108동1103호</t>
  </si>
  <si>
    <t>오O미</t>
  </si>
  <si>
    <t>010-4713-0595</t>
  </si>
  <si>
    <t>충북 충주시 지현천변2길 27-1 (지현동, 태영하이츠타운2차) 8동201호</t>
  </si>
  <si>
    <t>유O옥</t>
  </si>
  <si>
    <t>010-3329-2563</t>
  </si>
  <si>
    <t>서울 강서구 강서로18가길 7-15 (화곡동, 이수아트빌) 이수아트빌 503호</t>
  </si>
  <si>
    <t>설은영</t>
  </si>
  <si>
    <t>010-8238-1972</t>
  </si>
  <si>
    <t>12023</t>
  </si>
  <si>
    <t>경기도 남양주시 진접읍 부평로48번길 110, 진접스타힐스 아파트 111동804호</t>
  </si>
  <si>
    <t>김영희</t>
  </si>
  <si>
    <t>12040</t>
  </si>
  <si>
    <t>경기도 남양주시 오남읍 진건오남로667번길 37-16, 성도 르피스 더스테이 102-602</t>
  </si>
  <si>
    <t>천정용</t>
  </si>
  <si>
    <t>010-9092-2540</t>
  </si>
  <si>
    <t>01443</t>
  </si>
  <si>
    <t>서울시 도봉구 도봉로 115길 31~3  302호</t>
  </si>
  <si>
    <t>이정무</t>
  </si>
  <si>
    <t>010 4452 4677</t>
  </si>
  <si>
    <t>04724</t>
  </si>
  <si>
    <t xml:space="preserve">서울시 성동구 동호로100 두산@ 104-404 </t>
  </si>
  <si>
    <t>010 9092 2540</t>
  </si>
  <si>
    <t>06321</t>
  </si>
  <si>
    <t>서울시 강남구 개포로310 디에이치퍼스티어 아이파크 159동 1206호</t>
  </si>
  <si>
    <t xml:space="preserve">권순오 </t>
  </si>
  <si>
    <t xml:space="preserve">010 9092 2540 </t>
  </si>
  <si>
    <t>06523</t>
  </si>
  <si>
    <t>서초구 잠원동 58 금호베스트빌 101동 1301호</t>
  </si>
  <si>
    <t>하경수 대표님</t>
  </si>
  <si>
    <t>경기도 용인시 수지구 동천로153번길 21, 1304동 1103호</t>
  </si>
  <si>
    <t>김현민 대표님</t>
  </si>
  <si>
    <t>경기도 성남시 분당구 판교백현로 38, 114동 1201호</t>
  </si>
  <si>
    <t>SK스토아 QC 샘플</t>
  </si>
  <si>
    <t>하경호</t>
  </si>
  <si>
    <t>0502-4525-8302</t>
  </si>
  <si>
    <t>울산광역시 울주군 청량읍 율리영해1길 49-4 주택</t>
  </si>
  <si>
    <t>손효정</t>
  </si>
  <si>
    <t>0504-1335-9427</t>
  </si>
  <si>
    <t>경기도 파주시 와동동 1471-3 힐스테이트 더 운정 112동3605호</t>
  </si>
  <si>
    <t>No</t>
  </si>
  <si>
    <t>업체코드</t>
  </si>
  <si>
    <t>업체명</t>
  </si>
  <si>
    <t>주문번호</t>
  </si>
  <si>
    <t>고객명</t>
  </si>
  <si>
    <t>상품코드</t>
  </si>
  <si>
    <t>소싱매체</t>
  </si>
  <si>
    <t>상품명</t>
  </si>
  <si>
    <t>단품코드</t>
  </si>
  <si>
    <t>단품명</t>
  </si>
  <si>
    <t>결제방법</t>
  </si>
  <si>
    <t>과세여부</t>
  </si>
  <si>
    <t>완료일</t>
  </si>
  <si>
    <t>배송상태</t>
  </si>
  <si>
    <t>매입가</t>
  </si>
  <si>
    <t>배송수량</t>
  </si>
  <si>
    <t>할인프로모션(업체)</t>
  </si>
  <si>
    <t>쿠폰할인(업체)</t>
  </si>
  <si>
    <t>ARS할인(업체)</t>
  </si>
  <si>
    <t>일시불할인(업체)</t>
  </si>
  <si>
    <t>등급할인(업체)</t>
  </si>
  <si>
    <t>수수료율</t>
  </si>
  <si>
    <t>할인프로모션(당사)</t>
  </si>
  <si>
    <t>쿠폰할인(당사)</t>
  </si>
  <si>
    <t>ARS할인(당사)</t>
  </si>
  <si>
    <t>일시불할인(당사)</t>
  </si>
  <si>
    <t>등급할인(당사)</t>
  </si>
  <si>
    <t>판매가 기준 주문금액</t>
  </si>
  <si>
    <t>매입가 기준 주문금액</t>
  </si>
  <si>
    <t>업체프로모션</t>
  </si>
  <si>
    <t>당사프로모션</t>
  </si>
  <si>
    <t>고객결제금액</t>
  </si>
  <si>
    <t>벤더사지급대금</t>
  </si>
  <si>
    <t>위수탁수수료(공급가)</t>
  </si>
  <si>
    <t>위수탁수수료(세액)</t>
  </si>
  <si>
    <t>위수탁수수료(합계)</t>
  </si>
  <si>
    <t>상품명(RG)</t>
    <phoneticPr fontId="56" type="noConversion"/>
  </si>
  <si>
    <t>배송완료일</t>
    <phoneticPr fontId="18" type="noConversion"/>
  </si>
  <si>
    <t>출고 수량</t>
  </si>
  <si>
    <t>판매가(V-)</t>
    <phoneticPr fontId="56" type="noConversion"/>
  </si>
  <si>
    <t>매출액(V-)</t>
    <phoneticPr fontId="56" type="noConversion"/>
  </si>
  <si>
    <t>1</t>
  </si>
  <si>
    <t>133329</t>
  </si>
  <si>
    <t>주식회사 로가온</t>
  </si>
  <si>
    <t>20260204842609</t>
  </si>
  <si>
    <t>이*희</t>
  </si>
  <si>
    <t>58481090</t>
  </si>
  <si>
    <t>방송</t>
  </si>
  <si>
    <t>[워커힐]워커힐 고메 시그니처 양념 본갈비 8팩</t>
  </si>
  <si>
    <t>001</t>
  </si>
  <si>
    <t>없음</t>
  </si>
  <si>
    <t>신용카드</t>
  </si>
  <si>
    <t>과세</t>
  </si>
  <si>
    <t>2026-02-06</t>
  </si>
  <si>
    <t>배송완료</t>
  </si>
  <si>
    <t>2</t>
  </si>
  <si>
    <t>20260204818446</t>
  </si>
  <si>
    <t>이*진</t>
  </si>
  <si>
    <t>3</t>
  </si>
  <si>
    <t>20260205994554</t>
  </si>
  <si>
    <t>유*진</t>
  </si>
  <si>
    <t>4</t>
  </si>
  <si>
    <t>회수확정</t>
  </si>
  <si>
    <t>5</t>
  </si>
  <si>
    <t>20260204816757</t>
  </si>
  <si>
    <t>최*수</t>
  </si>
  <si>
    <t>58999583</t>
  </si>
  <si>
    <t>6</t>
  </si>
  <si>
    <t>20260204838783</t>
  </si>
  <si>
    <t>주*</t>
  </si>
  <si>
    <t>7</t>
  </si>
  <si>
    <t>20260205974443</t>
  </si>
  <si>
    <t>최*민</t>
  </si>
  <si>
    <t>8</t>
  </si>
  <si>
    <t>20260205994447</t>
  </si>
  <si>
    <t>김*영</t>
  </si>
  <si>
    <t>2026-02-07</t>
  </si>
  <si>
    <t>9</t>
  </si>
  <si>
    <t>20260205994440</t>
  </si>
  <si>
    <t>박*연</t>
  </si>
  <si>
    <t>10</t>
  </si>
  <si>
    <t>20260205002208</t>
  </si>
  <si>
    <t>정*순</t>
  </si>
  <si>
    <t>11</t>
  </si>
  <si>
    <t>20260205993973</t>
  </si>
  <si>
    <t>김*자</t>
  </si>
  <si>
    <t>12</t>
  </si>
  <si>
    <t>20260205994109</t>
  </si>
  <si>
    <t>하*숙</t>
  </si>
  <si>
    <t>13</t>
  </si>
  <si>
    <t>20260205995200</t>
  </si>
  <si>
    <t>14</t>
  </si>
  <si>
    <t>20260205995316</t>
  </si>
  <si>
    <t>김*희</t>
  </si>
  <si>
    <t>15</t>
  </si>
  <si>
    <t>20260205994598</t>
  </si>
  <si>
    <t>조*남</t>
  </si>
  <si>
    <t>16</t>
  </si>
  <si>
    <t>20260205993542</t>
  </si>
  <si>
    <t>고*자</t>
  </si>
  <si>
    <t>무통장입금</t>
  </si>
  <si>
    <t>17</t>
  </si>
  <si>
    <t>20260205994528</t>
  </si>
  <si>
    <t>박*숙</t>
  </si>
  <si>
    <t>18</t>
  </si>
  <si>
    <t>19</t>
  </si>
  <si>
    <t>20260205993733</t>
  </si>
  <si>
    <t>이*원</t>
  </si>
  <si>
    <t>20</t>
  </si>
  <si>
    <t>20260205995261</t>
  </si>
  <si>
    <t>장*정</t>
  </si>
  <si>
    <t>21</t>
  </si>
  <si>
    <t>20260205994610</t>
  </si>
  <si>
    <t>이*연</t>
  </si>
  <si>
    <t>22</t>
  </si>
  <si>
    <t>20260205993878</t>
  </si>
  <si>
    <t>유*자</t>
  </si>
  <si>
    <t>23</t>
  </si>
  <si>
    <t>20260205993376</t>
  </si>
  <si>
    <t>강*영</t>
  </si>
  <si>
    <t>24</t>
  </si>
  <si>
    <t>20260205993784</t>
  </si>
  <si>
    <t>천*영</t>
  </si>
  <si>
    <t>25</t>
  </si>
  <si>
    <t>20260205992635</t>
  </si>
  <si>
    <t>김*련</t>
  </si>
  <si>
    <t>26</t>
  </si>
  <si>
    <t>20260205993273</t>
  </si>
  <si>
    <t>27</t>
  </si>
  <si>
    <t>20260205993601</t>
  </si>
  <si>
    <t>김*석</t>
  </si>
  <si>
    <t>28</t>
  </si>
  <si>
    <t>20260205995425</t>
  </si>
  <si>
    <t>29</t>
  </si>
  <si>
    <t>20260205994274</t>
  </si>
  <si>
    <t>강*회</t>
  </si>
  <si>
    <t>30</t>
  </si>
  <si>
    <t>20260205993726</t>
  </si>
  <si>
    <t>원*연</t>
  </si>
  <si>
    <t>31</t>
  </si>
  <si>
    <t>20260205992788</t>
  </si>
  <si>
    <t>윤*식</t>
  </si>
  <si>
    <t>32</t>
  </si>
  <si>
    <t>20260205993377</t>
  </si>
  <si>
    <t>최*미</t>
  </si>
  <si>
    <t>33</t>
  </si>
  <si>
    <t>20260205002373</t>
  </si>
  <si>
    <t>34</t>
  </si>
  <si>
    <t>20260205995551</t>
  </si>
  <si>
    <t>변*섭</t>
  </si>
  <si>
    <t>35</t>
  </si>
  <si>
    <t>20260205993491</t>
  </si>
  <si>
    <t>최*숙</t>
  </si>
  <si>
    <t>36</t>
  </si>
  <si>
    <t>20260205995071</t>
  </si>
  <si>
    <t>최*용</t>
  </si>
  <si>
    <t>37</t>
  </si>
  <si>
    <t>20260205994350</t>
  </si>
  <si>
    <t>이*용</t>
  </si>
  <si>
    <t>38</t>
  </si>
  <si>
    <t>20260205992889</t>
  </si>
  <si>
    <t>정*은</t>
  </si>
  <si>
    <t>39</t>
  </si>
  <si>
    <t>20260205995039</t>
  </si>
  <si>
    <t>심*정</t>
  </si>
  <si>
    <t>40</t>
  </si>
  <si>
    <t>20260205994136</t>
  </si>
  <si>
    <t>김*이</t>
  </si>
  <si>
    <t>41</t>
  </si>
  <si>
    <t>20260205994291</t>
  </si>
  <si>
    <t>조*복</t>
  </si>
  <si>
    <t>42</t>
  </si>
  <si>
    <t>20260205994309</t>
  </si>
  <si>
    <t>박*건</t>
  </si>
  <si>
    <t>43</t>
  </si>
  <si>
    <t>20260205994805</t>
  </si>
  <si>
    <t>박*정</t>
  </si>
  <si>
    <t>44</t>
  </si>
  <si>
    <t>20260205992492</t>
  </si>
  <si>
    <t>마*숙</t>
  </si>
  <si>
    <t>45</t>
  </si>
  <si>
    <t>20260205995186</t>
  </si>
  <si>
    <t>주*순</t>
  </si>
  <si>
    <t>46</t>
  </si>
  <si>
    <t>20260205994754</t>
  </si>
  <si>
    <t>박*동</t>
  </si>
  <si>
    <t>47</t>
  </si>
  <si>
    <t>20260205993950</t>
  </si>
  <si>
    <t>조*화</t>
  </si>
  <si>
    <t>48</t>
  </si>
  <si>
    <t>20260205992544</t>
  </si>
  <si>
    <t>김*년</t>
  </si>
  <si>
    <t>49</t>
  </si>
  <si>
    <t>20260205992582</t>
  </si>
  <si>
    <t>50</t>
  </si>
  <si>
    <t>20260205992739</t>
  </si>
  <si>
    <t>51</t>
  </si>
  <si>
    <t>20260205995566</t>
  </si>
  <si>
    <t>신*애</t>
  </si>
  <si>
    <t>52</t>
  </si>
  <si>
    <t>20260205995554</t>
  </si>
  <si>
    <t>이*미</t>
  </si>
  <si>
    <t>53</t>
  </si>
  <si>
    <t>20260205994495</t>
  </si>
  <si>
    <t>서*희</t>
  </si>
  <si>
    <t>54</t>
  </si>
  <si>
    <t>20260205994942</t>
  </si>
  <si>
    <t>안*정</t>
  </si>
  <si>
    <t>55</t>
  </si>
  <si>
    <t>20260205994328</t>
  </si>
  <si>
    <t>한*심</t>
  </si>
  <si>
    <t>56</t>
  </si>
  <si>
    <t>20260205994416</t>
  </si>
  <si>
    <t>김*준</t>
  </si>
  <si>
    <t>57</t>
  </si>
  <si>
    <t>20260205993773</t>
  </si>
  <si>
    <t>58</t>
  </si>
  <si>
    <t>20260205993527</t>
  </si>
  <si>
    <t>59</t>
  </si>
  <si>
    <t>20260205993559</t>
  </si>
  <si>
    <t>신*자</t>
  </si>
  <si>
    <t>60</t>
  </si>
  <si>
    <t>20260205992805</t>
  </si>
  <si>
    <t>김*기</t>
  </si>
  <si>
    <t>61</t>
  </si>
  <si>
    <t>20260205993001</t>
  </si>
  <si>
    <t>홍*향</t>
  </si>
  <si>
    <t>62</t>
  </si>
  <si>
    <t>20260205993000</t>
  </si>
  <si>
    <t>홍*순</t>
  </si>
  <si>
    <t>63</t>
  </si>
  <si>
    <t>20260206639164</t>
  </si>
  <si>
    <t>64</t>
  </si>
  <si>
    <t>20260205995541</t>
  </si>
  <si>
    <t>천*구</t>
  </si>
  <si>
    <t>65</t>
  </si>
  <si>
    <t>20260205995252</t>
  </si>
  <si>
    <t>백*희</t>
  </si>
  <si>
    <t>66</t>
  </si>
  <si>
    <t>20260205995563</t>
  </si>
  <si>
    <t>안*경</t>
  </si>
  <si>
    <t>67</t>
  </si>
  <si>
    <t>20260205995557</t>
  </si>
  <si>
    <t>박*직</t>
  </si>
  <si>
    <t>68</t>
  </si>
  <si>
    <t>20260205994033</t>
  </si>
  <si>
    <t>서*환</t>
  </si>
  <si>
    <t>69</t>
  </si>
  <si>
    <t>20260205995287</t>
  </si>
  <si>
    <t>홍*숙</t>
  </si>
  <si>
    <t>70</t>
  </si>
  <si>
    <t>20260205994732</t>
  </si>
  <si>
    <t>장*순</t>
  </si>
  <si>
    <t>71</t>
  </si>
  <si>
    <t>20260205993741</t>
  </si>
  <si>
    <t>고*진</t>
  </si>
  <si>
    <t>72</t>
  </si>
  <si>
    <t>20260205993936</t>
  </si>
  <si>
    <t>정*경</t>
  </si>
  <si>
    <t>73</t>
  </si>
  <si>
    <t>20260205992791</t>
  </si>
  <si>
    <t>박*희</t>
  </si>
  <si>
    <t>74</t>
  </si>
  <si>
    <t>20260205995405</t>
  </si>
  <si>
    <t>김*래</t>
  </si>
  <si>
    <t>75</t>
  </si>
  <si>
    <t>20260205994702</t>
  </si>
  <si>
    <t>윤*연</t>
  </si>
  <si>
    <t>76</t>
  </si>
  <si>
    <t>20260205992392</t>
  </si>
  <si>
    <t>나*인</t>
  </si>
  <si>
    <t>77</t>
  </si>
  <si>
    <t>20260205994965</t>
  </si>
  <si>
    <t>이*석</t>
  </si>
  <si>
    <t>78</t>
  </si>
  <si>
    <t>20260205994122</t>
  </si>
  <si>
    <t>김*경</t>
  </si>
  <si>
    <t>79</t>
  </si>
  <si>
    <t>20260205995057</t>
  </si>
  <si>
    <t>하*연</t>
  </si>
  <si>
    <t>80</t>
  </si>
  <si>
    <t>81</t>
  </si>
  <si>
    <t>20260205992904</t>
  </si>
  <si>
    <t>문*자</t>
  </si>
  <si>
    <t>82</t>
  </si>
  <si>
    <t>20260205992734</t>
  </si>
  <si>
    <t>정*숙</t>
  </si>
  <si>
    <t>83</t>
  </si>
  <si>
    <t>20260205993913</t>
  </si>
  <si>
    <t>김*은</t>
  </si>
  <si>
    <t>84</t>
  </si>
  <si>
    <t>20260205994384</t>
  </si>
  <si>
    <t>이*나</t>
  </si>
  <si>
    <t>85</t>
  </si>
  <si>
    <t>20260205994535</t>
  </si>
  <si>
    <t>박*현</t>
  </si>
  <si>
    <t>86</t>
  </si>
  <si>
    <t>20260205992509</t>
  </si>
  <si>
    <t>문*현</t>
  </si>
  <si>
    <t>87</t>
  </si>
  <si>
    <t>20260205995352</t>
  </si>
  <si>
    <t>이*옥</t>
  </si>
  <si>
    <t>88</t>
  </si>
  <si>
    <t>20260205995384</t>
  </si>
  <si>
    <t>이*자</t>
  </si>
  <si>
    <t>89</t>
  </si>
  <si>
    <t>20260205994156</t>
  </si>
  <si>
    <t>90</t>
  </si>
  <si>
    <t>20260205995064</t>
  </si>
  <si>
    <t>최*자</t>
  </si>
  <si>
    <t>91</t>
  </si>
  <si>
    <t>20260205995094</t>
  </si>
  <si>
    <t>이*숙</t>
  </si>
  <si>
    <t>92</t>
  </si>
  <si>
    <t>20260205993677</t>
  </si>
  <si>
    <t>조*순</t>
  </si>
  <si>
    <t>93</t>
  </si>
  <si>
    <t>20260205993758</t>
  </si>
  <si>
    <t>박*상</t>
  </si>
  <si>
    <t>94</t>
  </si>
  <si>
    <t>20260205995396</t>
  </si>
  <si>
    <t>장*희</t>
  </si>
  <si>
    <t>95</t>
  </si>
  <si>
    <t>20260205994153</t>
  </si>
  <si>
    <t>김*지</t>
  </si>
  <si>
    <t>96</t>
  </si>
  <si>
    <t>20260205994151</t>
  </si>
  <si>
    <t>이*영</t>
  </si>
  <si>
    <t>97</t>
  </si>
  <si>
    <t>20260205995304</t>
  </si>
  <si>
    <t>조*희</t>
  </si>
  <si>
    <t>98</t>
  </si>
  <si>
    <t>20260205994179</t>
  </si>
  <si>
    <t>99</t>
  </si>
  <si>
    <t>20260205993562</t>
  </si>
  <si>
    <t>정*아</t>
  </si>
  <si>
    <t>100</t>
  </si>
  <si>
    <t>20260205992669</t>
  </si>
  <si>
    <t>101</t>
  </si>
  <si>
    <t>20260205993164</t>
  </si>
  <si>
    <t>지*애</t>
  </si>
  <si>
    <t>102</t>
  </si>
  <si>
    <t>20260205993173</t>
  </si>
  <si>
    <t>신*선</t>
  </si>
  <si>
    <t>103</t>
  </si>
  <si>
    <t>20260205995833</t>
  </si>
  <si>
    <t>104</t>
  </si>
  <si>
    <t>20260205995345</t>
  </si>
  <si>
    <t>김*정</t>
  </si>
  <si>
    <t>105</t>
  </si>
  <si>
    <t>20260205995362</t>
  </si>
  <si>
    <t>106</t>
  </si>
  <si>
    <t>20260205994889</t>
  </si>
  <si>
    <t>송*미</t>
  </si>
  <si>
    <t>107</t>
  </si>
  <si>
    <t>20260205995613</t>
  </si>
  <si>
    <t>최*희</t>
  </si>
  <si>
    <t>108</t>
  </si>
  <si>
    <t>20260205994040</t>
  </si>
  <si>
    <t>정*교</t>
  </si>
  <si>
    <t>109</t>
  </si>
  <si>
    <t>20260205994119</t>
  </si>
  <si>
    <t>양*화</t>
  </si>
  <si>
    <t>110</t>
  </si>
  <si>
    <t>20260205994158</t>
  </si>
  <si>
    <t>김*옥</t>
  </si>
  <si>
    <t>111</t>
  </si>
  <si>
    <t>112</t>
  </si>
  <si>
    <t>20260205995299</t>
  </si>
  <si>
    <t>전*일</t>
  </si>
  <si>
    <t>113</t>
  </si>
  <si>
    <t>20260205994357</t>
  </si>
  <si>
    <t>심*견</t>
  </si>
  <si>
    <t>114</t>
  </si>
  <si>
    <t>20260205994533</t>
  </si>
  <si>
    <t>박*자</t>
  </si>
  <si>
    <t>115</t>
  </si>
  <si>
    <t>20260205994835</t>
  </si>
  <si>
    <t>고*화</t>
  </si>
  <si>
    <t>116</t>
  </si>
  <si>
    <t>20260205993318</t>
  </si>
  <si>
    <t>김*순</t>
  </si>
  <si>
    <t>117</t>
  </si>
  <si>
    <t>20260205993550</t>
  </si>
  <si>
    <t>118</t>
  </si>
  <si>
    <t>20260205992696</t>
  </si>
  <si>
    <t>119</t>
  </si>
  <si>
    <t>20260205992743</t>
  </si>
  <si>
    <t>김*주</t>
  </si>
  <si>
    <t>120</t>
  </si>
  <si>
    <t>20260205992862</t>
  </si>
  <si>
    <t>김*진</t>
  </si>
  <si>
    <t>121</t>
  </si>
  <si>
    <t>20260205993262</t>
  </si>
  <si>
    <t>강*덕</t>
  </si>
  <si>
    <t>122</t>
  </si>
  <si>
    <t>20260205993211</t>
  </si>
  <si>
    <t>이*혜</t>
  </si>
  <si>
    <t>123</t>
  </si>
  <si>
    <t>20260205993118</t>
  </si>
  <si>
    <t>이*순</t>
  </si>
  <si>
    <t>124</t>
  </si>
  <si>
    <t>20260205993605</t>
  </si>
  <si>
    <t>유*숙</t>
  </si>
  <si>
    <t>125</t>
  </si>
  <si>
    <t>20260205995721</t>
  </si>
  <si>
    <t>박*근</t>
  </si>
  <si>
    <t>126</t>
  </si>
  <si>
    <t>20260205995702</t>
  </si>
  <si>
    <t>127</t>
  </si>
  <si>
    <t>20260205994054</t>
  </si>
  <si>
    <t>한*남</t>
  </si>
  <si>
    <t>128</t>
  </si>
  <si>
    <t>20260205995169</t>
  </si>
  <si>
    <t>오*희</t>
  </si>
  <si>
    <t>129</t>
  </si>
  <si>
    <t>20260205995271</t>
  </si>
  <si>
    <t>서*정</t>
  </si>
  <si>
    <t>130</t>
  </si>
  <si>
    <t>20260205994951</t>
  </si>
  <si>
    <t>조*원</t>
  </si>
  <si>
    <t>131</t>
  </si>
  <si>
    <t>20260205994123</t>
  </si>
  <si>
    <t>황*경</t>
  </si>
  <si>
    <t>132</t>
  </si>
  <si>
    <t>20260205994682</t>
  </si>
  <si>
    <t>정*영</t>
  </si>
  <si>
    <t>133</t>
  </si>
  <si>
    <t>20260205994827</t>
  </si>
  <si>
    <t>장*옥</t>
  </si>
  <si>
    <t>134</t>
  </si>
  <si>
    <t>20260205993834</t>
  </si>
  <si>
    <t>135</t>
  </si>
  <si>
    <t>20260205993892</t>
  </si>
  <si>
    <t>김*안</t>
  </si>
  <si>
    <t>136</t>
  </si>
  <si>
    <t>20260205994997</t>
  </si>
  <si>
    <t>137</t>
  </si>
  <si>
    <t>20260205993977</t>
  </si>
  <si>
    <t>138</t>
  </si>
  <si>
    <t>20260205993394</t>
  </si>
  <si>
    <t>윤*자</t>
  </si>
  <si>
    <t>139</t>
  </si>
  <si>
    <t>20260205993463</t>
  </si>
  <si>
    <t>김*민</t>
  </si>
  <si>
    <t>140</t>
  </si>
  <si>
    <t>20260205993490</t>
  </si>
  <si>
    <t>남*순</t>
  </si>
  <si>
    <t>141</t>
  </si>
  <si>
    <t>20260205992777</t>
  </si>
  <si>
    <t>남**예</t>
  </si>
  <si>
    <t>142</t>
  </si>
  <si>
    <t>20260205992824</t>
  </si>
  <si>
    <t>유*희</t>
  </si>
  <si>
    <t>143</t>
  </si>
  <si>
    <t>20260205993046</t>
  </si>
  <si>
    <t>한*숙</t>
  </si>
  <si>
    <t>144</t>
  </si>
  <si>
    <t>20260205993167</t>
  </si>
  <si>
    <t>가*은</t>
  </si>
  <si>
    <t>145</t>
  </si>
  <si>
    <t>20260205995534</t>
  </si>
  <si>
    <t>황*하</t>
  </si>
  <si>
    <t>146</t>
  </si>
  <si>
    <t>20260205995226</t>
  </si>
  <si>
    <t>이*지</t>
  </si>
  <si>
    <t>147</t>
  </si>
  <si>
    <t>20260205995451</t>
  </si>
  <si>
    <t>나*윤</t>
  </si>
  <si>
    <t>148</t>
  </si>
  <si>
    <t>20260205995408</t>
  </si>
  <si>
    <t>유*순</t>
  </si>
  <si>
    <t>149</t>
  </si>
  <si>
    <t>20260205995543</t>
  </si>
  <si>
    <t>김*화</t>
  </si>
  <si>
    <t>150</t>
  </si>
  <si>
    <t>20260205995144</t>
  </si>
  <si>
    <t>정*선</t>
  </si>
  <si>
    <t>151</t>
  </si>
  <si>
    <t>20260205994452</t>
  </si>
  <si>
    <t>152</t>
  </si>
  <si>
    <t>20260205994705</t>
  </si>
  <si>
    <t>153</t>
  </si>
  <si>
    <t>20260205993754</t>
  </si>
  <si>
    <t>154</t>
  </si>
  <si>
    <t>20260205994833</t>
  </si>
  <si>
    <t>모*숙</t>
  </si>
  <si>
    <t>155</t>
  </si>
  <si>
    <t>20260205994879</t>
  </si>
  <si>
    <t>우*화</t>
  </si>
  <si>
    <t>156</t>
  </si>
  <si>
    <t>20260205994922</t>
  </si>
  <si>
    <t>강*임</t>
  </si>
  <si>
    <t>157</t>
  </si>
  <si>
    <t>20260205995017</t>
  </si>
  <si>
    <t>158</t>
  </si>
  <si>
    <t>20260205993720</t>
  </si>
  <si>
    <t>박*애</t>
  </si>
  <si>
    <t>159</t>
  </si>
  <si>
    <t>20260205993350</t>
  </si>
  <si>
    <t>조*영</t>
  </si>
  <si>
    <t>160</t>
  </si>
  <si>
    <t>20260205992637</t>
  </si>
  <si>
    <t>161</t>
  </si>
  <si>
    <t>20260205992663</t>
  </si>
  <si>
    <t>전*순</t>
  </si>
  <si>
    <t>162</t>
  </si>
  <si>
    <t>20260205992861</t>
  </si>
  <si>
    <t>163</t>
  </si>
  <si>
    <t>20260205993182</t>
  </si>
  <si>
    <t>반*희</t>
  </si>
  <si>
    <t>164</t>
  </si>
  <si>
    <t>20260205993222</t>
  </si>
  <si>
    <t>권*태</t>
  </si>
  <si>
    <t>165</t>
  </si>
  <si>
    <t>20260205993549</t>
  </si>
  <si>
    <t>김*천</t>
  </si>
  <si>
    <t>166</t>
  </si>
  <si>
    <t>20260205995346</t>
  </si>
  <si>
    <t>김*수</t>
  </si>
  <si>
    <t>167</t>
  </si>
  <si>
    <t>20260205992690</t>
  </si>
  <si>
    <t>168</t>
  </si>
  <si>
    <t>20260205994016</t>
  </si>
  <si>
    <t>신*준</t>
  </si>
  <si>
    <t>169</t>
  </si>
  <si>
    <t>20260205994147</t>
  </si>
  <si>
    <t>나*양</t>
  </si>
  <si>
    <t>170</t>
  </si>
  <si>
    <t>20260205995268</t>
  </si>
  <si>
    <t>171</t>
  </si>
  <si>
    <t>20260205994486</t>
  </si>
  <si>
    <t>172</t>
  </si>
  <si>
    <t>20260205994744</t>
  </si>
  <si>
    <t>173</t>
  </si>
  <si>
    <t>20260205994445</t>
  </si>
  <si>
    <t>임*옥</t>
  </si>
  <si>
    <t>174</t>
  </si>
  <si>
    <t>20260205994636</t>
  </si>
  <si>
    <t>유*정</t>
  </si>
  <si>
    <t>175</t>
  </si>
  <si>
    <t>20260205994834</t>
  </si>
  <si>
    <t>우*희</t>
  </si>
  <si>
    <t>176</t>
  </si>
  <si>
    <t>20260205993877</t>
  </si>
  <si>
    <t>박*하</t>
  </si>
  <si>
    <t>177</t>
  </si>
  <si>
    <t>20260205992628</t>
  </si>
  <si>
    <t>이*임</t>
  </si>
  <si>
    <t>178</t>
  </si>
  <si>
    <t>20260205992776</t>
  </si>
  <si>
    <t>김*애</t>
  </si>
  <si>
    <t>179</t>
  </si>
  <si>
    <t>180</t>
  </si>
  <si>
    <t>20260205992738</t>
  </si>
  <si>
    <t>181</t>
  </si>
  <si>
    <t>20260205994627</t>
  </si>
  <si>
    <t>182</t>
  </si>
  <si>
    <t>20260205994093</t>
  </si>
  <si>
    <t>고*두</t>
  </si>
  <si>
    <t>183</t>
  </si>
  <si>
    <t>20260205994226</t>
  </si>
  <si>
    <t>송*자</t>
  </si>
  <si>
    <t>184</t>
  </si>
  <si>
    <t>20260205993830</t>
  </si>
  <si>
    <t>오*혜</t>
  </si>
  <si>
    <t>185</t>
  </si>
  <si>
    <t>186</t>
  </si>
  <si>
    <t>20260205993426</t>
  </si>
  <si>
    <t>187</t>
  </si>
  <si>
    <t>20260205993231</t>
  </si>
  <si>
    <t>성*순</t>
  </si>
  <si>
    <t>188</t>
  </si>
  <si>
    <t>20260205997063</t>
  </si>
  <si>
    <t>고*숙</t>
  </si>
  <si>
    <t>189</t>
  </si>
  <si>
    <t>20260206629059</t>
  </si>
  <si>
    <t>문*호</t>
  </si>
  <si>
    <t>190</t>
  </si>
  <si>
    <t>20260205994734</t>
  </si>
  <si>
    <t>봉*종</t>
  </si>
  <si>
    <t>191</t>
  </si>
  <si>
    <t>20260205994854</t>
  </si>
  <si>
    <t>양*경</t>
  </si>
  <si>
    <t>192</t>
  </si>
  <si>
    <t>20260205995046</t>
  </si>
  <si>
    <t>193</t>
  </si>
  <si>
    <t>20260205992956</t>
  </si>
  <si>
    <t>장*숙</t>
  </si>
  <si>
    <t>194</t>
  </si>
  <si>
    <t>20260205997716</t>
  </si>
  <si>
    <t>195</t>
  </si>
  <si>
    <t>20260205002209</t>
  </si>
  <si>
    <t>196</t>
  </si>
  <si>
    <t>20260205994403</t>
  </si>
  <si>
    <t>조*춘</t>
  </si>
  <si>
    <t>197</t>
  </si>
  <si>
    <t>20260205994792</t>
  </si>
  <si>
    <t>김*훈</t>
  </si>
  <si>
    <t>198</t>
  </si>
  <si>
    <t>20260205995517</t>
  </si>
  <si>
    <t>신*연</t>
  </si>
  <si>
    <t>199</t>
  </si>
  <si>
    <t>20260205993968</t>
  </si>
  <si>
    <t>강*순</t>
  </si>
  <si>
    <t>200</t>
  </si>
  <si>
    <t>201</t>
  </si>
  <si>
    <t>20260205994017</t>
  </si>
  <si>
    <t>박*선</t>
  </si>
  <si>
    <t>202</t>
  </si>
  <si>
    <t>20260205994614</t>
  </si>
  <si>
    <t>이*</t>
  </si>
  <si>
    <t>203</t>
  </si>
  <si>
    <t>20260205994658</t>
  </si>
  <si>
    <t>송*경</t>
  </si>
  <si>
    <t>204</t>
  </si>
  <si>
    <t>20260205994878</t>
  </si>
  <si>
    <t>김*미</t>
  </si>
  <si>
    <t>205</t>
  </si>
  <si>
    <t>20260205994841</t>
  </si>
  <si>
    <t>이*정</t>
  </si>
  <si>
    <t>206</t>
  </si>
  <si>
    <t>20260205996662</t>
  </si>
  <si>
    <t>손*정</t>
  </si>
  <si>
    <t>207</t>
  </si>
  <si>
    <t>20260205992741</t>
  </si>
  <si>
    <t>208</t>
  </si>
  <si>
    <t>209</t>
  </si>
  <si>
    <t>20260205995058</t>
  </si>
  <si>
    <t>박*영</t>
  </si>
  <si>
    <t>210</t>
  </si>
  <si>
    <t>20260205995112</t>
  </si>
  <si>
    <t>Z*********G</t>
  </si>
  <si>
    <t>211</t>
  </si>
  <si>
    <t>20260205992797</t>
  </si>
  <si>
    <t>정*현</t>
  </si>
  <si>
    <t>212</t>
  </si>
  <si>
    <t>20260205994666</t>
  </si>
  <si>
    <t>213</t>
  </si>
  <si>
    <t>20260205993790</t>
  </si>
  <si>
    <t>214</t>
  </si>
  <si>
    <t>20260205995626</t>
  </si>
  <si>
    <t>김*현</t>
  </si>
  <si>
    <t>215</t>
  </si>
  <si>
    <t>20260205996241</t>
  </si>
  <si>
    <t>216</t>
  </si>
  <si>
    <t>20260205994059</t>
  </si>
  <si>
    <t xml:space="preserve">김** </t>
  </si>
  <si>
    <t>217</t>
  </si>
  <si>
    <t>20260205994836</t>
  </si>
  <si>
    <t>218</t>
  </si>
  <si>
    <t>20260205995119</t>
  </si>
  <si>
    <t>219</t>
  </si>
  <si>
    <t>20260205994118</t>
  </si>
  <si>
    <t>정*련</t>
  </si>
  <si>
    <t>220</t>
  </si>
  <si>
    <t>20260205994157</t>
  </si>
  <si>
    <t>양*옥</t>
  </si>
  <si>
    <t>221</t>
  </si>
  <si>
    <t>20260205993710</t>
  </si>
  <si>
    <t>222</t>
  </si>
  <si>
    <t>223</t>
  </si>
  <si>
    <t>20260205995392</t>
  </si>
  <si>
    <t>박*순</t>
  </si>
  <si>
    <t>224</t>
  </si>
  <si>
    <t>20260205993543</t>
  </si>
  <si>
    <t>길*영</t>
  </si>
  <si>
    <t>225</t>
  </si>
  <si>
    <t>20260205993908</t>
  </si>
  <si>
    <t>나*규</t>
  </si>
  <si>
    <t>226</t>
  </si>
  <si>
    <t>20260205993875</t>
  </si>
  <si>
    <t>홍*연</t>
  </si>
  <si>
    <t>227</t>
  </si>
  <si>
    <t>20260205993960</t>
  </si>
  <si>
    <t>제*희</t>
  </si>
  <si>
    <t>228</t>
  </si>
  <si>
    <t>20260205992706</t>
  </si>
  <si>
    <t>229</t>
  </si>
  <si>
    <t>20260205992679</t>
  </si>
  <si>
    <t>강*자</t>
  </si>
  <si>
    <t>230</t>
  </si>
  <si>
    <t>20260205992794</t>
  </si>
  <si>
    <t>231</t>
  </si>
  <si>
    <t>20260205992898</t>
  </si>
  <si>
    <t>232</t>
  </si>
  <si>
    <t>20260205992897</t>
  </si>
  <si>
    <t>오*선</t>
  </si>
  <si>
    <t>233</t>
  </si>
  <si>
    <t>20260205992756</t>
  </si>
  <si>
    <t>234</t>
  </si>
  <si>
    <t>20260205992986</t>
  </si>
  <si>
    <t>임*자</t>
  </si>
  <si>
    <t>235</t>
  </si>
  <si>
    <t>20260205993183</t>
  </si>
  <si>
    <t>236</t>
  </si>
  <si>
    <t>20260205993148</t>
  </si>
  <si>
    <t>이*인</t>
  </si>
  <si>
    <t>237</t>
  </si>
  <si>
    <t>20260205993058</t>
  </si>
  <si>
    <t>박*남</t>
  </si>
  <si>
    <t>238</t>
  </si>
  <si>
    <t>20260205996079</t>
  </si>
  <si>
    <t>239</t>
  </si>
  <si>
    <t>20260205993619</t>
  </si>
  <si>
    <t>240</t>
  </si>
  <si>
    <t>20260205995135</t>
  </si>
  <si>
    <t>김*숙</t>
  </si>
  <si>
    <t>241</t>
  </si>
  <si>
    <t>20260205995051</t>
  </si>
  <si>
    <t>김*성</t>
  </si>
  <si>
    <t>242</t>
  </si>
  <si>
    <t>20260205995178</t>
  </si>
  <si>
    <t>243</t>
  </si>
  <si>
    <t>20260205995310</t>
  </si>
  <si>
    <t>유*하</t>
  </si>
  <si>
    <t>244</t>
  </si>
  <si>
    <t>20260205994642</t>
  </si>
  <si>
    <t>노*자</t>
  </si>
  <si>
    <t>245</t>
  </si>
  <si>
    <t>20260205994648</t>
  </si>
  <si>
    <t>주*옥</t>
  </si>
  <si>
    <t>246</t>
  </si>
  <si>
    <t>20260205994669</t>
  </si>
  <si>
    <t>247</t>
  </si>
  <si>
    <t>20260205994741</t>
  </si>
  <si>
    <t>248</t>
  </si>
  <si>
    <t>20260205993886</t>
  </si>
  <si>
    <t>249</t>
  </si>
  <si>
    <t>20260205993178</t>
  </si>
  <si>
    <t>노*배</t>
  </si>
  <si>
    <t>250</t>
  </si>
  <si>
    <t>20260205995500</t>
  </si>
  <si>
    <t>국*자</t>
  </si>
  <si>
    <t>251</t>
  </si>
  <si>
    <t>20260205995571</t>
  </si>
  <si>
    <t>윤*은</t>
  </si>
  <si>
    <t>252</t>
  </si>
  <si>
    <t>20260205995033</t>
  </si>
  <si>
    <t>253</t>
  </si>
  <si>
    <t>20260205992733</t>
  </si>
  <si>
    <t>권*순</t>
  </si>
  <si>
    <t>254</t>
  </si>
  <si>
    <t>20260205992812</t>
  </si>
  <si>
    <t>라*자</t>
  </si>
  <si>
    <t>255</t>
  </si>
  <si>
    <t>20260205005878</t>
  </si>
  <si>
    <t>장*영</t>
  </si>
  <si>
    <t>256</t>
  </si>
  <si>
    <t>20260205993598</t>
  </si>
  <si>
    <t>강*숙</t>
  </si>
  <si>
    <t>257</t>
  </si>
  <si>
    <t>20260205993918</t>
  </si>
  <si>
    <t>258</t>
  </si>
  <si>
    <t>20260205995312</t>
  </si>
  <si>
    <t>259</t>
  </si>
  <si>
    <t>20260205993672</t>
  </si>
  <si>
    <t>김*겸</t>
  </si>
  <si>
    <t>260</t>
  </si>
  <si>
    <t>20260205993716</t>
  </si>
  <si>
    <t>김*생</t>
  </si>
  <si>
    <t>261</t>
  </si>
  <si>
    <t>20260205993519</t>
  </si>
  <si>
    <t>김*아</t>
  </si>
  <si>
    <t>262</t>
  </si>
  <si>
    <t>20260205993513</t>
  </si>
  <si>
    <t>이*헌</t>
  </si>
  <si>
    <t>263</t>
  </si>
  <si>
    <t>20260205992372</t>
  </si>
  <si>
    <t>264</t>
  </si>
  <si>
    <t>20260205994376</t>
  </si>
  <si>
    <t>정*옥</t>
  </si>
  <si>
    <t>265</t>
  </si>
  <si>
    <t>20260205994772</t>
  </si>
  <si>
    <t>이*휘</t>
  </si>
  <si>
    <t>266</t>
  </si>
  <si>
    <t>20260205992804</t>
  </si>
  <si>
    <t>권*숙</t>
  </si>
  <si>
    <t>267</t>
  </si>
  <si>
    <t>20260205993648</t>
  </si>
  <si>
    <t>한*은</t>
  </si>
  <si>
    <t>268</t>
  </si>
  <si>
    <t>20260205992386</t>
  </si>
  <si>
    <t>269</t>
  </si>
  <si>
    <t>20260205995516</t>
  </si>
  <si>
    <t>270</t>
  </si>
  <si>
    <t>20260205992636</t>
  </si>
  <si>
    <t>장*애</t>
  </si>
  <si>
    <t>271</t>
  </si>
  <si>
    <t>20260205994296</t>
  </si>
  <si>
    <t>272</t>
  </si>
  <si>
    <t>20260205992569</t>
  </si>
  <si>
    <t>전*원</t>
  </si>
  <si>
    <t>273</t>
  </si>
  <si>
    <t>20260205993291</t>
  </si>
  <si>
    <t>운*</t>
  </si>
  <si>
    <t>274</t>
  </si>
  <si>
    <t>20260205994429</t>
  </si>
  <si>
    <t>윤*숙</t>
  </si>
  <si>
    <t>275</t>
  </si>
  <si>
    <t>20260205994897</t>
  </si>
  <si>
    <t>손*선</t>
  </si>
  <si>
    <t>276</t>
  </si>
  <si>
    <t>20260205994969</t>
  </si>
  <si>
    <t>이*섭</t>
  </si>
  <si>
    <t>277</t>
  </si>
  <si>
    <t>20260205995874</t>
  </si>
  <si>
    <t>임*정</t>
  </si>
  <si>
    <t>278</t>
  </si>
  <si>
    <t>20260205995383</t>
  </si>
  <si>
    <t>279</t>
  </si>
  <si>
    <t>20260205992567</t>
  </si>
  <si>
    <t>280</t>
  </si>
  <si>
    <t>20260206628960</t>
  </si>
  <si>
    <t>281</t>
  </si>
  <si>
    <t>282</t>
  </si>
  <si>
    <t>20260205992438</t>
  </si>
  <si>
    <t>283</t>
  </si>
  <si>
    <t>284</t>
  </si>
  <si>
    <t>20260205002375</t>
  </si>
  <si>
    <t>285</t>
  </si>
  <si>
    <t>20260205994008</t>
  </si>
  <si>
    <t>옥*화</t>
  </si>
  <si>
    <t>286</t>
  </si>
  <si>
    <t>20260206644091</t>
  </si>
  <si>
    <t>287</t>
  </si>
  <si>
    <t>20260205995701</t>
  </si>
  <si>
    <t>288</t>
  </si>
  <si>
    <t>20260205995459</t>
  </si>
  <si>
    <t>문*완</t>
  </si>
  <si>
    <t>289</t>
  </si>
  <si>
    <t>290</t>
  </si>
  <si>
    <t>20260205994944</t>
  </si>
  <si>
    <t>목*선</t>
  </si>
  <si>
    <t>291</t>
  </si>
  <si>
    <t>20260205993002</t>
  </si>
  <si>
    <t>292</t>
  </si>
  <si>
    <t>20260205995590</t>
  </si>
  <si>
    <t>김*서</t>
  </si>
  <si>
    <t>293</t>
  </si>
  <si>
    <t>20260205994273</t>
  </si>
  <si>
    <t>장*주</t>
  </si>
  <si>
    <t>294</t>
  </si>
  <si>
    <t>20260205993823</t>
  </si>
  <si>
    <t>295</t>
  </si>
  <si>
    <t>20260205993746</t>
  </si>
  <si>
    <t>최*교</t>
  </si>
  <si>
    <t>296</t>
  </si>
  <si>
    <t>20260205993743</t>
  </si>
  <si>
    <t>297</t>
  </si>
  <si>
    <t>20260205993518</t>
  </si>
  <si>
    <t>298</t>
  </si>
  <si>
    <t>20260205993347</t>
  </si>
  <si>
    <t>299</t>
  </si>
  <si>
    <t>20260205992662</t>
  </si>
  <si>
    <t>김*동</t>
  </si>
  <si>
    <t>300</t>
  </si>
  <si>
    <t>20260205995260</t>
  </si>
  <si>
    <t>301</t>
  </si>
  <si>
    <t>20260205995397</t>
  </si>
  <si>
    <t>302</t>
  </si>
  <si>
    <t>20260205995524</t>
  </si>
  <si>
    <t>고*애</t>
  </si>
  <si>
    <t>303</t>
  </si>
  <si>
    <t>20260205994107</t>
  </si>
  <si>
    <t>송*근</t>
  </si>
  <si>
    <t>304</t>
  </si>
  <si>
    <t>20260205995032</t>
  </si>
  <si>
    <t>305</t>
  </si>
  <si>
    <t>20260205995095</t>
  </si>
  <si>
    <t>306</t>
  </si>
  <si>
    <t>20260205994275</t>
  </si>
  <si>
    <t>김*름</t>
  </si>
  <si>
    <t>307</t>
  </si>
  <si>
    <t>20260205994238</t>
  </si>
  <si>
    <t>강*란</t>
  </si>
  <si>
    <t>308</t>
  </si>
  <si>
    <t>20260205994980</t>
  </si>
  <si>
    <t>강*기</t>
  </si>
  <si>
    <t>309</t>
  </si>
  <si>
    <t>20260205993048</t>
  </si>
  <si>
    <t>한*선</t>
  </si>
  <si>
    <t>310</t>
  </si>
  <si>
    <t>20260205993092</t>
  </si>
  <si>
    <t>최*일</t>
  </si>
  <si>
    <t>311</t>
  </si>
  <si>
    <t>20260205994593</t>
  </si>
  <si>
    <t>312</t>
  </si>
  <si>
    <t>20260205994146</t>
  </si>
  <si>
    <t>313</t>
  </si>
  <si>
    <t>20260205995045</t>
  </si>
  <si>
    <t>정*임</t>
  </si>
  <si>
    <t>314</t>
  </si>
  <si>
    <t>20260205995159</t>
  </si>
  <si>
    <t>315</t>
  </si>
  <si>
    <t>20260205994825</t>
  </si>
  <si>
    <t>조*선</t>
  </si>
  <si>
    <t>316</t>
  </si>
  <si>
    <t>20260205994949</t>
  </si>
  <si>
    <t>윤*호</t>
  </si>
  <si>
    <t>317</t>
  </si>
  <si>
    <t>20260205994934</t>
  </si>
  <si>
    <t>정*남</t>
  </si>
  <si>
    <t>318</t>
  </si>
  <si>
    <t>20260205994979</t>
  </si>
  <si>
    <t>319</t>
  </si>
  <si>
    <t>20260205995604</t>
  </si>
  <si>
    <t>320</t>
  </si>
  <si>
    <t>20260205995098</t>
  </si>
  <si>
    <t>조*임</t>
  </si>
  <si>
    <t>321</t>
  </si>
  <si>
    <t>20260205994449</t>
  </si>
  <si>
    <t>손*숙</t>
  </si>
  <si>
    <t>322</t>
  </si>
  <si>
    <t>20260205993692</t>
  </si>
  <si>
    <t>문*훈</t>
  </si>
  <si>
    <t>323</t>
  </si>
  <si>
    <t>20260205994821</t>
  </si>
  <si>
    <t>박*련</t>
  </si>
  <si>
    <t>324</t>
  </si>
  <si>
    <t>20260205994013</t>
  </si>
  <si>
    <t>천*숙</t>
  </si>
  <si>
    <t>325</t>
  </si>
  <si>
    <t>20260205993305</t>
  </si>
  <si>
    <t>326</t>
  </si>
  <si>
    <t>20260205992338</t>
  </si>
  <si>
    <t>조*이</t>
  </si>
  <si>
    <t>327</t>
  </si>
  <si>
    <t>20260205992763</t>
  </si>
  <si>
    <t>328</t>
  </si>
  <si>
    <t>20260205992914</t>
  </si>
  <si>
    <t>329</t>
  </si>
  <si>
    <t>20260205993215</t>
  </si>
  <si>
    <t>330</t>
  </si>
  <si>
    <t>20260205993269</t>
  </si>
  <si>
    <t>이*주</t>
  </si>
  <si>
    <t>331</t>
  </si>
  <si>
    <t>20260205993380</t>
  </si>
  <si>
    <t>허*숙</t>
  </si>
  <si>
    <t>332</t>
  </si>
  <si>
    <t>20260205995155</t>
  </si>
  <si>
    <t>이*화</t>
  </si>
  <si>
    <t>333</t>
  </si>
  <si>
    <t>20260205994011</t>
  </si>
  <si>
    <t>334</t>
  </si>
  <si>
    <t>20260205994564</t>
  </si>
  <si>
    <t>양*순</t>
  </si>
  <si>
    <t>335</t>
  </si>
  <si>
    <t>20260205993698</t>
  </si>
  <si>
    <t>백*영</t>
  </si>
  <si>
    <t>336</t>
  </si>
  <si>
    <t>20260205992800</t>
  </si>
  <si>
    <t>오*근</t>
  </si>
  <si>
    <t>337</t>
  </si>
  <si>
    <t>20260205994317</t>
  </si>
  <si>
    <t>338</t>
  </si>
  <si>
    <t>20260205992772</t>
  </si>
  <si>
    <t>339</t>
  </si>
  <si>
    <t>20260205994159</t>
  </si>
  <si>
    <t>남*숙</t>
  </si>
  <si>
    <t>340</t>
  </si>
  <si>
    <t>20260205994173</t>
  </si>
  <si>
    <t>채*옥</t>
  </si>
  <si>
    <t>341</t>
  </si>
  <si>
    <t>20260205994198</t>
  </si>
  <si>
    <t>안*자</t>
  </si>
  <si>
    <t>342</t>
  </si>
  <si>
    <t>20260205994768</t>
  </si>
  <si>
    <t>나*숙</t>
  </si>
  <si>
    <t>343</t>
  </si>
  <si>
    <t>20260205994818</t>
  </si>
  <si>
    <t>오*화</t>
  </si>
  <si>
    <t>344</t>
  </si>
  <si>
    <t>20260205992872</t>
  </si>
  <si>
    <t>여*주</t>
  </si>
  <si>
    <t>345</t>
  </si>
  <si>
    <t>20260205995552</t>
  </si>
  <si>
    <t>연*자</t>
  </si>
  <si>
    <t>346</t>
  </si>
  <si>
    <t>20260205995406</t>
  </si>
  <si>
    <t>347</t>
  </si>
  <si>
    <t>20260205993902</t>
  </si>
  <si>
    <t>신*영</t>
  </si>
  <si>
    <t>348</t>
  </si>
  <si>
    <t>20260205994953</t>
  </si>
  <si>
    <t>최*이</t>
  </si>
  <si>
    <t>349</t>
  </si>
  <si>
    <t>20260205995012</t>
  </si>
  <si>
    <t>350</t>
  </si>
  <si>
    <t>20260205993890</t>
  </si>
  <si>
    <t>민*기</t>
  </si>
  <si>
    <t>351</t>
  </si>
  <si>
    <t>20260205993358</t>
  </si>
  <si>
    <t>352</t>
  </si>
  <si>
    <t>20260205992456</t>
  </si>
  <si>
    <t>353</t>
  </si>
  <si>
    <t>20260205993113</t>
  </si>
  <si>
    <t>김*일</t>
  </si>
  <si>
    <t>354</t>
  </si>
  <si>
    <t>20260205995598</t>
  </si>
  <si>
    <t>355</t>
  </si>
  <si>
    <t>20260205995687</t>
  </si>
  <si>
    <t>김*곤</t>
  </si>
  <si>
    <t>356</t>
  </si>
  <si>
    <t>20260205995109</t>
  </si>
  <si>
    <t>357</t>
  </si>
  <si>
    <t>20260205992940</t>
  </si>
  <si>
    <t>백*진</t>
  </si>
  <si>
    <t>358</t>
  </si>
  <si>
    <t>20260205993059</t>
  </si>
  <si>
    <t>359</t>
  </si>
  <si>
    <t>20260205994653</t>
  </si>
  <si>
    <t>김*덕</t>
  </si>
  <si>
    <t>360</t>
  </si>
  <si>
    <t>20260205992457</t>
  </si>
  <si>
    <t>361</t>
  </si>
  <si>
    <t>20260205992975</t>
  </si>
  <si>
    <t>362</t>
  </si>
  <si>
    <t>20260205994074</t>
  </si>
  <si>
    <t>김*병</t>
  </si>
  <si>
    <t>363</t>
  </si>
  <si>
    <t>20260205996186</t>
  </si>
  <si>
    <t>차*자</t>
  </si>
  <si>
    <t>364</t>
  </si>
  <si>
    <t>20260205995257</t>
  </si>
  <si>
    <t>박*옥</t>
  </si>
  <si>
    <t>365</t>
  </si>
  <si>
    <t>20260205995307</t>
  </si>
  <si>
    <t>366</t>
  </si>
  <si>
    <t>20260205997344</t>
  </si>
  <si>
    <t>367</t>
  </si>
  <si>
    <t>20260205995161</t>
  </si>
  <si>
    <t>김*배</t>
  </si>
  <si>
    <t>368</t>
  </si>
  <si>
    <t>20260205995658</t>
  </si>
  <si>
    <t>김*선</t>
  </si>
  <si>
    <t>369</t>
  </si>
  <si>
    <t>20260205994804</t>
  </si>
  <si>
    <t>정*자</t>
  </si>
  <si>
    <t>370</t>
  </si>
  <si>
    <t>20260205993800</t>
  </si>
  <si>
    <t>371</t>
  </si>
  <si>
    <t>20260205993208</t>
  </si>
  <si>
    <t>김*학</t>
  </si>
  <si>
    <t>372</t>
  </si>
  <si>
    <t>20260205993640</t>
  </si>
  <si>
    <t>김*연</t>
  </si>
  <si>
    <t>373</t>
  </si>
  <si>
    <t>20260205995233</t>
  </si>
  <si>
    <t>남*오</t>
  </si>
  <si>
    <t>374</t>
  </si>
  <si>
    <t>20260205993680</t>
  </si>
  <si>
    <t>추*숙</t>
  </si>
  <si>
    <t>375</t>
  </si>
  <si>
    <t>20260205995472</t>
  </si>
  <si>
    <t>심*경</t>
  </si>
  <si>
    <t>376</t>
  </si>
  <si>
    <t>20260205992483</t>
  </si>
  <si>
    <t>377</t>
  </si>
  <si>
    <t>20260205995097</t>
  </si>
  <si>
    <t>차*의</t>
  </si>
  <si>
    <t>378</t>
  </si>
  <si>
    <t>20260205995180</t>
  </si>
  <si>
    <t>노*희</t>
  </si>
  <si>
    <t>379</t>
  </si>
  <si>
    <t>20260205995005</t>
  </si>
  <si>
    <t>380</t>
  </si>
  <si>
    <t>20260205992870</t>
  </si>
  <si>
    <t>회*애</t>
  </si>
  <si>
    <t>381</t>
  </si>
  <si>
    <t>20260205993112</t>
  </si>
  <si>
    <t>안*옥</t>
  </si>
  <si>
    <t>382</t>
  </si>
  <si>
    <t>20260205993036</t>
  </si>
  <si>
    <t>김*</t>
  </si>
  <si>
    <t>383</t>
  </si>
  <si>
    <t>20260205993255</t>
  </si>
  <si>
    <t>384</t>
  </si>
  <si>
    <t>20260205996361</t>
  </si>
  <si>
    <t>임*은</t>
  </si>
  <si>
    <t>385</t>
  </si>
  <si>
    <t>20260205993934</t>
  </si>
  <si>
    <t>서*의</t>
  </si>
  <si>
    <t>386</t>
  </si>
  <si>
    <t>20260205994400</t>
  </si>
  <si>
    <t>문*숙</t>
  </si>
  <si>
    <t>387</t>
  </si>
  <si>
    <t>20260205993867</t>
  </si>
  <si>
    <t>이*경</t>
  </si>
  <si>
    <t>388</t>
  </si>
  <si>
    <t>20260205993852</t>
  </si>
  <si>
    <t>389</t>
  </si>
  <si>
    <t>20260205992712</t>
  </si>
  <si>
    <t>조*숙</t>
  </si>
  <si>
    <t>390</t>
  </si>
  <si>
    <t>20260205993266</t>
  </si>
  <si>
    <t>391</t>
  </si>
  <si>
    <t>20260205993814</t>
  </si>
  <si>
    <t>김*원</t>
  </si>
  <si>
    <t>392</t>
  </si>
  <si>
    <t>20260205994105</t>
  </si>
  <si>
    <t>393</t>
  </si>
  <si>
    <t>20260205993929</t>
  </si>
  <si>
    <t>유*균</t>
  </si>
  <si>
    <t>394</t>
  </si>
  <si>
    <t>20260205993931</t>
  </si>
  <si>
    <t>정*석</t>
  </si>
  <si>
    <t>395</t>
  </si>
  <si>
    <t>20260205992859</t>
  </si>
  <si>
    <t>조*상</t>
  </si>
  <si>
    <t>396</t>
  </si>
  <si>
    <t>20260205992964</t>
  </si>
  <si>
    <t>송*영</t>
  </si>
  <si>
    <t>397</t>
  </si>
  <si>
    <t>20260205995526</t>
  </si>
  <si>
    <t>임*희</t>
  </si>
  <si>
    <t>398</t>
  </si>
  <si>
    <t>20260205995622</t>
  </si>
  <si>
    <t>김*재</t>
  </si>
  <si>
    <t>399</t>
  </si>
  <si>
    <t>20260205995584</t>
  </si>
  <si>
    <t>400</t>
  </si>
  <si>
    <t>20260205995265</t>
  </si>
  <si>
    <t>임*아</t>
  </si>
  <si>
    <t>401</t>
  </si>
  <si>
    <t>20260205994047</t>
  </si>
  <si>
    <t>402</t>
  </si>
  <si>
    <t>20260205995042</t>
  </si>
  <si>
    <t>최*옥</t>
  </si>
  <si>
    <t>403</t>
  </si>
  <si>
    <t>20260205995035</t>
  </si>
  <si>
    <t>곽*숙</t>
  </si>
  <si>
    <t>404</t>
  </si>
  <si>
    <t>20260205994885</t>
  </si>
  <si>
    <t>임*해</t>
  </si>
  <si>
    <t>405</t>
  </si>
  <si>
    <t>20260205993699</t>
  </si>
  <si>
    <t>박*임</t>
  </si>
  <si>
    <t>406</t>
  </si>
  <si>
    <t>20260205993437</t>
  </si>
  <si>
    <t>신*건</t>
  </si>
  <si>
    <t>407</t>
  </si>
  <si>
    <t>20260205995624</t>
  </si>
  <si>
    <t>408</t>
  </si>
  <si>
    <t>20260205994327</t>
  </si>
  <si>
    <t>정*희</t>
  </si>
  <si>
    <t>409</t>
  </si>
  <si>
    <t>20260205994708</t>
  </si>
  <si>
    <t>안*희</t>
  </si>
  <si>
    <t>410</t>
  </si>
  <si>
    <t>20260205993006</t>
  </si>
  <si>
    <t>박*화</t>
  </si>
  <si>
    <t>411</t>
  </si>
  <si>
    <t>20260205005766</t>
  </si>
  <si>
    <t>412</t>
  </si>
  <si>
    <t>20260205994165</t>
  </si>
  <si>
    <t>박*우</t>
  </si>
  <si>
    <t>413</t>
  </si>
  <si>
    <t>20260205994152</t>
  </si>
  <si>
    <t>414</t>
  </si>
  <si>
    <t>20260205994704</t>
  </si>
  <si>
    <t>415</t>
  </si>
  <si>
    <t>20260205994774</t>
  </si>
  <si>
    <t>416</t>
  </si>
  <si>
    <t>20260205994989</t>
  </si>
  <si>
    <t>권*이</t>
  </si>
  <si>
    <t>417</t>
  </si>
  <si>
    <t>20260205993988</t>
  </si>
  <si>
    <t>전*생</t>
  </si>
  <si>
    <t>418</t>
  </si>
  <si>
    <t>20260205995073</t>
  </si>
  <si>
    <t>배*자</t>
  </si>
  <si>
    <t>419</t>
  </si>
  <si>
    <t>20260205993674</t>
  </si>
  <si>
    <t>420</t>
  </si>
  <si>
    <t>20260205993664</t>
  </si>
  <si>
    <t>윤*미</t>
  </si>
  <si>
    <t>421</t>
  </si>
  <si>
    <t>20260205995009</t>
  </si>
  <si>
    <t>이*은</t>
  </si>
  <si>
    <t>422</t>
  </si>
  <si>
    <t>20260205995236</t>
  </si>
  <si>
    <t>423</t>
  </si>
  <si>
    <t>20260205994035</t>
  </si>
  <si>
    <t>이*애</t>
  </si>
  <si>
    <t>424</t>
  </si>
  <si>
    <t>20260205992736</t>
  </si>
  <si>
    <t>425</t>
  </si>
  <si>
    <t>20260205995023</t>
  </si>
  <si>
    <t>426</t>
  </si>
  <si>
    <t>20260205993184</t>
  </si>
  <si>
    <t>이*란</t>
  </si>
  <si>
    <t>427</t>
  </si>
  <si>
    <t>20260205994071</t>
  </si>
  <si>
    <t>428</t>
  </si>
  <si>
    <t>20260205993052</t>
  </si>
  <si>
    <t>429</t>
  </si>
  <si>
    <t>20260205995037</t>
  </si>
  <si>
    <t>김*남</t>
  </si>
  <si>
    <t>430</t>
  </si>
  <si>
    <t>20260205995325</t>
  </si>
  <si>
    <t>한*윤</t>
  </si>
  <si>
    <t>431</t>
  </si>
  <si>
    <t>20260205994068</t>
  </si>
  <si>
    <t>432</t>
  </si>
  <si>
    <t>20260205994048</t>
  </si>
  <si>
    <t>433</t>
  </si>
  <si>
    <t>20260205992634</t>
  </si>
  <si>
    <t>한*례</t>
  </si>
  <si>
    <t>434</t>
  </si>
  <si>
    <t>20260205998293</t>
  </si>
  <si>
    <t>한*희</t>
  </si>
  <si>
    <t>435</t>
  </si>
  <si>
    <t>20260205995647</t>
  </si>
  <si>
    <t>L********N</t>
  </si>
  <si>
    <t>436</t>
  </si>
  <si>
    <t>20260206633008</t>
  </si>
  <si>
    <t>임*빈</t>
  </si>
  <si>
    <t>59163204</t>
  </si>
  <si>
    <t>[워커힐]워커힐 시그니처 양념 본갈비 4팩</t>
  </si>
  <si>
    <t>437</t>
  </si>
  <si>
    <t>20260205995006</t>
  </si>
  <si>
    <t>구*환</t>
  </si>
  <si>
    <t>2026-02-08</t>
  </si>
  <si>
    <t>438</t>
  </si>
  <si>
    <t>20260205992912</t>
  </si>
  <si>
    <t>정*구</t>
  </si>
  <si>
    <t>439</t>
  </si>
  <si>
    <t>20260205994617</t>
  </si>
  <si>
    <t>2026-02-10</t>
  </si>
  <si>
    <t>440</t>
  </si>
  <si>
    <t>20260210360594</t>
  </si>
  <si>
    <t>441</t>
  </si>
  <si>
    <t>20260208260475</t>
  </si>
  <si>
    <t>442</t>
  </si>
  <si>
    <t>20260207158331</t>
  </si>
  <si>
    <t>443</t>
  </si>
  <si>
    <t>20260208229524</t>
  </si>
  <si>
    <t>신*하</t>
  </si>
  <si>
    <t>444</t>
  </si>
  <si>
    <t>20260203309978</t>
  </si>
  <si>
    <t>이*우</t>
  </si>
  <si>
    <t>445</t>
  </si>
  <si>
    <t>20260207151522</t>
  </si>
  <si>
    <t>446</t>
  </si>
  <si>
    <t>447</t>
  </si>
  <si>
    <t>20260209873932</t>
  </si>
  <si>
    <t>448</t>
  </si>
  <si>
    <t>20260206659552</t>
  </si>
  <si>
    <t>449</t>
  </si>
  <si>
    <t>20260203309850</t>
  </si>
  <si>
    <t>선**국</t>
  </si>
  <si>
    <t>450</t>
  </si>
  <si>
    <t>20260206651056</t>
  </si>
  <si>
    <t>이*훈</t>
  </si>
  <si>
    <t>451</t>
  </si>
  <si>
    <t>20260208259329</t>
  </si>
  <si>
    <t>452</t>
  </si>
  <si>
    <t>20260206641134</t>
  </si>
  <si>
    <t>453</t>
  </si>
  <si>
    <t>20260207147250</t>
  </si>
  <si>
    <t>유*기</t>
  </si>
  <si>
    <t>454</t>
  </si>
  <si>
    <t>20260207147257</t>
  </si>
  <si>
    <t>455</t>
  </si>
  <si>
    <t>20260208260735</t>
  </si>
  <si>
    <t>456</t>
  </si>
  <si>
    <t>20260207117865</t>
  </si>
  <si>
    <t>457</t>
  </si>
  <si>
    <t>20260208259331</t>
  </si>
  <si>
    <t>458</t>
  </si>
  <si>
    <t>20260207151170</t>
  </si>
  <si>
    <t>이*민</t>
  </si>
  <si>
    <t>459</t>
  </si>
  <si>
    <t>20260208251315</t>
  </si>
  <si>
    <t>우*자</t>
  </si>
  <si>
    <t>460</t>
  </si>
  <si>
    <t>20260205994815</t>
  </si>
  <si>
    <t>송*희</t>
  </si>
  <si>
    <t>461</t>
  </si>
  <si>
    <t>20260205994069</t>
  </si>
  <si>
    <t>하*순</t>
  </si>
  <si>
    <t>462</t>
  </si>
  <si>
    <t>20260208244830</t>
  </si>
  <si>
    <t>463</t>
  </si>
  <si>
    <t>20260207150468</t>
  </si>
  <si>
    <t>464</t>
  </si>
  <si>
    <t>20260207150472</t>
  </si>
  <si>
    <t>465</t>
  </si>
  <si>
    <t>20260207124110</t>
  </si>
  <si>
    <t>최*영</t>
  </si>
  <si>
    <t>466</t>
  </si>
  <si>
    <t>20260205994412</t>
  </si>
  <si>
    <t>467</t>
  </si>
  <si>
    <t>20260205994829</t>
  </si>
  <si>
    <t>468</t>
  </si>
  <si>
    <t>20260205992935</t>
  </si>
  <si>
    <t>469</t>
  </si>
  <si>
    <t>20260205995024</t>
  </si>
  <si>
    <t>470</t>
  </si>
  <si>
    <t>20260208250075</t>
  </si>
  <si>
    <t>천*자</t>
  </si>
  <si>
    <t>471</t>
  </si>
  <si>
    <t>20260205994926</t>
  </si>
  <si>
    <t>구*대</t>
  </si>
  <si>
    <t>472</t>
  </si>
  <si>
    <t>20260205993624</t>
  </si>
  <si>
    <t>박*은</t>
  </si>
  <si>
    <t>473</t>
  </si>
  <si>
    <t>20260205993757</t>
  </si>
  <si>
    <t>474</t>
  </si>
  <si>
    <t>20260205994369</t>
  </si>
  <si>
    <t>475</t>
  </si>
  <si>
    <t>20260208250982</t>
  </si>
  <si>
    <t>권*자</t>
  </si>
  <si>
    <t>476</t>
  </si>
  <si>
    <t>20260207149611</t>
  </si>
  <si>
    <t>477</t>
  </si>
  <si>
    <t>20260206650034</t>
  </si>
  <si>
    <t>478</t>
  </si>
  <si>
    <t>20260209883427</t>
  </si>
  <si>
    <t>2026-02-11</t>
  </si>
  <si>
    <t>479</t>
  </si>
  <si>
    <t>20260210360516</t>
  </si>
  <si>
    <t>송*순</t>
  </si>
  <si>
    <t>480</t>
  </si>
  <si>
    <t>481</t>
  </si>
  <si>
    <t>20260209904260</t>
  </si>
  <si>
    <t>482</t>
  </si>
  <si>
    <t>20260209896967</t>
  </si>
  <si>
    <t>483</t>
  </si>
  <si>
    <t>20260209898425</t>
  </si>
  <si>
    <t>한*현</t>
  </si>
  <si>
    <t>484</t>
  </si>
  <si>
    <t>20260210347699</t>
  </si>
  <si>
    <t>성*선</t>
  </si>
  <si>
    <t>485</t>
  </si>
  <si>
    <t>20260209919611</t>
  </si>
  <si>
    <t>문*기</t>
  </si>
  <si>
    <t>486</t>
  </si>
  <si>
    <t>20260205995605</t>
  </si>
  <si>
    <t>487</t>
  </si>
  <si>
    <t>20260205994523</t>
  </si>
  <si>
    <t>백*자</t>
  </si>
  <si>
    <t>488</t>
  </si>
  <si>
    <t>20260208247573</t>
  </si>
  <si>
    <t>489</t>
  </si>
  <si>
    <t>20260205993840</t>
  </si>
  <si>
    <t>490</t>
  </si>
  <si>
    <t>20260209889552</t>
  </si>
  <si>
    <t>한*환</t>
  </si>
  <si>
    <t>491</t>
  </si>
  <si>
    <t>20260205992722</t>
  </si>
  <si>
    <t>492</t>
  </si>
  <si>
    <t>20260205995560</t>
  </si>
  <si>
    <t>문*례</t>
  </si>
  <si>
    <t>493</t>
  </si>
  <si>
    <t>20260209898048</t>
  </si>
  <si>
    <t>전*건</t>
  </si>
  <si>
    <t>494</t>
  </si>
  <si>
    <t>20260210361668</t>
  </si>
  <si>
    <t>2026-02-12</t>
  </si>
  <si>
    <t>495</t>
  </si>
  <si>
    <t>20260210361759</t>
  </si>
  <si>
    <t>백*숙</t>
  </si>
  <si>
    <t>496</t>
  </si>
  <si>
    <t>20260210361684</t>
  </si>
  <si>
    <t>497</t>
  </si>
  <si>
    <t>20260210361910</t>
  </si>
  <si>
    <t>방*임</t>
  </si>
  <si>
    <t>498</t>
  </si>
  <si>
    <t>20260210362507</t>
  </si>
  <si>
    <t>심*옥</t>
  </si>
  <si>
    <t>499</t>
  </si>
  <si>
    <t>20260210361070</t>
  </si>
  <si>
    <t>500</t>
  </si>
  <si>
    <t>20260210361309</t>
  </si>
  <si>
    <t>최*림</t>
  </si>
  <si>
    <t>501</t>
  </si>
  <si>
    <t>20260210361341</t>
  </si>
  <si>
    <t>502</t>
  </si>
  <si>
    <t>20260210361405</t>
  </si>
  <si>
    <t>503</t>
  </si>
  <si>
    <t>20260210361524</t>
  </si>
  <si>
    <t>최*봉</t>
  </si>
  <si>
    <t>504</t>
  </si>
  <si>
    <t>20260210360257</t>
  </si>
  <si>
    <t>황*재</t>
  </si>
  <si>
    <t>505</t>
  </si>
  <si>
    <t>20260210361115</t>
  </si>
  <si>
    <t>장*미</t>
  </si>
  <si>
    <t>506</t>
  </si>
  <si>
    <t>20260210361265</t>
  </si>
  <si>
    <t>노*숙</t>
  </si>
  <si>
    <t>507</t>
  </si>
  <si>
    <t>20260210360583</t>
  </si>
  <si>
    <t>508</t>
  </si>
  <si>
    <t>20260210361401</t>
  </si>
  <si>
    <t>윤*진</t>
  </si>
  <si>
    <t>509</t>
  </si>
  <si>
    <t>20260210361622</t>
  </si>
  <si>
    <t>510</t>
  </si>
  <si>
    <t>20260210361670</t>
  </si>
  <si>
    <t>박*경</t>
  </si>
  <si>
    <t>511</t>
  </si>
  <si>
    <t>20260210361580</t>
  </si>
  <si>
    <t>512</t>
  </si>
  <si>
    <t>20260210361782</t>
  </si>
  <si>
    <t>513</t>
  </si>
  <si>
    <t>20260210360212</t>
  </si>
  <si>
    <t>514</t>
  </si>
  <si>
    <t>20260210360219</t>
  </si>
  <si>
    <t>515</t>
  </si>
  <si>
    <t>20260210361329</t>
  </si>
  <si>
    <t>516</t>
  </si>
  <si>
    <t>20260210360688</t>
  </si>
  <si>
    <t>517</t>
  </si>
  <si>
    <t>20260210361294</t>
  </si>
  <si>
    <t>심*향</t>
  </si>
  <si>
    <t>518</t>
  </si>
  <si>
    <t>20260210361453</t>
  </si>
  <si>
    <t>519</t>
  </si>
  <si>
    <t>20260210361516</t>
  </si>
  <si>
    <t>송*현</t>
  </si>
  <si>
    <t>520</t>
  </si>
  <si>
    <t>20260210361966</t>
  </si>
  <si>
    <t>주*숙</t>
  </si>
  <si>
    <t>521</t>
  </si>
  <si>
    <t>20260210362057</t>
  </si>
  <si>
    <t>522</t>
  </si>
  <si>
    <t>20260210360761</t>
  </si>
  <si>
    <t>523</t>
  </si>
  <si>
    <t>20260210360204</t>
  </si>
  <si>
    <t>524</t>
  </si>
  <si>
    <t>20260210360435</t>
  </si>
  <si>
    <t>심*점</t>
  </si>
  <si>
    <t>525</t>
  </si>
  <si>
    <t>20260210361123</t>
  </si>
  <si>
    <t>오*순</t>
  </si>
  <si>
    <t>526</t>
  </si>
  <si>
    <t>20260210361484</t>
  </si>
  <si>
    <t>임*순</t>
  </si>
  <si>
    <t>527</t>
  </si>
  <si>
    <t>20260210361843</t>
  </si>
  <si>
    <t>백*실</t>
  </si>
  <si>
    <t>528</t>
  </si>
  <si>
    <t>20260210361717</t>
  </si>
  <si>
    <t>서*자</t>
  </si>
  <si>
    <t>529</t>
  </si>
  <si>
    <t>20260210360971</t>
  </si>
  <si>
    <t>530</t>
  </si>
  <si>
    <t>20260210362100</t>
  </si>
  <si>
    <t>곽*채</t>
  </si>
  <si>
    <t>531</t>
  </si>
  <si>
    <t>20260210360245</t>
  </si>
  <si>
    <t>윤*순</t>
  </si>
  <si>
    <t>532</t>
  </si>
  <si>
    <t>20260210361293</t>
  </si>
  <si>
    <t>533</t>
  </si>
  <si>
    <t>20260210360438</t>
  </si>
  <si>
    <t>534</t>
  </si>
  <si>
    <t>20260210362658</t>
  </si>
  <si>
    <t>이*실</t>
  </si>
  <si>
    <t>535</t>
  </si>
  <si>
    <t>20260210361068</t>
  </si>
  <si>
    <t>양*자</t>
  </si>
  <si>
    <t>536</t>
  </si>
  <si>
    <t>20260210361681</t>
  </si>
  <si>
    <t>537</t>
  </si>
  <si>
    <t>20260210362071</t>
  </si>
  <si>
    <t>도*순</t>
  </si>
  <si>
    <t>538</t>
  </si>
  <si>
    <t>20260210360324</t>
  </si>
  <si>
    <t>박*진</t>
  </si>
  <si>
    <t>539</t>
  </si>
  <si>
    <t>20260210360461</t>
  </si>
  <si>
    <t>신*성</t>
  </si>
  <si>
    <t>540</t>
  </si>
  <si>
    <t>20260210360338</t>
  </si>
  <si>
    <t>541</t>
  </si>
  <si>
    <t>20260210360296</t>
  </si>
  <si>
    <t>양*희</t>
  </si>
  <si>
    <t>542</t>
  </si>
  <si>
    <t>20260210361723</t>
  </si>
  <si>
    <t>육*수</t>
  </si>
  <si>
    <t>543</t>
  </si>
  <si>
    <t>20260210361911</t>
  </si>
  <si>
    <t>조*미</t>
  </si>
  <si>
    <t>544</t>
  </si>
  <si>
    <t>20260210361131</t>
  </si>
  <si>
    <t>한*옥</t>
  </si>
  <si>
    <t>545</t>
  </si>
  <si>
    <t>20260210362146</t>
  </si>
  <si>
    <t>546</t>
  </si>
  <si>
    <t>20260210361526</t>
  </si>
  <si>
    <t>최*순</t>
  </si>
  <si>
    <t>547</t>
  </si>
  <si>
    <t>20260210361764</t>
  </si>
  <si>
    <t>이*호</t>
  </si>
  <si>
    <t>548</t>
  </si>
  <si>
    <t>20260210360233</t>
  </si>
  <si>
    <t>549</t>
  </si>
  <si>
    <t>20260210360710</t>
  </si>
  <si>
    <t>유*</t>
  </si>
  <si>
    <t>550</t>
  </si>
  <si>
    <t>20260210361754</t>
  </si>
  <si>
    <t>551</t>
  </si>
  <si>
    <t>20260210362164</t>
  </si>
  <si>
    <t>552</t>
  </si>
  <si>
    <t>20260210362189</t>
  </si>
  <si>
    <t>고*성</t>
  </si>
  <si>
    <t>553</t>
  </si>
  <si>
    <t>20260210360419</t>
  </si>
  <si>
    <t>엄*숙</t>
  </si>
  <si>
    <t>554</t>
  </si>
  <si>
    <t>20260210361724</t>
  </si>
  <si>
    <t>555</t>
  </si>
  <si>
    <t>20260210360288</t>
  </si>
  <si>
    <t>556</t>
  </si>
  <si>
    <t>20260210361616</t>
  </si>
  <si>
    <t>557</t>
  </si>
  <si>
    <t>20260210360957</t>
  </si>
  <si>
    <t>이*울</t>
  </si>
  <si>
    <t>558</t>
  </si>
  <si>
    <t>20260210361688</t>
  </si>
  <si>
    <t>559</t>
  </si>
  <si>
    <t>20260210361781</t>
  </si>
  <si>
    <t>560</t>
  </si>
  <si>
    <t>20260210361402</t>
  </si>
  <si>
    <t>561</t>
  </si>
  <si>
    <t>20260210360997</t>
  </si>
  <si>
    <t>562</t>
  </si>
  <si>
    <t>20260210361134</t>
  </si>
  <si>
    <t>임*주</t>
  </si>
  <si>
    <t>563</t>
  </si>
  <si>
    <t>20260210362293</t>
  </si>
  <si>
    <t>564</t>
  </si>
  <si>
    <t>20260210360877</t>
  </si>
  <si>
    <t>565</t>
  </si>
  <si>
    <t>20260210361270</t>
  </si>
  <si>
    <t>566</t>
  </si>
  <si>
    <t>20260210361324</t>
  </si>
  <si>
    <t>안*영</t>
  </si>
  <si>
    <t>567</t>
  </si>
  <si>
    <t>20260210361350</t>
  </si>
  <si>
    <t>홍*아</t>
  </si>
  <si>
    <t>568</t>
  </si>
  <si>
    <t>20260210361683</t>
  </si>
  <si>
    <t>구*희</t>
  </si>
  <si>
    <t>569</t>
  </si>
  <si>
    <t>20260210361855</t>
  </si>
  <si>
    <t>간*관</t>
  </si>
  <si>
    <t>570</t>
  </si>
  <si>
    <t>20260210361727</t>
  </si>
  <si>
    <t>지*훈</t>
  </si>
  <si>
    <t>571</t>
  </si>
  <si>
    <t>20260210361312</t>
  </si>
  <si>
    <t>572</t>
  </si>
  <si>
    <t>20260210361587</t>
  </si>
  <si>
    <t>573</t>
  </si>
  <si>
    <t>20260210361153</t>
  </si>
  <si>
    <t>574</t>
  </si>
  <si>
    <t>20260210361311</t>
  </si>
  <si>
    <t>575</t>
  </si>
  <si>
    <t>20260210361574</t>
  </si>
  <si>
    <t>576</t>
  </si>
  <si>
    <t>20260210361805</t>
  </si>
  <si>
    <t>577</t>
  </si>
  <si>
    <t>20260210361631</t>
  </si>
  <si>
    <t>578</t>
  </si>
  <si>
    <t>20260210361990</t>
  </si>
  <si>
    <t>조*민</t>
  </si>
  <si>
    <t>579</t>
  </si>
  <si>
    <t>20260210360560</t>
  </si>
  <si>
    <t>580</t>
  </si>
  <si>
    <t>20260210360168</t>
  </si>
  <si>
    <t>581</t>
  </si>
  <si>
    <t>20260210360406</t>
  </si>
  <si>
    <t>심*임</t>
  </si>
  <si>
    <t>582</t>
  </si>
  <si>
    <t>20260210361042</t>
  </si>
  <si>
    <t>583</t>
  </si>
  <si>
    <t>20260210361022</t>
  </si>
  <si>
    <t>나*옥</t>
  </si>
  <si>
    <t>584</t>
  </si>
  <si>
    <t>20260210360232</t>
  </si>
  <si>
    <t>라*정</t>
  </si>
  <si>
    <t>585</t>
  </si>
  <si>
    <t>20260210360246</t>
  </si>
  <si>
    <t>586</t>
  </si>
  <si>
    <t>20260210360454</t>
  </si>
  <si>
    <t>587</t>
  </si>
  <si>
    <t>20260210362454</t>
  </si>
  <si>
    <t>서*영</t>
  </si>
  <si>
    <t>588</t>
  </si>
  <si>
    <t>20260210361356</t>
  </si>
  <si>
    <t>송*수</t>
  </si>
  <si>
    <t>589</t>
  </si>
  <si>
    <t>20260210360934</t>
  </si>
  <si>
    <t>송*고</t>
  </si>
  <si>
    <t>590</t>
  </si>
  <si>
    <t>20260210361158</t>
  </si>
  <si>
    <t>591</t>
  </si>
  <si>
    <t>20260210361987</t>
  </si>
  <si>
    <t>592</t>
  </si>
  <si>
    <t>20260210360357</t>
  </si>
  <si>
    <t>홍*혜</t>
  </si>
  <si>
    <t>593</t>
  </si>
  <si>
    <t>20260210361828</t>
  </si>
  <si>
    <t>최*회</t>
  </si>
  <si>
    <t>594</t>
  </si>
  <si>
    <t>20260210361780</t>
  </si>
  <si>
    <t>595</t>
  </si>
  <si>
    <t>20260210362228</t>
  </si>
  <si>
    <t>최*성</t>
  </si>
  <si>
    <t>596</t>
  </si>
  <si>
    <t>20260210362212</t>
  </si>
  <si>
    <t>원*경</t>
  </si>
  <si>
    <t>597</t>
  </si>
  <si>
    <t>20260210360287</t>
  </si>
  <si>
    <t>최*송</t>
  </si>
  <si>
    <t>598</t>
  </si>
  <si>
    <t>20260210361026</t>
  </si>
  <si>
    <t>599</t>
  </si>
  <si>
    <t>20260210361261</t>
  </si>
  <si>
    <t>600</t>
  </si>
  <si>
    <t>20260210360281</t>
  </si>
  <si>
    <t>601</t>
  </si>
  <si>
    <t>20260210361461</t>
  </si>
  <si>
    <t>602</t>
  </si>
  <si>
    <t>20260210361504</t>
  </si>
  <si>
    <t>강*준</t>
  </si>
  <si>
    <t>603</t>
  </si>
  <si>
    <t>20260210361566</t>
  </si>
  <si>
    <t>604</t>
  </si>
  <si>
    <t>20260210361903</t>
  </si>
  <si>
    <t>심*주</t>
  </si>
  <si>
    <t>605</t>
  </si>
  <si>
    <t>20260210361968</t>
  </si>
  <si>
    <t>이*하</t>
  </si>
  <si>
    <t>606</t>
  </si>
  <si>
    <t>20260210362163</t>
  </si>
  <si>
    <t>전*식</t>
  </si>
  <si>
    <t>607</t>
  </si>
  <si>
    <t>20260210360760</t>
  </si>
  <si>
    <t>강*화</t>
  </si>
  <si>
    <t>608</t>
  </si>
  <si>
    <t>20260210360736</t>
  </si>
  <si>
    <t>609</t>
  </si>
  <si>
    <t>20260210361126</t>
  </si>
  <si>
    <t>610</t>
  </si>
  <si>
    <t>20260210361447</t>
  </si>
  <si>
    <t>611</t>
  </si>
  <si>
    <t>20260210361487</t>
  </si>
  <si>
    <t>강*성</t>
  </si>
  <si>
    <t>612</t>
  </si>
  <si>
    <t>20260210361437</t>
  </si>
  <si>
    <t>613</t>
  </si>
  <si>
    <t>20260210361930</t>
  </si>
  <si>
    <t>614</t>
  </si>
  <si>
    <t>20260210360895</t>
  </si>
  <si>
    <t>리*련</t>
  </si>
  <si>
    <t>615</t>
  </si>
  <si>
    <t>20260210361980</t>
  </si>
  <si>
    <t>616</t>
  </si>
  <si>
    <t>20260210362231</t>
  </si>
  <si>
    <t>최*선</t>
  </si>
  <si>
    <t>617</t>
  </si>
  <si>
    <t>20260210360226</t>
  </si>
  <si>
    <t>618</t>
  </si>
  <si>
    <t>20260210361308</t>
  </si>
  <si>
    <t>강*모</t>
  </si>
  <si>
    <t>619</t>
  </si>
  <si>
    <t>20260210361344</t>
  </si>
  <si>
    <t>620</t>
  </si>
  <si>
    <t>20260210361598</t>
  </si>
  <si>
    <t>621</t>
  </si>
  <si>
    <t>20260210361671</t>
  </si>
  <si>
    <t>622</t>
  </si>
  <si>
    <t>20260210361706</t>
  </si>
  <si>
    <t>623</t>
  </si>
  <si>
    <t>20260210360506</t>
  </si>
  <si>
    <t>624</t>
  </si>
  <si>
    <t>20260210361822</t>
  </si>
  <si>
    <t>장*혜</t>
  </si>
  <si>
    <t>625</t>
  </si>
  <si>
    <t>20260211862060</t>
  </si>
  <si>
    <t>626</t>
  </si>
  <si>
    <t>20260210361609</t>
  </si>
  <si>
    <t>변*영</t>
  </si>
  <si>
    <t>627</t>
  </si>
  <si>
    <t>20260210361369</t>
  </si>
  <si>
    <t>628</t>
  </si>
  <si>
    <t>20260210361570</t>
  </si>
  <si>
    <t>이*태</t>
  </si>
  <si>
    <t>629</t>
  </si>
  <si>
    <t>20260210361915</t>
  </si>
  <si>
    <t>630</t>
  </si>
  <si>
    <t>20260210362058</t>
  </si>
  <si>
    <t>631</t>
  </si>
  <si>
    <t>20260210360838</t>
  </si>
  <si>
    <t>632</t>
  </si>
  <si>
    <t>20260210360947</t>
  </si>
  <si>
    <t>633</t>
  </si>
  <si>
    <t>20260210360328</t>
  </si>
  <si>
    <t>634</t>
  </si>
  <si>
    <t>20260210360456</t>
  </si>
  <si>
    <t>한*주</t>
  </si>
  <si>
    <t>635</t>
  </si>
  <si>
    <t>20260210360398</t>
  </si>
  <si>
    <t>636</t>
  </si>
  <si>
    <t>20260210361907</t>
  </si>
  <si>
    <t>637</t>
  </si>
  <si>
    <t>20260210361763</t>
  </si>
  <si>
    <t>김*리</t>
  </si>
  <si>
    <t>638</t>
  </si>
  <si>
    <t>20260210361537</t>
  </si>
  <si>
    <t>639</t>
  </si>
  <si>
    <t>20260210362008</t>
  </si>
  <si>
    <t>손*화</t>
  </si>
  <si>
    <t>640</t>
  </si>
  <si>
    <t>20260210362086</t>
  </si>
  <si>
    <t>정*윤</t>
  </si>
  <si>
    <t>641</t>
  </si>
  <si>
    <t>20260210360468</t>
  </si>
  <si>
    <t>한*민</t>
  </si>
  <si>
    <t>642</t>
  </si>
  <si>
    <t>20260210360549</t>
  </si>
  <si>
    <t>643</t>
  </si>
  <si>
    <t>20260210360555</t>
  </si>
  <si>
    <t>644</t>
  </si>
  <si>
    <t>20260210361534</t>
  </si>
  <si>
    <t>645</t>
  </si>
  <si>
    <t>20260210360682</t>
  </si>
  <si>
    <t>646</t>
  </si>
  <si>
    <t>20260210361794</t>
  </si>
  <si>
    <t>황*희</t>
  </si>
  <si>
    <t>647</t>
  </si>
  <si>
    <t>20260210361965</t>
  </si>
  <si>
    <t>648</t>
  </si>
  <si>
    <t>20260210362013</t>
  </si>
  <si>
    <t>김*하</t>
  </si>
  <si>
    <t>649</t>
  </si>
  <si>
    <t>20260210360694</t>
  </si>
  <si>
    <t>650</t>
  </si>
  <si>
    <t>20260210361778</t>
  </si>
  <si>
    <t>651</t>
  </si>
  <si>
    <t>20260210361989</t>
  </si>
  <si>
    <t>손*영</t>
  </si>
  <si>
    <t>652</t>
  </si>
  <si>
    <t>20260210362264</t>
  </si>
  <si>
    <t>653</t>
  </si>
  <si>
    <t>20260210362685</t>
  </si>
  <si>
    <t>654</t>
  </si>
  <si>
    <t>20260210369877</t>
  </si>
  <si>
    <t>655</t>
  </si>
  <si>
    <t>20260210364014</t>
  </si>
  <si>
    <t>656</t>
  </si>
  <si>
    <t>20260210361013</t>
  </si>
  <si>
    <t>657</t>
  </si>
  <si>
    <t>20260210364113</t>
  </si>
  <si>
    <t>658</t>
  </si>
  <si>
    <t>20260210366124</t>
  </si>
  <si>
    <t>659</t>
  </si>
  <si>
    <t>20260210360902</t>
  </si>
  <si>
    <t>660</t>
  </si>
  <si>
    <t>20260210360972</t>
  </si>
  <si>
    <t>한*길</t>
  </si>
  <si>
    <t>661</t>
  </si>
  <si>
    <t>20260210361011</t>
  </si>
  <si>
    <t>박*식</t>
  </si>
  <si>
    <t>662</t>
  </si>
  <si>
    <t>20260210361551</t>
  </si>
  <si>
    <t>663</t>
  </si>
  <si>
    <t>20260210361077</t>
  </si>
  <si>
    <t>664</t>
  </si>
  <si>
    <t>20260210360396</t>
  </si>
  <si>
    <t>665</t>
  </si>
  <si>
    <t>20260210360400</t>
  </si>
  <si>
    <t>황*월</t>
  </si>
  <si>
    <t>666</t>
  </si>
  <si>
    <t>20260210360481</t>
  </si>
  <si>
    <t>667</t>
  </si>
  <si>
    <t>20260210360427</t>
  </si>
  <si>
    <t>손*원</t>
  </si>
  <si>
    <t>668</t>
  </si>
  <si>
    <t>20260210361451</t>
  </si>
  <si>
    <t>669</t>
  </si>
  <si>
    <t>20260210361686</t>
  </si>
  <si>
    <t>윤*갑</t>
  </si>
  <si>
    <t>670</t>
  </si>
  <si>
    <t>20260210361038</t>
  </si>
  <si>
    <t>671</t>
  </si>
  <si>
    <t>20260210361495</t>
  </si>
  <si>
    <t>진*윤</t>
  </si>
  <si>
    <t>672</t>
  </si>
  <si>
    <t>20260210361579</t>
  </si>
  <si>
    <t>김*해</t>
  </si>
  <si>
    <t>673</t>
  </si>
  <si>
    <t>20260210361752</t>
  </si>
  <si>
    <t>674</t>
  </si>
  <si>
    <t>20260210360670</t>
  </si>
  <si>
    <t>675</t>
  </si>
  <si>
    <t>20260210360966</t>
  </si>
  <si>
    <t>강*원</t>
  </si>
  <si>
    <t>676</t>
  </si>
  <si>
    <t>20260210360241</t>
  </si>
  <si>
    <t>677</t>
  </si>
  <si>
    <t>20260210360823</t>
  </si>
  <si>
    <t>678</t>
  </si>
  <si>
    <t>20260210360424</t>
  </si>
  <si>
    <t>손*자</t>
  </si>
  <si>
    <t>679</t>
  </si>
  <si>
    <t>20260210361564</t>
  </si>
  <si>
    <t>강*지</t>
  </si>
  <si>
    <t>680</t>
  </si>
  <si>
    <t>20260210361576</t>
  </si>
  <si>
    <t>681</t>
  </si>
  <si>
    <t>20260210361948</t>
  </si>
  <si>
    <t>남*정</t>
  </si>
  <si>
    <t>682</t>
  </si>
  <si>
    <t>20260210361789</t>
  </si>
  <si>
    <t>병*희</t>
  </si>
  <si>
    <t>683</t>
  </si>
  <si>
    <t>20260210360385</t>
  </si>
  <si>
    <t>방*래</t>
  </si>
  <si>
    <t>684</t>
  </si>
  <si>
    <t>20260210360980</t>
  </si>
  <si>
    <t>박*열</t>
  </si>
  <si>
    <t>685</t>
  </si>
  <si>
    <t>20260210361466</t>
  </si>
  <si>
    <t>조*정</t>
  </si>
  <si>
    <t>686</t>
  </si>
  <si>
    <t>20260210361462</t>
  </si>
  <si>
    <t>이*엽</t>
  </si>
  <si>
    <t>687</t>
  </si>
  <si>
    <t>20260210360092</t>
  </si>
  <si>
    <t>김*엽</t>
  </si>
  <si>
    <t>688</t>
  </si>
  <si>
    <t>20260210360272</t>
  </si>
  <si>
    <t>689</t>
  </si>
  <si>
    <t>20260210361097</t>
  </si>
  <si>
    <t>690</t>
  </si>
  <si>
    <t>20260210360282</t>
  </si>
  <si>
    <t>691</t>
  </si>
  <si>
    <t>20260210360283</t>
  </si>
  <si>
    <t>692</t>
  </si>
  <si>
    <t>20260210361227</t>
  </si>
  <si>
    <t>최*주</t>
  </si>
  <si>
    <t>693</t>
  </si>
  <si>
    <t>20260210361403</t>
  </si>
  <si>
    <t>694</t>
  </si>
  <si>
    <t>20260210360433</t>
  </si>
  <si>
    <t>695</t>
  </si>
  <si>
    <t>20260210361474</t>
  </si>
  <si>
    <t>김*림</t>
  </si>
  <si>
    <t>696</t>
  </si>
  <si>
    <t>20260210361530</t>
  </si>
  <si>
    <t>남**선</t>
  </si>
  <si>
    <t>697</t>
  </si>
  <si>
    <t>20260210361861</t>
  </si>
  <si>
    <t>698</t>
  </si>
  <si>
    <t>20260210361346</t>
  </si>
  <si>
    <t>699</t>
  </si>
  <si>
    <t>20260210361491</t>
  </si>
  <si>
    <t>700</t>
  </si>
  <si>
    <t>20260210362158</t>
  </si>
  <si>
    <t>정*래</t>
  </si>
  <si>
    <t>701</t>
  </si>
  <si>
    <t>20260210360596</t>
  </si>
  <si>
    <t>702</t>
  </si>
  <si>
    <t>20260210360302</t>
  </si>
  <si>
    <t>703</t>
  </si>
  <si>
    <t>20260210360928</t>
  </si>
  <si>
    <t>구*자</t>
  </si>
  <si>
    <t>704</t>
  </si>
  <si>
    <t>20260210360937</t>
  </si>
  <si>
    <t>705</t>
  </si>
  <si>
    <t>20260210360392</t>
  </si>
  <si>
    <t>706</t>
  </si>
  <si>
    <t>20260210361319</t>
  </si>
  <si>
    <t>하*자</t>
  </si>
  <si>
    <t>707</t>
  </si>
  <si>
    <t>20260210361357</t>
  </si>
  <si>
    <t>박*생</t>
  </si>
  <si>
    <t>708</t>
  </si>
  <si>
    <t>20260210360557</t>
  </si>
  <si>
    <t>709</t>
  </si>
  <si>
    <t>20260210361499</t>
  </si>
  <si>
    <t>710</t>
  </si>
  <si>
    <t>20260210360898</t>
  </si>
  <si>
    <t>711</t>
  </si>
  <si>
    <t>20260210361500</t>
  </si>
  <si>
    <t>안*순</t>
  </si>
  <si>
    <t>712</t>
  </si>
  <si>
    <t>20260210360664</t>
  </si>
  <si>
    <t>713</t>
  </si>
  <si>
    <t>20260210361611</t>
  </si>
  <si>
    <t>차*윤</t>
  </si>
  <si>
    <t>714</t>
  </si>
  <si>
    <t>20260210361936</t>
  </si>
  <si>
    <t>우*훈</t>
  </si>
  <si>
    <t>715</t>
  </si>
  <si>
    <t>20260210362041</t>
  </si>
  <si>
    <t>716</t>
  </si>
  <si>
    <t>20260210362161</t>
  </si>
  <si>
    <t>장*복</t>
  </si>
  <si>
    <t>717</t>
  </si>
  <si>
    <t>20260210360090</t>
  </si>
  <si>
    <t>성*례</t>
  </si>
  <si>
    <t>718</t>
  </si>
  <si>
    <t>20260210360968</t>
  </si>
  <si>
    <t>719</t>
  </si>
  <si>
    <t>20260210360422</t>
  </si>
  <si>
    <t>우*성</t>
  </si>
  <si>
    <t>720</t>
  </si>
  <si>
    <t>20260210360428</t>
  </si>
  <si>
    <t>721</t>
  </si>
  <si>
    <t>20260210361274</t>
  </si>
  <si>
    <t>722</t>
  </si>
  <si>
    <t>20260210361271</t>
  </si>
  <si>
    <t>723</t>
  </si>
  <si>
    <t>20260210360564</t>
  </si>
  <si>
    <t>방*미</t>
  </si>
  <si>
    <t>724</t>
  </si>
  <si>
    <t>20260210360526</t>
  </si>
  <si>
    <t>문*은</t>
  </si>
  <si>
    <t>725</t>
  </si>
  <si>
    <t>20260210360718</t>
  </si>
  <si>
    <t>726</t>
  </si>
  <si>
    <t>20260210361268</t>
  </si>
  <si>
    <t>727</t>
  </si>
  <si>
    <t>20260210361522</t>
  </si>
  <si>
    <t>728</t>
  </si>
  <si>
    <t>20260210361541</t>
  </si>
  <si>
    <t>신*은</t>
  </si>
  <si>
    <t>729</t>
  </si>
  <si>
    <t>20260210360094</t>
  </si>
  <si>
    <t>730</t>
  </si>
  <si>
    <t>20260210360523</t>
  </si>
  <si>
    <t>김*라</t>
  </si>
  <si>
    <t>731</t>
  </si>
  <si>
    <t>20260210360229</t>
  </si>
  <si>
    <t>732</t>
  </si>
  <si>
    <t>20260210360563</t>
  </si>
  <si>
    <t>733</t>
  </si>
  <si>
    <t>20260210362230</t>
  </si>
  <si>
    <t>김*홍</t>
  </si>
  <si>
    <t>734</t>
  </si>
  <si>
    <t>20260210360765</t>
  </si>
  <si>
    <t>최*금</t>
  </si>
  <si>
    <t>735</t>
  </si>
  <si>
    <t>20260210360291</t>
  </si>
  <si>
    <t>736</t>
  </si>
  <si>
    <t>20260210362044</t>
  </si>
  <si>
    <t>박*덕</t>
  </si>
  <si>
    <t>737</t>
  </si>
  <si>
    <t>20260210362168</t>
  </si>
  <si>
    <t>738</t>
  </si>
  <si>
    <t>20260210362117</t>
  </si>
  <si>
    <t>739</t>
  </si>
  <si>
    <t>20260210361225</t>
  </si>
  <si>
    <t>정*정</t>
  </si>
  <si>
    <t>740</t>
  </si>
  <si>
    <t>20260210360962</t>
  </si>
  <si>
    <t>741</t>
  </si>
  <si>
    <t>20260210361797</t>
  </si>
  <si>
    <t>홍*화</t>
  </si>
  <si>
    <t>742</t>
  </si>
  <si>
    <t>20260210361691</t>
  </si>
  <si>
    <t>743</t>
  </si>
  <si>
    <t>20260210362134</t>
  </si>
  <si>
    <t>차*용</t>
  </si>
  <si>
    <t>744</t>
  </si>
  <si>
    <t>20260210362141</t>
  </si>
  <si>
    <t>박*주</t>
  </si>
  <si>
    <t>745</t>
  </si>
  <si>
    <t>20260210360886</t>
  </si>
  <si>
    <t>조*석</t>
  </si>
  <si>
    <t>746</t>
  </si>
  <si>
    <t>20260210360551</t>
  </si>
  <si>
    <t>하*희</t>
  </si>
  <si>
    <t>747</t>
  </si>
  <si>
    <t>20260210362019</t>
  </si>
  <si>
    <t>임*영</t>
  </si>
  <si>
    <t>748</t>
  </si>
  <si>
    <t>20260210361967</t>
  </si>
  <si>
    <t>윤*화</t>
  </si>
  <si>
    <t>749</t>
  </si>
  <si>
    <t>20260210361352</t>
  </si>
  <si>
    <t>김*임</t>
  </si>
  <si>
    <t>750</t>
  </si>
  <si>
    <t>20260210361525</t>
  </si>
  <si>
    <t>751</t>
  </si>
  <si>
    <t>20260210361080</t>
  </si>
  <si>
    <t>752</t>
  </si>
  <si>
    <t>20260210360206</t>
  </si>
  <si>
    <t>753</t>
  </si>
  <si>
    <t>20260210361300</t>
  </si>
  <si>
    <t>754</t>
  </si>
  <si>
    <t>20260210360466</t>
  </si>
  <si>
    <t>김*금</t>
  </si>
  <si>
    <t>755</t>
  </si>
  <si>
    <t>20260210360681</t>
  </si>
  <si>
    <t>756</t>
  </si>
  <si>
    <t>20260210361731</t>
  </si>
  <si>
    <t>757</t>
  </si>
  <si>
    <t>20260210362118</t>
  </si>
  <si>
    <t>송*인</t>
  </si>
  <si>
    <t>758</t>
  </si>
  <si>
    <t>20260210360648</t>
  </si>
  <si>
    <t>차*희</t>
  </si>
  <si>
    <t>759</t>
  </si>
  <si>
    <t>20260210360875</t>
  </si>
  <si>
    <t>760</t>
  </si>
  <si>
    <t>20260210360890</t>
  </si>
  <si>
    <t>761</t>
  </si>
  <si>
    <t>20260210361277</t>
  </si>
  <si>
    <t>추*옥</t>
  </si>
  <si>
    <t>762</t>
  </si>
  <si>
    <t>20260210360542</t>
  </si>
  <si>
    <t>오*석</t>
  </si>
  <si>
    <t>763</t>
  </si>
  <si>
    <t>20260210361734</t>
  </si>
  <si>
    <t>764</t>
  </si>
  <si>
    <t>20260210361908</t>
  </si>
  <si>
    <t>765</t>
  </si>
  <si>
    <t>20260210361628</t>
  </si>
  <si>
    <t>766</t>
  </si>
  <si>
    <t>20260210360588</t>
  </si>
  <si>
    <t>767</t>
  </si>
  <si>
    <t>20260210361392</t>
  </si>
  <si>
    <t>이*아</t>
  </si>
  <si>
    <t>768</t>
  </si>
  <si>
    <t>20260210361578</t>
  </si>
  <si>
    <t>769</t>
  </si>
  <si>
    <t>20260210360722</t>
  </si>
  <si>
    <t>770</t>
  </si>
  <si>
    <t>20260210361659</t>
  </si>
  <si>
    <t>771</t>
  </si>
  <si>
    <t>20260210360250</t>
  </si>
  <si>
    <t>772</t>
  </si>
  <si>
    <t>20260210360545</t>
  </si>
  <si>
    <t>773</t>
  </si>
  <si>
    <t>20260210360271</t>
  </si>
  <si>
    <t>박*수</t>
  </si>
  <si>
    <t>774</t>
  </si>
  <si>
    <t>20260210360720</t>
  </si>
  <si>
    <t>775</t>
  </si>
  <si>
    <t>20260210360979</t>
  </si>
  <si>
    <t>776</t>
  </si>
  <si>
    <t>20260210361645</t>
  </si>
  <si>
    <t>777</t>
  </si>
  <si>
    <t>20260210360656</t>
  </si>
  <si>
    <t>정*혜</t>
  </si>
  <si>
    <t>778</t>
  </si>
  <si>
    <t>20260210361317</t>
  </si>
  <si>
    <t>779</t>
  </si>
  <si>
    <t>20260210361757</t>
  </si>
  <si>
    <t>780</t>
  </si>
  <si>
    <t>20260210360697</t>
  </si>
  <si>
    <t>781</t>
  </si>
  <si>
    <t>20260210362079</t>
  </si>
  <si>
    <t>782</t>
  </si>
  <si>
    <t>20260205993517</t>
  </si>
  <si>
    <t>783</t>
  </si>
  <si>
    <t>20260210361315</t>
  </si>
  <si>
    <t>정*칠</t>
  </si>
  <si>
    <t>784</t>
  </si>
  <si>
    <t>20260210362386</t>
  </si>
  <si>
    <t>장*녀</t>
  </si>
  <si>
    <t>785</t>
  </si>
  <si>
    <t>20260210364732</t>
  </si>
  <si>
    <t>786</t>
  </si>
  <si>
    <t>20260210361335</t>
  </si>
  <si>
    <t>현*희</t>
  </si>
  <si>
    <t>787</t>
  </si>
  <si>
    <t>20260210361404</t>
  </si>
  <si>
    <t>788</t>
  </si>
  <si>
    <t>20260210361750</t>
  </si>
  <si>
    <t>장*진</t>
  </si>
  <si>
    <t>789</t>
  </si>
  <si>
    <t>20260205994812</t>
  </si>
  <si>
    <t>박*심</t>
  </si>
  <si>
    <t>790</t>
  </si>
  <si>
    <t>20260210361384</t>
  </si>
  <si>
    <t>791</t>
  </si>
  <si>
    <t>20260210361019</t>
  </si>
  <si>
    <t>한*연</t>
  </si>
  <si>
    <t>792</t>
  </si>
  <si>
    <t>20260210360692</t>
  </si>
  <si>
    <t>793</t>
  </si>
  <si>
    <t>20260210361934</t>
  </si>
  <si>
    <t>송*령</t>
  </si>
  <si>
    <t>794</t>
  </si>
  <si>
    <t>20260210361847</t>
  </si>
  <si>
    <t>795</t>
  </si>
  <si>
    <t>20260210362206</t>
  </si>
  <si>
    <t>고*녀</t>
  </si>
  <si>
    <t>796</t>
  </si>
  <si>
    <t>20260210361690</t>
  </si>
  <si>
    <t>주*화</t>
  </si>
  <si>
    <t>797</t>
  </si>
  <si>
    <t>20260210361041</t>
  </si>
  <si>
    <t>나*련</t>
  </si>
  <si>
    <t>798</t>
  </si>
  <si>
    <t>20260210361758</t>
  </si>
  <si>
    <t>박*란</t>
  </si>
  <si>
    <t>799</t>
  </si>
  <si>
    <t>20260210361163</t>
  </si>
  <si>
    <t>800</t>
  </si>
  <si>
    <t>20260210360249</t>
  </si>
  <si>
    <t>801</t>
  </si>
  <si>
    <t>20260210360429</t>
  </si>
  <si>
    <t>최*현</t>
  </si>
  <si>
    <t>802</t>
  </si>
  <si>
    <t>20260210361301</t>
  </si>
  <si>
    <t>803</t>
  </si>
  <si>
    <t>20260210360371</t>
  </si>
  <si>
    <t>804</t>
  </si>
  <si>
    <t>20260210361360</t>
  </si>
  <si>
    <t>방*현</t>
  </si>
  <si>
    <t>805</t>
  </si>
  <si>
    <t>20260210361536</t>
  </si>
  <si>
    <t>진*순</t>
  </si>
  <si>
    <t>806</t>
  </si>
  <si>
    <t>20260210361726</t>
  </si>
  <si>
    <t>807</t>
  </si>
  <si>
    <t>20260210361322</t>
  </si>
  <si>
    <t>황*수</t>
  </si>
  <si>
    <t>808</t>
  </si>
  <si>
    <t>20260210361697</t>
  </si>
  <si>
    <t>송*이</t>
  </si>
  <si>
    <t>809</t>
  </si>
  <si>
    <t>20260210361959</t>
  </si>
  <si>
    <t>810</t>
  </si>
  <si>
    <t>20260210361974</t>
  </si>
  <si>
    <t>박*인</t>
  </si>
  <si>
    <t>811</t>
  </si>
  <si>
    <t>20260210362007</t>
  </si>
  <si>
    <t>812</t>
  </si>
  <si>
    <t>20260210360828</t>
  </si>
  <si>
    <t>813</t>
  </si>
  <si>
    <t>20260210360893</t>
  </si>
  <si>
    <t>814</t>
  </si>
  <si>
    <t>20260210360177</t>
  </si>
  <si>
    <t>우*민</t>
  </si>
  <si>
    <t>815</t>
  </si>
  <si>
    <t>816</t>
  </si>
  <si>
    <t>20260210361184</t>
  </si>
  <si>
    <t>817</t>
  </si>
  <si>
    <t>20260210367975</t>
  </si>
  <si>
    <t>818</t>
  </si>
  <si>
    <t>20260210361198</t>
  </si>
  <si>
    <t>819</t>
  </si>
  <si>
    <t>20260210361906</t>
  </si>
  <si>
    <t>김*춘</t>
  </si>
  <si>
    <t>820</t>
  </si>
  <si>
    <t>20260210360674</t>
  </si>
  <si>
    <t>821</t>
  </si>
  <si>
    <t>20260210362210</t>
  </si>
  <si>
    <t>임*애</t>
  </si>
  <si>
    <t>822</t>
  </si>
  <si>
    <t>20260210361176</t>
  </si>
  <si>
    <t>신*숙</t>
  </si>
  <si>
    <t>823</t>
  </si>
  <si>
    <t>20260210360969</t>
  </si>
  <si>
    <t>824</t>
  </si>
  <si>
    <t>20260210361539</t>
  </si>
  <si>
    <t>825</t>
  </si>
  <si>
    <t>20260210361721</t>
  </si>
  <si>
    <t>826</t>
  </si>
  <si>
    <t>20260210361596</t>
  </si>
  <si>
    <t>827</t>
  </si>
  <si>
    <t>20260210361735</t>
  </si>
  <si>
    <t>828</t>
  </si>
  <si>
    <t>20260210360899</t>
  </si>
  <si>
    <t>829</t>
  </si>
  <si>
    <t>20260210361854</t>
  </si>
  <si>
    <t>김*혜</t>
  </si>
  <si>
    <t>830</t>
  </si>
  <si>
    <t>20260210361998</t>
  </si>
  <si>
    <t>한*자</t>
  </si>
  <si>
    <t>831</t>
  </si>
  <si>
    <t>20260210360293</t>
  </si>
  <si>
    <t>홍*상</t>
  </si>
  <si>
    <t>832</t>
  </si>
  <si>
    <t>20260210361964</t>
  </si>
  <si>
    <t>833</t>
  </si>
  <si>
    <t>20260210360847</t>
  </si>
  <si>
    <t>834</t>
  </si>
  <si>
    <t>20260210361100</t>
  </si>
  <si>
    <t>백*혜</t>
  </si>
  <si>
    <t>835</t>
  </si>
  <si>
    <t>20260210361554</t>
  </si>
  <si>
    <t>836</t>
  </si>
  <si>
    <t>20260210361648</t>
  </si>
  <si>
    <t>837</t>
  </si>
  <si>
    <t>20260210361577</t>
  </si>
  <si>
    <t>838</t>
  </si>
  <si>
    <t>20260210361256</t>
  </si>
  <si>
    <t>839</t>
  </si>
  <si>
    <t>20260210361264</t>
  </si>
  <si>
    <t>김*세</t>
  </si>
  <si>
    <t>840</t>
  </si>
  <si>
    <t>20260210360518</t>
  </si>
  <si>
    <t>841</t>
  </si>
  <si>
    <t>20260210361362</t>
  </si>
  <si>
    <t>842</t>
  </si>
  <si>
    <t>20260210361601</t>
  </si>
  <si>
    <t>843</t>
  </si>
  <si>
    <t>20260210361654</t>
  </si>
  <si>
    <t>844</t>
  </si>
  <si>
    <t>20260210362075</t>
  </si>
  <si>
    <t>845</t>
  </si>
  <si>
    <t>20260205994463</t>
  </si>
  <si>
    <t>최*경</t>
  </si>
  <si>
    <t>846</t>
  </si>
  <si>
    <t>20260210360976</t>
  </si>
  <si>
    <t>서*란</t>
  </si>
  <si>
    <t>847</t>
  </si>
  <si>
    <t>20260210360499</t>
  </si>
  <si>
    <t>홍*희</t>
  </si>
  <si>
    <t>848</t>
  </si>
  <si>
    <t>20260210361304</t>
  </si>
  <si>
    <t>849</t>
  </si>
  <si>
    <t>20260210361296</t>
  </si>
  <si>
    <t>850</t>
  </si>
  <si>
    <t>20260210360604</t>
  </si>
  <si>
    <t>851</t>
  </si>
  <si>
    <t>20260210361837</t>
  </si>
  <si>
    <t>852</t>
  </si>
  <si>
    <t>853</t>
  </si>
  <si>
    <t>20260210360558</t>
  </si>
  <si>
    <t>허*자</t>
  </si>
  <si>
    <t>854</t>
  </si>
  <si>
    <t>20260210360940</t>
  </si>
  <si>
    <t>조*창</t>
  </si>
  <si>
    <t>855</t>
  </si>
  <si>
    <t>856</t>
  </si>
  <si>
    <t>20260210360981</t>
  </si>
  <si>
    <t>857</t>
  </si>
  <si>
    <t>20260210360612</t>
  </si>
  <si>
    <t>858</t>
  </si>
  <si>
    <t>20260210360922</t>
  </si>
  <si>
    <t>유*분</t>
  </si>
  <si>
    <t>859</t>
  </si>
  <si>
    <t>20260210361307</t>
  </si>
  <si>
    <t>이*재</t>
  </si>
  <si>
    <t>860</t>
  </si>
  <si>
    <t>20260210360709</t>
  </si>
  <si>
    <t>배*영</t>
  </si>
  <si>
    <t>861</t>
  </si>
  <si>
    <t>20260210361913</t>
  </si>
  <si>
    <t>862</t>
  </si>
  <si>
    <t>20260210362003</t>
  </si>
  <si>
    <t>윤*근</t>
  </si>
  <si>
    <t>863</t>
  </si>
  <si>
    <t>20260210360756</t>
  </si>
  <si>
    <t>문*수</t>
  </si>
  <si>
    <t>864</t>
  </si>
  <si>
    <t>20260210361263</t>
  </si>
  <si>
    <t>강*은</t>
  </si>
  <si>
    <t>865</t>
  </si>
  <si>
    <t>20260210361940</t>
  </si>
  <si>
    <t>866</t>
  </si>
  <si>
    <t>20260210362078</t>
  </si>
  <si>
    <t>윤*애</t>
  </si>
  <si>
    <t>867</t>
  </si>
  <si>
    <t>20260210361178</t>
  </si>
  <si>
    <t>상*식</t>
  </si>
  <si>
    <t>868</t>
  </si>
  <si>
    <t>20260210360216</t>
  </si>
  <si>
    <t>869</t>
  </si>
  <si>
    <t>20260210360543</t>
  </si>
  <si>
    <t>강*희</t>
  </si>
  <si>
    <t>870</t>
  </si>
  <si>
    <t>20260210361527</t>
  </si>
  <si>
    <t>엄*자</t>
  </si>
  <si>
    <t>871</t>
  </si>
  <si>
    <t>20260210360785</t>
  </si>
  <si>
    <t>872</t>
  </si>
  <si>
    <t>20260210360903</t>
  </si>
  <si>
    <t>이*현</t>
  </si>
  <si>
    <t>873</t>
  </si>
  <si>
    <t>20260210360818</t>
  </si>
  <si>
    <t>874</t>
  </si>
  <si>
    <t>20260210360436</t>
  </si>
  <si>
    <t>주*산</t>
  </si>
  <si>
    <t>875</t>
  </si>
  <si>
    <t>20260210361138</t>
  </si>
  <si>
    <t>함*희</t>
  </si>
  <si>
    <t>876</t>
  </si>
  <si>
    <t>20260210361793</t>
  </si>
  <si>
    <t>김*혁</t>
  </si>
  <si>
    <t>877</t>
  </si>
  <si>
    <t>20260210361971</t>
  </si>
  <si>
    <t>878</t>
  </si>
  <si>
    <t>20260210360781</t>
  </si>
  <si>
    <t>조*진</t>
  </si>
  <si>
    <t>879</t>
  </si>
  <si>
    <t>20260210360908</t>
  </si>
  <si>
    <t>송*호</t>
  </si>
  <si>
    <t>2026-02-13</t>
  </si>
  <si>
    <t>880</t>
  </si>
  <si>
    <t>20260210360399</t>
  </si>
  <si>
    <t>윤*현</t>
  </si>
  <si>
    <t>881</t>
  </si>
  <si>
    <t>882</t>
  </si>
  <si>
    <t>20260212023135</t>
  </si>
  <si>
    <t>강*수</t>
  </si>
  <si>
    <t>883</t>
  </si>
  <si>
    <t>20260210361450</t>
  </si>
  <si>
    <t>윤*정</t>
  </si>
  <si>
    <t>884</t>
  </si>
  <si>
    <t>20260211875711</t>
  </si>
  <si>
    <t>885</t>
  </si>
  <si>
    <t>20260212021514</t>
  </si>
  <si>
    <t>886</t>
  </si>
  <si>
    <t>20260211869626</t>
  </si>
  <si>
    <t>송*우</t>
  </si>
  <si>
    <t>887</t>
  </si>
  <si>
    <t>20260211880132</t>
  </si>
  <si>
    <t>888</t>
  </si>
  <si>
    <t>20260211877119</t>
  </si>
  <si>
    <t>889</t>
  </si>
  <si>
    <t>20260211900532</t>
  </si>
  <si>
    <t>890</t>
  </si>
  <si>
    <t>20260210361039</t>
  </si>
  <si>
    <t>891</t>
  </si>
  <si>
    <t>20260212013801</t>
  </si>
  <si>
    <t>최*정</t>
  </si>
  <si>
    <t>892</t>
  </si>
  <si>
    <t>20260211878387</t>
  </si>
  <si>
    <t>893</t>
  </si>
  <si>
    <t>20260210342835</t>
  </si>
  <si>
    <t>894</t>
  </si>
  <si>
    <t>20260210361168</t>
  </si>
  <si>
    <t>고*희</t>
  </si>
  <si>
    <t>895</t>
  </si>
  <si>
    <t>20260212022509</t>
  </si>
  <si>
    <t>정*동</t>
  </si>
  <si>
    <t>896</t>
  </si>
  <si>
    <t>20260210361359</t>
  </si>
  <si>
    <t>897</t>
  </si>
  <si>
    <t>20260211878165</t>
  </si>
  <si>
    <t>최*훈</t>
  </si>
  <si>
    <t>898</t>
  </si>
  <si>
    <t>20260210361634</t>
  </si>
  <si>
    <t>신*호</t>
  </si>
  <si>
    <t>899</t>
  </si>
  <si>
    <t>20260212021625</t>
  </si>
  <si>
    <t>최*화</t>
  </si>
  <si>
    <t>900</t>
  </si>
  <si>
    <t>20260210361494</t>
  </si>
  <si>
    <t>유*용</t>
  </si>
  <si>
    <t>901</t>
  </si>
  <si>
    <t>20260210360970</t>
  </si>
  <si>
    <t>902</t>
  </si>
  <si>
    <t>20260211878195</t>
  </si>
  <si>
    <t>여*선</t>
  </si>
  <si>
    <t>903</t>
  </si>
  <si>
    <t>20260211873838</t>
  </si>
  <si>
    <t>904</t>
  </si>
  <si>
    <t>20260210360285</t>
  </si>
  <si>
    <t>2026-02-14</t>
  </si>
  <si>
    <t>#. 방송코드 P&amp;L 정리</t>
    <phoneticPr fontId="18" type="noConversion"/>
  </si>
  <si>
    <t xml:space="preserve">    1. 모두 부가세 별도</t>
    <phoneticPr fontId="18" type="noConversion"/>
  </si>
  <si>
    <t xml:space="preserve">    2. 수식은 회색음영, 그 외 모두 key in</t>
    <phoneticPr fontId="18" type="noConversion"/>
  </si>
  <si>
    <t>SET</t>
    <phoneticPr fontId="18" type="noConversion"/>
  </si>
  <si>
    <t>VAT-</t>
    <phoneticPr fontId="18" type="noConversion"/>
  </si>
  <si>
    <t>원</t>
    <phoneticPr fontId="18" type="noConversion"/>
  </si>
  <si>
    <t>(상세)</t>
    <phoneticPr fontId="18" type="noConversion"/>
  </si>
  <si>
    <t>*최근 3개월 평균</t>
    <phoneticPr fontId="18" type="noConversion"/>
  </si>
  <si>
    <t>요리사비</t>
    <phoneticPr fontId="18" type="noConversion"/>
  </si>
  <si>
    <t>재료비/판넬비</t>
    <phoneticPr fontId="18" type="noConversion"/>
  </si>
  <si>
    <t>연</t>
    <phoneticPr fontId="18" type="noConversion"/>
  </si>
  <si>
    <t>월</t>
    <phoneticPr fontId="18" type="noConversion"/>
  </si>
  <si>
    <t>구분</t>
    <phoneticPr fontId="18" type="noConversion"/>
  </si>
  <si>
    <t>Channel</t>
  </si>
  <si>
    <t>방송구성</t>
  </si>
  <si>
    <t>과/면세</t>
    <phoneticPr fontId="18" type="noConversion"/>
  </si>
  <si>
    <t>순주문량</t>
    <phoneticPr fontId="18" type="noConversion"/>
  </si>
  <si>
    <t>MSRP</t>
  </si>
  <si>
    <t>공급가</t>
  </si>
  <si>
    <t>차감 전 매출</t>
  </si>
  <si>
    <t>쿠폰비(%)</t>
    <phoneticPr fontId="18" type="noConversion"/>
  </si>
  <si>
    <t>수수료</t>
    <phoneticPr fontId="18" type="noConversion"/>
  </si>
  <si>
    <t>차감 후 매출</t>
  </si>
  <si>
    <t>택배비</t>
    <phoneticPr fontId="18" type="noConversion"/>
  </si>
  <si>
    <t>냉매제</t>
    <phoneticPr fontId="18" type="noConversion"/>
  </si>
  <si>
    <t>작업비</t>
    <phoneticPr fontId="18" type="noConversion"/>
  </si>
  <si>
    <t>보관비</t>
    <phoneticPr fontId="18" type="noConversion"/>
  </si>
  <si>
    <t>기타물류비</t>
    <phoneticPr fontId="18" type="noConversion"/>
  </si>
  <si>
    <t>판매비</t>
  </si>
  <si>
    <t>거마비, 계약금</t>
    <phoneticPr fontId="18" type="noConversion"/>
  </si>
  <si>
    <t>로열티(원)</t>
    <phoneticPr fontId="18" type="noConversion"/>
  </si>
  <si>
    <t>로열티(%)</t>
    <phoneticPr fontId="18" type="noConversion"/>
  </si>
  <si>
    <t>판매수수료(원)</t>
    <phoneticPr fontId="18" type="noConversion"/>
  </si>
  <si>
    <t>밴더수수료(원)</t>
    <phoneticPr fontId="18" type="noConversion"/>
  </si>
  <si>
    <t>밴더수수료(%)</t>
    <phoneticPr fontId="18" type="noConversion"/>
  </si>
  <si>
    <t>외주용역비(원)</t>
    <phoneticPr fontId="18" type="noConversion"/>
  </si>
  <si>
    <t>채널광고비(고정)</t>
  </si>
  <si>
    <t>채널광고비(변동)</t>
  </si>
  <si>
    <t>채널촬영비</t>
  </si>
  <si>
    <t>기타판매비</t>
  </si>
  <si>
    <t>판매공통비</t>
  </si>
  <si>
    <t>공헌이익</t>
    <phoneticPr fontId="18" type="noConversion"/>
  </si>
  <si>
    <t>&gt;&gt;</t>
    <phoneticPr fontId="18" type="noConversion"/>
  </si>
  <si>
    <t>원가%</t>
  </si>
  <si>
    <t>물류비%</t>
  </si>
  <si>
    <t>판매비%</t>
  </si>
  <si>
    <t>공헌이익%</t>
  </si>
  <si>
    <t>T/COM</t>
  </si>
  <si>
    <t>SK스토아</t>
  </si>
  <si>
    <t>과세</t>
    <phoneticPr fontId="18" type="noConversion"/>
  </si>
  <si>
    <t>2025</t>
  </si>
  <si>
    <t>09</t>
  </si>
  <si>
    <t>CJ온쇼핑</t>
  </si>
  <si>
    <t>박원숙_고운한상포기김치 5kg*2</t>
  </si>
  <si>
    <t>고운한상 코다리조림 300g * 8팩</t>
  </si>
  <si>
    <t>테스트용</t>
  </si>
  <si>
    <t>T/COM</t>
    <phoneticPr fontId="18" type="noConversion"/>
  </si>
  <si>
    <t>워커힐_시그니처양념LA갈비_400G*8개</t>
  </si>
  <si>
    <t>SK스토아(직매입)</t>
  </si>
  <si>
    <t>SK직매입_[워커힐]양념LA갈비 400g*8팩</t>
  </si>
  <si>
    <t>SK직매입_[워커힐]시그니처양념갈비800g*4팩</t>
  </si>
  <si>
    <t>SK직매입_[워커힐]고메함박스테이크(SK네트웍스)_180g*15개 (데미10+토마토5)</t>
  </si>
  <si>
    <t>LIVE</t>
    <phoneticPr fontId="18" type="noConversion"/>
  </si>
  <si>
    <t>GS홈쇼핑</t>
    <phoneticPr fontId="18" type="noConversion"/>
  </si>
  <si>
    <t>횡성축협한우사각피자_20개(콤비5+로제5+불고기5+트러플5)</t>
    <phoneticPr fontId="18" type="noConversion"/>
  </si>
  <si>
    <t>횡성축협 한우 사각피자 15팩(콤비네이션 6팩+불고기피자 6팩+콰트로치즈 3팩) (직)</t>
  </si>
  <si>
    <t>공동구매</t>
  </si>
  <si>
    <t>워커힐_시그니처양념LA갈비_400G*4개</t>
  </si>
  <si>
    <t>워커힐_시그니처양념LA갈비_400G*6개</t>
  </si>
  <si>
    <t>신세계라이브쇼핑(직매입)</t>
    <phoneticPr fontId="18" type="noConversion"/>
  </si>
  <si>
    <t>신세계직매입_신신고깃간_횡성축협직화스테이크160G*21개</t>
  </si>
  <si>
    <t>신세계티비쇼핑</t>
  </si>
  <si>
    <t>여경래팔보채</t>
  </si>
  <si>
    <t>SK위수탁_워커힐_시그니처양념갈비_800G*5팩</t>
  </si>
  <si>
    <t>SK직매입_[워커힐]시그니처양념갈비800g*5팩</t>
  </si>
  <si>
    <t>SK위수탁_워커힐_시그니처양념갈비_800G*4개</t>
  </si>
  <si>
    <t>SK직매입_워커힐_시그니처양념갈비_800G*4개</t>
  </si>
  <si>
    <t>SK위수탁_[워커힐] LA갈비 400G*8팩</t>
  </si>
  <si>
    <t>폭립 5팩</t>
  </si>
  <si>
    <t>2025</t>
    <phoneticPr fontId="18" type="noConversion"/>
  </si>
  <si>
    <t>08</t>
    <phoneticPr fontId="18" type="noConversion"/>
  </si>
  <si>
    <t>SK스토아(직매입)</t>
    <phoneticPr fontId="18" type="noConversion"/>
  </si>
  <si>
    <t>GS홈쇼핑</t>
  </si>
  <si>
    <t>횡성축협한우사각피자_17개(콤비7+치즈3+불고기7)</t>
  </si>
  <si>
    <t>공구테스트용</t>
  </si>
  <si>
    <t>허니플랜트(공동구매)</t>
  </si>
  <si>
    <t>tp9150 해운대_양념갈비_400G*4팩+직화스테이크2팩</t>
  </si>
  <si>
    <t xml:space="preserve">                   -</t>
  </si>
  <si>
    <t>tp9150 해운대_양념갈비_400G*4팩+직화스테이크1팩</t>
  </si>
  <si>
    <t>tp9150 해운대_양념갈비_400G*5팩+감자사리면 4팩</t>
  </si>
  <si>
    <t>tp9150 해운대_양념갈비_400G*7팩(139000) 염경환</t>
  </si>
  <si>
    <t>LIVE</t>
  </si>
  <si>
    <t>경복궁_부세보리굴비 120g*9팩</t>
  </si>
  <si>
    <t>경복궁 보리굴비 9팩</t>
  </si>
  <si>
    <t>tp9150 해운대_양념갈비_400G*7팩 + 감자사리면 3팩(139000) 염경환</t>
  </si>
  <si>
    <t>경복궁 보리굴비 9팩*2팩</t>
  </si>
  <si>
    <t>경복궁 보리굴비 9팩*3팩</t>
  </si>
  <si>
    <t>9월 진행_1</t>
  </si>
  <si>
    <t>9월 진행_2</t>
  </si>
  <si>
    <t>tp9150 해운대_양념갈비_400G*4팩</t>
  </si>
  <si>
    <t>신세계라이브쇼핑(직매입)</t>
  </si>
  <si>
    <t>횡성축협한우사각피자_20개(콤비5+로제5+불고기5+트러플5)</t>
  </si>
  <si>
    <t>현대홈쇼핑</t>
  </si>
  <si>
    <t>경복궁 宮 도가니탕 700g*8팩</t>
  </si>
  <si>
    <t>기존</t>
  </si>
  <si>
    <t>1% 올리고 5000원 할인</t>
  </si>
  <si>
    <t>1% 올리고 3000원 할인</t>
  </si>
  <si>
    <t>2% 올리고 5000원 할인</t>
  </si>
  <si>
    <t>구성 변경 후 수수료 1%,   5000원 할인</t>
  </si>
  <si>
    <t>횡성피자_콤비7_허니7_콰트로3</t>
  </si>
  <si>
    <t>905</t>
  </si>
  <si>
    <t>2026-02-19</t>
  </si>
  <si>
    <t>[워커힐] 시그니처 양념본갈비 300G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</si>
</sst>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General&quot;월&quot;"/>
    <numFmt numFmtId="177" formatCode="dd\(aaa\)"/>
    <numFmt numFmtId="178" formatCode="0.0%"/>
    <numFmt numFmtId="179" formatCode="_-* #,##0.0_-;\-* #,##0.0_-;_-* &quot;-&quot;?_-;_-@_-"/>
    <numFmt numFmtId="180" formatCode="yyyy\-mm\-dd"/>
    <numFmt numFmtId="181" formatCode="#,##0_);\-#,##0"/>
    <numFmt numFmtId="182" formatCode="mm&quot;월&quot;\ dd&quot;일&quot;"/>
    <numFmt numFmtId="183" formatCode="_-* #,##0.0_-;\-* #,##0.0_-;_-* &quot;-&quot;_-;_-@_-"/>
    <numFmt numFmtId="184" formatCode="0_);[Red]\(0\)"/>
  </numFmts>
  <fonts count="1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Arial"/>
      <family val="2"/>
      <charset val="1"/>
    </font>
    <font>
      <sz val="11"/>
      <color indexed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u val="singleAccounting"/>
      <sz val="1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맑은 고딕"/>
      <family val="3"/>
    </font>
    <font>
      <b/>
      <sz val="9"/>
      <color theme="0"/>
      <name val="맑은 고딕"/>
      <family val="3"/>
    </font>
    <font>
      <sz val="9"/>
      <color theme="1"/>
      <name val="맑은 고딕"/>
      <family val="3"/>
    </font>
    <font>
      <sz val="10"/>
      <color theme="1"/>
      <name val="Malgun Gothic"/>
      <family val="3"/>
      <charset val="129"/>
    </font>
    <font>
      <b/>
      <u/>
      <sz val="10"/>
      <color theme="1"/>
      <name val="Malgun Gothic"/>
      <family val="3"/>
      <charset val="129"/>
    </font>
    <font>
      <sz val="1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color rgb="FF000000"/>
      <name val="맑은 고딕"/>
      <family val="3"/>
    </font>
    <font>
      <b/>
      <sz val="10"/>
      <color rgb="FFFF000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0"/>
      <color indexed="8"/>
      <name val="Malgun Gothic"/>
      <family val="3"/>
      <charset val="129"/>
    </font>
    <font>
      <b/>
      <u val="singleAccounting"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inor"/>
    </font>
    <font>
      <sz val="10"/>
      <color theme="1"/>
      <name val="맑은 고딕"/>
      <family val="3"/>
      <scheme val="major"/>
    </font>
    <font>
      <b/>
      <sz val="12"/>
      <color rgb="FFFF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i/>
      <sz val="10"/>
      <color theme="1"/>
      <name val="맑은 고딕"/>
      <family val="3"/>
      <scheme val="major"/>
    </font>
    <font>
      <b/>
      <sz val="10"/>
      <color theme="1"/>
      <name val="맑은 고딕"/>
      <family val="3"/>
      <scheme val="major"/>
    </font>
    <font>
      <sz val="10"/>
      <name val="맑은 고딕"/>
      <family val="3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rgb="FFFFFF00"/>
      <name val="맑은 고딕"/>
      <family val="3"/>
      <scheme val="major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scheme val="major"/>
    </font>
    <font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scheme val="major"/>
    </font>
    <font>
      <b/>
      <sz val="10"/>
      <color rgb="FF000000"/>
      <name val="맑은 고딕"/>
      <family val="3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</font>
    <font>
      <sz val="11"/>
      <color rgb="FF000000"/>
      <name val="맑은 고딕"/>
      <family val="2"/>
      <scheme val="minor"/>
    </font>
    <font>
      <sz val="10"/>
      <color indexed="8"/>
      <name val="굴림"/>
      <family val="3"/>
    </font>
    <font>
      <sz val="11"/>
      <color rgb="FF000000"/>
      <name val="맑은 고딕"/>
      <family val="2"/>
      <charset val="129"/>
      <scheme val="minor"/>
    </font>
    <font>
      <b/>
      <sz val="10"/>
      <color theme="1"/>
      <name val="맑은 고딕"/>
      <family val="3"/>
    </font>
    <font>
      <b/>
      <sz val="9"/>
      <color indexed="8"/>
      <name val="굴림"/>
      <family val="3"/>
    </font>
    <font>
      <sz val="10"/>
      <name val="맑은 고딕"/>
      <family val="3"/>
      <charset val="129"/>
    </font>
    <font>
      <sz val="10"/>
      <color indexed="8"/>
      <name val="굴림"/>
      <family val="3"/>
      <charset val="129"/>
    </font>
    <font>
      <sz val="9"/>
      <color rgb="FF000000"/>
      <name val="맑은 고딕"/>
      <family val="3"/>
      <charset val="129"/>
      <scheme val="minor"/>
    </font>
    <font>
      <sz val="10"/>
      <color rgb="FF000000"/>
      <name val="Malgun Gothic"/>
      <family val="3"/>
    </font>
    <font>
      <sz val="9"/>
      <color indexed="81"/>
      <name val="Tahoma"/>
      <family val="2"/>
      <charset val="129"/>
    </font>
    <font>
      <sz val="10"/>
      <color theme="1"/>
      <name val="Malgun Gothic"/>
      <family val="3"/>
    </font>
    <font>
      <b/>
      <sz val="9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  <charset val="129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49FE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36609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9FF"/>
        <bgColor indexed="64"/>
      </patternFill>
    </fill>
    <fill>
      <patternFill patternType="solid">
        <fgColor rgb="FFFFE9D9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double">
        <color indexed="64"/>
      </bottom>
      <diagonal/>
    </border>
    <border>
      <left style="thin">
        <color indexed="64"/>
      </left>
      <right style="medium">
        <color rgb="FF000000"/>
      </right>
      <top/>
      <bottom style="hair">
        <color indexed="64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/>
      <right style="double">
        <color indexed="64"/>
      </right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</borders>
  <cellStyleXfs count="106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3" fillId="0" borderId="0" applyFill="0" applyProtection="0"/>
    <xf numFmtId="0" fontId="21" fillId="0" borderId="0">
      <alignment vertical="center"/>
    </xf>
    <xf numFmtId="0" fontId="24" fillId="0" borderId="0"/>
    <xf numFmtId="0" fontId="24" fillId="0" borderId="0"/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4" applyNumberFormat="0" applyAlignment="0" applyProtection="0">
      <alignment vertical="center"/>
    </xf>
    <xf numFmtId="0" fontId="27" fillId="6" borderId="4" applyNumberForma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1" fillId="7" borderId="7" applyNumberFormat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20" fillId="0" borderId="0"/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0" fillId="0" borderId="0"/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1" fillId="0" borderId="0">
      <alignment vertical="center"/>
    </xf>
    <xf numFmtId="0" fontId="20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3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/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43" fillId="0" borderId="0" applyFont="0" applyFill="0" applyBorder="0" applyAlignment="0" applyProtection="0">
      <alignment vertical="center"/>
    </xf>
  </cellStyleXfs>
  <cellXfs count="513">
    <xf numFmtId="0" fontId="0" fillId="0" borderId="0" xfId="0">
      <alignment vertical="center"/>
    </xf>
    <xf numFmtId="0" fontId="44" fillId="0" borderId="0" xfId="0" applyFont="1">
      <alignment vertical="center"/>
    </xf>
    <xf numFmtId="9" fontId="45" fillId="0" borderId="0" xfId="2" applyFont="1">
      <alignment vertical="center"/>
    </xf>
    <xf numFmtId="0" fontId="46" fillId="0" borderId="0" xfId="0" applyFont="1">
      <alignment vertical="center"/>
    </xf>
    <xf numFmtId="0" fontId="47" fillId="34" borderId="0" xfId="0" applyFont="1" applyFill="1" applyAlignment="1">
      <alignment horizontal="left" vertical="center"/>
    </xf>
    <xf numFmtId="0" fontId="50" fillId="34" borderId="0" xfId="0" applyFont="1" applyFill="1">
      <alignment vertical="center"/>
    </xf>
    <xf numFmtId="0" fontId="51" fillId="0" borderId="0" xfId="0" applyFont="1">
      <alignment vertical="center"/>
    </xf>
    <xf numFmtId="41" fontId="52" fillId="0" borderId="0" xfId="1" applyFont="1">
      <alignment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51" fillId="0" borderId="0" xfId="1" applyNumberFormat="1" applyFont="1">
      <alignment vertical="center"/>
    </xf>
    <xf numFmtId="41" fontId="51" fillId="0" borderId="0" xfId="1" applyFont="1">
      <alignment vertical="center"/>
    </xf>
    <xf numFmtId="14" fontId="51" fillId="0" borderId="0" xfId="0" applyNumberFormat="1" applyFont="1" applyAlignment="1">
      <alignment horizontal="center" vertical="center"/>
    </xf>
    <xf numFmtId="0" fontId="53" fillId="0" borderId="0" xfId="0" applyFont="1">
      <alignment vertical="center"/>
    </xf>
    <xf numFmtId="14" fontId="53" fillId="0" borderId="0" xfId="0" applyNumberFormat="1" applyFont="1">
      <alignment vertical="center"/>
    </xf>
    <xf numFmtId="0" fontId="54" fillId="0" borderId="0" xfId="0" applyFont="1">
      <alignment vertical="center"/>
    </xf>
    <xf numFmtId="41" fontId="55" fillId="0" borderId="0" xfId="1" applyFont="1" applyAlignment="1">
      <alignment horizontal="center" vertical="center"/>
    </xf>
    <xf numFmtId="41" fontId="55" fillId="0" borderId="0" xfId="1" applyFont="1" applyAlignment="1">
      <alignment horizontal="center" vertical="center" wrapText="1"/>
    </xf>
    <xf numFmtId="0" fontId="55" fillId="0" borderId="0" xfId="1" applyNumberFormat="1" applyFont="1" applyAlignment="1">
      <alignment horizontal="center" vertical="center"/>
    </xf>
    <xf numFmtId="14" fontId="55" fillId="0" borderId="0" xfId="1" applyNumberFormat="1" applyFont="1" applyAlignment="1">
      <alignment horizontal="center" vertical="center" wrapText="1"/>
    </xf>
    <xf numFmtId="0" fontId="57" fillId="38" borderId="28" xfId="1058" applyFont="1" applyFill="1" applyBorder="1" applyAlignment="1">
      <alignment horizontal="left" vertical="center"/>
    </xf>
    <xf numFmtId="0" fontId="57" fillId="38" borderId="28" xfId="1058" applyFont="1" applyFill="1" applyBorder="1" applyAlignment="1">
      <alignment horizontal="left" vertical="center" wrapText="1"/>
    </xf>
    <xf numFmtId="0" fontId="57" fillId="38" borderId="28" xfId="1" applyNumberFormat="1" applyFont="1" applyFill="1" applyBorder="1" applyAlignment="1">
      <alignment horizontal="left" vertical="center"/>
    </xf>
    <xf numFmtId="0" fontId="57" fillId="38" borderId="28" xfId="1" applyNumberFormat="1" applyFont="1" applyFill="1" applyBorder="1" applyAlignment="1">
      <alignment horizontal="left" vertical="center" wrapText="1"/>
    </xf>
    <xf numFmtId="14" fontId="57" fillId="38" borderId="28" xfId="1" applyNumberFormat="1" applyFont="1" applyFill="1" applyBorder="1" applyAlignment="1">
      <alignment horizontal="left" vertical="center" wrapText="1"/>
    </xf>
    <xf numFmtId="0" fontId="58" fillId="38" borderId="28" xfId="0" applyFont="1" applyFill="1" applyBorder="1" applyAlignment="1">
      <alignment horizontal="left" vertical="center"/>
    </xf>
    <xf numFmtId="0" fontId="52" fillId="0" borderId="28" xfId="0" applyFont="1" applyBorder="1" applyAlignment="1">
      <alignment horizontal="center" vertical="center" wrapText="1"/>
    </xf>
    <xf numFmtId="0" fontId="52" fillId="0" borderId="28" xfId="0" applyFont="1" applyBorder="1" applyAlignment="1">
      <alignment horizontal="center" vertical="center"/>
    </xf>
    <xf numFmtId="41" fontId="52" fillId="39" borderId="28" xfId="1" applyFont="1" applyFill="1" applyBorder="1">
      <alignment vertical="center"/>
    </xf>
    <xf numFmtId="14" fontId="52" fillId="0" borderId="28" xfId="0" applyNumberFormat="1" applyFont="1" applyBorder="1" applyAlignment="1">
      <alignment horizontal="center" vertical="center"/>
    </xf>
    <xf numFmtId="41" fontId="52" fillId="0" borderId="28" xfId="1" applyFont="1" applyBorder="1">
      <alignment vertical="center"/>
    </xf>
    <xf numFmtId="41" fontId="52" fillId="0" borderId="28" xfId="1" applyFont="1" applyFill="1" applyBorder="1">
      <alignment vertical="center"/>
    </xf>
    <xf numFmtId="41" fontId="52" fillId="37" borderId="28" xfId="1" applyFont="1" applyFill="1" applyBorder="1" applyAlignment="1">
      <alignment horizontal="center" vertical="center"/>
    </xf>
    <xf numFmtId="41" fontId="52" fillId="0" borderId="28" xfId="1" applyFont="1" applyFill="1" applyBorder="1" applyAlignment="1">
      <alignment horizontal="center" vertical="center"/>
    </xf>
    <xf numFmtId="41" fontId="51" fillId="0" borderId="0" xfId="1" applyFont="1" applyAlignment="1">
      <alignment horizontal="center" vertical="center"/>
    </xf>
    <xf numFmtId="41" fontId="53" fillId="0" borderId="0" xfId="0" applyNumberFormat="1" applyFont="1">
      <alignment vertical="center"/>
    </xf>
    <xf numFmtId="0" fontId="44" fillId="0" borderId="0" xfId="0" applyFont="1" applyAlignment="1">
      <alignment horizontal="center" vertical="center"/>
    </xf>
    <xf numFmtId="176" fontId="61" fillId="33" borderId="18" xfId="0" applyNumberFormat="1" applyFont="1" applyFill="1" applyBorder="1" applyAlignment="1">
      <alignment horizontal="center" vertical="center"/>
    </xf>
    <xf numFmtId="176" fontId="61" fillId="33" borderId="22" xfId="0" applyNumberFormat="1" applyFont="1" applyFill="1" applyBorder="1" applyAlignment="1">
      <alignment horizontal="center" vertical="center"/>
    </xf>
    <xf numFmtId="41" fontId="61" fillId="33" borderId="23" xfId="1" applyFont="1" applyFill="1" applyBorder="1" applyAlignment="1">
      <alignment horizontal="center" vertical="center"/>
    </xf>
    <xf numFmtId="176" fontId="61" fillId="33" borderId="24" xfId="0" applyNumberFormat="1" applyFont="1" applyFill="1" applyBorder="1" applyAlignment="1">
      <alignment horizontal="center" vertical="center"/>
    </xf>
    <xf numFmtId="41" fontId="61" fillId="33" borderId="25" xfId="1" applyFont="1" applyFill="1" applyBorder="1" applyAlignment="1">
      <alignment horizontal="center" vertical="center"/>
    </xf>
    <xf numFmtId="41" fontId="61" fillId="33" borderId="26" xfId="1" applyFont="1" applyFill="1" applyBorder="1" applyAlignment="1">
      <alignment horizontal="center" vertical="center"/>
    </xf>
    <xf numFmtId="41" fontId="61" fillId="35" borderId="12" xfId="1" applyFont="1" applyFill="1" applyBorder="1" applyAlignment="1">
      <alignment horizontal="center" vertical="center"/>
    </xf>
    <xf numFmtId="41" fontId="50" fillId="0" borderId="15" xfId="1" applyFont="1" applyBorder="1" applyAlignment="1">
      <alignment horizontal="right" vertical="center"/>
    </xf>
    <xf numFmtId="176" fontId="61" fillId="33" borderId="30" xfId="0" applyNumberFormat="1" applyFont="1" applyFill="1" applyBorder="1" applyAlignment="1">
      <alignment horizontal="center" vertical="center"/>
    </xf>
    <xf numFmtId="0" fontId="63" fillId="34" borderId="0" xfId="0" applyFont="1" applyFill="1" applyAlignment="1">
      <alignment horizontal="left" vertical="center"/>
    </xf>
    <xf numFmtId="0" fontId="63" fillId="34" borderId="0" xfId="0" applyFont="1" applyFill="1" applyAlignment="1">
      <alignment horizontal="center" vertical="center"/>
    </xf>
    <xf numFmtId="0" fontId="64" fillId="34" borderId="0" xfId="0" applyFont="1" applyFill="1">
      <alignment vertical="center"/>
    </xf>
    <xf numFmtId="176" fontId="62" fillId="33" borderId="24" xfId="0" applyNumberFormat="1" applyFont="1" applyFill="1" applyBorder="1" applyAlignment="1">
      <alignment horizontal="center" vertical="center"/>
    </xf>
    <xf numFmtId="41" fontId="62" fillId="35" borderId="16" xfId="1" applyFont="1" applyFill="1" applyBorder="1" applyAlignment="1">
      <alignment horizontal="center" vertical="center"/>
    </xf>
    <xf numFmtId="41" fontId="64" fillId="0" borderId="14" xfId="1" applyFont="1" applyBorder="1" applyAlignment="1">
      <alignment horizontal="right" vertical="center"/>
    </xf>
    <xf numFmtId="0" fontId="47" fillId="34" borderId="0" xfId="0" applyFont="1" applyFill="1" applyAlignment="1">
      <alignment horizontal="center" vertical="center"/>
    </xf>
    <xf numFmtId="0" fontId="65" fillId="0" borderId="0" xfId="0" applyFont="1" applyAlignment="1">
      <alignment horizontal="center"/>
    </xf>
    <xf numFmtId="0" fontId="65" fillId="0" borderId="0" xfId="0" applyFont="1" applyAlignment="1"/>
    <xf numFmtId="0" fontId="65" fillId="0" borderId="0" xfId="0" applyFont="1" applyAlignment="1">
      <alignment horizontal="left"/>
    </xf>
    <xf numFmtId="41" fontId="65" fillId="0" borderId="0" xfId="0" applyNumberFormat="1" applyFont="1" applyAlignment="1">
      <alignment horizontal="center"/>
    </xf>
    <xf numFmtId="0" fontId="65" fillId="0" borderId="27" xfId="0" applyFont="1" applyBorder="1" applyAlignment="1"/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41" fontId="65" fillId="0" borderId="0" xfId="0" applyNumberFormat="1" applyFont="1" applyAlignment="1">
      <alignment horizontal="center" vertical="center"/>
    </xf>
    <xf numFmtId="14" fontId="65" fillId="0" borderId="0" xfId="0" applyNumberFormat="1" applyFont="1" applyAlignment="1">
      <alignment horizontal="center"/>
    </xf>
    <xf numFmtId="0" fontId="65" fillId="0" borderId="27" xfId="0" applyFont="1" applyBorder="1" applyAlignment="1">
      <alignment horizontal="center"/>
    </xf>
    <xf numFmtId="0" fontId="66" fillId="0" borderId="31" xfId="0" applyFont="1" applyBorder="1" applyAlignment="1"/>
    <xf numFmtId="0" fontId="65" fillId="0" borderId="32" xfId="0" applyFont="1" applyBorder="1" applyAlignment="1"/>
    <xf numFmtId="0" fontId="65" fillId="0" borderId="27" xfId="0" applyFont="1" applyBorder="1" applyAlignment="1">
      <alignment horizontal="center" vertical="center"/>
    </xf>
    <xf numFmtId="10" fontId="65" fillId="0" borderId="0" xfId="0" applyNumberFormat="1" applyFont="1" applyAlignment="1">
      <alignment horizontal="center"/>
    </xf>
    <xf numFmtId="0" fontId="65" fillId="0" borderId="33" xfId="0" applyFont="1" applyBorder="1" applyAlignment="1"/>
    <xf numFmtId="0" fontId="65" fillId="0" borderId="34" xfId="0" applyFont="1" applyBorder="1" applyAlignment="1"/>
    <xf numFmtId="10" fontId="65" fillId="0" borderId="0" xfId="0" applyNumberFormat="1" applyFont="1" applyAlignment="1">
      <alignment horizontal="center" vertical="center"/>
    </xf>
    <xf numFmtId="0" fontId="67" fillId="0" borderId="35" xfId="1" applyNumberFormat="1" applyFont="1" applyFill="1" applyBorder="1">
      <alignment vertical="center"/>
    </xf>
    <xf numFmtId="0" fontId="65" fillId="0" borderId="36" xfId="0" applyFont="1" applyBorder="1" applyAlignment="1"/>
    <xf numFmtId="0" fontId="68" fillId="0" borderId="0" xfId="0" applyFont="1" applyAlignment="1"/>
    <xf numFmtId="14" fontId="65" fillId="0" borderId="0" xfId="0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41" fontId="68" fillId="0" borderId="0" xfId="0" applyNumberFormat="1" applyFont="1">
      <alignment vertical="center"/>
    </xf>
    <xf numFmtId="176" fontId="62" fillId="33" borderId="29" xfId="0" applyNumberFormat="1" applyFont="1" applyFill="1" applyBorder="1" applyAlignment="1">
      <alignment horizontal="center" vertical="center"/>
    </xf>
    <xf numFmtId="178" fontId="62" fillId="35" borderId="16" xfId="1" applyNumberFormat="1" applyFont="1" applyFill="1" applyBorder="1" applyAlignment="1">
      <alignment horizontal="center" vertical="center"/>
    </xf>
    <xf numFmtId="41" fontId="64" fillId="0" borderId="14" xfId="1" applyFont="1" applyBorder="1" applyAlignment="1">
      <alignment horizontal="center" vertical="center"/>
    </xf>
    <xf numFmtId="178" fontId="64" fillId="0" borderId="14" xfId="1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49" fontId="65" fillId="0" borderId="0" xfId="0" applyNumberFormat="1" applyFont="1" applyAlignment="1"/>
    <xf numFmtId="0" fontId="68" fillId="0" borderId="0" xfId="0" applyFont="1">
      <alignment vertical="center"/>
    </xf>
    <xf numFmtId="9" fontId="44" fillId="0" borderId="0" xfId="0" applyNumberFormat="1" applyFont="1">
      <alignment vertical="center"/>
    </xf>
    <xf numFmtId="41" fontId="61" fillId="35" borderId="19" xfId="0" applyNumberFormat="1" applyFont="1" applyFill="1" applyBorder="1" applyAlignment="1">
      <alignment horizontal="center" vertical="center"/>
    </xf>
    <xf numFmtId="41" fontId="61" fillId="35" borderId="21" xfId="0" applyNumberFormat="1" applyFont="1" applyFill="1" applyBorder="1" applyAlignment="1">
      <alignment horizontal="center" vertical="center"/>
    </xf>
    <xf numFmtId="0" fontId="70" fillId="0" borderId="0" xfId="0" applyFont="1">
      <alignment vertical="center"/>
    </xf>
    <xf numFmtId="41" fontId="51" fillId="0" borderId="0" xfId="0" applyNumberFormat="1" applyFont="1" applyAlignment="1">
      <alignment horizontal="center" vertical="center"/>
    </xf>
    <xf numFmtId="0" fontId="72" fillId="36" borderId="0" xfId="0" applyFont="1" applyFill="1" applyAlignment="1">
      <alignment horizontal="center" vertical="center"/>
    </xf>
    <xf numFmtId="41" fontId="73" fillId="37" borderId="0" xfId="0" applyNumberFormat="1" applyFont="1" applyFill="1" applyAlignment="1">
      <alignment horizontal="center" vertical="center"/>
    </xf>
    <xf numFmtId="0" fontId="73" fillId="37" borderId="0" xfId="0" applyFont="1" applyFill="1" applyAlignment="1">
      <alignment horizontal="center" vertical="center"/>
    </xf>
    <xf numFmtId="0" fontId="72" fillId="36" borderId="27" xfId="0" applyFont="1" applyFill="1" applyBorder="1" applyAlignment="1">
      <alignment horizontal="center" vertical="center"/>
    </xf>
    <xf numFmtId="0" fontId="73" fillId="37" borderId="0" xfId="0" applyFont="1" applyFill="1" applyAlignment="1">
      <alignment horizontal="left" vertical="center"/>
    </xf>
    <xf numFmtId="0" fontId="73" fillId="37" borderId="27" xfId="0" applyFont="1" applyFill="1" applyBorder="1" applyAlignment="1">
      <alignment horizontal="center" vertical="center"/>
    </xf>
    <xf numFmtId="0" fontId="73" fillId="41" borderId="0" xfId="0" applyFont="1" applyFill="1" applyAlignment="1">
      <alignment horizontal="center" vertical="center"/>
    </xf>
    <xf numFmtId="41" fontId="74" fillId="41" borderId="0" xfId="0" applyNumberFormat="1" applyFont="1" applyFill="1" applyAlignment="1">
      <alignment horizontal="center" vertical="center"/>
    </xf>
    <xf numFmtId="0" fontId="76" fillId="40" borderId="0" xfId="0" applyFont="1" applyFill="1" applyAlignment="1">
      <alignment horizontal="center" vertical="top"/>
    </xf>
    <xf numFmtId="0" fontId="76" fillId="40" borderId="0" xfId="0" applyFont="1" applyFill="1" applyAlignment="1">
      <alignment vertical="top"/>
    </xf>
    <xf numFmtId="176" fontId="61" fillId="33" borderId="37" xfId="0" applyNumberFormat="1" applyFont="1" applyFill="1" applyBorder="1" applyAlignment="1">
      <alignment horizontal="center" vertical="center"/>
    </xf>
    <xf numFmtId="176" fontId="61" fillId="33" borderId="38" xfId="0" applyNumberFormat="1" applyFont="1" applyFill="1" applyBorder="1" applyAlignment="1">
      <alignment horizontal="center" vertical="center"/>
    </xf>
    <xf numFmtId="41" fontId="61" fillId="35" borderId="39" xfId="1" applyFont="1" applyFill="1" applyBorder="1" applyAlignment="1">
      <alignment horizontal="center" vertical="center"/>
    </xf>
    <xf numFmtId="41" fontId="50" fillId="0" borderId="40" xfId="1" applyFont="1" applyBorder="1" applyAlignment="1">
      <alignment horizontal="right" vertical="center"/>
    </xf>
    <xf numFmtId="176" fontId="62" fillId="33" borderId="37" xfId="0" applyNumberFormat="1" applyFont="1" applyFill="1" applyBorder="1" applyAlignment="1">
      <alignment horizontal="center" vertical="center"/>
    </xf>
    <xf numFmtId="176" fontId="62" fillId="33" borderId="30" xfId="0" applyNumberFormat="1" applyFont="1" applyFill="1" applyBorder="1" applyAlignment="1">
      <alignment horizontal="center" vertical="center"/>
    </xf>
    <xf numFmtId="41" fontId="62" fillId="35" borderId="12" xfId="1" applyFont="1" applyFill="1" applyBorder="1" applyAlignment="1">
      <alignment horizontal="center" vertical="center"/>
    </xf>
    <xf numFmtId="41" fontId="64" fillId="0" borderId="15" xfId="1" applyFont="1" applyBorder="1" applyAlignment="1">
      <alignment horizontal="right" vertical="center"/>
    </xf>
    <xf numFmtId="176" fontId="62" fillId="33" borderId="38" xfId="0" applyNumberFormat="1" applyFont="1" applyFill="1" applyBorder="1" applyAlignment="1">
      <alignment horizontal="center" vertical="center"/>
    </xf>
    <xf numFmtId="41" fontId="62" fillId="35" borderId="39" xfId="1" applyFont="1" applyFill="1" applyBorder="1" applyAlignment="1">
      <alignment horizontal="center" vertical="center"/>
    </xf>
    <xf numFmtId="41" fontId="64" fillId="0" borderId="40" xfId="1" applyFont="1" applyBorder="1" applyAlignment="1">
      <alignment horizontal="right" vertical="center"/>
    </xf>
    <xf numFmtId="41" fontId="0" fillId="0" borderId="11" xfId="1059" applyFont="1" applyBorder="1" applyAlignment="1"/>
    <xf numFmtId="0" fontId="77" fillId="0" borderId="0" xfId="0" applyFont="1" applyAlignment="1">
      <alignment horizontal="left" vertical="center"/>
    </xf>
    <xf numFmtId="0" fontId="77" fillId="44" borderId="0" xfId="0" applyFont="1" applyFill="1" applyAlignment="1">
      <alignment horizontal="left" vertical="center"/>
    </xf>
    <xf numFmtId="178" fontId="77" fillId="0" borderId="0" xfId="2" applyNumberFormat="1" applyFont="1" applyAlignment="1">
      <alignment horizontal="left" vertical="center"/>
    </xf>
    <xf numFmtId="178" fontId="77" fillId="44" borderId="0" xfId="2" applyNumberFormat="1" applyFont="1" applyFill="1" applyBorder="1" applyAlignment="1">
      <alignment horizontal="left" vertical="center"/>
    </xf>
    <xf numFmtId="178" fontId="77" fillId="0" borderId="0" xfId="2" applyNumberFormat="1" applyFont="1" applyBorder="1" applyAlignment="1">
      <alignment horizontal="left" vertical="center"/>
    </xf>
    <xf numFmtId="0" fontId="78" fillId="0" borderId="0" xfId="0" applyFont="1">
      <alignment vertical="center"/>
    </xf>
    <xf numFmtId="0" fontId="78" fillId="0" borderId="0" xfId="0" applyFont="1" applyAlignment="1">
      <alignment horizontal="center" vertical="center"/>
    </xf>
    <xf numFmtId="0" fontId="78" fillId="0" borderId="0" xfId="0" applyFont="1" applyAlignment="1">
      <alignment horizontal="left" vertical="center"/>
    </xf>
    <xf numFmtId="41" fontId="78" fillId="0" borderId="0" xfId="1" applyFont="1" applyFill="1" applyBorder="1" applyAlignment="1">
      <alignment vertical="center"/>
    </xf>
    <xf numFmtId="178" fontId="78" fillId="0" borderId="0" xfId="2" applyNumberFormat="1" applyFont="1" applyFill="1" applyBorder="1" applyAlignment="1">
      <alignment vertical="center"/>
    </xf>
    <xf numFmtId="178" fontId="78" fillId="0" borderId="0" xfId="2" applyNumberFormat="1" applyFont="1" applyFill="1" applyAlignment="1">
      <alignment vertical="center"/>
    </xf>
    <xf numFmtId="0" fontId="79" fillId="0" borderId="0" xfId="0" applyFont="1">
      <alignment vertical="center"/>
    </xf>
    <xf numFmtId="41" fontId="78" fillId="0" borderId="0" xfId="1" applyFont="1" applyBorder="1" applyAlignment="1">
      <alignment vertical="center"/>
    </xf>
    <xf numFmtId="178" fontId="78" fillId="0" borderId="0" xfId="2" applyNumberFormat="1" applyFont="1" applyBorder="1" applyAlignment="1">
      <alignment vertical="center"/>
    </xf>
    <xf numFmtId="10" fontId="78" fillId="0" borderId="0" xfId="2" applyNumberFormat="1" applyFont="1">
      <alignment vertical="center"/>
    </xf>
    <xf numFmtId="0" fontId="80" fillId="0" borderId="0" xfId="0" applyFont="1">
      <alignment vertical="center"/>
    </xf>
    <xf numFmtId="0" fontId="81" fillId="0" borderId="0" xfId="0" applyFont="1">
      <alignment vertical="center"/>
    </xf>
    <xf numFmtId="9" fontId="78" fillId="0" borderId="0" xfId="0" applyNumberFormat="1" applyFont="1">
      <alignment vertical="center"/>
    </xf>
    <xf numFmtId="41" fontId="80" fillId="0" borderId="0" xfId="1" applyFont="1" applyAlignment="1">
      <alignment vertical="center"/>
    </xf>
    <xf numFmtId="0" fontId="82" fillId="0" borderId="0" xfId="0" applyFont="1">
      <alignment vertical="center"/>
    </xf>
    <xf numFmtId="0" fontId="82" fillId="0" borderId="0" xfId="0" applyFont="1" applyAlignment="1">
      <alignment horizontal="center" vertical="center"/>
    </xf>
    <xf numFmtId="0" fontId="82" fillId="0" borderId="0" xfId="0" applyFont="1" applyAlignment="1">
      <alignment horizontal="left" vertical="center"/>
    </xf>
    <xf numFmtId="41" fontId="82" fillId="0" borderId="0" xfId="1" applyFont="1" applyBorder="1" applyAlignment="1">
      <alignment vertical="center"/>
    </xf>
    <xf numFmtId="178" fontId="82" fillId="0" borderId="0" xfId="1" applyNumberFormat="1" applyFont="1" applyFill="1" applyBorder="1" applyAlignment="1">
      <alignment vertical="center"/>
    </xf>
    <xf numFmtId="41" fontId="84" fillId="0" borderId="0" xfId="1" applyFont="1" applyAlignment="1">
      <alignment vertical="center"/>
    </xf>
    <xf numFmtId="178" fontId="82" fillId="0" borderId="0" xfId="0" applyNumberFormat="1" applyFont="1">
      <alignment vertical="center"/>
    </xf>
    <xf numFmtId="3" fontId="82" fillId="0" borderId="0" xfId="0" applyNumberFormat="1" applyFont="1">
      <alignment vertical="center"/>
    </xf>
    <xf numFmtId="10" fontId="82" fillId="0" borderId="0" xfId="0" applyNumberFormat="1" applyFont="1">
      <alignment vertical="center"/>
    </xf>
    <xf numFmtId="178" fontId="84" fillId="0" borderId="0" xfId="2" applyNumberFormat="1" applyFont="1" applyAlignment="1">
      <alignment vertical="center"/>
    </xf>
    <xf numFmtId="178" fontId="82" fillId="0" borderId="0" xfId="2" applyNumberFormat="1" applyFont="1" applyBorder="1" applyAlignment="1">
      <alignment vertical="center"/>
    </xf>
    <xf numFmtId="41" fontId="82" fillId="0" borderId="0" xfId="1" applyFont="1" applyFill="1" applyBorder="1" applyAlignment="1">
      <alignment vertical="center"/>
    </xf>
    <xf numFmtId="0" fontId="84" fillId="0" borderId="0" xfId="0" applyFont="1">
      <alignment vertical="center"/>
    </xf>
    <xf numFmtId="41" fontId="82" fillId="0" borderId="0" xfId="1" applyFont="1" applyFill="1" applyBorder="1" applyAlignment="1">
      <alignment horizontal="center" vertical="center"/>
    </xf>
    <xf numFmtId="178" fontId="82" fillId="0" borderId="0" xfId="2" applyNumberFormat="1" applyFont="1" applyFill="1" applyBorder="1" applyAlignment="1">
      <alignment horizontal="center" vertical="center"/>
    </xf>
    <xf numFmtId="41" fontId="82" fillId="0" borderId="0" xfId="1" applyFont="1" applyFill="1" applyBorder="1" applyAlignment="1">
      <alignment horizontal="left" vertical="center"/>
    </xf>
    <xf numFmtId="0" fontId="78" fillId="45" borderId="0" xfId="0" applyFont="1" applyFill="1">
      <alignment vertical="center"/>
    </xf>
    <xf numFmtId="0" fontId="78" fillId="45" borderId="0" xfId="0" applyFont="1" applyFill="1" applyAlignment="1">
      <alignment horizontal="center" vertical="center"/>
    </xf>
    <xf numFmtId="0" fontId="78" fillId="45" borderId="0" xfId="0" applyFont="1" applyFill="1" applyAlignment="1">
      <alignment horizontal="left" vertical="center"/>
    </xf>
    <xf numFmtId="41" fontId="78" fillId="45" borderId="0" xfId="1" applyFont="1" applyFill="1" applyBorder="1" applyAlignment="1">
      <alignment vertical="center"/>
    </xf>
    <xf numFmtId="178" fontId="78" fillId="45" borderId="0" xfId="2" applyNumberFormat="1" applyFont="1" applyFill="1" applyBorder="1" applyAlignment="1">
      <alignment vertical="center"/>
    </xf>
    <xf numFmtId="41" fontId="80" fillId="45" borderId="0" xfId="1" applyFont="1" applyFill="1">
      <alignment vertical="center"/>
    </xf>
    <xf numFmtId="41" fontId="78" fillId="45" borderId="0" xfId="1" applyFont="1" applyFill="1" applyAlignment="1">
      <alignment vertical="center"/>
    </xf>
    <xf numFmtId="178" fontId="78" fillId="45" borderId="0" xfId="2" applyNumberFormat="1" applyFont="1" applyFill="1" applyAlignment="1">
      <alignment vertical="center"/>
    </xf>
    <xf numFmtId="0" fontId="42" fillId="45" borderId="0" xfId="0" applyFont="1" applyFill="1">
      <alignment vertical="center"/>
    </xf>
    <xf numFmtId="0" fontId="78" fillId="46" borderId="0" xfId="0" applyFont="1" applyFill="1">
      <alignment vertical="center"/>
    </xf>
    <xf numFmtId="0" fontId="78" fillId="46" borderId="0" xfId="0" applyFont="1" applyFill="1" applyAlignment="1">
      <alignment horizontal="center" vertical="center"/>
    </xf>
    <xf numFmtId="0" fontId="78" fillId="46" borderId="0" xfId="0" applyFont="1" applyFill="1" applyAlignment="1">
      <alignment horizontal="left" vertical="center"/>
    </xf>
    <xf numFmtId="0" fontId="80" fillId="46" borderId="0" xfId="0" applyFont="1" applyFill="1">
      <alignment vertical="center"/>
    </xf>
    <xf numFmtId="0" fontId="80" fillId="46" borderId="0" xfId="0" applyFont="1" applyFill="1" applyAlignment="1">
      <alignment horizontal="center" vertical="center"/>
    </xf>
    <xf numFmtId="0" fontId="80" fillId="46" borderId="0" xfId="0" applyFont="1" applyFill="1" applyAlignment="1">
      <alignment horizontal="left" vertical="center"/>
    </xf>
    <xf numFmtId="41" fontId="80" fillId="46" borderId="0" xfId="1" applyFont="1" applyFill="1">
      <alignment vertical="center"/>
    </xf>
    <xf numFmtId="178" fontId="80" fillId="46" borderId="0" xfId="2" applyNumberFormat="1" applyFont="1" applyFill="1">
      <alignment vertical="center"/>
    </xf>
    <xf numFmtId="41" fontId="85" fillId="46" borderId="0" xfId="1" applyFont="1" applyFill="1">
      <alignment vertical="center"/>
    </xf>
    <xf numFmtId="0" fontId="80" fillId="0" borderId="0" xfId="0" applyFont="1" applyAlignment="1">
      <alignment horizontal="center" vertical="center"/>
    </xf>
    <xf numFmtId="41" fontId="80" fillId="47" borderId="0" xfId="1" applyFont="1" applyFill="1">
      <alignment vertical="center"/>
    </xf>
    <xf numFmtId="178" fontId="80" fillId="47" borderId="0" xfId="2" applyNumberFormat="1" applyFont="1" applyFill="1">
      <alignment vertical="center"/>
    </xf>
    <xf numFmtId="0" fontId="80" fillId="48" borderId="0" xfId="0" applyFont="1" applyFill="1">
      <alignment vertical="center"/>
    </xf>
    <xf numFmtId="0" fontId="80" fillId="48" borderId="0" xfId="0" applyFont="1" applyFill="1" applyAlignment="1">
      <alignment horizontal="center" vertical="center"/>
    </xf>
    <xf numFmtId="0" fontId="80" fillId="48" borderId="0" xfId="0" quotePrefix="1" applyFont="1" applyFill="1" applyAlignment="1">
      <alignment horizontal="center" vertical="center"/>
    </xf>
    <xf numFmtId="0" fontId="80" fillId="48" borderId="0" xfId="0" applyFont="1" applyFill="1" applyAlignment="1">
      <alignment horizontal="left" vertical="center"/>
    </xf>
    <xf numFmtId="0" fontId="42" fillId="48" borderId="0" xfId="0" applyFont="1" applyFill="1">
      <alignment vertical="center"/>
    </xf>
    <xf numFmtId="41" fontId="80" fillId="48" borderId="0" xfId="1" applyFont="1" applyFill="1">
      <alignment vertical="center"/>
    </xf>
    <xf numFmtId="41" fontId="80" fillId="48" borderId="0" xfId="1" applyFont="1" applyFill="1" applyAlignment="1">
      <alignment horizontal="center" vertical="center"/>
    </xf>
    <xf numFmtId="41" fontId="83" fillId="48" borderId="0" xfId="1" applyFont="1" applyFill="1">
      <alignment vertical="center"/>
    </xf>
    <xf numFmtId="178" fontId="80" fillId="48" borderId="0" xfId="2" applyNumberFormat="1" applyFont="1" applyFill="1">
      <alignment vertical="center"/>
    </xf>
    <xf numFmtId="0" fontId="80" fillId="0" borderId="0" xfId="0" applyFont="1" applyAlignment="1">
      <alignment horizontal="left" vertical="center"/>
    </xf>
    <xf numFmtId="41" fontId="80" fillId="0" borderId="0" xfId="1" applyFont="1" applyFill="1" applyAlignment="1">
      <alignment horizontal="center" vertical="center"/>
    </xf>
    <xf numFmtId="41" fontId="78" fillId="0" borderId="0" xfId="1" applyFont="1" applyFill="1" applyAlignment="1">
      <alignment vertical="center"/>
    </xf>
    <xf numFmtId="0" fontId="60" fillId="0" borderId="0" xfId="0" applyFont="1">
      <alignment vertical="center"/>
    </xf>
    <xf numFmtId="41" fontId="86" fillId="0" borderId="0" xfId="1" applyFont="1" applyFill="1" applyBorder="1" applyAlignment="1">
      <alignment vertical="center"/>
    </xf>
    <xf numFmtId="0" fontId="78" fillId="48" borderId="0" xfId="0" applyFont="1" applyFill="1">
      <alignment vertical="center"/>
    </xf>
    <xf numFmtId="0" fontId="87" fillId="49" borderId="0" xfId="0" applyFont="1" applyFill="1">
      <alignment vertical="center"/>
    </xf>
    <xf numFmtId="0" fontId="87" fillId="49" borderId="0" xfId="0" applyFont="1" applyFill="1" applyAlignment="1">
      <alignment horizontal="center" vertical="center"/>
    </xf>
    <xf numFmtId="0" fontId="78" fillId="48" borderId="0" xfId="0" applyFont="1" applyFill="1" applyAlignment="1">
      <alignment horizontal="left" vertical="center"/>
    </xf>
    <xf numFmtId="0" fontId="78" fillId="48" borderId="0" xfId="0" applyFont="1" applyFill="1" applyAlignment="1">
      <alignment horizontal="center" vertical="center"/>
    </xf>
    <xf numFmtId="41" fontId="78" fillId="48" borderId="0" xfId="1" applyFont="1" applyFill="1" applyBorder="1" applyAlignment="1">
      <alignment vertical="center"/>
    </xf>
    <xf numFmtId="178" fontId="78" fillId="48" borderId="0" xfId="2" applyNumberFormat="1" applyFont="1" applyFill="1" applyBorder="1" applyAlignment="1">
      <alignment vertical="center"/>
    </xf>
    <xf numFmtId="41" fontId="78" fillId="48" borderId="0" xfId="1" applyFont="1" applyFill="1" applyAlignment="1">
      <alignment vertical="center"/>
    </xf>
    <xf numFmtId="178" fontId="78" fillId="48" borderId="0" xfId="2" applyNumberFormat="1" applyFont="1" applyFill="1" applyAlignment="1">
      <alignment vertical="center"/>
    </xf>
    <xf numFmtId="0" fontId="88" fillId="50" borderId="0" xfId="0" applyFont="1" applyFill="1">
      <alignment vertical="center"/>
    </xf>
    <xf numFmtId="0" fontId="88" fillId="50" borderId="0" xfId="0" applyFont="1" applyFill="1" applyAlignment="1">
      <alignment horizontal="left" vertical="center"/>
    </xf>
    <xf numFmtId="41" fontId="82" fillId="48" borderId="0" xfId="1" applyFont="1" applyFill="1" applyBorder="1" applyAlignment="1">
      <alignment vertical="center"/>
    </xf>
    <xf numFmtId="41" fontId="89" fillId="48" borderId="0" xfId="1" applyFont="1" applyFill="1" applyBorder="1" applyAlignment="1">
      <alignment vertical="center"/>
    </xf>
    <xf numFmtId="0" fontId="88" fillId="0" borderId="0" xfId="0" applyFont="1">
      <alignment vertical="center"/>
    </xf>
    <xf numFmtId="3" fontId="88" fillId="50" borderId="0" xfId="0" applyNumberFormat="1" applyFont="1" applyFill="1">
      <alignment vertical="center"/>
    </xf>
    <xf numFmtId="41" fontId="78" fillId="46" borderId="0" xfId="1" applyFont="1" applyFill="1" applyAlignment="1">
      <alignment vertical="center"/>
    </xf>
    <xf numFmtId="41" fontId="82" fillId="46" borderId="0" xfId="1" applyFont="1" applyFill="1" applyAlignment="1">
      <alignment vertical="center"/>
    </xf>
    <xf numFmtId="41" fontId="80" fillId="46" borderId="0" xfId="1" applyFont="1" applyFill="1" applyAlignment="1">
      <alignment vertical="center"/>
    </xf>
    <xf numFmtId="178" fontId="78" fillId="37" borderId="0" xfId="2" applyNumberFormat="1" applyFont="1" applyFill="1" applyAlignment="1">
      <alignment vertical="center"/>
    </xf>
    <xf numFmtId="178" fontId="78" fillId="46" borderId="0" xfId="2" applyNumberFormat="1" applyFont="1" applyFill="1" applyAlignment="1">
      <alignment vertical="center"/>
    </xf>
    <xf numFmtId="0" fontId="90" fillId="47" borderId="0" xfId="0" applyFont="1" applyFill="1">
      <alignment vertical="center"/>
    </xf>
    <xf numFmtId="0" fontId="90" fillId="47" borderId="0" xfId="0" applyFont="1" applyFill="1" applyAlignment="1">
      <alignment horizontal="left" vertical="center"/>
    </xf>
    <xf numFmtId="0" fontId="90" fillId="47" borderId="0" xfId="0" applyFont="1" applyFill="1" applyAlignment="1">
      <alignment horizontal="center" vertical="center"/>
    </xf>
    <xf numFmtId="41" fontId="90" fillId="47" borderId="0" xfId="1" applyFont="1" applyFill="1" applyAlignment="1">
      <alignment vertical="center"/>
    </xf>
    <xf numFmtId="178" fontId="90" fillId="47" borderId="0" xfId="2" applyNumberFormat="1" applyFont="1" applyFill="1" applyAlignment="1">
      <alignment vertical="center"/>
    </xf>
    <xf numFmtId="41" fontId="80" fillId="47" borderId="0" xfId="1" applyFont="1" applyFill="1" applyAlignment="1">
      <alignment vertical="center"/>
    </xf>
    <xf numFmtId="0" fontId="90" fillId="0" borderId="0" xfId="0" applyFont="1">
      <alignment vertical="center"/>
    </xf>
    <xf numFmtId="0" fontId="89" fillId="0" borderId="0" xfId="0" applyFont="1">
      <alignment vertical="center"/>
    </xf>
    <xf numFmtId="0" fontId="78" fillId="37" borderId="0" xfId="0" applyFont="1" applyFill="1" applyAlignment="1">
      <alignment horizontal="left" vertical="center"/>
    </xf>
    <xf numFmtId="0" fontId="78" fillId="37" borderId="0" xfId="0" applyFont="1" applyFill="1">
      <alignment vertical="center"/>
    </xf>
    <xf numFmtId="0" fontId="78" fillId="37" borderId="0" xfId="0" applyFont="1" applyFill="1" applyAlignment="1">
      <alignment horizontal="center" vertical="center"/>
    </xf>
    <xf numFmtId="41" fontId="80" fillId="37" borderId="0" xfId="1" applyFont="1" applyFill="1" applyAlignment="1">
      <alignment vertical="center"/>
    </xf>
    <xf numFmtId="41" fontId="78" fillId="37" borderId="0" xfId="1" applyFont="1" applyFill="1" applyBorder="1" applyAlignment="1">
      <alignment vertical="center"/>
    </xf>
    <xf numFmtId="41" fontId="91" fillId="37" borderId="0" xfId="0" applyNumberFormat="1" applyFont="1" applyFill="1">
      <alignment vertical="center"/>
    </xf>
    <xf numFmtId="178" fontId="78" fillId="37" borderId="0" xfId="2" applyNumberFormat="1" applyFont="1" applyFill="1" applyBorder="1" applyAlignment="1">
      <alignment vertical="center"/>
    </xf>
    <xf numFmtId="41" fontId="78" fillId="37" borderId="0" xfId="1" applyFont="1" applyFill="1" applyAlignment="1">
      <alignment vertical="center"/>
    </xf>
    <xf numFmtId="41" fontId="78" fillId="37" borderId="0" xfId="1" applyFont="1" applyFill="1" applyBorder="1" applyAlignment="1">
      <alignment horizontal="center" vertical="center"/>
    </xf>
    <xf numFmtId="0" fontId="78" fillId="47" borderId="0" xfId="0" applyFont="1" applyFill="1">
      <alignment vertical="center"/>
    </xf>
    <xf numFmtId="0" fontId="78" fillId="47" borderId="0" xfId="0" applyFont="1" applyFill="1" applyAlignment="1">
      <alignment horizontal="left" vertical="center"/>
    </xf>
    <xf numFmtId="0" fontId="78" fillId="47" borderId="0" xfId="0" applyFont="1" applyFill="1" applyAlignment="1">
      <alignment horizontal="center" vertical="center"/>
    </xf>
    <xf numFmtId="41" fontId="78" fillId="47" borderId="0" xfId="1" applyFont="1" applyFill="1" applyBorder="1" applyAlignment="1">
      <alignment vertical="center"/>
    </xf>
    <xf numFmtId="41" fontId="82" fillId="47" borderId="0" xfId="1" applyFont="1" applyFill="1" applyBorder="1" applyAlignment="1">
      <alignment vertical="center"/>
    </xf>
    <xf numFmtId="178" fontId="78" fillId="47" borderId="0" xfId="2" applyNumberFormat="1" applyFont="1" applyFill="1" applyBorder="1" applyAlignment="1">
      <alignment vertical="center"/>
    </xf>
    <xf numFmtId="41" fontId="78" fillId="47" borderId="0" xfId="1" applyFont="1" applyFill="1" applyBorder="1" applyAlignment="1">
      <alignment horizontal="center" vertical="center"/>
    </xf>
    <xf numFmtId="41" fontId="78" fillId="47" borderId="0" xfId="1" applyFont="1" applyFill="1" applyAlignment="1">
      <alignment vertical="center"/>
    </xf>
    <xf numFmtId="178" fontId="78" fillId="47" borderId="0" xfId="2" applyNumberFormat="1" applyFont="1" applyFill="1" applyAlignment="1">
      <alignment vertical="center"/>
    </xf>
    <xf numFmtId="41" fontId="80" fillId="0" borderId="0" xfId="1" applyFont="1" applyFill="1" applyAlignment="1">
      <alignment vertical="center"/>
    </xf>
    <xf numFmtId="178" fontId="80" fillId="0" borderId="0" xfId="2" applyNumberFormat="1" applyFont="1" applyFill="1" applyAlignment="1">
      <alignment vertical="center"/>
    </xf>
    <xf numFmtId="3" fontId="70" fillId="0" borderId="0" xfId="0" applyNumberFormat="1" applyFont="1">
      <alignment vertical="center"/>
    </xf>
    <xf numFmtId="41" fontId="80" fillId="0" borderId="0" xfId="1" applyFont="1" applyAlignment="1">
      <alignment horizontal="right" vertical="center"/>
    </xf>
    <xf numFmtId="0" fontId="92" fillId="0" borderId="0" xfId="0" applyFont="1">
      <alignment vertical="center"/>
    </xf>
    <xf numFmtId="0" fontId="84" fillId="51" borderId="0" xfId="0" applyFont="1" applyFill="1">
      <alignment vertical="center"/>
    </xf>
    <xf numFmtId="0" fontId="84" fillId="51" borderId="0" xfId="0" applyFont="1" applyFill="1" applyAlignment="1">
      <alignment horizontal="left" vertical="center"/>
    </xf>
    <xf numFmtId="0" fontId="84" fillId="51" borderId="0" xfId="0" applyFont="1" applyFill="1" applyAlignment="1">
      <alignment horizontal="center" vertical="center"/>
    </xf>
    <xf numFmtId="41" fontId="84" fillId="51" borderId="0" xfId="1" applyFont="1" applyFill="1" applyAlignment="1">
      <alignment horizontal="center" vertical="center"/>
    </xf>
    <xf numFmtId="41" fontId="84" fillId="51" borderId="0" xfId="1" applyFont="1" applyFill="1" applyAlignment="1">
      <alignment vertical="center"/>
    </xf>
    <xf numFmtId="178" fontId="84" fillId="51" borderId="0" xfId="2" applyNumberFormat="1" applyFont="1" applyFill="1" applyAlignment="1">
      <alignment vertical="center"/>
    </xf>
    <xf numFmtId="3" fontId="93" fillId="51" borderId="0" xfId="0" applyNumberFormat="1" applyFont="1" applyFill="1">
      <alignment vertical="center"/>
    </xf>
    <xf numFmtId="41" fontId="92" fillId="51" borderId="0" xfId="1" applyFont="1" applyFill="1" applyAlignment="1">
      <alignment horizontal="center" vertical="center"/>
    </xf>
    <xf numFmtId="0" fontId="80" fillId="0" borderId="0" xfId="0" applyFont="1" applyAlignment="1">
      <alignment horizontal="right" vertical="center"/>
    </xf>
    <xf numFmtId="41" fontId="80" fillId="0" borderId="0" xfId="1" applyFont="1" applyFill="1" applyAlignment="1">
      <alignment horizontal="right" vertical="center"/>
    </xf>
    <xf numFmtId="178" fontId="80" fillId="0" borderId="0" xfId="2" applyNumberFormat="1" applyFont="1" applyFill="1" applyAlignment="1">
      <alignment horizontal="right" vertical="center"/>
    </xf>
    <xf numFmtId="3" fontId="70" fillId="0" borderId="0" xfId="0" applyNumberFormat="1" applyFont="1" applyAlignment="1">
      <alignment horizontal="right" vertical="center"/>
    </xf>
    <xf numFmtId="0" fontId="78" fillId="0" borderId="0" xfId="0" applyFont="1" applyAlignment="1">
      <alignment horizontal="right" vertical="center"/>
    </xf>
    <xf numFmtId="0" fontId="84" fillId="51" borderId="0" xfId="0" applyFont="1" applyFill="1" applyAlignment="1">
      <alignment horizontal="right" vertical="center"/>
    </xf>
    <xf numFmtId="41" fontId="82" fillId="51" borderId="0" xfId="1" applyFont="1" applyFill="1" applyBorder="1" applyAlignment="1">
      <alignment horizontal="right" vertical="center"/>
    </xf>
    <xf numFmtId="41" fontId="84" fillId="51" borderId="0" xfId="1" applyFont="1" applyFill="1" applyAlignment="1">
      <alignment horizontal="right" vertical="center"/>
    </xf>
    <xf numFmtId="178" fontId="82" fillId="51" borderId="0" xfId="2" applyNumberFormat="1" applyFont="1" applyFill="1" applyBorder="1" applyAlignment="1">
      <alignment horizontal="right" vertical="center"/>
    </xf>
    <xf numFmtId="3" fontId="93" fillId="51" borderId="0" xfId="0" applyNumberFormat="1" applyFont="1" applyFill="1" applyAlignment="1">
      <alignment horizontal="right" vertical="center"/>
    </xf>
    <xf numFmtId="41" fontId="86" fillId="51" borderId="0" xfId="1" applyFont="1" applyFill="1" applyBorder="1" applyAlignment="1">
      <alignment horizontal="right" vertical="center"/>
    </xf>
    <xf numFmtId="178" fontId="82" fillId="51" borderId="0" xfId="2" applyNumberFormat="1" applyFont="1" applyFill="1" applyAlignment="1">
      <alignment horizontal="right" vertical="center"/>
    </xf>
    <xf numFmtId="0" fontId="84" fillId="0" borderId="0" xfId="0" applyFont="1" applyAlignment="1">
      <alignment horizontal="right" vertical="center"/>
    </xf>
    <xf numFmtId="0" fontId="82" fillId="0" borderId="0" xfId="0" applyFont="1" applyAlignment="1">
      <alignment horizontal="right" vertical="center"/>
    </xf>
    <xf numFmtId="0" fontId="70" fillId="0" borderId="0" xfId="0" applyFont="1" applyAlignment="1">
      <alignment horizontal="left" vertical="center"/>
    </xf>
    <xf numFmtId="41" fontId="80" fillId="0" borderId="0" xfId="1" applyFont="1" applyFill="1" applyAlignment="1">
      <alignment horizontal="left" vertical="center"/>
    </xf>
    <xf numFmtId="41" fontId="80" fillId="0" borderId="0" xfId="1" applyFont="1" applyAlignment="1">
      <alignment horizontal="center" vertical="center"/>
    </xf>
    <xf numFmtId="0" fontId="93" fillId="51" borderId="0" xfId="0" applyFont="1" applyFill="1">
      <alignment vertical="center"/>
    </xf>
    <xf numFmtId="0" fontId="93" fillId="51" borderId="0" xfId="0" applyFont="1" applyFill="1" applyAlignment="1">
      <alignment horizontal="left" vertical="center"/>
    </xf>
    <xf numFmtId="41" fontId="84" fillId="51" borderId="0" xfId="1" applyFont="1" applyFill="1" applyAlignment="1">
      <alignment horizontal="left" vertical="center"/>
    </xf>
    <xf numFmtId="0" fontId="93" fillId="0" borderId="0" xfId="0" applyFont="1">
      <alignment vertical="center"/>
    </xf>
    <xf numFmtId="0" fontId="80" fillId="37" borderId="0" xfId="0" applyFont="1" applyFill="1">
      <alignment vertical="center"/>
    </xf>
    <xf numFmtId="0" fontId="87" fillId="37" borderId="0" xfId="0" applyFont="1" applyFill="1">
      <alignment vertical="center"/>
    </xf>
    <xf numFmtId="0" fontId="87" fillId="37" borderId="0" xfId="0" applyFont="1" applyFill="1" applyAlignment="1">
      <alignment horizontal="center" vertical="center"/>
    </xf>
    <xf numFmtId="0" fontId="80" fillId="37" borderId="0" xfId="0" applyFont="1" applyFill="1" applyAlignment="1">
      <alignment horizontal="left" vertical="center"/>
    </xf>
    <xf numFmtId="0" fontId="70" fillId="37" borderId="0" xfId="0" applyFont="1" applyFill="1">
      <alignment vertical="center"/>
    </xf>
    <xf numFmtId="0" fontId="80" fillId="37" borderId="0" xfId="0" applyFont="1" applyFill="1" applyAlignment="1">
      <alignment horizontal="center" vertical="center"/>
    </xf>
    <xf numFmtId="41" fontId="80" fillId="37" borderId="0" xfId="1" applyFont="1" applyFill="1" applyAlignment="1">
      <alignment horizontal="center" vertical="center"/>
    </xf>
    <xf numFmtId="178" fontId="80" fillId="37" borderId="0" xfId="2" applyNumberFormat="1" applyFont="1" applyFill="1" applyAlignment="1">
      <alignment vertical="center"/>
    </xf>
    <xf numFmtId="3" fontId="70" fillId="37" borderId="0" xfId="0" applyNumberFormat="1" applyFont="1" applyFill="1">
      <alignment vertical="center"/>
    </xf>
    <xf numFmtId="41" fontId="80" fillId="37" borderId="0" xfId="1" applyFont="1" applyFill="1" applyAlignment="1">
      <alignment horizontal="right" vertical="center"/>
    </xf>
    <xf numFmtId="0" fontId="84" fillId="51" borderId="0" xfId="0" quotePrefix="1" applyFont="1" applyFill="1">
      <alignment vertical="center"/>
    </xf>
    <xf numFmtId="0" fontId="84" fillId="51" borderId="0" xfId="0" quotePrefix="1" applyFont="1" applyFill="1" applyAlignment="1">
      <alignment horizontal="center" vertical="center"/>
    </xf>
    <xf numFmtId="178" fontId="84" fillId="51" borderId="0" xfId="2" applyNumberFormat="1" applyFont="1" applyFill="1" applyAlignment="1">
      <alignment horizontal="right" vertical="center"/>
    </xf>
    <xf numFmtId="41" fontId="92" fillId="51" borderId="0" xfId="1" applyFont="1" applyFill="1" applyAlignment="1">
      <alignment horizontal="right" vertical="center"/>
    </xf>
    <xf numFmtId="41" fontId="78" fillId="46" borderId="0" xfId="1" applyFont="1" applyFill="1" applyBorder="1" applyAlignment="1">
      <alignment vertical="center"/>
    </xf>
    <xf numFmtId="178" fontId="78" fillId="46" borderId="0" xfId="2" applyNumberFormat="1" applyFont="1" applyFill="1" applyBorder="1" applyAlignment="1">
      <alignment vertical="center"/>
    </xf>
    <xf numFmtId="41" fontId="94" fillId="46" borderId="0" xfId="1" applyFont="1" applyFill="1" applyAlignme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left" vertical="center"/>
    </xf>
    <xf numFmtId="0" fontId="88" fillId="37" borderId="0" xfId="0" applyFont="1" applyFill="1">
      <alignment vertical="center"/>
    </xf>
    <xf numFmtId="3" fontId="78" fillId="0" borderId="0" xfId="1" applyNumberFormat="1" applyFont="1" applyFill="1" applyBorder="1" applyAlignment="1">
      <alignment vertical="center"/>
    </xf>
    <xf numFmtId="3" fontId="91" fillId="0" borderId="0" xfId="0" applyNumberFormat="1" applyFont="1">
      <alignment vertical="center"/>
    </xf>
    <xf numFmtId="3" fontId="78" fillId="0" borderId="0" xfId="1" applyNumberFormat="1" applyFont="1" applyFill="1" applyAlignment="1">
      <alignment vertical="center"/>
    </xf>
    <xf numFmtId="0" fontId="95" fillId="0" borderId="0" xfId="0" applyFont="1">
      <alignment vertical="center"/>
    </xf>
    <xf numFmtId="0" fontId="91" fillId="52" borderId="0" xfId="0" applyFont="1" applyFill="1">
      <alignment vertical="center"/>
    </xf>
    <xf numFmtId="0" fontId="78" fillId="52" borderId="0" xfId="0" applyFont="1" applyFill="1">
      <alignment vertical="center"/>
    </xf>
    <xf numFmtId="0" fontId="78" fillId="52" borderId="0" xfId="0" applyFont="1" applyFill="1" applyAlignment="1">
      <alignment horizontal="center" vertical="center"/>
    </xf>
    <xf numFmtId="0" fontId="91" fillId="52" borderId="0" xfId="0" applyFont="1" applyFill="1" applyAlignment="1">
      <alignment horizontal="left" vertical="center"/>
    </xf>
    <xf numFmtId="0" fontId="88" fillId="52" borderId="0" xfId="0" applyFont="1" applyFill="1">
      <alignment vertical="center"/>
    </xf>
    <xf numFmtId="41" fontId="78" fillId="52" borderId="0" xfId="1" applyFont="1" applyFill="1" applyBorder="1" applyAlignment="1">
      <alignment vertical="center"/>
    </xf>
    <xf numFmtId="41" fontId="82" fillId="52" borderId="0" xfId="1" applyFont="1" applyFill="1" applyBorder="1" applyAlignment="1">
      <alignment vertical="center"/>
    </xf>
    <xf numFmtId="178" fontId="78" fillId="52" borderId="0" xfId="2" applyNumberFormat="1" applyFont="1" applyFill="1" applyBorder="1" applyAlignment="1">
      <alignment vertical="center"/>
    </xf>
    <xf numFmtId="3" fontId="78" fillId="52" borderId="0" xfId="1" applyNumberFormat="1" applyFont="1" applyFill="1" applyBorder="1" applyAlignment="1">
      <alignment vertical="center"/>
    </xf>
    <xf numFmtId="41" fontId="80" fillId="52" borderId="0" xfId="1" applyFont="1" applyFill="1">
      <alignment vertical="center"/>
    </xf>
    <xf numFmtId="3" fontId="91" fillId="52" borderId="0" xfId="0" applyNumberFormat="1" applyFont="1" applyFill="1">
      <alignment vertical="center"/>
    </xf>
    <xf numFmtId="3" fontId="78" fillId="52" borderId="0" xfId="1" applyNumberFormat="1" applyFont="1" applyFill="1" applyAlignment="1">
      <alignment vertical="center"/>
    </xf>
    <xf numFmtId="178" fontId="78" fillId="52" borderId="0" xfId="2" applyNumberFormat="1" applyFont="1" applyFill="1" applyAlignment="1">
      <alignment vertical="center"/>
    </xf>
    <xf numFmtId="0" fontId="95" fillId="52" borderId="0" xfId="0" applyFont="1" applyFill="1">
      <alignment vertical="center"/>
    </xf>
    <xf numFmtId="0" fontId="80" fillId="52" borderId="0" xfId="0" applyFont="1" applyFill="1">
      <alignment vertical="center"/>
    </xf>
    <xf numFmtId="0" fontId="80" fillId="52" borderId="0" xfId="0" applyFont="1" applyFill="1" applyAlignment="1">
      <alignment horizontal="center" vertical="center"/>
    </xf>
    <xf numFmtId="0" fontId="95" fillId="52" borderId="0" xfId="0" applyFont="1" applyFill="1" applyAlignment="1">
      <alignment horizontal="left" vertical="center"/>
    </xf>
    <xf numFmtId="0" fontId="70" fillId="52" borderId="0" xfId="0" applyFont="1" applyFill="1">
      <alignment vertical="center"/>
    </xf>
    <xf numFmtId="41" fontId="84" fillId="52" borderId="0" xfId="1" applyFont="1" applyFill="1">
      <alignment vertical="center"/>
    </xf>
    <xf numFmtId="178" fontId="80" fillId="52" borderId="0" xfId="2" applyNumberFormat="1" applyFont="1" applyFill="1">
      <alignment vertical="center"/>
    </xf>
    <xf numFmtId="3" fontId="80" fillId="52" borderId="0" xfId="1" applyNumberFormat="1" applyFont="1" applyFill="1">
      <alignment vertical="center"/>
    </xf>
    <xf numFmtId="3" fontId="95" fillId="52" borderId="0" xfId="0" applyNumberFormat="1" applyFont="1" applyFill="1">
      <alignment vertical="center"/>
    </xf>
    <xf numFmtId="3" fontId="94" fillId="46" borderId="0" xfId="1" applyNumberFormat="1" applyFont="1" applyFill="1" applyAlignment="1">
      <alignment vertical="center"/>
    </xf>
    <xf numFmtId="0" fontId="95" fillId="0" borderId="0" xfId="0" applyFont="1" applyAlignment="1">
      <alignment horizontal="left" vertical="center"/>
    </xf>
    <xf numFmtId="0" fontId="91" fillId="47" borderId="0" xfId="0" applyFont="1" applyFill="1">
      <alignment vertical="center"/>
    </xf>
    <xf numFmtId="0" fontId="91" fillId="47" borderId="0" xfId="0" applyFont="1" applyFill="1" applyAlignment="1">
      <alignment horizontal="left" vertical="center"/>
    </xf>
    <xf numFmtId="3" fontId="78" fillId="47" borderId="0" xfId="1" applyNumberFormat="1" applyFont="1" applyFill="1" applyBorder="1" applyAlignment="1">
      <alignment vertical="center"/>
    </xf>
    <xf numFmtId="3" fontId="91" fillId="47" borderId="0" xfId="0" applyNumberFormat="1" applyFont="1" applyFill="1">
      <alignment vertical="center"/>
    </xf>
    <xf numFmtId="3" fontId="78" fillId="47" borderId="0" xfId="1" applyNumberFormat="1" applyFont="1" applyFill="1" applyAlignment="1">
      <alignment vertical="center"/>
    </xf>
    <xf numFmtId="0" fontId="95" fillId="37" borderId="0" xfId="0" applyFont="1" applyFill="1">
      <alignment vertical="center"/>
    </xf>
    <xf numFmtId="0" fontId="95" fillId="37" borderId="0" xfId="0" applyFont="1" applyFill="1" applyAlignment="1">
      <alignment horizontal="left" vertical="center"/>
    </xf>
    <xf numFmtId="41" fontId="80" fillId="37" borderId="0" xfId="1" applyFont="1" applyFill="1">
      <alignment vertical="center"/>
    </xf>
    <xf numFmtId="41" fontId="84" fillId="37" borderId="0" xfId="1" applyFont="1" applyFill="1">
      <alignment vertical="center"/>
    </xf>
    <xf numFmtId="178" fontId="80" fillId="37" borderId="0" xfId="2" applyNumberFormat="1" applyFont="1" applyFill="1">
      <alignment vertical="center"/>
    </xf>
    <xf numFmtId="3" fontId="80" fillId="37" borderId="0" xfId="1" applyNumberFormat="1" applyFont="1" applyFill="1">
      <alignment vertical="center"/>
    </xf>
    <xf numFmtId="3" fontId="80" fillId="47" borderId="0" xfId="1" applyNumberFormat="1" applyFont="1" applyFill="1">
      <alignment vertical="center"/>
    </xf>
    <xf numFmtId="3" fontId="95" fillId="47" borderId="0" xfId="0" applyNumberFormat="1" applyFont="1" applyFill="1">
      <alignment vertical="center"/>
    </xf>
    <xf numFmtId="41" fontId="92" fillId="37" borderId="0" xfId="1" applyFont="1" applyFill="1" applyAlignment="1">
      <alignment horizontal="right" vertical="center"/>
    </xf>
    <xf numFmtId="0" fontId="95" fillId="53" borderId="0" xfId="0" applyFont="1" applyFill="1">
      <alignment vertical="center"/>
    </xf>
    <xf numFmtId="0" fontId="80" fillId="53" borderId="0" xfId="0" applyFont="1" applyFill="1">
      <alignment vertical="center"/>
    </xf>
    <xf numFmtId="0" fontId="80" fillId="53" borderId="0" xfId="0" applyFont="1" applyFill="1" applyAlignment="1">
      <alignment horizontal="center" vertical="center"/>
    </xf>
    <xf numFmtId="0" fontId="95" fillId="53" borderId="0" xfId="0" applyFont="1" applyFill="1" applyAlignment="1">
      <alignment horizontal="left" vertical="center"/>
    </xf>
    <xf numFmtId="0" fontId="70" fillId="53" borderId="0" xfId="0" applyFont="1" applyFill="1">
      <alignment vertical="center"/>
    </xf>
    <xf numFmtId="41" fontId="80" fillId="53" borderId="0" xfId="1" applyFont="1" applyFill="1">
      <alignment vertical="center"/>
    </xf>
    <xf numFmtId="41" fontId="84" fillId="53" borderId="0" xfId="1" applyFont="1" applyFill="1">
      <alignment vertical="center"/>
    </xf>
    <xf numFmtId="178" fontId="80" fillId="53" borderId="0" xfId="2" applyNumberFormat="1" applyFont="1" applyFill="1">
      <alignment vertical="center"/>
    </xf>
    <xf numFmtId="3" fontId="80" fillId="53" borderId="0" xfId="1" applyNumberFormat="1" applyFont="1" applyFill="1">
      <alignment vertical="center"/>
    </xf>
    <xf numFmtId="0" fontId="78" fillId="53" borderId="0" xfId="0" applyFont="1" applyFill="1">
      <alignment vertical="center"/>
    </xf>
    <xf numFmtId="41" fontId="86" fillId="47" borderId="0" xfId="1" applyFont="1" applyFill="1" applyBorder="1" applyAlignment="1">
      <alignment vertical="center"/>
    </xf>
    <xf numFmtId="0" fontId="80" fillId="52" borderId="0" xfId="0" applyFont="1" applyFill="1" applyAlignment="1">
      <alignment horizontal="left" vertical="center"/>
    </xf>
    <xf numFmtId="41" fontId="85" fillId="52" borderId="0" xfId="1" applyFont="1" applyFill="1">
      <alignment vertical="center"/>
    </xf>
    <xf numFmtId="0" fontId="82" fillId="52" borderId="0" xfId="0" applyFont="1" applyFill="1">
      <alignment vertical="center"/>
    </xf>
    <xf numFmtId="0" fontId="80" fillId="45" borderId="0" xfId="0" applyFont="1" applyFill="1" applyAlignment="1">
      <alignment horizontal="center" vertical="center"/>
    </xf>
    <xf numFmtId="10" fontId="78" fillId="45" borderId="0" xfId="2" applyNumberFormat="1" applyFont="1" applyFill="1" applyBorder="1" applyAlignment="1">
      <alignment vertical="center"/>
    </xf>
    <xf numFmtId="10" fontId="78" fillId="45" borderId="0" xfId="2" applyNumberFormat="1" applyFont="1" applyFill="1" applyAlignment="1">
      <alignment vertical="center"/>
    </xf>
    <xf numFmtId="41" fontId="83" fillId="37" borderId="0" xfId="1" applyFont="1" applyFill="1">
      <alignment vertical="center"/>
    </xf>
    <xf numFmtId="41" fontId="85" fillId="37" borderId="0" xfId="1" applyFont="1" applyFill="1">
      <alignment vertical="center"/>
    </xf>
    <xf numFmtId="0" fontId="78" fillId="54" borderId="0" xfId="0" applyFont="1" applyFill="1">
      <alignment vertical="center"/>
    </xf>
    <xf numFmtId="0" fontId="80" fillId="54" borderId="0" xfId="0" applyFont="1" applyFill="1">
      <alignment vertical="center"/>
    </xf>
    <xf numFmtId="0" fontId="80" fillId="54" borderId="0" xfId="0" applyFont="1" applyFill="1" applyAlignment="1">
      <alignment horizontal="left" vertical="center"/>
    </xf>
    <xf numFmtId="0" fontId="80" fillId="54" borderId="0" xfId="0" applyFont="1" applyFill="1" applyAlignment="1">
      <alignment horizontal="center" vertical="center"/>
    </xf>
    <xf numFmtId="41" fontId="80" fillId="54" borderId="0" xfId="1" applyFont="1" applyFill="1">
      <alignment vertical="center"/>
    </xf>
    <xf numFmtId="41" fontId="83" fillId="54" borderId="0" xfId="1" applyFont="1" applyFill="1">
      <alignment vertical="center"/>
    </xf>
    <xf numFmtId="178" fontId="80" fillId="54" borderId="0" xfId="2" applyNumberFormat="1" applyFont="1" applyFill="1">
      <alignment vertical="center"/>
    </xf>
    <xf numFmtId="41" fontId="85" fillId="54" borderId="0" xfId="1" applyFont="1" applyFill="1">
      <alignment vertical="center"/>
    </xf>
    <xf numFmtId="41" fontId="0" fillId="37" borderId="11" xfId="1059" applyFont="1" applyFill="1" applyBorder="1" applyAlignment="1"/>
    <xf numFmtId="0" fontId="75" fillId="42" borderId="0" xfId="0" applyFont="1" applyFill="1">
      <alignment vertical="center"/>
    </xf>
    <xf numFmtId="0" fontId="68" fillId="42" borderId="0" xfId="0" applyFont="1" applyFill="1">
      <alignment vertical="center"/>
    </xf>
    <xf numFmtId="179" fontId="65" fillId="0" borderId="0" xfId="0" applyNumberFormat="1" applyFont="1" applyAlignment="1">
      <alignment horizontal="center"/>
    </xf>
    <xf numFmtId="0" fontId="68" fillId="0" borderId="27" xfId="0" applyFont="1" applyBorder="1" applyAlignment="1"/>
    <xf numFmtId="41" fontId="68" fillId="0" borderId="0" xfId="0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65" fillId="40" borderId="0" xfId="0" applyFont="1" applyFill="1" applyAlignment="1">
      <alignment horizontal="left" vertical="top"/>
    </xf>
    <xf numFmtId="41" fontId="65" fillId="0" borderId="0" xfId="1" applyFont="1" applyAlignment="1">
      <alignment horizontal="center"/>
    </xf>
    <xf numFmtId="0" fontId="65" fillId="40" borderId="0" xfId="0" applyFont="1" applyFill="1" applyAlignment="1">
      <alignment horizontal="center" vertical="top"/>
    </xf>
    <xf numFmtId="3" fontId="68" fillId="42" borderId="0" xfId="0" applyNumberFormat="1" applyFont="1" applyFill="1">
      <alignment vertical="center"/>
    </xf>
    <xf numFmtId="41" fontId="65" fillId="0" borderId="0" xfId="0" applyNumberFormat="1" applyFont="1" applyAlignment="1">
      <alignment horizontal="center" wrapText="1"/>
    </xf>
    <xf numFmtId="14" fontId="68" fillId="0" borderId="0" xfId="0" applyNumberFormat="1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41" fontId="68" fillId="0" borderId="0" xfId="0" applyNumberFormat="1" applyFont="1" applyAlignment="1">
      <alignment horizontal="center" wrapText="1"/>
    </xf>
    <xf numFmtId="0" fontId="68" fillId="0" borderId="27" xfId="0" applyFont="1" applyBorder="1">
      <alignment vertical="center"/>
    </xf>
    <xf numFmtId="0" fontId="68" fillId="0" borderId="27" xfId="0" applyFont="1" applyBorder="1" applyAlignment="1">
      <alignment horizontal="center" vertical="center"/>
    </xf>
    <xf numFmtId="0" fontId="68" fillId="40" borderId="0" xfId="0" applyFont="1" applyFill="1" applyAlignment="1">
      <alignment vertical="top"/>
    </xf>
    <xf numFmtId="41" fontId="68" fillId="0" borderId="0" xfId="0" applyNumberFormat="1" applyFont="1" applyAlignment="1">
      <alignment horizontal="center" vertical="center"/>
    </xf>
    <xf numFmtId="3" fontId="75" fillId="42" borderId="0" xfId="0" applyNumberFormat="1" applyFont="1" applyFill="1">
      <alignment vertical="center"/>
    </xf>
    <xf numFmtId="41" fontId="0" fillId="41" borderId="11" xfId="1059" applyFont="1" applyFill="1" applyBorder="1" applyAlignment="1"/>
    <xf numFmtId="41" fontId="76" fillId="40" borderId="0" xfId="0" applyNumberFormat="1" applyFont="1" applyFill="1" applyAlignment="1">
      <alignment horizontal="center" vertical="center"/>
    </xf>
    <xf numFmtId="0" fontId="68" fillId="42" borderId="0" xfId="0" applyFont="1" applyFill="1" applyAlignment="1">
      <alignment horizontal="center" vertical="center"/>
    </xf>
    <xf numFmtId="0" fontId="75" fillId="42" borderId="0" xfId="0" applyFont="1" applyFill="1" applyAlignment="1">
      <alignment horizontal="center" vertical="center"/>
    </xf>
    <xf numFmtId="0" fontId="74" fillId="41" borderId="27" xfId="0" applyFont="1" applyFill="1" applyBorder="1" applyAlignment="1">
      <alignment horizontal="center" vertical="center"/>
    </xf>
    <xf numFmtId="10" fontId="65" fillId="0" borderId="34" xfId="0" applyNumberFormat="1" applyFont="1" applyBorder="1" applyAlignment="1"/>
    <xf numFmtId="0" fontId="65" fillId="0" borderId="35" xfId="0" applyFont="1" applyBorder="1" applyAlignment="1"/>
    <xf numFmtId="9" fontId="65" fillId="0" borderId="27" xfId="0" applyNumberFormat="1" applyFont="1" applyBorder="1" applyAlignment="1">
      <alignment horizontal="center"/>
    </xf>
    <xf numFmtId="41" fontId="69" fillId="0" borderId="0" xfId="0" applyNumberFormat="1" applyFont="1" applyAlignment="1">
      <alignment horizontal="center"/>
    </xf>
    <xf numFmtId="0" fontId="52" fillId="0" borderId="28" xfId="1" applyNumberFormat="1" applyFont="1" applyFill="1" applyBorder="1">
      <alignment vertical="center"/>
    </xf>
    <xf numFmtId="0" fontId="42" fillId="0" borderId="44" xfId="0" applyFont="1" applyBorder="1" applyAlignment="1"/>
    <xf numFmtId="41" fontId="52" fillId="0" borderId="45" xfId="1" applyFont="1" applyBorder="1">
      <alignment vertical="center"/>
    </xf>
    <xf numFmtId="0" fontId="59" fillId="0" borderId="44" xfId="0" applyFont="1" applyBorder="1" applyAlignment="1"/>
    <xf numFmtId="0" fontId="52" fillId="0" borderId="46" xfId="1" applyNumberFormat="1" applyFont="1" applyBorder="1">
      <alignment vertical="center"/>
    </xf>
    <xf numFmtId="0" fontId="52" fillId="0" borderId="47" xfId="0" applyFont="1" applyBorder="1" applyAlignment="1">
      <alignment horizontal="center" vertical="center"/>
    </xf>
    <xf numFmtId="41" fontId="52" fillId="39" borderId="47" xfId="1" applyFont="1" applyFill="1" applyBorder="1">
      <alignment vertical="center"/>
    </xf>
    <xf numFmtId="0" fontId="52" fillId="35" borderId="41" xfId="1" applyNumberFormat="1" applyFont="1" applyFill="1" applyBorder="1">
      <alignment vertical="center"/>
    </xf>
    <xf numFmtId="0" fontId="52" fillId="35" borderId="42" xfId="0" applyFont="1" applyFill="1" applyBorder="1" applyAlignment="1">
      <alignment horizontal="center" vertical="center"/>
    </xf>
    <xf numFmtId="41" fontId="52" fillId="35" borderId="42" xfId="1" applyFont="1" applyFill="1" applyBorder="1">
      <alignment vertical="center"/>
    </xf>
    <xf numFmtId="41" fontId="52" fillId="35" borderId="42" xfId="1" applyFont="1" applyFill="1" applyBorder="1" applyAlignment="1">
      <alignment horizontal="center" vertical="center"/>
    </xf>
    <xf numFmtId="41" fontId="52" fillId="35" borderId="43" xfId="1" applyFont="1" applyFill="1" applyBorder="1">
      <alignment vertical="center"/>
    </xf>
    <xf numFmtId="41" fontId="52" fillId="37" borderId="28" xfId="1" applyFont="1" applyFill="1" applyBorder="1">
      <alignment vertical="center"/>
    </xf>
    <xf numFmtId="0" fontId="52" fillId="0" borderId="48" xfId="1" applyNumberFormat="1" applyFont="1" applyBorder="1">
      <alignment vertical="center"/>
    </xf>
    <xf numFmtId="0" fontId="52" fillId="0" borderId="48" xfId="0" applyFont="1" applyBorder="1" applyAlignment="1">
      <alignment horizontal="center" vertical="center"/>
    </xf>
    <xf numFmtId="41" fontId="52" fillId="0" borderId="48" xfId="1" applyFont="1" applyFill="1" applyBorder="1">
      <alignment vertical="center"/>
    </xf>
    <xf numFmtId="41" fontId="52" fillId="0" borderId="48" xfId="1" applyFont="1" applyFill="1" applyBorder="1" applyAlignment="1">
      <alignment horizontal="center" vertical="center"/>
    </xf>
    <xf numFmtId="180" fontId="0" fillId="0" borderId="11" xfId="994" applyNumberFormat="1" applyFont="1" applyBorder="1" applyAlignment="1">
      <alignment horizontal="center" vertical="center"/>
    </xf>
    <xf numFmtId="0" fontId="0" fillId="0" borderId="11" xfId="994" applyFont="1" applyBorder="1" applyAlignment="1">
      <alignment horizontal="right" vertical="center"/>
    </xf>
    <xf numFmtId="3" fontId="0" fillId="0" borderId="11" xfId="994" applyNumberFormat="1" applyFont="1" applyBorder="1" applyAlignment="1">
      <alignment horizontal="right" vertical="center"/>
    </xf>
    <xf numFmtId="41" fontId="78" fillId="0" borderId="0" xfId="0" applyNumberFormat="1" applyFont="1">
      <alignment vertical="center"/>
    </xf>
    <xf numFmtId="41" fontId="80" fillId="0" borderId="0" xfId="0" applyNumberFormat="1" applyFont="1">
      <alignment vertical="center"/>
    </xf>
    <xf numFmtId="0" fontId="77" fillId="37" borderId="0" xfId="0" applyFont="1" applyFill="1" applyAlignment="1">
      <alignment horizontal="left" vertical="center"/>
    </xf>
    <xf numFmtId="0" fontId="99" fillId="43" borderId="11" xfId="994" applyFont="1" applyFill="1" applyBorder="1" applyAlignment="1">
      <alignment horizontal="center" vertical="center"/>
    </xf>
    <xf numFmtId="41" fontId="52" fillId="0" borderId="50" xfId="1" applyFont="1" applyBorder="1">
      <alignment vertical="center"/>
    </xf>
    <xf numFmtId="41" fontId="52" fillId="0" borderId="51" xfId="1" applyFont="1" applyBorder="1" applyAlignment="1">
      <alignment horizontal="center" vertical="center"/>
    </xf>
    <xf numFmtId="14" fontId="52" fillId="0" borderId="52" xfId="0" applyNumberFormat="1" applyFont="1" applyBorder="1" applyAlignment="1">
      <alignment horizontal="center" vertical="center"/>
    </xf>
    <xf numFmtId="41" fontId="52" fillId="0" borderId="53" xfId="1" applyFont="1" applyBorder="1">
      <alignment vertical="center"/>
    </xf>
    <xf numFmtId="0" fontId="43" fillId="0" borderId="0" xfId="994"/>
    <xf numFmtId="0" fontId="96" fillId="0" borderId="0" xfId="994" applyFont="1"/>
    <xf numFmtId="0" fontId="0" fillId="0" borderId="0" xfId="994" applyFont="1"/>
    <xf numFmtId="0" fontId="98" fillId="0" borderId="0" xfId="994" applyFont="1"/>
    <xf numFmtId="0" fontId="100" fillId="55" borderId="49" xfId="0" applyFont="1" applyFill="1" applyBorder="1" applyAlignment="1">
      <alignment horizontal="center" vertical="center"/>
    </xf>
    <xf numFmtId="49" fontId="97" fillId="0" borderId="49" xfId="0" applyNumberFormat="1" applyFont="1" applyBorder="1" applyAlignment="1">
      <alignment horizontal="center" vertical="center"/>
    </xf>
    <xf numFmtId="49" fontId="97" fillId="0" borderId="49" xfId="0" applyNumberFormat="1" applyFont="1" applyBorder="1" applyAlignment="1">
      <alignment horizontal="left" vertical="center"/>
    </xf>
    <xf numFmtId="181" fontId="97" fillId="0" borderId="49" xfId="0" applyNumberFormat="1" applyFont="1" applyBorder="1" applyAlignment="1">
      <alignment horizontal="right" vertical="center"/>
    </xf>
    <xf numFmtId="0" fontId="0" fillId="0" borderId="11" xfId="994" applyFont="1" applyBorder="1"/>
    <xf numFmtId="0" fontId="43" fillId="37" borderId="0" xfId="994" applyFill="1"/>
    <xf numFmtId="0" fontId="43" fillId="41" borderId="0" xfId="994" applyFill="1"/>
    <xf numFmtId="182" fontId="65" fillId="0" borderId="32" xfId="0" applyNumberFormat="1" applyFont="1" applyBorder="1" applyAlignment="1"/>
    <xf numFmtId="49" fontId="65" fillId="0" borderId="0" xfId="0" applyNumberFormat="1" applyFont="1" applyAlignment="1">
      <alignment horizontal="left"/>
    </xf>
    <xf numFmtId="0" fontId="71" fillId="36" borderId="0" xfId="0" applyFont="1" applyFill="1" applyAlignment="1">
      <alignment horizontal="left" vertical="center"/>
    </xf>
    <xf numFmtId="49" fontId="71" fillId="36" borderId="0" xfId="0" applyNumberFormat="1" applyFont="1" applyFill="1" applyAlignment="1">
      <alignment horizontal="left" vertical="center"/>
    </xf>
    <xf numFmtId="0" fontId="72" fillId="36" borderId="0" xfId="0" applyFont="1" applyFill="1" applyAlignment="1">
      <alignment horizontal="left" vertical="center"/>
    </xf>
    <xf numFmtId="49" fontId="72" fillId="36" borderId="0" xfId="0" applyNumberFormat="1" applyFont="1" applyFill="1" applyAlignment="1">
      <alignment horizontal="left" vertical="center"/>
    </xf>
    <xf numFmtId="0" fontId="76" fillId="40" borderId="0" xfId="0" applyFont="1" applyFill="1" applyAlignment="1">
      <alignment horizontal="left" vertical="top"/>
    </xf>
    <xf numFmtId="0" fontId="67" fillId="0" borderId="0" xfId="0" applyFont="1" applyAlignment="1">
      <alignment horizontal="left" vertical="center"/>
    </xf>
    <xf numFmtId="0" fontId="68" fillId="40" borderId="0" xfId="0" applyFont="1" applyFill="1" applyAlignment="1">
      <alignment horizontal="left" vertical="top"/>
    </xf>
    <xf numFmtId="0" fontId="68" fillId="0" borderId="0" xfId="0" applyFont="1" applyAlignment="1">
      <alignment horizontal="left"/>
    </xf>
    <xf numFmtId="49" fontId="68" fillId="0" borderId="0" xfId="0" applyNumberFormat="1" applyFont="1" applyAlignment="1">
      <alignment horizontal="left"/>
    </xf>
    <xf numFmtId="0" fontId="69" fillId="0" borderId="0" xfId="0" applyFont="1" applyAlignment="1">
      <alignment horizontal="left"/>
    </xf>
    <xf numFmtId="0" fontId="68" fillId="0" borderId="0" xfId="0" quotePrefix="1" applyFont="1" applyAlignment="1">
      <alignment horizontal="left" vertical="center"/>
    </xf>
    <xf numFmtId="0" fontId="68" fillId="42" borderId="0" xfId="0" applyFont="1" applyFill="1" applyAlignment="1">
      <alignment horizontal="left" vertical="center"/>
    </xf>
    <xf numFmtId="49" fontId="65" fillId="0" borderId="0" xfId="0" quotePrefix="1" applyNumberFormat="1" applyFont="1" applyAlignment="1">
      <alignment horizontal="left"/>
    </xf>
    <xf numFmtId="0" fontId="75" fillId="42" borderId="0" xfId="0" applyFont="1" applyFill="1" applyAlignment="1">
      <alignment horizontal="left" vertical="center"/>
    </xf>
    <xf numFmtId="0" fontId="88" fillId="0" borderId="0" xfId="0" applyFont="1" applyAlignment="1">
      <alignment horizontal="left" vertical="center"/>
    </xf>
    <xf numFmtId="0" fontId="88" fillId="0" borderId="0" xfId="0" applyFont="1" applyAlignment="1">
      <alignment horizontal="center" vertical="center"/>
    </xf>
    <xf numFmtId="0" fontId="101" fillId="0" borderId="0" xfId="0" applyFont="1">
      <alignment vertical="center"/>
    </xf>
    <xf numFmtId="49" fontId="102" fillId="0" borderId="49" xfId="0" applyNumberFormat="1" applyFont="1" applyBorder="1" applyAlignment="1">
      <alignment horizontal="center" vertical="center" wrapText="1"/>
    </xf>
    <xf numFmtId="49" fontId="102" fillId="0" borderId="49" xfId="0" applyNumberFormat="1" applyFont="1" applyBorder="1" applyAlignment="1">
      <alignment horizontal="left" vertical="center" wrapText="1"/>
    </xf>
    <xf numFmtId="181" fontId="102" fillId="0" borderId="49" xfId="0" applyNumberFormat="1" applyFont="1" applyBorder="1" applyAlignment="1">
      <alignment horizontal="right" vertical="center" wrapText="1"/>
    </xf>
    <xf numFmtId="0" fontId="0" fillId="0" borderId="0" xfId="0" pivotButton="1">
      <alignment vertical="center"/>
    </xf>
    <xf numFmtId="14" fontId="0" fillId="0" borderId="0" xfId="0" applyNumberFormat="1">
      <alignment vertical="center"/>
    </xf>
    <xf numFmtId="41" fontId="51" fillId="0" borderId="0" xfId="0" applyNumberFormat="1" applyFont="1">
      <alignment vertical="center"/>
    </xf>
    <xf numFmtId="0" fontId="106" fillId="0" borderId="27" xfId="0" applyFont="1" applyBorder="1" applyAlignment="1">
      <alignment horizontal="center" vertical="center"/>
    </xf>
    <xf numFmtId="0" fontId="53" fillId="56" borderId="0" xfId="0" applyFont="1" applyFill="1">
      <alignment vertical="center"/>
    </xf>
    <xf numFmtId="14" fontId="51" fillId="0" borderId="0" xfId="0" applyNumberFormat="1" applyFont="1">
      <alignment vertical="center"/>
    </xf>
    <xf numFmtId="14" fontId="51" fillId="0" borderId="0" xfId="1" applyNumberFormat="1" applyFont="1">
      <alignment vertical="center"/>
    </xf>
    <xf numFmtId="41" fontId="53" fillId="0" borderId="0" xfId="1" applyFont="1">
      <alignment vertical="center"/>
    </xf>
    <xf numFmtId="0" fontId="53" fillId="57" borderId="0" xfId="0" applyFont="1" applyFill="1" applyAlignment="1">
      <alignment horizontal="center" vertical="center"/>
    </xf>
    <xf numFmtId="0" fontId="53" fillId="58" borderId="0" xfId="0" applyFont="1" applyFill="1" applyAlignment="1">
      <alignment horizontal="center" vertical="center"/>
    </xf>
    <xf numFmtId="183" fontId="53" fillId="0" borderId="0" xfId="0" applyNumberFormat="1" applyFont="1">
      <alignment vertical="center"/>
    </xf>
    <xf numFmtId="183" fontId="55" fillId="0" borderId="0" xfId="1" applyNumberFormat="1" applyFont="1" applyAlignment="1">
      <alignment horizontal="center" vertical="center" wrapText="1"/>
    </xf>
    <xf numFmtId="41" fontId="51" fillId="0" borderId="0" xfId="1" applyFont="1" applyFill="1">
      <alignment vertical="center"/>
    </xf>
    <xf numFmtId="41" fontId="103" fillId="0" borderId="0" xfId="1" applyFont="1" applyFill="1">
      <alignment vertical="center"/>
    </xf>
    <xf numFmtId="41" fontId="55" fillId="0" borderId="0" xfId="0" applyNumberFormat="1" applyFont="1" applyAlignment="1">
      <alignment horizontal="center" vertical="center"/>
    </xf>
    <xf numFmtId="0" fontId="107" fillId="0" borderId="0" xfId="0" applyFont="1">
      <alignment vertical="center"/>
    </xf>
    <xf numFmtId="41" fontId="107" fillId="0" borderId="0" xfId="1" applyFont="1">
      <alignment vertical="center"/>
    </xf>
    <xf numFmtId="41" fontId="106" fillId="0" borderId="0" xfId="0" applyNumberFormat="1" applyFont="1" applyAlignment="1">
      <alignment horizontal="center"/>
    </xf>
    <xf numFmtId="10" fontId="106" fillId="0" borderId="0" xfId="0" applyNumberFormat="1" applyFont="1" applyAlignment="1">
      <alignment horizontal="center"/>
    </xf>
    <xf numFmtId="41" fontId="106" fillId="0" borderId="0" xfId="0" applyNumberFormat="1" applyFont="1" applyAlignment="1">
      <alignment horizontal="center" wrapText="1"/>
    </xf>
    <xf numFmtId="0" fontId="106" fillId="0" borderId="0" xfId="0" applyFont="1" applyAlignment="1">
      <alignment horizontal="left"/>
    </xf>
    <xf numFmtId="0" fontId="106" fillId="0" borderId="0" xfId="0" applyFont="1" applyAlignment="1">
      <alignment horizontal="left" vertical="center"/>
    </xf>
    <xf numFmtId="41" fontId="106" fillId="0" borderId="0" xfId="0" applyNumberFormat="1" applyFont="1" applyAlignment="1">
      <alignment horizontal="center" vertical="center"/>
    </xf>
    <xf numFmtId="10" fontId="106" fillId="0" borderId="0" xfId="0" applyNumberFormat="1" applyFont="1" applyAlignment="1">
      <alignment horizontal="center" vertical="center"/>
    </xf>
    <xf numFmtId="41" fontId="106" fillId="0" borderId="0" xfId="1" applyFont="1" applyAlignment="1">
      <alignment horizontal="center"/>
    </xf>
    <xf numFmtId="43" fontId="65" fillId="0" borderId="0" xfId="0" applyNumberFormat="1" applyFont="1" applyAlignment="1">
      <alignment horizontal="center" vertical="center"/>
    </xf>
    <xf numFmtId="41" fontId="74" fillId="37" borderId="0" xfId="0" applyNumberFormat="1" applyFont="1" applyFill="1" applyAlignment="1">
      <alignment horizontal="center" vertical="center"/>
    </xf>
    <xf numFmtId="178" fontId="65" fillId="0" borderId="27" xfId="0" applyNumberFormat="1" applyFont="1" applyBorder="1" applyAlignment="1">
      <alignment horizontal="center" vertical="center"/>
    </xf>
    <xf numFmtId="184" fontId="65" fillId="0" borderId="0" xfId="0" applyNumberFormat="1" applyFont="1" applyAlignment="1"/>
    <xf numFmtId="184" fontId="68" fillId="0" borderId="0" xfId="0" applyNumberFormat="1" applyFont="1">
      <alignment vertical="center"/>
    </xf>
    <xf numFmtId="184" fontId="88" fillId="0" borderId="0" xfId="0" applyNumberFormat="1" applyFont="1">
      <alignment vertical="center"/>
    </xf>
    <xf numFmtId="14" fontId="69" fillId="0" borderId="0" xfId="0" applyNumberFormat="1" applyFont="1" applyAlignment="1">
      <alignment horizontal="center" vertical="center"/>
    </xf>
    <xf numFmtId="0" fontId="69" fillId="0" borderId="0" xfId="0" applyFont="1" applyAlignment="1">
      <alignment horizontal="left" vertical="center"/>
    </xf>
    <xf numFmtId="0" fontId="104" fillId="42" borderId="0" xfId="0" applyFont="1" applyFill="1" applyAlignment="1">
      <alignment horizontal="center" vertical="center"/>
    </xf>
    <xf numFmtId="0" fontId="109" fillId="0" borderId="0" xfId="0" applyFont="1">
      <alignment vertical="center"/>
    </xf>
    <xf numFmtId="177" fontId="61" fillId="33" borderId="55" xfId="0" applyNumberFormat="1" applyFont="1" applyFill="1" applyBorder="1" applyAlignment="1">
      <alignment horizontal="center" vertical="center"/>
    </xf>
    <xf numFmtId="177" fontId="61" fillId="33" borderId="54" xfId="0" applyNumberFormat="1" applyFont="1" applyFill="1" applyBorder="1" applyAlignment="1">
      <alignment horizontal="center" vertical="center"/>
    </xf>
    <xf numFmtId="177" fontId="49" fillId="33" borderId="54" xfId="0" applyNumberFormat="1" applyFont="1" applyFill="1" applyBorder="1" applyAlignment="1">
      <alignment horizontal="center" vertical="center"/>
    </xf>
    <xf numFmtId="177" fontId="110" fillId="33" borderId="54" xfId="0" applyNumberFormat="1" applyFont="1" applyFill="1" applyBorder="1" applyAlignment="1">
      <alignment horizontal="center" vertical="center"/>
    </xf>
    <xf numFmtId="0" fontId="61" fillId="33" borderId="58" xfId="0" applyFont="1" applyFill="1" applyBorder="1" applyAlignment="1">
      <alignment horizontal="center" vertical="center"/>
    </xf>
    <xf numFmtId="177" fontId="49" fillId="33" borderId="55" xfId="0" applyNumberFormat="1" applyFont="1" applyFill="1" applyBorder="1" applyAlignment="1">
      <alignment horizontal="center" vertical="center"/>
    </xf>
    <xf numFmtId="177" fontId="49" fillId="33" borderId="63" xfId="0" applyNumberFormat="1" applyFont="1" applyFill="1" applyBorder="1" applyAlignment="1">
      <alignment horizontal="center" vertical="center"/>
    </xf>
    <xf numFmtId="41" fontId="50" fillId="0" borderId="66" xfId="1" applyFont="1" applyBorder="1" applyAlignment="1">
      <alignment horizontal="right" vertical="center"/>
    </xf>
    <xf numFmtId="41" fontId="50" fillId="0" borderId="67" xfId="1" applyFont="1" applyBorder="1" applyAlignment="1">
      <alignment horizontal="right" vertical="center"/>
    </xf>
    <xf numFmtId="41" fontId="64" fillId="0" borderId="66" xfId="1" applyFont="1" applyBorder="1" applyAlignment="1">
      <alignment horizontal="right" vertical="center"/>
    </xf>
    <xf numFmtId="41" fontId="64" fillId="0" borderId="67" xfId="1" applyFont="1" applyBorder="1" applyAlignment="1">
      <alignment horizontal="right" vertical="center"/>
    </xf>
    <xf numFmtId="0" fontId="62" fillId="33" borderId="62" xfId="0" applyFont="1" applyFill="1" applyBorder="1" applyAlignment="1">
      <alignment horizontal="center" vertical="center"/>
    </xf>
    <xf numFmtId="0" fontId="61" fillId="33" borderId="62" xfId="0" applyFont="1" applyFill="1" applyBorder="1">
      <alignment vertical="center"/>
    </xf>
    <xf numFmtId="177" fontId="49" fillId="33" borderId="66" xfId="0" applyNumberFormat="1" applyFont="1" applyFill="1" applyBorder="1" applyAlignment="1">
      <alignment horizontal="center" vertical="center"/>
    </xf>
    <xf numFmtId="41" fontId="62" fillId="35" borderId="64" xfId="0" applyNumberFormat="1" applyFont="1" applyFill="1" applyBorder="1" applyAlignment="1">
      <alignment horizontal="center" vertical="center"/>
    </xf>
    <xf numFmtId="41" fontId="62" fillId="35" borderId="65" xfId="0" applyNumberFormat="1" applyFont="1" applyFill="1" applyBorder="1" applyAlignment="1">
      <alignment horizontal="center" vertical="center"/>
    </xf>
    <xf numFmtId="0" fontId="63" fillId="34" borderId="0" xfId="0" applyFont="1" applyFill="1" applyAlignment="1">
      <alignment horizontal="center" vertical="center"/>
    </xf>
    <xf numFmtId="0" fontId="63" fillId="34" borderId="0" xfId="0" applyFont="1" applyFill="1" applyAlignment="1">
      <alignment horizontal="left" vertical="center"/>
    </xf>
    <xf numFmtId="0" fontId="47" fillId="34" borderId="0" xfId="0" applyFont="1" applyFill="1" applyAlignment="1">
      <alignment horizontal="center" vertical="center"/>
    </xf>
    <xf numFmtId="0" fontId="47" fillId="34" borderId="0" xfId="0" applyFont="1" applyFill="1" applyAlignment="1">
      <alignment horizontal="left" vertical="center"/>
    </xf>
    <xf numFmtId="0" fontId="61" fillId="33" borderId="49" xfId="0" applyFont="1" applyFill="1" applyBorder="1" applyAlignment="1">
      <alignment horizontal="center" vertical="center"/>
    </xf>
    <xf numFmtId="0" fontId="61" fillId="33" borderId="13" xfId="0" applyFont="1" applyFill="1" applyBorder="1" applyAlignment="1">
      <alignment horizontal="center" vertical="center"/>
    </xf>
    <xf numFmtId="0" fontId="61" fillId="33" borderId="17" xfId="0" applyFont="1" applyFill="1" applyBorder="1" applyAlignment="1">
      <alignment horizontal="center" vertical="center"/>
    </xf>
    <xf numFmtId="0" fontId="61" fillId="33" borderId="61" xfId="0" applyFont="1" applyFill="1" applyBorder="1" applyAlignment="1">
      <alignment horizontal="center" vertical="center"/>
    </xf>
    <xf numFmtId="0" fontId="62" fillId="33" borderId="10" xfId="0" applyFont="1" applyFill="1" applyBorder="1" applyAlignment="1">
      <alignment horizontal="center" vertical="center"/>
    </xf>
    <xf numFmtId="0" fontId="62" fillId="33" borderId="20" xfId="0" applyFont="1" applyFill="1" applyBorder="1" applyAlignment="1">
      <alignment horizontal="center" vertical="center"/>
    </xf>
    <xf numFmtId="0" fontId="62" fillId="33" borderId="59" xfId="0" applyFont="1" applyFill="1" applyBorder="1" applyAlignment="1">
      <alignment horizontal="center" vertical="center"/>
    </xf>
    <xf numFmtId="0" fontId="62" fillId="33" borderId="60" xfId="0" applyFont="1" applyFill="1" applyBorder="1" applyAlignment="1">
      <alignment horizontal="center" vertical="center"/>
    </xf>
    <xf numFmtId="0" fontId="62" fillId="33" borderId="12" xfId="0" applyFont="1" applyFill="1" applyBorder="1" applyAlignment="1">
      <alignment horizontal="center" vertical="center"/>
    </xf>
    <xf numFmtId="0" fontId="62" fillId="33" borderId="58" xfId="0" applyFont="1" applyFill="1" applyBorder="1" applyAlignment="1">
      <alignment horizontal="center" vertical="center"/>
    </xf>
    <xf numFmtId="0" fontId="62" fillId="33" borderId="49" xfId="0" applyFont="1" applyFill="1" applyBorder="1" applyAlignment="1">
      <alignment horizontal="center" vertical="center"/>
    </xf>
    <xf numFmtId="0" fontId="61" fillId="33" borderId="56" xfId="0" applyFont="1" applyFill="1" applyBorder="1" applyAlignment="1">
      <alignment horizontal="center" vertical="center"/>
    </xf>
    <xf numFmtId="0" fontId="61" fillId="33" borderId="57" xfId="0" applyFont="1" applyFill="1" applyBorder="1" applyAlignment="1">
      <alignment horizontal="center" vertical="center"/>
    </xf>
    <xf numFmtId="0" fontId="61" fillId="33" borderId="62" xfId="0" applyFont="1" applyFill="1" applyBorder="1" applyAlignment="1">
      <alignment horizontal="center" vertical="center"/>
    </xf>
    <xf numFmtId="0" fontId="62" fillId="33" borderId="13" xfId="0" applyFont="1" applyFill="1" applyBorder="1" applyAlignment="1">
      <alignment horizontal="center" vertical="center"/>
    </xf>
    <xf numFmtId="0" fontId="62" fillId="33" borderId="17" xfId="0" applyFont="1" applyFill="1" applyBorder="1" applyAlignment="1">
      <alignment horizontal="center" vertical="center"/>
    </xf>
    <xf numFmtId="0" fontId="62" fillId="33" borderId="61" xfId="0" applyFont="1" applyFill="1" applyBorder="1" applyAlignment="1">
      <alignment horizontal="center" vertical="center"/>
    </xf>
    <xf numFmtId="0" fontId="62" fillId="33" borderId="68" xfId="0" applyFont="1" applyFill="1" applyBorder="1" applyAlignment="1">
      <alignment horizontal="center" vertical="center"/>
    </xf>
    <xf numFmtId="0" fontId="62" fillId="33" borderId="69" xfId="0" applyFont="1" applyFill="1" applyBorder="1" applyAlignment="1">
      <alignment horizontal="center" vertical="center"/>
    </xf>
  </cellXfs>
  <cellStyles count="1060">
    <cellStyle name="20% - 강조색1" xfId="21" builtinId="30" customBuiltin="1"/>
    <cellStyle name="20% - 강조색1 2" xfId="61" xr:uid="{13E80DC3-7938-4CDF-958A-7A5B17485993}"/>
    <cellStyle name="20% - 강조색1 3" xfId="60" xr:uid="{16A1323C-4DDF-4FCA-93CD-910F67615073}"/>
    <cellStyle name="20% - 강조색2" xfId="25" builtinId="34" customBuiltin="1"/>
    <cellStyle name="20% - 강조색2 2" xfId="63" xr:uid="{0F32E590-4393-4822-884E-EF3D2D03FB91}"/>
    <cellStyle name="20% - 강조색2 3" xfId="62" xr:uid="{BC4EA0BA-61AA-4DC3-81CC-823A44F0E4BF}"/>
    <cellStyle name="20% - 강조색3" xfId="29" builtinId="38" customBuiltin="1"/>
    <cellStyle name="20% - 강조색3 2" xfId="65" xr:uid="{DF92ADB1-1076-4629-8D79-0B3AAA344FF1}"/>
    <cellStyle name="20% - 강조색3 3" xfId="64" xr:uid="{C76A40EF-793D-426D-99D4-7627E9B9EB2A}"/>
    <cellStyle name="20% - 강조색4" xfId="33" builtinId="42" customBuiltin="1"/>
    <cellStyle name="20% - 강조색4 2" xfId="67" xr:uid="{3502DBB9-E536-49FA-B362-1CDEEEA7580F}"/>
    <cellStyle name="20% - 강조색4 3" xfId="66" xr:uid="{617E0645-A70A-4E55-8A84-CE0607D7A8EC}"/>
    <cellStyle name="20% - 강조색5" xfId="37" builtinId="46" customBuiltin="1"/>
    <cellStyle name="20% - 강조색5 2" xfId="69" xr:uid="{06B792CE-DDF3-42AA-9FD2-F35E90C2B1AA}"/>
    <cellStyle name="20% - 강조색5 3" xfId="68" xr:uid="{7227C437-7CB8-43DA-9872-BC2A3E35C138}"/>
    <cellStyle name="20% - 강조색6" xfId="41" builtinId="50" customBuiltin="1"/>
    <cellStyle name="20% - 강조색6 2" xfId="71" xr:uid="{50F63E89-2BAD-4283-B0B1-16C0137F8AB0}"/>
    <cellStyle name="20% - 강조색6 3" xfId="70" xr:uid="{D4361DDD-227D-4761-BE8E-77D0A39D0761}"/>
    <cellStyle name="40% - 강조색1" xfId="22" builtinId="31" customBuiltin="1"/>
    <cellStyle name="40% - 강조색1 2" xfId="73" xr:uid="{E5A97ECC-66FB-4337-B88E-946B9F740598}"/>
    <cellStyle name="40% - 강조색1 3" xfId="72" xr:uid="{586F1261-2EA1-4226-8DFB-62E6AABF7991}"/>
    <cellStyle name="40% - 강조색2" xfId="26" builtinId="35" customBuiltin="1"/>
    <cellStyle name="40% - 강조색2 2" xfId="75" xr:uid="{D452F253-001B-4CCC-AD6D-227826F300C3}"/>
    <cellStyle name="40% - 강조색2 3" xfId="74" xr:uid="{5464DD2F-1819-4ECD-903B-B94121496705}"/>
    <cellStyle name="40% - 강조색3" xfId="30" builtinId="39" customBuiltin="1"/>
    <cellStyle name="40% - 강조색3 2" xfId="77" xr:uid="{3E230E24-41F8-486C-8717-264EC5BD2949}"/>
    <cellStyle name="40% - 강조색3 3" xfId="76" xr:uid="{33B231AC-FB7A-4C5E-BF58-B120E66E63C9}"/>
    <cellStyle name="40% - 강조색4" xfId="34" builtinId="43" customBuiltin="1"/>
    <cellStyle name="40% - 강조색4 2" xfId="79" xr:uid="{40DB6544-D90D-4DCC-A351-2E75C50C156F}"/>
    <cellStyle name="40% - 강조색4 3" xfId="78" xr:uid="{7CDFBCB5-04B9-4EE9-8E0C-33190BCE9B4E}"/>
    <cellStyle name="40% - 강조색5" xfId="38" builtinId="47" customBuiltin="1"/>
    <cellStyle name="40% - 강조색5 2" xfId="81" xr:uid="{F706E4CA-7CCC-4A92-8A0F-3F4A15A8E948}"/>
    <cellStyle name="40% - 강조색5 3" xfId="80" xr:uid="{A91FEBCC-6530-4950-873B-8543223B0E8B}"/>
    <cellStyle name="40% - 강조색6" xfId="42" builtinId="51" customBuiltin="1"/>
    <cellStyle name="40% - 강조색6 2" xfId="83" xr:uid="{6248C6CC-DA34-4C08-A85B-17F18D0663AA}"/>
    <cellStyle name="40% - 강조색6 3" xfId="82" xr:uid="{5C4A171E-C496-4DF3-8593-A9E5A0107332}"/>
    <cellStyle name="60% - 강조색1" xfId="23" builtinId="32" customBuiltin="1"/>
    <cellStyle name="60% - 강조색1 2" xfId="85" xr:uid="{FEB527E1-02E4-47F0-AA22-D1EE49A43499}"/>
    <cellStyle name="60% - 강조색1 3" xfId="84" xr:uid="{1AEBE442-53D7-4C56-A961-D5E8DC38C3BC}"/>
    <cellStyle name="60% - 강조색2" xfId="27" builtinId="36" customBuiltin="1"/>
    <cellStyle name="60% - 강조색2 2" xfId="87" xr:uid="{61AA0B97-5071-4CA3-9623-3A2E00C77FC8}"/>
    <cellStyle name="60% - 강조색2 3" xfId="86" xr:uid="{FAE68107-C66F-4371-AC4C-1E6F93A0CF78}"/>
    <cellStyle name="60% - 강조색3" xfId="31" builtinId="40" customBuiltin="1"/>
    <cellStyle name="60% - 강조색3 2" xfId="89" xr:uid="{83DEA370-7F9D-46C2-8EC1-C55518E2C6B8}"/>
    <cellStyle name="60% - 강조색3 3" xfId="88" xr:uid="{6F8ED347-63A5-4C8A-A45E-556F9D0994F5}"/>
    <cellStyle name="60% - 강조색4" xfId="35" builtinId="44" customBuiltin="1"/>
    <cellStyle name="60% - 강조색4 2" xfId="91" xr:uid="{27B9FADF-C450-4576-8400-CA0D4B7B2669}"/>
    <cellStyle name="60% - 강조색4 3" xfId="90" xr:uid="{C756F4D4-C2A5-418C-89AF-0A288C4B941C}"/>
    <cellStyle name="60% - 강조색5" xfId="39" builtinId="48" customBuiltin="1"/>
    <cellStyle name="60% - 강조색5 2" xfId="93" xr:uid="{9CA48ECA-D04F-4BF8-94B9-D0797DF990F3}"/>
    <cellStyle name="60% - 강조색5 3" xfId="92" xr:uid="{0170CD8E-64D8-407A-A02E-3C5A89695C7D}"/>
    <cellStyle name="60% - 강조색6" xfId="43" builtinId="52" customBuiltin="1"/>
    <cellStyle name="60% - 강조색6 2" xfId="95" xr:uid="{1C72741F-E546-45B3-AE1F-5AADA488A808}"/>
    <cellStyle name="60% - 강조색6 3" xfId="94" xr:uid="{955D03B2-BFFC-49C8-851D-6C75F76137FF}"/>
    <cellStyle name="강조색1" xfId="20" builtinId="29" customBuiltin="1"/>
    <cellStyle name="강조색1 2" xfId="97" xr:uid="{4F88E98F-A4EF-45C0-B4CA-B95D80CA9B0F}"/>
    <cellStyle name="강조색1 3" xfId="96" xr:uid="{EF4C1630-7D4D-45A7-8BEF-3EA8D0111EA0}"/>
    <cellStyle name="강조색2" xfId="24" builtinId="33" customBuiltin="1"/>
    <cellStyle name="강조색2 2" xfId="99" xr:uid="{2D7341BB-A872-4C43-B83B-F447287479EE}"/>
    <cellStyle name="강조색2 3" xfId="98" xr:uid="{BDBE0B88-EEB7-44F2-A419-F3D1AF97A738}"/>
    <cellStyle name="강조색3" xfId="28" builtinId="37" customBuiltin="1"/>
    <cellStyle name="강조색3 2" xfId="101" xr:uid="{FB0A4727-0D81-4E24-8E5A-D8592C1CC9B4}"/>
    <cellStyle name="강조색3 3" xfId="100" xr:uid="{2F83BE6B-609E-4E02-9C9D-422A8510D847}"/>
    <cellStyle name="강조색4" xfId="32" builtinId="41" customBuiltin="1"/>
    <cellStyle name="강조색4 2" xfId="103" xr:uid="{3ABC3231-436C-422C-A6E4-71E0233698EA}"/>
    <cellStyle name="강조색4 3" xfId="102" xr:uid="{A072663F-B83C-45F1-8651-B65E0A6C7A3E}"/>
    <cellStyle name="강조색5" xfId="36" builtinId="45" customBuiltin="1"/>
    <cellStyle name="강조색5 2" xfId="105" xr:uid="{5470CA30-6EC7-4253-A25E-08C106979FAD}"/>
    <cellStyle name="강조색5 3" xfId="104" xr:uid="{8E5906BC-972E-4A94-840E-533F67511171}"/>
    <cellStyle name="강조색6" xfId="40" builtinId="49" customBuiltin="1"/>
    <cellStyle name="강조색6 2" xfId="107" xr:uid="{310F7597-B024-4310-8DCD-C5DA414EEC50}"/>
    <cellStyle name="강조색6 3" xfId="106" xr:uid="{2A228F0C-1DA6-466F-BE81-B7E9D459A043}"/>
    <cellStyle name="경고문" xfId="16" builtinId="11" customBuiltin="1"/>
    <cellStyle name="경고문 2" xfId="109" xr:uid="{65EAE6FD-6DE4-4BBB-A52D-DF51D390A919}"/>
    <cellStyle name="경고문 3" xfId="108" xr:uid="{6C3F1244-2176-4E7D-8556-EDF2E419668F}"/>
    <cellStyle name="계산" xfId="13" builtinId="22" customBuiltin="1"/>
    <cellStyle name="계산 2" xfId="111" xr:uid="{8FBBB387-2DDB-4214-8155-F1D832507377}"/>
    <cellStyle name="계산 3" xfId="110" xr:uid="{69CB6BA3-0582-4EFC-898C-A0132D0ACE33}"/>
    <cellStyle name="나쁨" xfId="9" builtinId="27" customBuiltin="1"/>
    <cellStyle name="나쁨 2" xfId="113" xr:uid="{E3A55E7C-01EF-4CFF-9DA6-4AB4B0C3BE80}"/>
    <cellStyle name="나쁨 3" xfId="112" xr:uid="{55F06236-2AD5-4AA6-AB08-DCAEFF01DA29}"/>
    <cellStyle name="메모" xfId="17" builtinId="10" customBuiltin="1"/>
    <cellStyle name="메모 2" xfId="115" xr:uid="{410661F6-2534-458D-96C0-7B518F69C62E}"/>
    <cellStyle name="메모 3" xfId="114" xr:uid="{F2462704-500C-4271-B571-29CE291FDA45}"/>
    <cellStyle name="백분율" xfId="2" builtinId="5"/>
    <cellStyle name="백분율 2" xfId="1056" xr:uid="{AE2EEEE2-8BE8-4B22-9C8C-346023E99041}"/>
    <cellStyle name="백분율 8" xfId="932" xr:uid="{FD94C5D8-0D19-4F17-A91B-7584B2FCBA85}"/>
    <cellStyle name="보통" xfId="10" builtinId="28" customBuiltin="1"/>
    <cellStyle name="보통 2" xfId="117" xr:uid="{BBC3BF61-570B-4E73-B267-CF1D5A01F0F3}"/>
    <cellStyle name="보통 3" xfId="116" xr:uid="{55193CB2-D7EB-4B8A-9E55-F99A49DFBBE8}"/>
    <cellStyle name="설명 텍스트" xfId="18" builtinId="53" customBuiltin="1"/>
    <cellStyle name="설명 텍스트 2" xfId="119" xr:uid="{5DE1A0C2-EEDC-4F31-B61A-27EE31DD9F38}"/>
    <cellStyle name="설명 텍스트 3" xfId="118" xr:uid="{0B3967FE-3DF2-4BA3-A357-5D7F5E33219F}"/>
    <cellStyle name="셀 확인" xfId="15" builtinId="23" customBuiltin="1"/>
    <cellStyle name="셀 확인 2" xfId="121" xr:uid="{5A2B7B38-0D88-4010-8EEE-18A596D6422F}"/>
    <cellStyle name="셀 확인 3" xfId="120" xr:uid="{C1F80409-72CE-4823-BC70-A5D1E794B9BA}"/>
    <cellStyle name="쉼표 [0]" xfId="1" builtinId="6"/>
    <cellStyle name="쉼표 [0] 10" xfId="166" xr:uid="{6D318BB9-A5A4-42AF-BD88-959F8F666171}"/>
    <cellStyle name="쉼표 [0] 10 2" xfId="253" xr:uid="{A2D17E08-4079-463D-8517-F8B5F153A1CB}"/>
    <cellStyle name="쉼표 [0] 10 2 2" xfId="657" xr:uid="{18104B1F-E3A6-49D7-9355-B6F00390835E}"/>
    <cellStyle name="쉼표 [0] 10 2 2 2" xfId="1057" xr:uid="{A4A0D82C-63D4-4B5B-8477-DEFA57D73A1F}"/>
    <cellStyle name="쉼표 [0] 10 3" xfId="340" xr:uid="{9F97CB48-D186-45D9-BD6D-CC166F400044}"/>
    <cellStyle name="쉼표 [0] 10 3 2" xfId="744" xr:uid="{B68E1A5A-E0BA-47CB-820E-6E6D9C21CBA8}"/>
    <cellStyle name="쉼표 [0] 10 4" xfId="570" xr:uid="{5E0581ED-5DEE-4378-8A6A-414D735CDAF1}"/>
    <cellStyle name="쉼표 [0] 10 5" xfId="993" xr:uid="{02DE1F06-4399-4445-BADE-5515046815BC}"/>
    <cellStyle name="쉼표 [0] 11" xfId="195" xr:uid="{1FFD6D1B-22C2-4ABC-9FE0-EAB147E38F0A}"/>
    <cellStyle name="쉼표 [0] 11 2" xfId="282" xr:uid="{DECA4876-4F2E-4BB6-9292-8A6C2AD4E971}"/>
    <cellStyle name="쉼표 [0] 11 2 2" xfId="686" xr:uid="{F6E964AF-70A0-47F2-889B-3D77A20091FA}"/>
    <cellStyle name="쉼표 [0] 11 3" xfId="369" xr:uid="{FCC7F773-0219-4F50-B7FA-3737FC56938A}"/>
    <cellStyle name="쉼표 [0] 11 3 2" xfId="773" xr:uid="{EA86ADB4-4886-4250-A6E0-29390D53EC80}"/>
    <cellStyle name="쉼표 [0] 11 4" xfId="599" xr:uid="{7F410691-187C-42C5-A227-50F9A9FE61DE}"/>
    <cellStyle name="쉼표 [0] 11 5" xfId="995" xr:uid="{88839E1D-7354-4284-842B-3AA7AE56D4EB}"/>
    <cellStyle name="쉼표 [0] 12" xfId="224" xr:uid="{3D842ABA-26A8-4AFD-B764-A33EFD734819}"/>
    <cellStyle name="쉼표 [0] 12 2" xfId="628" xr:uid="{F744ADB1-08E7-4EF3-9D23-FA464FBC7F0C}"/>
    <cellStyle name="쉼표 [0] 13" xfId="311" xr:uid="{8136B2EB-4DCA-4C3A-AAA5-68DA98A6A506}"/>
    <cellStyle name="쉼표 [0] 13 2" xfId="715" xr:uid="{57C5D8E8-D12B-4A8B-B641-3CD3B6EC249F}"/>
    <cellStyle name="쉼표 [0] 14" xfId="398" xr:uid="{6D97A6E4-F3C8-40D6-B4EC-1B939838F190}"/>
    <cellStyle name="쉼표 [0] 14 2" xfId="802" xr:uid="{3565A580-A408-4F7D-8460-06F4AD17ECF5}"/>
    <cellStyle name="쉼표 [0] 15" xfId="407" xr:uid="{56902E06-CEE5-4650-A51F-C80F8D68A593}"/>
    <cellStyle name="쉼표 [0] 15 2" xfId="811" xr:uid="{87F6EB74-380C-496E-8841-6E5E1C254D24}"/>
    <cellStyle name="쉼표 [0] 16" xfId="481" xr:uid="{CDA6C5FF-D159-41B3-8745-A20E02A52F0F}"/>
    <cellStyle name="쉼표 [0] 17" xfId="541" xr:uid="{FD28F0EA-E214-414B-BD60-3C91DF33FDB0}"/>
    <cellStyle name="쉼표 [0] 18" xfId="872" xr:uid="{6EC8FB18-E237-48C9-971C-40A85D4DF6F3}"/>
    <cellStyle name="쉼표 [0] 19" xfId="933" xr:uid="{5E55ED54-E892-4A7D-AE45-E6D42731AD7B}"/>
    <cellStyle name="쉼표 [0] 2" xfId="45" xr:uid="{CD17AEF9-BC82-4836-B9BE-994F0AF2D8EF}"/>
    <cellStyle name="쉼표 [0] 2 10" xfId="399" xr:uid="{5019F0CE-EC85-4A67-8846-6E337CB26DDE}"/>
    <cellStyle name="쉼표 [0] 2 10 2" xfId="803" xr:uid="{B1B80CD7-4551-47F5-A75C-69462E8846C2}"/>
    <cellStyle name="쉼표 [0] 2 11" xfId="408" xr:uid="{755D7D19-DDE5-4BDA-B53F-BADEC32C1A7D}"/>
    <cellStyle name="쉼표 [0] 2 11 2" xfId="812" xr:uid="{C9927DE7-8581-431B-BEA9-BD374797AD49}"/>
    <cellStyle name="쉼표 [0] 2 12" xfId="482" xr:uid="{B84A3380-C69F-4BC6-BDFF-D90AA681023B}"/>
    <cellStyle name="쉼표 [0] 2 13" xfId="543" xr:uid="{CE93A63F-0FCE-4D65-9D10-5D6FFED36B3D}"/>
    <cellStyle name="쉼표 [0] 2 14" xfId="873" xr:uid="{E1C67823-9D0D-4873-81F1-711BD0FB4C13}"/>
    <cellStyle name="쉼표 [0] 2 15" xfId="934" xr:uid="{3734CB7D-0422-418B-AD13-FBC52BE96532}"/>
    <cellStyle name="쉼표 [0] 2 2" xfId="48" xr:uid="{AE2162EE-85E4-4AE6-ADC0-F8BFCEBAEF3D}"/>
    <cellStyle name="쉼표 [0] 2 2 10" xfId="411" xr:uid="{E1F811E3-6A02-4E42-9662-61C09FC6A06E}"/>
    <cellStyle name="쉼표 [0] 2 2 10 2" xfId="815" xr:uid="{ADD98D0E-44AC-46D1-BE06-4FD119CA7F87}"/>
    <cellStyle name="쉼표 [0] 2 2 11" xfId="485" xr:uid="{1E838CC4-5906-4A79-A68D-1FA2DB1999C6}"/>
    <cellStyle name="쉼표 [0] 2 2 12" xfId="546" xr:uid="{A635A978-1477-42B6-AB45-498E2CAD186A}"/>
    <cellStyle name="쉼표 [0] 2 2 13" xfId="876" xr:uid="{E0B6D5F9-7DA2-41B4-BD62-D1D694D3FBB9}"/>
    <cellStyle name="쉼표 [0] 2 2 14" xfId="937" xr:uid="{D3F9489E-A4E7-490E-8F34-0226D33BAA26}"/>
    <cellStyle name="쉼표 [0] 2 2 2" xfId="153" xr:uid="{CD0EA220-B462-45ED-B886-635BE77BE39A}"/>
    <cellStyle name="쉼표 [0] 2 2 2 10" xfId="950" xr:uid="{57A82BB2-0D10-4953-914F-8C0D9A72E257}"/>
    <cellStyle name="쉼표 [0] 2 2 2 2" xfId="184" xr:uid="{F04C6463-F931-4D34-857F-2057FD1C0CC9}"/>
    <cellStyle name="쉼표 [0] 2 2 2 2 2" xfId="271" xr:uid="{919BA5E1-3903-4A6E-B360-1AD8354042BB}"/>
    <cellStyle name="쉼표 [0] 2 2 2 2 2 2" xfId="675" xr:uid="{4AAF98F0-D07C-4848-96CF-21E5CB6E79AD}"/>
    <cellStyle name="쉼표 [0] 2 2 2 2 2 3" xfId="1047" xr:uid="{0EDFA946-0E4F-43C0-B838-C0009805FF3E}"/>
    <cellStyle name="쉼표 [0] 2 2 2 2 3" xfId="358" xr:uid="{149FA5E0-5AE4-43E5-9C81-3AF25A16D066}"/>
    <cellStyle name="쉼표 [0] 2 2 2 2 3 2" xfId="762" xr:uid="{6A9D21F4-3EEF-49B5-A92C-54C5A5698BFA}"/>
    <cellStyle name="쉼표 [0] 2 2 2 2 4" xfId="465" xr:uid="{9260905E-EE5A-4B45-A82A-9CA9C167196B}"/>
    <cellStyle name="쉼표 [0] 2 2 2 2 4 2" xfId="863" xr:uid="{4EC49FC4-2A7D-4F8B-A82F-6B21C0172926}"/>
    <cellStyle name="쉼표 [0] 2 2 2 2 5" xfId="533" xr:uid="{1D8C34C0-0FEB-4CC5-BBD9-74A3A8933B90}"/>
    <cellStyle name="쉼표 [0] 2 2 2 2 6" xfId="588" xr:uid="{E0AD3907-AB1A-4CEE-A03D-73C23FE5EDB3}"/>
    <cellStyle name="쉼표 [0] 2 2 2 2 7" xfId="924" xr:uid="{6B91C419-2B5C-4A51-989C-8765C91283B2}"/>
    <cellStyle name="쉼표 [0] 2 2 2 2 8" xfId="985" xr:uid="{57871F8D-1B27-47C1-9F4D-3EA3B48CA6C5}"/>
    <cellStyle name="쉼표 [0] 2 2 2 3" xfId="213" xr:uid="{7B38884C-EB27-4FE8-9370-E424E06F6F62}"/>
    <cellStyle name="쉼표 [0] 2 2 2 3 2" xfId="300" xr:uid="{67164910-5AC3-4FFD-BFB2-6C593520AD63}"/>
    <cellStyle name="쉼표 [0] 2 2 2 3 2 2" xfId="704" xr:uid="{4DE3B9F1-CD16-4AAA-8179-871CC7CCF357}"/>
    <cellStyle name="쉼표 [0] 2 2 2 3 2 3" xfId="1031" xr:uid="{CA5FD1EF-9CFC-47AD-81CD-5B157416D9A7}"/>
    <cellStyle name="쉼표 [0] 2 2 2 3 3" xfId="387" xr:uid="{48E9F6D2-2A0F-45BB-BA3D-9E50B1A92F98}"/>
    <cellStyle name="쉼표 [0] 2 2 2 3 3 2" xfId="791" xr:uid="{BEF02B5B-AC91-4245-9F07-6F364F8353C7}"/>
    <cellStyle name="쉼표 [0] 2 2 2 3 4" xfId="443" xr:uid="{BA064E6D-1974-429D-A713-CD43330FAC68}"/>
    <cellStyle name="쉼표 [0] 2 2 2 3 4 2" xfId="847" xr:uid="{26FB9765-04ED-4326-8E6A-C54FBAE0642A}"/>
    <cellStyle name="쉼표 [0] 2 2 2 3 5" xfId="517" xr:uid="{665352C2-183A-4B5D-A7DC-7993A05F6C54}"/>
    <cellStyle name="쉼표 [0] 2 2 2 3 6" xfId="617" xr:uid="{1183C12B-7996-4CE9-B9AA-1D656016FA06}"/>
    <cellStyle name="쉼표 [0] 2 2 2 3 7" xfId="908" xr:uid="{856077A2-8C23-46E3-9900-D8063847BF16}"/>
    <cellStyle name="쉼표 [0] 2 2 2 3 8" xfId="969" xr:uid="{7220A49E-61CC-47E0-81FE-F1CC94C46627}"/>
    <cellStyle name="쉼표 [0] 2 2 2 4" xfId="242" xr:uid="{0A7F7375-2962-4EA1-B039-9A380CBB6564}"/>
    <cellStyle name="쉼표 [0] 2 2 2 4 2" xfId="646" xr:uid="{2B37C5A5-6942-4135-97B4-18AF1D296E70}"/>
    <cellStyle name="쉼표 [0] 2 2 2 4 3" xfId="1012" xr:uid="{E07D1E0B-6825-4996-819E-CE15CAC25E7B}"/>
    <cellStyle name="쉼표 [0] 2 2 2 5" xfId="329" xr:uid="{2C253823-3CE8-4F75-84AD-46B02EA77C9E}"/>
    <cellStyle name="쉼표 [0] 2 2 2 5 2" xfId="733" xr:uid="{01D098CD-C68B-4153-B01D-77EFA195D51F}"/>
    <cellStyle name="쉼표 [0] 2 2 2 6" xfId="424" xr:uid="{6A87D3B7-4EE9-4E23-83B1-0BE4C99BABF3}"/>
    <cellStyle name="쉼표 [0] 2 2 2 6 2" xfId="828" xr:uid="{A9859C52-6E0D-4048-AE72-AA7FFE8095D9}"/>
    <cellStyle name="쉼표 [0] 2 2 2 7" xfId="498" xr:uid="{CFE04AF3-9DFF-4FD7-945E-B7D68B188B08}"/>
    <cellStyle name="쉼표 [0] 2 2 2 8" xfId="559" xr:uid="{A34A2EBF-53D7-4E59-A43A-16F238858714}"/>
    <cellStyle name="쉼표 [0] 2 2 2 9" xfId="889" xr:uid="{E6EFAB0A-A015-4239-A5D9-E4AF87EC3DAE}"/>
    <cellStyle name="쉼표 [0] 2 2 3" xfId="158" xr:uid="{0762FF02-7EFE-4DC1-9682-B944E6894E08}"/>
    <cellStyle name="쉼표 [0] 2 2 3 10" xfId="955" xr:uid="{23E63608-3F0B-4E55-BEA0-EFED832B5E19}"/>
    <cellStyle name="쉼표 [0] 2 2 3 2" xfId="189" xr:uid="{BE2A9825-5DCB-4336-A99C-8A56515CBF13}"/>
    <cellStyle name="쉼표 [0] 2 2 3 2 2" xfId="276" xr:uid="{331A333B-25A2-4332-AE3D-E174D6082214}"/>
    <cellStyle name="쉼표 [0] 2 2 3 2 2 2" xfId="680" xr:uid="{E91DE541-C65B-48CF-9907-364585D65913}"/>
    <cellStyle name="쉼표 [0] 2 2 3 2 2 3" xfId="1052" xr:uid="{4E65F0E0-E2B4-4163-A3A6-D9E4930E0774}"/>
    <cellStyle name="쉼표 [0] 2 2 3 2 3" xfId="363" xr:uid="{F43B20DB-839E-41DB-A263-3496F7F43D4A}"/>
    <cellStyle name="쉼표 [0] 2 2 3 2 3 2" xfId="767" xr:uid="{58484EE2-2254-4BFF-A5AC-8F0480E4160E}"/>
    <cellStyle name="쉼표 [0] 2 2 3 2 4" xfId="470" xr:uid="{D572CD12-E2F8-4A84-BBCB-A30258E1CC19}"/>
    <cellStyle name="쉼표 [0] 2 2 3 2 4 2" xfId="868" xr:uid="{3C6863AC-87F5-4A9A-A134-CF197CEE78B2}"/>
    <cellStyle name="쉼표 [0] 2 2 3 2 5" xfId="538" xr:uid="{17952D37-9748-4B74-BE64-914CE49EA9E4}"/>
    <cellStyle name="쉼표 [0] 2 2 3 2 6" xfId="593" xr:uid="{C9B5FA76-B332-44B1-A825-B738E75B1014}"/>
    <cellStyle name="쉼표 [0] 2 2 3 2 7" xfId="929" xr:uid="{61CDF3D8-5E46-4CAE-ABE5-F432909C2F49}"/>
    <cellStyle name="쉼표 [0] 2 2 3 2 8" xfId="990" xr:uid="{63488A05-DBF4-4BC0-84CE-173388EC1692}"/>
    <cellStyle name="쉼표 [0] 2 2 3 3" xfId="218" xr:uid="{B8A8785E-BC43-4455-9059-047354970E1F}"/>
    <cellStyle name="쉼표 [0] 2 2 3 3 2" xfId="305" xr:uid="{17B09E6F-ED28-4EF5-B723-BD37B97332B7}"/>
    <cellStyle name="쉼표 [0] 2 2 3 3 2 2" xfId="709" xr:uid="{CF5E27E5-DA98-4C93-933D-C91C74C0DD9B}"/>
    <cellStyle name="쉼표 [0] 2 2 3 3 2 3" xfId="1036" xr:uid="{8E9C7EAE-06CE-46FA-A6B1-9779E44D7B9C}"/>
    <cellStyle name="쉼표 [0] 2 2 3 3 3" xfId="392" xr:uid="{E6E4A198-BAC9-4791-AF2A-A2C3C233BC4A}"/>
    <cellStyle name="쉼표 [0] 2 2 3 3 3 2" xfId="796" xr:uid="{E85E9361-F289-4966-91A0-60EB644728A0}"/>
    <cellStyle name="쉼표 [0] 2 2 3 3 4" xfId="448" xr:uid="{679C253E-0393-45D8-8E8B-C2616F0D381B}"/>
    <cellStyle name="쉼표 [0] 2 2 3 3 4 2" xfId="852" xr:uid="{7239270C-BCCF-4F80-8200-914E3B8356A2}"/>
    <cellStyle name="쉼표 [0] 2 2 3 3 5" xfId="522" xr:uid="{E61EACC0-59C5-43C6-9353-F8816FAC471F}"/>
    <cellStyle name="쉼표 [0] 2 2 3 3 6" xfId="622" xr:uid="{5A103161-9B74-49B3-876E-DEE8BFE824DE}"/>
    <cellStyle name="쉼표 [0] 2 2 3 3 7" xfId="913" xr:uid="{CFA89B42-0874-4F27-8133-267218262338}"/>
    <cellStyle name="쉼표 [0] 2 2 3 3 8" xfId="974" xr:uid="{75C172DD-A1F9-4DCB-85E0-56ACB7F5ED0B}"/>
    <cellStyle name="쉼표 [0] 2 2 3 4" xfId="247" xr:uid="{F50B5AA2-616A-4709-9DD6-DE1A9D154627}"/>
    <cellStyle name="쉼표 [0] 2 2 3 4 2" xfId="651" xr:uid="{6040031E-1CAF-4DA4-8331-5E6EE7E30CE3}"/>
    <cellStyle name="쉼표 [0] 2 2 3 4 3" xfId="1017" xr:uid="{30BB70F0-7BC7-4331-AF6E-07B8DF2BEC86}"/>
    <cellStyle name="쉼표 [0] 2 2 3 5" xfId="334" xr:uid="{0038A624-499E-4235-89F7-53E97418BE20}"/>
    <cellStyle name="쉼표 [0] 2 2 3 5 2" xfId="738" xr:uid="{489B8973-A342-4438-BCA5-40E90B3C10A2}"/>
    <cellStyle name="쉼표 [0] 2 2 3 6" xfId="429" xr:uid="{0F328BA9-49A9-478B-ACF4-BCBFD5ED9DA8}"/>
    <cellStyle name="쉼표 [0] 2 2 3 6 2" xfId="833" xr:uid="{FF934A8E-FF54-47D2-B6E8-A4AAC461211E}"/>
    <cellStyle name="쉼표 [0] 2 2 3 7" xfId="503" xr:uid="{271233C3-4DFC-4E84-9B24-F6D67B472981}"/>
    <cellStyle name="쉼표 [0] 2 2 3 8" xfId="564" xr:uid="{7FC4ADF9-7120-4B4E-8AE0-8D52F9EF773D}"/>
    <cellStyle name="쉼표 [0] 2 2 3 9" xfId="894" xr:uid="{6E702ED1-9113-4713-BBBC-5A6471314E10}"/>
    <cellStyle name="쉼표 [0] 2 2 4" xfId="147" xr:uid="{1FF3833E-93A7-4554-BB13-EB4C21C174A0}"/>
    <cellStyle name="쉼표 [0] 2 2 4 10" xfId="945" xr:uid="{C71204D1-25B3-4DFB-AD6F-A1582F6E05F4}"/>
    <cellStyle name="쉼표 [0] 2 2 4 2" xfId="179" xr:uid="{E86321E9-4DF3-4089-8957-120B56080242}"/>
    <cellStyle name="쉼표 [0] 2 2 4 2 2" xfId="266" xr:uid="{7FB23556-9753-4BF1-8287-DEC3977C9328}"/>
    <cellStyle name="쉼표 [0] 2 2 4 2 2 2" xfId="670" xr:uid="{3F5483DF-F3BE-4103-A47B-566857D82911}"/>
    <cellStyle name="쉼표 [0] 2 2 4 2 2 3" xfId="1042" xr:uid="{D80218CC-7E2E-4523-97C1-028A09CF3A35}"/>
    <cellStyle name="쉼표 [0] 2 2 4 2 3" xfId="353" xr:uid="{A822CDDB-9682-4465-9B47-FA8F5CD4940B}"/>
    <cellStyle name="쉼표 [0] 2 2 4 2 3 2" xfId="757" xr:uid="{7BAE4C55-E2AE-44C1-871E-5863E73FD58E}"/>
    <cellStyle name="쉼표 [0] 2 2 4 2 4" xfId="460" xr:uid="{B4C82A4F-2A67-41DD-9D25-E841B67BED72}"/>
    <cellStyle name="쉼표 [0] 2 2 4 2 4 2" xfId="858" xr:uid="{4E349248-71F8-4703-B8F6-59D076C5F6B4}"/>
    <cellStyle name="쉼표 [0] 2 2 4 2 5" xfId="528" xr:uid="{C5553317-344C-4AE5-9065-B787EAC50EB1}"/>
    <cellStyle name="쉼표 [0] 2 2 4 2 6" xfId="583" xr:uid="{F7C49971-2C98-4E80-B63A-521A6FE221A6}"/>
    <cellStyle name="쉼표 [0] 2 2 4 2 7" xfId="919" xr:uid="{709DF589-EA03-44FE-AB0E-1461FE0465D8}"/>
    <cellStyle name="쉼표 [0] 2 2 4 2 8" xfId="980" xr:uid="{BAEDE88A-7C34-4062-AC39-A9971B3CFC5F}"/>
    <cellStyle name="쉼표 [0] 2 2 4 3" xfId="208" xr:uid="{4F0A227F-B4C7-4BF7-95F6-A76E5D4F8EB1}"/>
    <cellStyle name="쉼표 [0] 2 2 4 3 2" xfId="295" xr:uid="{63B31D19-BF1B-4C66-B236-2FAA28AC7A33}"/>
    <cellStyle name="쉼표 [0] 2 2 4 3 2 2" xfId="699" xr:uid="{C31CD184-44A2-484E-B799-EBA7735576AB}"/>
    <cellStyle name="쉼표 [0] 2 2 4 3 3" xfId="382" xr:uid="{BF61C66C-8FBD-4CB6-92B0-47A07E399C7F}"/>
    <cellStyle name="쉼표 [0] 2 2 4 3 3 2" xfId="786" xr:uid="{D3877EDC-DCB6-4D92-A7CC-CD039EC839BD}"/>
    <cellStyle name="쉼표 [0] 2 2 4 3 4" xfId="612" xr:uid="{B12AC7B7-77FF-4CB8-B160-7E3E7331C684}"/>
    <cellStyle name="쉼표 [0] 2 2 4 3 5" xfId="1007" xr:uid="{F205C47D-28A3-4014-9107-2D8167827845}"/>
    <cellStyle name="쉼표 [0] 2 2 4 4" xfId="237" xr:uid="{6A06DA4D-B2A4-4B59-AB08-FB17D05615C4}"/>
    <cellStyle name="쉼표 [0] 2 2 4 4 2" xfId="641" xr:uid="{B9797761-7F84-4F3B-B612-D30D9C8E893C}"/>
    <cellStyle name="쉼표 [0] 2 2 4 5" xfId="324" xr:uid="{4DBF9A3E-6FCF-4AD7-91C1-F41D830E31D4}"/>
    <cellStyle name="쉼표 [0] 2 2 4 5 2" xfId="728" xr:uid="{3F00450B-B52A-4C77-92FE-5D73A24CB0F2}"/>
    <cellStyle name="쉼표 [0] 2 2 4 6" xfId="419" xr:uid="{35D55BA1-D929-46AB-BDC4-040DC9A32169}"/>
    <cellStyle name="쉼표 [0] 2 2 4 6 2" xfId="823" xr:uid="{E1A878E8-0A73-479B-AA01-F71225EAC268}"/>
    <cellStyle name="쉼표 [0] 2 2 4 7" xfId="493" xr:uid="{E84A790C-11D2-43B0-8084-64B0C4D14B6B}"/>
    <cellStyle name="쉼표 [0] 2 2 4 8" xfId="554" xr:uid="{97975727-3D02-4099-ACD8-7DD9EE16665D}"/>
    <cellStyle name="쉼표 [0] 2 2 4 9" xfId="884" xr:uid="{8444773E-1D70-420A-959F-F8D25AEE75B1}"/>
    <cellStyle name="쉼표 [0] 2 2 5" xfId="171" xr:uid="{43DAC687-1FCE-49DE-8C28-06EC0EBC6445}"/>
    <cellStyle name="쉼표 [0] 2 2 5 2" xfId="258" xr:uid="{C6632F49-C951-423F-B93A-56296833789D}"/>
    <cellStyle name="쉼표 [0] 2 2 5 2 2" xfId="662" xr:uid="{5FAF829B-AD26-4F5A-8DF6-F9E6DE987E02}"/>
    <cellStyle name="쉼표 [0] 2 2 5 2 3" xfId="1026" xr:uid="{E9B65119-24B7-4D9F-A6F3-7AEB32ADC42A}"/>
    <cellStyle name="쉼표 [0] 2 2 5 3" xfId="345" xr:uid="{DEB9DEBC-B54A-4E1F-92B1-EC9BE6596DBE}"/>
    <cellStyle name="쉼표 [0] 2 2 5 3 2" xfId="749" xr:uid="{ED75D6F4-251B-4D80-A74E-2F55F6963685}"/>
    <cellStyle name="쉼표 [0] 2 2 5 4" xfId="438" xr:uid="{34FC1724-E1AD-4611-85DB-354A276B46C6}"/>
    <cellStyle name="쉼표 [0] 2 2 5 4 2" xfId="842" xr:uid="{6450D3E8-13A0-44A5-B538-7CBC7361C067}"/>
    <cellStyle name="쉼표 [0] 2 2 5 5" xfId="512" xr:uid="{0D941018-30B6-4B81-AADE-05255D896284}"/>
    <cellStyle name="쉼표 [0] 2 2 5 6" xfId="575" xr:uid="{1D717675-8FBD-47A8-A041-BD19A6232059}"/>
    <cellStyle name="쉼표 [0] 2 2 5 7" xfId="903" xr:uid="{A1E3A708-F191-4F55-ADF5-CC90F6CE64CE}"/>
    <cellStyle name="쉼표 [0] 2 2 5 8" xfId="964" xr:uid="{93996B16-FBA2-4D29-BC9A-7C205C7E924D}"/>
    <cellStyle name="쉼표 [0] 2 2 6" xfId="200" xr:uid="{1AF58730-0CEF-4FB6-AC26-1E34877C8829}"/>
    <cellStyle name="쉼표 [0] 2 2 6 2" xfId="287" xr:uid="{D5A62418-3044-42C2-AC06-7D2A3B4F1DD7}"/>
    <cellStyle name="쉼표 [0] 2 2 6 2 2" xfId="691" xr:uid="{2113BA05-3A7A-4BD5-B836-9924551CA112}"/>
    <cellStyle name="쉼표 [0] 2 2 6 3" xfId="374" xr:uid="{3BAAB16A-9DB4-4499-9098-8A03DFE30736}"/>
    <cellStyle name="쉼표 [0] 2 2 6 3 2" xfId="778" xr:uid="{B471CB19-D9B9-4467-9616-C908659F231F}"/>
    <cellStyle name="쉼표 [0] 2 2 6 4" xfId="604" xr:uid="{6D5BF134-29CE-42E4-A38C-452B5A195564}"/>
    <cellStyle name="쉼표 [0] 2 2 6 5" xfId="999" xr:uid="{78BE5612-2747-40B8-9A21-B0114093F18B}"/>
    <cellStyle name="쉼표 [0] 2 2 7" xfId="229" xr:uid="{1DDB9206-73C6-4032-8D62-BC782152D81C}"/>
    <cellStyle name="쉼표 [0] 2 2 7 2" xfId="633" xr:uid="{11836C4A-BC3C-4DEA-8413-31228B96AB67}"/>
    <cellStyle name="쉼표 [0] 2 2 8" xfId="316" xr:uid="{FDE17F06-C134-4E90-AD83-88A7ABF9DC7C}"/>
    <cellStyle name="쉼표 [0] 2 2 8 2" xfId="720" xr:uid="{8A2DE01B-8914-4BDF-9383-74638913312A}"/>
    <cellStyle name="쉼표 [0] 2 2 9" xfId="402" xr:uid="{7DDCE77D-14BB-4E62-BDD6-782D4820B58E}"/>
    <cellStyle name="쉼표 [0] 2 2 9 2" xfId="806" xr:uid="{B024BE64-2581-43D7-9B17-F6EABAA37CA6}"/>
    <cellStyle name="쉼표 [0] 2 3" xfId="52" xr:uid="{E6284A72-B7BA-48C8-8C33-AFCFBFDCF932}"/>
    <cellStyle name="쉼표 [0] 2 3 10" xfId="549" xr:uid="{E814C708-797E-440D-BA4A-DE4260726AEA}"/>
    <cellStyle name="쉼표 [0] 2 3 11" xfId="879" xr:uid="{6EF5B35E-6FCD-425F-ADA2-8D51BF8E792A}"/>
    <cellStyle name="쉼표 [0] 2 3 12" xfId="940" xr:uid="{289D5160-001D-4DF0-843B-BB0826907987}"/>
    <cellStyle name="쉼표 [0] 2 3 2" xfId="151" xr:uid="{B55A9814-80E4-4166-96AE-C248AD3A4595}"/>
    <cellStyle name="쉼표 [0] 2 3 2 10" xfId="948" xr:uid="{E2B3F230-0E67-4C6B-9AB8-B28740CAC924}"/>
    <cellStyle name="쉼표 [0] 2 3 2 2" xfId="182" xr:uid="{2E9D05AC-4AE6-4BA0-BF2D-891CCF9FEC55}"/>
    <cellStyle name="쉼표 [0] 2 3 2 2 2" xfId="269" xr:uid="{9CED5A8A-9275-4CD3-A81B-D599A095CDD4}"/>
    <cellStyle name="쉼표 [0] 2 3 2 2 2 2" xfId="673" xr:uid="{4482BB12-BB68-47AD-B1AF-85B946C544A6}"/>
    <cellStyle name="쉼표 [0] 2 3 2 2 2 3" xfId="1045" xr:uid="{E4202A7B-C6F5-4BE1-A9CB-897B36CA18AA}"/>
    <cellStyle name="쉼표 [0] 2 3 2 2 3" xfId="356" xr:uid="{7ED3F49E-550F-4B1E-BE0B-2311C1DC6704}"/>
    <cellStyle name="쉼표 [0] 2 3 2 2 3 2" xfId="760" xr:uid="{68BF8515-42D9-45FD-807B-76F2581745E1}"/>
    <cellStyle name="쉼표 [0] 2 3 2 2 4" xfId="463" xr:uid="{72218469-E91B-4542-A0EA-C75D00FB5EC8}"/>
    <cellStyle name="쉼표 [0] 2 3 2 2 4 2" xfId="861" xr:uid="{542E6587-B684-4588-8F37-9E2AECD0B89E}"/>
    <cellStyle name="쉼표 [0] 2 3 2 2 5" xfId="531" xr:uid="{C02F54C5-9BB3-4A5E-838E-E66150647C82}"/>
    <cellStyle name="쉼표 [0] 2 3 2 2 6" xfId="586" xr:uid="{B86351D9-2F7D-4304-BDBC-9D52D57EF361}"/>
    <cellStyle name="쉼표 [0] 2 3 2 2 7" xfId="922" xr:uid="{DF08F210-EE9F-4A81-B3CD-6D4151930CCA}"/>
    <cellStyle name="쉼표 [0] 2 3 2 2 8" xfId="983" xr:uid="{50253642-9E9C-4690-B2A8-E4C36264F225}"/>
    <cellStyle name="쉼표 [0] 2 3 2 3" xfId="211" xr:uid="{E6909C57-FF78-40C3-9F7B-A16383B8D747}"/>
    <cellStyle name="쉼표 [0] 2 3 2 3 2" xfId="298" xr:uid="{CFE3A020-C559-4029-BFB4-C503F261E0A4}"/>
    <cellStyle name="쉼표 [0] 2 3 2 3 2 2" xfId="702" xr:uid="{08875A68-4576-4D26-9C38-C4801C40B230}"/>
    <cellStyle name="쉼표 [0] 2 3 2 3 3" xfId="385" xr:uid="{9201235A-ED92-4BE0-8453-9FAB615512F7}"/>
    <cellStyle name="쉼표 [0] 2 3 2 3 3 2" xfId="789" xr:uid="{86033162-AD64-45B5-B8A0-AFB54A489476}"/>
    <cellStyle name="쉼표 [0] 2 3 2 3 4" xfId="615" xr:uid="{1BC22DEE-6F50-4EF8-AE1F-A64A6055EC6D}"/>
    <cellStyle name="쉼표 [0] 2 3 2 3 5" xfId="1010" xr:uid="{1AC7F6AF-87F6-4A12-A355-83972F6B5C9F}"/>
    <cellStyle name="쉼표 [0] 2 3 2 4" xfId="240" xr:uid="{57071D14-A1A8-4E8A-99C7-058A4818FDFD}"/>
    <cellStyle name="쉼표 [0] 2 3 2 4 2" xfId="644" xr:uid="{F6879463-C20A-42C4-A048-11D7A5E135DA}"/>
    <cellStyle name="쉼표 [0] 2 3 2 5" xfId="327" xr:uid="{592AEC94-F354-4132-84A1-B2A67A18A539}"/>
    <cellStyle name="쉼표 [0] 2 3 2 5 2" xfId="731" xr:uid="{08D306B5-22CB-4E87-9B25-0EF6789588CC}"/>
    <cellStyle name="쉼표 [0] 2 3 2 6" xfId="422" xr:uid="{B82CB014-BD64-4E77-AAB4-9073EC121DA3}"/>
    <cellStyle name="쉼표 [0] 2 3 2 6 2" xfId="826" xr:uid="{8903056B-5DD0-4898-825B-0C5A31DAA1EC}"/>
    <cellStyle name="쉼표 [0] 2 3 2 7" xfId="496" xr:uid="{9CF5C33C-C501-4DEE-B515-678D55C26CDF}"/>
    <cellStyle name="쉼표 [0] 2 3 2 8" xfId="557" xr:uid="{7062818A-96A4-4E99-82EC-F11F36C5B226}"/>
    <cellStyle name="쉼표 [0] 2 3 2 9" xfId="887" xr:uid="{E83863F6-54B4-4B33-B44F-A57821148150}"/>
    <cellStyle name="쉼표 [0] 2 3 3" xfId="174" xr:uid="{7EDB89AA-99EA-4EF8-989E-3ABF4D322D1E}"/>
    <cellStyle name="쉼표 [0] 2 3 3 2" xfId="261" xr:uid="{E7F0C33B-A0EF-4EDB-8467-5AFB740784B7}"/>
    <cellStyle name="쉼표 [0] 2 3 3 2 2" xfId="665" xr:uid="{DB2490EB-27F9-43A3-B919-85C0DADED46E}"/>
    <cellStyle name="쉼표 [0] 2 3 3 2 3" xfId="1029" xr:uid="{20B662AE-A2BB-4440-8493-C5CA0605739A}"/>
    <cellStyle name="쉼표 [0] 2 3 3 3" xfId="348" xr:uid="{017EECAD-EE55-4CED-9A64-0CE22E7D7967}"/>
    <cellStyle name="쉼표 [0] 2 3 3 3 2" xfId="752" xr:uid="{96B6DFDE-1EF7-482D-8384-18BD4C949A17}"/>
    <cellStyle name="쉼표 [0] 2 3 3 4" xfId="441" xr:uid="{3191C60D-DBCA-47E6-B098-FB805A2CD9AF}"/>
    <cellStyle name="쉼표 [0] 2 3 3 4 2" xfId="845" xr:uid="{76E77F12-1C30-4CF3-B550-6C5EFC39B6CA}"/>
    <cellStyle name="쉼표 [0] 2 3 3 5" xfId="515" xr:uid="{D1762279-9060-425C-A782-8B72655B8D1E}"/>
    <cellStyle name="쉼표 [0] 2 3 3 6" xfId="578" xr:uid="{90AD3E29-63AA-4F8A-82DC-470B1F30CF99}"/>
    <cellStyle name="쉼표 [0] 2 3 3 7" xfId="906" xr:uid="{7B6AA77F-FFE8-4545-AC24-33EE35CD069E}"/>
    <cellStyle name="쉼표 [0] 2 3 3 8" xfId="967" xr:uid="{6F94AA5E-0034-499A-95BB-69AE68C04318}"/>
    <cellStyle name="쉼표 [0] 2 3 4" xfId="203" xr:uid="{2E0315A5-DEEE-488A-8439-A80F921C877A}"/>
    <cellStyle name="쉼표 [0] 2 3 4 2" xfId="290" xr:uid="{C84ABFAF-E64E-40D1-8CC1-B637B017FD52}"/>
    <cellStyle name="쉼표 [0] 2 3 4 2 2" xfId="694" xr:uid="{11EF43BF-B884-4E90-B32D-BA1436C23DE7}"/>
    <cellStyle name="쉼표 [0] 2 3 4 3" xfId="377" xr:uid="{640F0417-56D1-4BFE-BA80-B991F3C7C602}"/>
    <cellStyle name="쉼표 [0] 2 3 4 3 2" xfId="781" xr:uid="{508F61EA-F187-4DAC-B307-42D0AD9CE953}"/>
    <cellStyle name="쉼표 [0] 2 3 4 4" xfId="607" xr:uid="{15E658A3-A1B4-4E2A-971B-9EEDB93F0BC6}"/>
    <cellStyle name="쉼표 [0] 2 3 4 5" xfId="1002" xr:uid="{C51670CF-616F-4E88-B118-732093FF089C}"/>
    <cellStyle name="쉼표 [0] 2 3 5" xfId="232" xr:uid="{F1C6A71A-A270-4362-A83A-85B248B640FF}"/>
    <cellStyle name="쉼표 [0] 2 3 5 2" xfId="636" xr:uid="{38F2058E-A0B2-46DF-8443-1DE6ABFBC2CD}"/>
    <cellStyle name="쉼표 [0] 2 3 6" xfId="319" xr:uid="{8AE1DBD0-06D1-4F42-8D2F-9797A3C1C964}"/>
    <cellStyle name="쉼표 [0] 2 3 6 2" xfId="723" xr:uid="{3C2FB61D-2098-4EFB-AFFA-B15CA5C6BD56}"/>
    <cellStyle name="쉼표 [0] 2 3 7" xfId="405" xr:uid="{42014DE2-6D0A-401A-81AC-4BC40B30EF3D}"/>
    <cellStyle name="쉼표 [0] 2 3 7 2" xfId="809" xr:uid="{9DDB6D76-A6F2-43DD-A947-9A8F3F73DB5C}"/>
    <cellStyle name="쉼표 [0] 2 3 8" xfId="414" xr:uid="{2CC1A473-DE51-432D-88AA-14246935D5C7}"/>
    <cellStyle name="쉼표 [0] 2 3 8 2" xfId="818" xr:uid="{42EB2B83-3509-4D3C-9413-095B73056463}"/>
    <cellStyle name="쉼표 [0] 2 3 9" xfId="488" xr:uid="{1EFA89A6-2D31-4BAC-A2B4-3237CF3764EB}"/>
    <cellStyle name="쉼표 [0] 2 4" xfId="156" xr:uid="{539F73FD-D326-47EA-9531-51C65C895EE4}"/>
    <cellStyle name="쉼표 [0] 2 4 10" xfId="953" xr:uid="{7AC94C50-3C5A-4ED8-8020-6DC44C2634A0}"/>
    <cellStyle name="쉼표 [0] 2 4 2" xfId="187" xr:uid="{DEF796E9-B2FF-4E86-A960-532426DBE699}"/>
    <cellStyle name="쉼표 [0] 2 4 2 2" xfId="274" xr:uid="{EAA94E57-B6B7-4626-83D5-6BAAD93A22B9}"/>
    <cellStyle name="쉼표 [0] 2 4 2 2 2" xfId="678" xr:uid="{C6A56F1F-A8AC-44F5-A8D0-FFB7F5FACE8E}"/>
    <cellStyle name="쉼표 [0] 2 4 2 2 3" xfId="1050" xr:uid="{14235FD3-EF8A-4587-96BB-0859E043CB22}"/>
    <cellStyle name="쉼표 [0] 2 4 2 3" xfId="361" xr:uid="{0963E493-3A75-4B9A-A936-31BF7FDC5617}"/>
    <cellStyle name="쉼표 [0] 2 4 2 3 2" xfId="765" xr:uid="{C310525A-B61C-4C45-B4FB-46BBF334D186}"/>
    <cellStyle name="쉼표 [0] 2 4 2 4" xfId="468" xr:uid="{942E8F1D-60A9-4A92-9084-39DAA0034136}"/>
    <cellStyle name="쉼표 [0] 2 4 2 4 2" xfId="866" xr:uid="{29F1EED9-1542-41A7-AEC4-897B7CFA76C5}"/>
    <cellStyle name="쉼표 [0] 2 4 2 5" xfId="536" xr:uid="{1508672F-4FCE-40AC-86DD-73D76C1B6442}"/>
    <cellStyle name="쉼표 [0] 2 4 2 6" xfId="591" xr:uid="{2299BD91-0498-427D-8580-D1DD660749C6}"/>
    <cellStyle name="쉼표 [0] 2 4 2 7" xfId="927" xr:uid="{0722C547-06B3-4B3F-9F0F-ADA6476BDCDA}"/>
    <cellStyle name="쉼표 [0] 2 4 2 8" xfId="988" xr:uid="{51944EEB-36DB-47C1-A62E-DB3746940A9E}"/>
    <cellStyle name="쉼표 [0] 2 4 3" xfId="216" xr:uid="{F4E8DDDF-3950-4FEE-BCFD-75B6AEC25705}"/>
    <cellStyle name="쉼표 [0] 2 4 3 2" xfId="303" xr:uid="{13FCDB0D-F338-4128-AA8A-697FD9AF5985}"/>
    <cellStyle name="쉼표 [0] 2 4 3 2 2" xfId="707" xr:uid="{1FDD4944-F9E3-4760-8169-1FDEA3AF2785}"/>
    <cellStyle name="쉼표 [0] 2 4 3 2 3" xfId="1034" xr:uid="{9236A94F-9F44-4B04-836D-D99258DE8A31}"/>
    <cellStyle name="쉼표 [0] 2 4 3 3" xfId="390" xr:uid="{F3A4B9AB-1F4C-4576-BC38-61E23B6745CA}"/>
    <cellStyle name="쉼표 [0] 2 4 3 3 2" xfId="794" xr:uid="{A254B215-FB71-4800-AC06-20A4644B4DD6}"/>
    <cellStyle name="쉼표 [0] 2 4 3 4" xfId="446" xr:uid="{2DF32DA4-C571-423A-B267-90CFD1B62F8B}"/>
    <cellStyle name="쉼표 [0] 2 4 3 4 2" xfId="850" xr:uid="{59D5DF32-9572-46DF-82B2-5F45228E1CB7}"/>
    <cellStyle name="쉼표 [0] 2 4 3 5" xfId="520" xr:uid="{026EF586-0AFA-45C4-8B5D-AC6918256BF0}"/>
    <cellStyle name="쉼표 [0] 2 4 3 6" xfId="620" xr:uid="{F9E8E08E-AA96-456B-94BF-388AAA540F66}"/>
    <cellStyle name="쉼표 [0] 2 4 3 7" xfId="911" xr:uid="{76E71950-74FB-44FA-AD99-DE6703F736B3}"/>
    <cellStyle name="쉼표 [0] 2 4 3 8" xfId="972" xr:uid="{118309E5-969D-456A-90BA-C7CCEFB92F78}"/>
    <cellStyle name="쉼표 [0] 2 4 4" xfId="245" xr:uid="{11F8C90B-CE91-43A8-8DF0-A3A16DEF5B6F}"/>
    <cellStyle name="쉼표 [0] 2 4 4 2" xfId="649" xr:uid="{6B08569B-06C2-4669-93EF-B2640F26C561}"/>
    <cellStyle name="쉼표 [0] 2 4 4 3" xfId="1015" xr:uid="{7BF24A0A-1D0D-41DC-AC63-A55F64021724}"/>
    <cellStyle name="쉼표 [0] 2 4 5" xfId="332" xr:uid="{F6349E37-D62C-4E27-95DF-5CA0A67536FA}"/>
    <cellStyle name="쉼표 [0] 2 4 5 2" xfId="736" xr:uid="{3B23841A-F4EC-4BFC-B68B-37C04559FA4E}"/>
    <cellStyle name="쉼표 [0] 2 4 6" xfId="427" xr:uid="{460BDD14-2C9E-40F6-BF12-8B7600EEE254}"/>
    <cellStyle name="쉼표 [0] 2 4 6 2" xfId="831" xr:uid="{AC3CE9AC-D0B3-43A2-AD69-FFB37693FEDC}"/>
    <cellStyle name="쉼표 [0] 2 4 7" xfId="501" xr:uid="{7A287AD8-7862-46BC-B866-A7B8C5D44317}"/>
    <cellStyle name="쉼표 [0] 2 4 8" xfId="562" xr:uid="{8C1AFF4C-9C5C-40B5-80E2-AF3B0ABC6A0E}"/>
    <cellStyle name="쉼표 [0] 2 4 9" xfId="892" xr:uid="{96A2AE0F-A74D-4EFB-B750-790E9202E424}"/>
    <cellStyle name="쉼표 [0] 2 5" xfId="123" xr:uid="{1D603F72-D02D-41F1-9BD5-AA7764B74026}"/>
    <cellStyle name="쉼표 [0] 2 5 10" xfId="943" xr:uid="{0A0D9015-99FB-4DC4-8381-B58EAFD78926}"/>
    <cellStyle name="쉼표 [0] 2 5 2" xfId="177" xr:uid="{AF186B51-A611-4E6B-BE1E-BECB427E752B}"/>
    <cellStyle name="쉼표 [0] 2 5 2 2" xfId="264" xr:uid="{4049A9E0-23D8-4E8C-839B-E8C13B9B4515}"/>
    <cellStyle name="쉼표 [0] 2 5 2 2 2" xfId="668" xr:uid="{41F41AB6-51D7-434E-9118-4FF3C90EEC98}"/>
    <cellStyle name="쉼표 [0] 2 5 2 2 3" xfId="1040" xr:uid="{A647721E-E60C-4797-BC0A-B97630F0FA4B}"/>
    <cellStyle name="쉼표 [0] 2 5 2 3" xfId="351" xr:uid="{7E597D8C-EFC5-46DE-8F80-B9EC7A5DF650}"/>
    <cellStyle name="쉼표 [0] 2 5 2 3 2" xfId="755" xr:uid="{653CE7DD-F901-4B09-BD06-14D8FBBA79BF}"/>
    <cellStyle name="쉼표 [0] 2 5 2 4" xfId="458" xr:uid="{FF37908F-4149-42F8-876F-C31EC1DB8791}"/>
    <cellStyle name="쉼표 [0] 2 5 2 4 2" xfId="856" xr:uid="{132A27DC-70C0-4E2D-B57B-938D3B32CE06}"/>
    <cellStyle name="쉼표 [0] 2 5 2 5" xfId="526" xr:uid="{6D5DADF9-44FA-4792-B197-F50765815B17}"/>
    <cellStyle name="쉼표 [0] 2 5 2 6" xfId="581" xr:uid="{CCD91D7E-CA2D-4769-98C7-00157AA79F97}"/>
    <cellStyle name="쉼표 [0] 2 5 2 7" xfId="917" xr:uid="{D443D2F7-727E-4FF9-A848-801A816A7EA1}"/>
    <cellStyle name="쉼표 [0] 2 5 2 8" xfId="978" xr:uid="{E27EE611-DE70-4DAF-A15D-8078B2655215}"/>
    <cellStyle name="쉼표 [0] 2 5 3" xfId="206" xr:uid="{F409BC13-D182-4D4C-821F-561678517636}"/>
    <cellStyle name="쉼표 [0] 2 5 3 2" xfId="293" xr:uid="{0936EC4B-B36E-43A0-80F6-F260CEF8E6DD}"/>
    <cellStyle name="쉼표 [0] 2 5 3 2 2" xfId="697" xr:uid="{B2454ED7-58E7-44DC-BF73-C556B11C1E62}"/>
    <cellStyle name="쉼표 [0] 2 5 3 3" xfId="380" xr:uid="{E7AF4338-132F-4909-BD80-C84BF5F13C33}"/>
    <cellStyle name="쉼표 [0] 2 5 3 3 2" xfId="784" xr:uid="{975C18D9-AFF6-4FF8-919F-165A42090423}"/>
    <cellStyle name="쉼표 [0] 2 5 3 4" xfId="610" xr:uid="{075F7DF3-D1B0-416E-A09C-93B99CB98194}"/>
    <cellStyle name="쉼표 [0] 2 5 3 5" xfId="1005" xr:uid="{54E0FCAD-73FE-4B96-B7C7-1B409A0710DF}"/>
    <cellStyle name="쉼표 [0] 2 5 4" xfId="235" xr:uid="{0A733A03-2409-4E18-97E6-274C93277E63}"/>
    <cellStyle name="쉼표 [0] 2 5 4 2" xfId="639" xr:uid="{72DD832E-EA55-4ED4-B031-F083094B0036}"/>
    <cellStyle name="쉼표 [0] 2 5 5" xfId="322" xr:uid="{610A70C5-36C0-459C-BF53-E1786D7E4BE5}"/>
    <cellStyle name="쉼표 [0] 2 5 5 2" xfId="726" xr:uid="{FA6ECA38-B956-4F27-A504-724D5671BF82}"/>
    <cellStyle name="쉼표 [0] 2 5 6" xfId="417" xr:uid="{822A2230-422E-4318-8E01-282393E3BDC6}"/>
    <cellStyle name="쉼표 [0] 2 5 6 2" xfId="821" xr:uid="{1900895E-F554-4B93-9819-888C4E31E858}"/>
    <cellStyle name="쉼표 [0] 2 5 7" xfId="491" xr:uid="{378ACEA1-FEC3-4548-825B-6951CD7F49AB}"/>
    <cellStyle name="쉼표 [0] 2 5 8" xfId="552" xr:uid="{C8D07D8D-B8AA-408D-8876-F6ABA8FFCEC3}"/>
    <cellStyle name="쉼표 [0] 2 5 9" xfId="882" xr:uid="{5BDD7431-577E-499F-8576-78207BFDE388}"/>
    <cellStyle name="쉼표 [0] 2 6" xfId="168" xr:uid="{1E05E983-4572-4D21-B2FC-BA8DAE91A2AB}"/>
    <cellStyle name="쉼표 [0] 2 6 2" xfId="255" xr:uid="{416A6869-5E91-4B2D-8173-BA70563E2543}"/>
    <cellStyle name="쉼표 [0] 2 6 2 2" xfId="659" xr:uid="{52DB3948-B10E-4DF9-91E7-9196F24C6668}"/>
    <cellStyle name="쉼표 [0] 2 6 2 3" xfId="1024" xr:uid="{4C499B17-4283-4F15-9CD4-DC9431552958}"/>
    <cellStyle name="쉼표 [0] 2 6 3" xfId="342" xr:uid="{637E53C9-ADB4-4A61-A502-28D24C90ADD1}"/>
    <cellStyle name="쉼표 [0] 2 6 3 2" xfId="746" xr:uid="{EF87C552-1235-4B6E-88CA-220DFB49DBDF}"/>
    <cellStyle name="쉼표 [0] 2 6 4" xfId="436" xr:uid="{43D07B0A-E176-48AC-987B-A17028F44BD4}"/>
    <cellStyle name="쉼표 [0] 2 6 4 2" xfId="840" xr:uid="{8B866ADB-C722-4819-A3F8-F7B6FD4F670B}"/>
    <cellStyle name="쉼표 [0] 2 6 5" xfId="510" xr:uid="{6858DBF5-9F47-470B-BACF-312CFEF20ED6}"/>
    <cellStyle name="쉼표 [0] 2 6 6" xfId="572" xr:uid="{767B4765-0F22-4046-AD4C-DB3F446729ED}"/>
    <cellStyle name="쉼표 [0] 2 6 7" xfId="901" xr:uid="{E898B9ED-0BF9-4A34-9A98-29D374B9C8DB}"/>
    <cellStyle name="쉼표 [0] 2 6 8" xfId="962" xr:uid="{4B8D5594-0722-4435-9535-BC3ED5113286}"/>
    <cellStyle name="쉼표 [0] 2 7" xfId="197" xr:uid="{FE4AFDCE-E108-4689-95CC-E304341A2604}"/>
    <cellStyle name="쉼표 [0] 2 7 2" xfId="284" xr:uid="{ADAFDC4A-C305-469C-BA16-48D886B5B19B}"/>
    <cellStyle name="쉼표 [0] 2 7 2 2" xfId="688" xr:uid="{6AE7C366-B548-49B2-BF1D-E64DFB88D55F}"/>
    <cellStyle name="쉼표 [0] 2 7 3" xfId="371" xr:uid="{55C5C53A-928D-47ED-BE36-31E4A140EBE7}"/>
    <cellStyle name="쉼표 [0] 2 7 3 2" xfId="775" xr:uid="{FF3B825C-DF92-4C03-BB24-FCA581940D90}"/>
    <cellStyle name="쉼표 [0] 2 7 4" xfId="601" xr:uid="{52E177C5-AEC1-4341-BAA1-90F9A9411FCC}"/>
    <cellStyle name="쉼표 [0] 2 7 5" xfId="996" xr:uid="{4663FABF-F2F8-4DCA-BB4A-B7CBDA459A2B}"/>
    <cellStyle name="쉼표 [0] 2 8" xfId="226" xr:uid="{D918F002-A9E3-4B90-875D-68E1BFD7F486}"/>
    <cellStyle name="쉼표 [0] 2 8 2" xfId="630" xr:uid="{B7F42FAC-39FC-491D-B87B-82658AE2A740}"/>
    <cellStyle name="쉼표 [0] 2 9" xfId="313" xr:uid="{F3DE21EB-8D95-40DB-8F5F-0EAA288275C7}"/>
    <cellStyle name="쉼표 [0] 2 9 2" xfId="717" xr:uid="{38F1439D-7AAC-4418-A7D5-A1E038473A7A}"/>
    <cellStyle name="쉼표 [0] 20" xfId="1059" xr:uid="{EC76B4C6-6136-4AB5-BCF2-8C7A085219DC}"/>
    <cellStyle name="쉼표 [0] 3" xfId="46" xr:uid="{CBA064D3-F00A-490B-9A44-E77EC47F62C9}"/>
    <cellStyle name="쉼표 [0] 3 10" xfId="400" xr:uid="{E27B7686-4345-457B-901F-527EC68B0F89}"/>
    <cellStyle name="쉼표 [0] 3 10 2" xfId="804" xr:uid="{45CEDB50-BC74-4629-84B3-DBECE933989F}"/>
    <cellStyle name="쉼표 [0] 3 11" xfId="409" xr:uid="{1FE5D44F-7991-439E-8F9D-6FDBB1584D77}"/>
    <cellStyle name="쉼표 [0] 3 11 2" xfId="813" xr:uid="{71E46220-38E9-4CA2-9A9D-6F3062FF9E97}"/>
    <cellStyle name="쉼표 [0] 3 12" xfId="483" xr:uid="{344F47CB-7044-4AF6-8199-6C1A50C8A303}"/>
    <cellStyle name="쉼표 [0] 3 13" xfId="544" xr:uid="{9CD634ED-1E6C-4577-87AD-F8FC9E530950}"/>
    <cellStyle name="쉼표 [0] 3 14" xfId="874" xr:uid="{1C757FFD-9B39-4C51-956D-D6BDC42E24D8}"/>
    <cellStyle name="쉼표 [0] 3 15" xfId="935" xr:uid="{15277A9D-D3E3-4C78-816C-FF81E883B5F1}"/>
    <cellStyle name="쉼표 [0] 3 2" xfId="49" xr:uid="{FEFF1986-FC07-4DCB-AC1F-6B2137837A54}"/>
    <cellStyle name="쉼표 [0] 3 2 10" xfId="547" xr:uid="{30EE636D-6BEC-4F38-9505-5527C06213AD}"/>
    <cellStyle name="쉼표 [0] 3 2 11" xfId="877" xr:uid="{75D18085-47AA-4415-8E57-16F832F3C25B}"/>
    <cellStyle name="쉼표 [0] 3 2 12" xfId="938" xr:uid="{F7E418CD-CA4E-4101-BC2A-C6AD3D021BF9}"/>
    <cellStyle name="쉼표 [0] 3 2 2" xfId="152" xr:uid="{6BE31954-FA80-4D9C-883B-B13DC5B9D808}"/>
    <cellStyle name="쉼표 [0] 3 2 2 10" xfId="949" xr:uid="{0AE0AD07-50FD-4DC4-9434-297459A43D43}"/>
    <cellStyle name="쉼표 [0] 3 2 2 2" xfId="183" xr:uid="{F368FE70-96FA-4E86-BAB3-11B155F5A8AB}"/>
    <cellStyle name="쉼표 [0] 3 2 2 2 2" xfId="270" xr:uid="{E1451C20-DB6E-4E3C-9206-3AA87E16851C}"/>
    <cellStyle name="쉼표 [0] 3 2 2 2 2 2" xfId="674" xr:uid="{E4928B33-6E1E-4834-8E3D-BF5DEA3214B1}"/>
    <cellStyle name="쉼표 [0] 3 2 2 2 2 3" xfId="1046" xr:uid="{D4D70A96-1FB0-4B9A-85B7-4BD05CBDEBF4}"/>
    <cellStyle name="쉼표 [0] 3 2 2 2 3" xfId="357" xr:uid="{A3218C93-BD55-43DE-95D8-94916A08D68C}"/>
    <cellStyle name="쉼표 [0] 3 2 2 2 3 2" xfId="761" xr:uid="{5BAD196C-E164-462D-9725-6453B26334C1}"/>
    <cellStyle name="쉼표 [0] 3 2 2 2 4" xfId="464" xr:uid="{F076FDF1-599D-45F5-B69D-52736DD6609E}"/>
    <cellStyle name="쉼표 [0] 3 2 2 2 4 2" xfId="862" xr:uid="{FE117EED-9875-45EB-B50B-E5FB780974A9}"/>
    <cellStyle name="쉼표 [0] 3 2 2 2 5" xfId="532" xr:uid="{8CC12127-34AB-4954-A3DC-A321848C3592}"/>
    <cellStyle name="쉼표 [0] 3 2 2 2 6" xfId="587" xr:uid="{9C21EDEA-76E2-49E0-8F08-1F5117CCFD51}"/>
    <cellStyle name="쉼표 [0] 3 2 2 2 7" xfId="923" xr:uid="{813D8BBA-D5A7-4F92-88B5-FB49DFA28251}"/>
    <cellStyle name="쉼표 [0] 3 2 2 2 8" xfId="984" xr:uid="{439A46E3-0B43-455D-9894-497CC9DD08D6}"/>
    <cellStyle name="쉼표 [0] 3 2 2 3" xfId="212" xr:uid="{194718EB-D9D0-4D31-A117-670B2D5DF313}"/>
    <cellStyle name="쉼표 [0] 3 2 2 3 2" xfId="299" xr:uid="{F7A2A999-738F-4FCE-8C13-3BA40948B798}"/>
    <cellStyle name="쉼표 [0] 3 2 2 3 2 2" xfId="703" xr:uid="{83F277DB-183B-41FE-B529-37E929718C14}"/>
    <cellStyle name="쉼표 [0] 3 2 2 3 3" xfId="386" xr:uid="{3C1CFE1D-CD0C-4D83-93C1-BB758BC724E2}"/>
    <cellStyle name="쉼표 [0] 3 2 2 3 3 2" xfId="790" xr:uid="{E880D31A-9E6A-4FDC-8D9F-5A806556440B}"/>
    <cellStyle name="쉼표 [0] 3 2 2 3 4" xfId="616" xr:uid="{EC6366E6-0072-4ECB-B9AE-CE80C5C3B2F7}"/>
    <cellStyle name="쉼표 [0] 3 2 2 3 5" xfId="1011" xr:uid="{A9539F3E-4F03-47AD-9DE5-0468BC98349F}"/>
    <cellStyle name="쉼표 [0] 3 2 2 4" xfId="241" xr:uid="{9DF12FEB-FF81-4E5B-973C-DF19B934C4BC}"/>
    <cellStyle name="쉼표 [0] 3 2 2 4 2" xfId="645" xr:uid="{190C84F1-0A57-412E-9C33-531D9F269845}"/>
    <cellStyle name="쉼표 [0] 3 2 2 5" xfId="328" xr:uid="{284073DE-1D67-49C6-BB7F-EF0F736A92C6}"/>
    <cellStyle name="쉼표 [0] 3 2 2 5 2" xfId="732" xr:uid="{D95A9523-18C5-41AE-929D-56B829C83AAD}"/>
    <cellStyle name="쉼표 [0] 3 2 2 6" xfId="423" xr:uid="{472C6E21-4AEF-480C-8718-96892CAA9D7B}"/>
    <cellStyle name="쉼표 [0] 3 2 2 6 2" xfId="827" xr:uid="{CF618BF3-E868-4BA4-8B7A-D792572C64B5}"/>
    <cellStyle name="쉼표 [0] 3 2 2 7" xfId="497" xr:uid="{8C8B6348-18EF-4FFE-A6AF-30B5FB16B294}"/>
    <cellStyle name="쉼표 [0] 3 2 2 8" xfId="558" xr:uid="{5F9CC08C-2AD9-4904-B780-B8D442DF0288}"/>
    <cellStyle name="쉼표 [0] 3 2 2 9" xfId="888" xr:uid="{565F7466-F028-4772-AB4E-7F5EDC519FC0}"/>
    <cellStyle name="쉼표 [0] 3 2 3" xfId="172" xr:uid="{87464BB6-AB6B-4996-ACD0-7773F07663C6}"/>
    <cellStyle name="쉼표 [0] 3 2 3 2" xfId="259" xr:uid="{DDCE55E7-86CD-421C-8CD2-1B6BCC4B19B1}"/>
    <cellStyle name="쉼표 [0] 3 2 3 2 2" xfId="663" xr:uid="{69E4C7E1-9AC3-450A-9BC7-CB3C9689CFBD}"/>
    <cellStyle name="쉼표 [0] 3 2 3 2 3" xfId="1030" xr:uid="{827C32A7-E25B-48D7-910A-C909A7E79E1D}"/>
    <cellStyle name="쉼표 [0] 3 2 3 3" xfId="346" xr:uid="{03D7D476-FD08-489C-AA39-4C963F07E1EA}"/>
    <cellStyle name="쉼표 [0] 3 2 3 3 2" xfId="750" xr:uid="{756F4055-EEA1-4D70-B46B-365F90BF4E95}"/>
    <cellStyle name="쉼표 [0] 3 2 3 4" xfId="442" xr:uid="{3FE53991-8253-446C-9E35-2D29A5A5BD3A}"/>
    <cellStyle name="쉼표 [0] 3 2 3 4 2" xfId="846" xr:uid="{A2F7E9EA-173E-45A6-AEBA-607C12F9CDA2}"/>
    <cellStyle name="쉼표 [0] 3 2 3 5" xfId="516" xr:uid="{F9F63FC2-5C6B-4335-B84F-43AE620E0954}"/>
    <cellStyle name="쉼표 [0] 3 2 3 6" xfId="576" xr:uid="{BB331771-6F6B-480E-93E3-24D636EC6BDD}"/>
    <cellStyle name="쉼표 [0] 3 2 3 7" xfId="907" xr:uid="{A8291459-3436-49AA-924A-81ACD331577E}"/>
    <cellStyle name="쉼표 [0] 3 2 3 8" xfId="968" xr:uid="{1EF0D78F-4276-4144-A8CE-1D6CD864B2F7}"/>
    <cellStyle name="쉼표 [0] 3 2 4" xfId="201" xr:uid="{DDAC827A-2BE8-4E8C-863C-C65B503F27EB}"/>
    <cellStyle name="쉼표 [0] 3 2 4 2" xfId="288" xr:uid="{0A2ED42A-910F-4320-B3A5-69F17936E354}"/>
    <cellStyle name="쉼표 [0] 3 2 4 2 2" xfId="692" xr:uid="{C0F78CBA-ED02-46FD-8C17-E4256B042507}"/>
    <cellStyle name="쉼표 [0] 3 2 4 3" xfId="375" xr:uid="{5A3621FA-C16A-4D0A-AC71-81E9830EF248}"/>
    <cellStyle name="쉼표 [0] 3 2 4 3 2" xfId="779" xr:uid="{12B98EDD-A767-45B9-A0F4-A57B02CF8C2E}"/>
    <cellStyle name="쉼표 [0] 3 2 4 4" xfId="605" xr:uid="{59CAA483-BD87-4FC2-A599-E02C3F13E967}"/>
    <cellStyle name="쉼표 [0] 3 2 4 5" xfId="1000" xr:uid="{201F0A72-B548-496D-8AD9-1AF3E188FB7D}"/>
    <cellStyle name="쉼표 [0] 3 2 5" xfId="230" xr:uid="{F1FC49A4-A05B-4D29-A824-56CE4E7AAA27}"/>
    <cellStyle name="쉼표 [0] 3 2 5 2" xfId="634" xr:uid="{B724836F-CD15-4A0B-B7F0-1ED125F6B19D}"/>
    <cellStyle name="쉼표 [0] 3 2 6" xfId="317" xr:uid="{F69E1506-E343-4C52-850B-CDBBC7C0A3DE}"/>
    <cellStyle name="쉼표 [0] 3 2 6 2" xfId="721" xr:uid="{4663B6F4-34E3-4D42-807F-D0DC7F0C49B0}"/>
    <cellStyle name="쉼표 [0] 3 2 7" xfId="403" xr:uid="{448B7974-B368-444A-8290-78976766DDCE}"/>
    <cellStyle name="쉼표 [0] 3 2 7 2" xfId="807" xr:uid="{E7066C28-DB8A-41BD-A265-664C227A182C}"/>
    <cellStyle name="쉼표 [0] 3 2 8" xfId="412" xr:uid="{D9581F10-C9EA-4BDB-8290-37FDDED5B143}"/>
    <cellStyle name="쉼표 [0] 3 2 8 2" xfId="816" xr:uid="{07A1014D-C8FC-4849-AD1C-54977273C6FD}"/>
    <cellStyle name="쉼표 [0] 3 2 9" xfId="486" xr:uid="{2935D7AC-D0A7-4461-BFC7-F0DE1DDF568F}"/>
    <cellStyle name="쉼표 [0] 3 3" xfId="51" xr:uid="{8AE63BE7-21D4-460B-91F0-DB3F861DCA85}"/>
    <cellStyle name="쉼표 [0] 3 3 10" xfId="548" xr:uid="{96866977-F081-40EF-90AF-DB7FF813F44C}"/>
    <cellStyle name="쉼표 [0] 3 3 11" xfId="878" xr:uid="{5A85509F-F51C-47D5-BE15-36B388FBB83D}"/>
    <cellStyle name="쉼표 [0] 3 3 12" xfId="939" xr:uid="{7AC48B57-E7CD-4873-B8EB-A9119216EB45}"/>
    <cellStyle name="쉼표 [0] 3 3 2" xfId="157" xr:uid="{7E008B9F-13E8-4B65-9D39-64564C9D0618}"/>
    <cellStyle name="쉼표 [0] 3 3 2 10" xfId="954" xr:uid="{66A5E680-3CB7-4F73-8627-17DEB22A33DB}"/>
    <cellStyle name="쉼표 [0] 3 3 2 2" xfId="188" xr:uid="{6D14343A-DD2B-4DFA-B8D3-B1677EBD45A1}"/>
    <cellStyle name="쉼표 [0] 3 3 2 2 2" xfId="275" xr:uid="{17D58FE1-923A-4747-94E2-6C68A206C231}"/>
    <cellStyle name="쉼표 [0] 3 3 2 2 2 2" xfId="679" xr:uid="{82D1F5CA-3570-49A4-AE35-1786DE01FBAD}"/>
    <cellStyle name="쉼표 [0] 3 3 2 2 2 3" xfId="1051" xr:uid="{7CE0094C-FFE9-4EEA-88A2-B6373E45485A}"/>
    <cellStyle name="쉼표 [0] 3 3 2 2 3" xfId="362" xr:uid="{4064C587-AF65-47DE-95B8-E5634CB2AF5E}"/>
    <cellStyle name="쉼표 [0] 3 3 2 2 3 2" xfId="766" xr:uid="{42AD82D6-0B20-4A34-867B-FBD44ACF7724}"/>
    <cellStyle name="쉼표 [0] 3 3 2 2 4" xfId="469" xr:uid="{DA82555B-B6AC-4124-B558-2FAE5CFEC15E}"/>
    <cellStyle name="쉼표 [0] 3 3 2 2 4 2" xfId="867" xr:uid="{FC4C2C0F-8E6D-4512-93DA-E2C17C240902}"/>
    <cellStyle name="쉼표 [0] 3 3 2 2 5" xfId="537" xr:uid="{A808BDB0-5881-4DA3-A162-4E920203D505}"/>
    <cellStyle name="쉼표 [0] 3 3 2 2 6" xfId="592" xr:uid="{8584A49B-CD94-4FD6-9142-856CD77EE856}"/>
    <cellStyle name="쉼표 [0] 3 3 2 2 7" xfId="928" xr:uid="{D3B1515D-C676-48C8-8D21-3197D8C71B9F}"/>
    <cellStyle name="쉼표 [0] 3 3 2 2 8" xfId="989" xr:uid="{C63AEF70-498D-4B22-8C47-8BB34024E5DA}"/>
    <cellStyle name="쉼표 [0] 3 3 2 3" xfId="217" xr:uid="{3F4FC80F-1327-4550-BF0C-38D7966F1CDA}"/>
    <cellStyle name="쉼표 [0] 3 3 2 3 2" xfId="304" xr:uid="{BE183C67-4E7F-4F66-8FD6-CFFB9D5590D8}"/>
    <cellStyle name="쉼표 [0] 3 3 2 3 2 2" xfId="708" xr:uid="{DDFD0EE3-3588-444C-9745-D92778F9C3F0}"/>
    <cellStyle name="쉼표 [0] 3 3 2 3 3" xfId="391" xr:uid="{C11AD908-49A4-40EA-B8AA-1552AA798116}"/>
    <cellStyle name="쉼표 [0] 3 3 2 3 3 2" xfId="795" xr:uid="{75B3EEDC-8D71-4C91-AC42-AE4A077CF8DE}"/>
    <cellStyle name="쉼표 [0] 3 3 2 3 4" xfId="621" xr:uid="{CC4FE6D4-EE1B-4CFC-B3B4-B71A372E6F15}"/>
    <cellStyle name="쉼표 [0] 3 3 2 3 5" xfId="1016" xr:uid="{D74DCC97-D18C-4587-AA9F-B0D9D5128046}"/>
    <cellStyle name="쉼표 [0] 3 3 2 4" xfId="246" xr:uid="{A1501DC9-C2B2-4B4B-B972-1CC91A0C5EB7}"/>
    <cellStyle name="쉼표 [0] 3 3 2 4 2" xfId="650" xr:uid="{7E4800EF-E636-40AB-BF94-7E440187E631}"/>
    <cellStyle name="쉼표 [0] 3 3 2 5" xfId="333" xr:uid="{1CF75C74-63E9-46C7-B550-4C30B61CDF4F}"/>
    <cellStyle name="쉼표 [0] 3 3 2 5 2" xfId="737" xr:uid="{A21665B3-2E27-4F89-AFE6-D50D30301544}"/>
    <cellStyle name="쉼표 [0] 3 3 2 6" xfId="428" xr:uid="{05760220-D086-446E-BBFC-F44B71BEDE46}"/>
    <cellStyle name="쉼표 [0] 3 3 2 6 2" xfId="832" xr:uid="{3753FA23-FA68-4D5F-BD5B-136F1B1D35ED}"/>
    <cellStyle name="쉼표 [0] 3 3 2 7" xfId="502" xr:uid="{6EB90795-AD36-4367-94BC-0B76AAB6E704}"/>
    <cellStyle name="쉼표 [0] 3 3 2 8" xfId="563" xr:uid="{32E0A399-A2B1-4AC5-BC58-2FD42754C372}"/>
    <cellStyle name="쉼표 [0] 3 3 2 9" xfId="893" xr:uid="{C0D778C1-427B-4F52-B707-07F3BD4A63DA}"/>
    <cellStyle name="쉼표 [0] 3 3 3" xfId="173" xr:uid="{7E94BD19-9450-474B-AA2F-DF901C808B80}"/>
    <cellStyle name="쉼표 [0] 3 3 3 2" xfId="260" xr:uid="{426E4373-D47A-4EAB-912C-C399C286D42B}"/>
    <cellStyle name="쉼표 [0] 3 3 3 2 2" xfId="664" xr:uid="{8A94A256-2EAE-4213-B865-9F58729E50CD}"/>
    <cellStyle name="쉼표 [0] 3 3 3 2 3" xfId="1035" xr:uid="{7A87E3A6-07CC-4B1D-82F3-7B2FC381457A}"/>
    <cellStyle name="쉼표 [0] 3 3 3 3" xfId="347" xr:uid="{A97AA8A1-6C44-409F-B7B8-4CD859B3993A}"/>
    <cellStyle name="쉼표 [0] 3 3 3 3 2" xfId="751" xr:uid="{DF87A074-89E9-4231-9D56-89AC939D0E78}"/>
    <cellStyle name="쉼표 [0] 3 3 3 4" xfId="447" xr:uid="{754A29D1-2817-4925-98D7-C80A26D06F7C}"/>
    <cellStyle name="쉼표 [0] 3 3 3 4 2" xfId="851" xr:uid="{E022660E-F655-4439-AE5C-04AF2DE534C1}"/>
    <cellStyle name="쉼표 [0] 3 3 3 5" xfId="521" xr:uid="{844B5F8D-6F12-414C-B816-7203B68C623D}"/>
    <cellStyle name="쉼표 [0] 3 3 3 6" xfId="577" xr:uid="{085335C3-65B7-409F-9E03-C5D36C1E874A}"/>
    <cellStyle name="쉼표 [0] 3 3 3 7" xfId="912" xr:uid="{F69C9E27-466C-4ECB-A65E-429AFA11F745}"/>
    <cellStyle name="쉼표 [0] 3 3 3 8" xfId="973" xr:uid="{B366B5AC-D0D6-42AF-A159-4B940C2A405B}"/>
    <cellStyle name="쉼표 [0] 3 3 4" xfId="202" xr:uid="{44F219E3-6CD9-4551-9114-3A6E966A9DFA}"/>
    <cellStyle name="쉼표 [0] 3 3 4 2" xfId="289" xr:uid="{EB9A29BC-2219-44BA-BB30-B6B397382F00}"/>
    <cellStyle name="쉼표 [0] 3 3 4 2 2" xfId="693" xr:uid="{EF504837-13E5-41B3-9D24-2F74BD91E585}"/>
    <cellStyle name="쉼표 [0] 3 3 4 3" xfId="376" xr:uid="{22A66B5C-4F1F-492E-926A-6E57B824EAED}"/>
    <cellStyle name="쉼표 [0] 3 3 4 3 2" xfId="780" xr:uid="{128E3D15-FF98-4F85-947E-097EC44D315C}"/>
    <cellStyle name="쉼표 [0] 3 3 4 4" xfId="606" xr:uid="{F0035897-F1A3-4546-BB68-64426ADA659F}"/>
    <cellStyle name="쉼표 [0] 3 3 4 5" xfId="1001" xr:uid="{CD3422F0-AA47-4155-A1DF-D026E89C5506}"/>
    <cellStyle name="쉼표 [0] 3 3 5" xfId="231" xr:uid="{97F7A88B-9B91-47A0-84C2-8F0B7E3BEA4C}"/>
    <cellStyle name="쉼표 [0] 3 3 5 2" xfId="635" xr:uid="{D823B6E2-A41B-4835-9149-6EC5ECDFC46A}"/>
    <cellStyle name="쉼표 [0] 3 3 6" xfId="318" xr:uid="{A7123101-2F1F-41AE-BF5A-00EDA30958B2}"/>
    <cellStyle name="쉼표 [0] 3 3 6 2" xfId="722" xr:uid="{67225436-AE44-42F3-82C2-1C6C7417E1B7}"/>
    <cellStyle name="쉼표 [0] 3 3 7" xfId="404" xr:uid="{BF24C640-708A-435E-837D-364F9F080AB8}"/>
    <cellStyle name="쉼표 [0] 3 3 7 2" xfId="808" xr:uid="{E2370214-F3B8-4327-B1F0-E764C47AD0D2}"/>
    <cellStyle name="쉼표 [0] 3 3 8" xfId="413" xr:uid="{EBF1470C-0B86-4512-ABC1-88876687214C}"/>
    <cellStyle name="쉼표 [0] 3 3 8 2" xfId="817" xr:uid="{28306402-83DF-48F0-B0C7-6E4F61C8C5FA}"/>
    <cellStyle name="쉼표 [0] 3 3 9" xfId="487" xr:uid="{83F18CD8-3D06-4CA6-B023-D1A33A1764BF}"/>
    <cellStyle name="쉼표 [0] 3 4" xfId="124" xr:uid="{BC7B0681-DBFF-475E-A771-39BF7A155505}"/>
    <cellStyle name="쉼표 [0] 3 4 10" xfId="944" xr:uid="{21C94820-6FA9-4925-A2A5-61C927450838}"/>
    <cellStyle name="쉼표 [0] 3 4 2" xfId="178" xr:uid="{00C5F31C-5DFA-480A-9207-938A8984962D}"/>
    <cellStyle name="쉼표 [0] 3 4 2 2" xfId="265" xr:uid="{B502B624-5E2A-4B0B-9C18-058C6B599A21}"/>
    <cellStyle name="쉼표 [0] 3 4 2 2 2" xfId="669" xr:uid="{2DF452B3-ADC8-4DB7-B800-3DFF6636CE96}"/>
    <cellStyle name="쉼표 [0] 3 4 2 2 3" xfId="1041" xr:uid="{609C23A0-6EE6-4C7B-896D-8FF954D54E72}"/>
    <cellStyle name="쉼표 [0] 3 4 2 3" xfId="352" xr:uid="{DBC97BE8-CA87-41B6-A6E9-3100C2C05D77}"/>
    <cellStyle name="쉼표 [0] 3 4 2 3 2" xfId="756" xr:uid="{C7D90502-98E4-45B7-84E9-E421DBB77FFE}"/>
    <cellStyle name="쉼표 [0] 3 4 2 4" xfId="459" xr:uid="{A3BCFDB7-F7DD-4516-833B-D812AC1BE2D2}"/>
    <cellStyle name="쉼표 [0] 3 4 2 4 2" xfId="857" xr:uid="{FD694AED-A48C-4203-9794-AF59D1FD142F}"/>
    <cellStyle name="쉼표 [0] 3 4 2 5" xfId="527" xr:uid="{66C508BC-3466-4A37-A50D-A67B805B580F}"/>
    <cellStyle name="쉼표 [0] 3 4 2 6" xfId="582" xr:uid="{FDFD1C81-69E8-4190-A5A8-C1A43CB6B642}"/>
    <cellStyle name="쉼표 [0] 3 4 2 7" xfId="918" xr:uid="{FE62EF7B-EC37-488F-97B1-DED63AB6105B}"/>
    <cellStyle name="쉼표 [0] 3 4 2 8" xfId="979" xr:uid="{0CB7BE63-F0C1-48BB-91F8-182FE301A164}"/>
    <cellStyle name="쉼표 [0] 3 4 3" xfId="207" xr:uid="{61A30AE6-A130-47E6-97AE-9E55C4A1919E}"/>
    <cellStyle name="쉼표 [0] 3 4 3 2" xfId="294" xr:uid="{8EDBA5EA-6564-4093-B2D1-193F673ACB89}"/>
    <cellStyle name="쉼표 [0] 3 4 3 2 2" xfId="698" xr:uid="{29C7C148-C177-454C-B0DA-783573E51E1E}"/>
    <cellStyle name="쉼표 [0] 3 4 3 3" xfId="381" xr:uid="{11C12430-D896-4731-854F-31A1EE78EEFA}"/>
    <cellStyle name="쉼표 [0] 3 4 3 3 2" xfId="785" xr:uid="{1F181A13-93E0-4D33-9369-6F30674F3677}"/>
    <cellStyle name="쉼표 [0] 3 4 3 4" xfId="611" xr:uid="{1FD15EDC-722B-4DD4-9534-1193852442F8}"/>
    <cellStyle name="쉼표 [0] 3 4 3 5" xfId="1006" xr:uid="{76165D6F-0BE9-4D05-BD9D-AF680E6D1D26}"/>
    <cellStyle name="쉼표 [0] 3 4 4" xfId="236" xr:uid="{C72558BE-DBA5-4932-8C54-37461D87A836}"/>
    <cellStyle name="쉼표 [0] 3 4 4 2" xfId="640" xr:uid="{EC9561AC-1907-4DFE-9919-C80EE0236603}"/>
    <cellStyle name="쉼표 [0] 3 4 5" xfId="323" xr:uid="{0FAF18F4-FD61-48D5-B72A-3184A4EED69D}"/>
    <cellStyle name="쉼표 [0] 3 4 5 2" xfId="727" xr:uid="{5783E7F8-70B9-42B0-9ACD-B703863D8EA0}"/>
    <cellStyle name="쉼표 [0] 3 4 6" xfId="418" xr:uid="{C529BF59-E4AE-46B0-85D6-341A2F8F98A5}"/>
    <cellStyle name="쉼표 [0] 3 4 6 2" xfId="822" xr:uid="{2B429A14-6FCF-4838-91BE-50E221081256}"/>
    <cellStyle name="쉼표 [0] 3 4 7" xfId="492" xr:uid="{28E0AAD3-48C8-4D6E-8909-9AD8BA232DE7}"/>
    <cellStyle name="쉼표 [0] 3 4 8" xfId="553" xr:uid="{8277257B-5D93-48D1-B58D-130CD18B5DDD}"/>
    <cellStyle name="쉼표 [0] 3 4 9" xfId="883" xr:uid="{FEB0D45B-FB92-483F-A2B8-9B495C3BE26A}"/>
    <cellStyle name="쉼표 [0] 3 5" xfId="165" xr:uid="{598AA2CA-88C8-48C9-8D0E-8C1D6E33E80D}"/>
    <cellStyle name="쉼표 [0] 3 5 10" xfId="960" xr:uid="{4E6C29A4-B213-442C-B6FB-50C645B83EBF}"/>
    <cellStyle name="쉼표 [0] 3 5 2" xfId="194" xr:uid="{0D7805CB-AF69-402F-9FF4-27C0F0626E7C}"/>
    <cellStyle name="쉼표 [0] 3 5 2 2" xfId="281" xr:uid="{EEEF4139-65C5-4A92-8328-F7876B58C86F}"/>
    <cellStyle name="쉼표 [0] 3 5 2 2 2" xfId="685" xr:uid="{1270285F-2B6B-43B9-A9F9-5A3D18155774}"/>
    <cellStyle name="쉼표 [0] 3 5 2 3" xfId="368" xr:uid="{BF75885D-3144-4107-9AAF-91B90FEEFCD6}"/>
    <cellStyle name="쉼표 [0] 3 5 2 3 2" xfId="772" xr:uid="{669107F0-C5FF-4A0D-AD52-0CFB4077B7C1}"/>
    <cellStyle name="쉼표 [0] 3 5 2 4" xfId="598" xr:uid="{436350A2-A628-4FD5-8686-68801802A95F}"/>
    <cellStyle name="쉼표 [0] 3 5 2 5" xfId="1022" xr:uid="{CEB11AFA-94CB-421D-9EEA-87B4A26DA8B9}"/>
    <cellStyle name="쉼표 [0] 3 5 3" xfId="223" xr:uid="{0B960046-FF76-4130-B1E3-35B9ED8DE4B3}"/>
    <cellStyle name="쉼표 [0] 3 5 3 2" xfId="310" xr:uid="{88A2F077-E5B5-4955-9796-C029E8012F53}"/>
    <cellStyle name="쉼표 [0] 3 5 3 2 2" xfId="714" xr:uid="{4FE7709D-0074-495B-938C-194D41A29F2D}"/>
    <cellStyle name="쉼표 [0] 3 5 3 3" xfId="397" xr:uid="{8A1582E0-4D59-4732-A6DE-45F7D61FA40D}"/>
    <cellStyle name="쉼표 [0] 3 5 3 3 2" xfId="801" xr:uid="{AD9AC271-F71B-48C0-B7D1-3463CA907A03}"/>
    <cellStyle name="쉼표 [0] 3 5 3 4" xfId="627" xr:uid="{3357FB5E-D0F6-4D02-B909-5ECCBD2BF7D2}"/>
    <cellStyle name="쉼표 [0] 3 5 4" xfId="252" xr:uid="{0512FDD2-362A-4019-8C3A-BE30390D414A}"/>
    <cellStyle name="쉼표 [0] 3 5 4 2" xfId="656" xr:uid="{9244DCD6-0E6A-4B47-9000-27097DF3108F}"/>
    <cellStyle name="쉼표 [0] 3 5 5" xfId="339" xr:uid="{77A9BD7F-01DB-4104-A3DE-2A1CC14E8111}"/>
    <cellStyle name="쉼표 [0] 3 5 5 2" xfId="743" xr:uid="{3D856AAE-0954-4ECE-BE6C-59E1391311FE}"/>
    <cellStyle name="쉼표 [0] 3 5 6" xfId="434" xr:uid="{1CD03F3A-EA0D-4C5E-9E30-22D4BD1651E4}"/>
    <cellStyle name="쉼표 [0] 3 5 6 2" xfId="838" xr:uid="{40293EA9-0844-4532-AEE3-EAFFD2E46B4E}"/>
    <cellStyle name="쉼표 [0] 3 5 7" xfId="508" xr:uid="{4811263A-683A-4463-8197-12398ABFB9FC}"/>
    <cellStyle name="쉼표 [0] 3 5 8" xfId="569" xr:uid="{E49FD73F-3B9C-44E1-8500-A95FD52A1726}"/>
    <cellStyle name="쉼표 [0] 3 5 9" xfId="899" xr:uid="{06A7ED5D-C9C1-4B73-808B-CFB9248D5C53}"/>
    <cellStyle name="쉼표 [0] 3 6" xfId="169" xr:uid="{64667E33-9943-4B59-BAF6-3EF76C42B3E5}"/>
    <cellStyle name="쉼표 [0] 3 6 2" xfId="256" xr:uid="{B5B31617-6DBF-4E4C-808B-1ABD4CD46017}"/>
    <cellStyle name="쉼표 [0] 3 6 2 2" xfId="660" xr:uid="{0A252468-EBD7-4E59-BEE4-733794145CD8}"/>
    <cellStyle name="쉼표 [0] 3 6 2 3" xfId="1025" xr:uid="{0469C022-9136-46FB-A3FA-7C86E857F320}"/>
    <cellStyle name="쉼표 [0] 3 6 3" xfId="343" xr:uid="{F7EDBBBB-7850-4CDD-B173-6DEECC794DFA}"/>
    <cellStyle name="쉼표 [0] 3 6 3 2" xfId="747" xr:uid="{355D8E8E-FDD0-41EC-BC62-2AD8271A4581}"/>
    <cellStyle name="쉼표 [0] 3 6 4" xfId="437" xr:uid="{66648301-2AB4-4EE3-91C7-C8FD0024D11F}"/>
    <cellStyle name="쉼표 [0] 3 6 4 2" xfId="841" xr:uid="{F3CDA75B-A758-483E-81C2-17D6216DDABF}"/>
    <cellStyle name="쉼표 [0] 3 6 5" xfId="511" xr:uid="{96556F37-EA65-4BDF-BB4F-3588CE339A3A}"/>
    <cellStyle name="쉼표 [0] 3 6 6" xfId="573" xr:uid="{B02AF098-64A3-4E76-9778-1802711B25BB}"/>
    <cellStyle name="쉼표 [0] 3 6 7" xfId="902" xr:uid="{C457AECC-4BC3-4BB1-B01B-826F36101C34}"/>
    <cellStyle name="쉼표 [0] 3 6 8" xfId="963" xr:uid="{B6A9AE62-4D48-4282-B61E-40A5940844EA}"/>
    <cellStyle name="쉼표 [0] 3 7" xfId="198" xr:uid="{57911ED8-B0D7-44DD-AE2E-9542D9B857B1}"/>
    <cellStyle name="쉼표 [0] 3 7 2" xfId="285" xr:uid="{F71AA356-C046-4E2D-9C90-E320B1DF987B}"/>
    <cellStyle name="쉼표 [0] 3 7 2 2" xfId="689" xr:uid="{723F2375-3EAB-40BB-8E08-4AC673F9C255}"/>
    <cellStyle name="쉼표 [0] 3 7 3" xfId="372" xr:uid="{ABD0B3B6-5E46-454B-A205-34B4A137C90B}"/>
    <cellStyle name="쉼표 [0] 3 7 3 2" xfId="776" xr:uid="{7727FDAA-64A4-49A2-B91C-221613C11844}"/>
    <cellStyle name="쉼표 [0] 3 7 4" xfId="602" xr:uid="{9B3647CF-50BA-4AF9-8941-4DD23C40542D}"/>
    <cellStyle name="쉼표 [0] 3 7 5" xfId="997" xr:uid="{5EF63B69-E5D9-4B5A-9E4A-09157E9C5963}"/>
    <cellStyle name="쉼표 [0] 3 8" xfId="227" xr:uid="{A5CB6E0C-0E0F-4A7D-A032-A53C9A10F4AE}"/>
    <cellStyle name="쉼표 [0] 3 8 2" xfId="631" xr:uid="{0D0C3FB7-08AF-491E-BAA4-03229D5E1B88}"/>
    <cellStyle name="쉼표 [0] 3 9" xfId="314" xr:uid="{E87686ED-497A-4DED-9FAE-21946379BBC8}"/>
    <cellStyle name="쉼표 [0] 3 9 2" xfId="718" xr:uid="{DEAA7A2D-5389-4B91-B321-495050CD6CA1}"/>
    <cellStyle name="쉼표 [0] 4" xfId="47" xr:uid="{19ABC902-5850-4865-BEA1-FF68CC875F11}"/>
    <cellStyle name="쉼표 [0] 4 10" xfId="410" xr:uid="{08617EAF-F4F2-42B8-900E-CDB2747FF3AC}"/>
    <cellStyle name="쉼표 [0] 4 10 2" xfId="814" xr:uid="{D9FABE81-0A3F-4B58-A967-69C6634F1565}"/>
    <cellStyle name="쉼표 [0] 4 11" xfId="484" xr:uid="{493DCDF2-A4AD-42F4-9DB3-813E7F317563}"/>
    <cellStyle name="쉼표 [0] 4 12" xfId="545" xr:uid="{B1F9FFF0-F92D-4C8F-96C3-4E1A28D4231F}"/>
    <cellStyle name="쉼표 [0] 4 13" xfId="875" xr:uid="{1AE567E0-3087-4E1F-89CD-FC7E1B28F492}"/>
    <cellStyle name="쉼표 [0] 4 14" xfId="936" xr:uid="{6155E503-505E-4DA4-ABE0-DC114F02EF29}"/>
    <cellStyle name="쉼표 [0] 4 2" xfId="150" xr:uid="{C2A88B09-3313-4604-BD54-90025183B0BF}"/>
    <cellStyle name="쉼표 [0] 4 2 10" xfId="947" xr:uid="{6B9817F0-A028-4CD6-8361-10F3E51166B7}"/>
    <cellStyle name="쉼표 [0] 4 2 2" xfId="181" xr:uid="{83FF0365-9A86-4948-AD7F-EC075237DCD9}"/>
    <cellStyle name="쉼표 [0] 4 2 2 2" xfId="268" xr:uid="{C8B23465-4E31-48AF-AB79-04409E1D6801}"/>
    <cellStyle name="쉼표 [0] 4 2 2 2 2" xfId="672" xr:uid="{D77458B3-4D76-44A1-B2F8-BA3F66963D0A}"/>
    <cellStyle name="쉼표 [0] 4 2 2 2 3" xfId="1044" xr:uid="{9CC24301-1C44-492E-9DC1-73861A6807F1}"/>
    <cellStyle name="쉼표 [0] 4 2 2 3" xfId="355" xr:uid="{B6B714C3-0E2C-40B7-A99B-FAA10146302D}"/>
    <cellStyle name="쉼표 [0] 4 2 2 3 2" xfId="759" xr:uid="{377330B8-EA4C-4D03-8641-F93FDAAF4462}"/>
    <cellStyle name="쉼표 [0] 4 2 2 4" xfId="462" xr:uid="{1C43F86D-2981-47B7-A4F4-03C4E81EF5A1}"/>
    <cellStyle name="쉼표 [0] 4 2 2 4 2" xfId="860" xr:uid="{8C520DD7-2142-40ED-A16D-DB5A9038C646}"/>
    <cellStyle name="쉼표 [0] 4 2 2 5" xfId="530" xr:uid="{7D48A76C-8F60-47A6-A939-DB80079F0B5A}"/>
    <cellStyle name="쉼표 [0] 4 2 2 6" xfId="585" xr:uid="{C5E8A3ED-BE51-4E21-8ACA-853E907413E7}"/>
    <cellStyle name="쉼표 [0] 4 2 2 7" xfId="921" xr:uid="{24E00DE8-9C2F-43E3-A6A6-A3F2B5AE8903}"/>
    <cellStyle name="쉼표 [0] 4 2 2 8" xfId="982" xr:uid="{B10BAEC9-6632-491D-92F9-738D88C12EB1}"/>
    <cellStyle name="쉼표 [0] 4 2 3" xfId="210" xr:uid="{47218221-02FA-4173-9869-B0386143CC41}"/>
    <cellStyle name="쉼표 [0] 4 2 3 2" xfId="297" xr:uid="{592E9B84-9C21-4C14-A99B-20D88C8F948E}"/>
    <cellStyle name="쉼표 [0] 4 2 3 2 2" xfId="701" xr:uid="{1BCC6F72-AC5A-4055-BB87-3F0F894DCD4B}"/>
    <cellStyle name="쉼표 [0] 4 2 3 2 3" xfId="1028" xr:uid="{DEE330BC-C03F-43F7-B7DF-47B4F3AAB610}"/>
    <cellStyle name="쉼표 [0] 4 2 3 3" xfId="384" xr:uid="{2F58F6D8-F3D5-4576-BF6F-B7354C43F8E3}"/>
    <cellStyle name="쉼표 [0] 4 2 3 3 2" xfId="788" xr:uid="{9B81D845-8428-45B2-A710-C5A26E329629}"/>
    <cellStyle name="쉼표 [0] 4 2 3 4" xfId="440" xr:uid="{454B7890-0F8A-4F0B-9FC6-A42236FDD5A1}"/>
    <cellStyle name="쉼표 [0] 4 2 3 4 2" xfId="844" xr:uid="{FE589313-2BAB-46A0-9EAD-8EF8AAC71C92}"/>
    <cellStyle name="쉼표 [0] 4 2 3 5" xfId="514" xr:uid="{C8AD5A64-9018-4AB8-B27D-BA1E3E5A458C}"/>
    <cellStyle name="쉼표 [0] 4 2 3 6" xfId="614" xr:uid="{CB0BC459-5F74-4EFA-BEF5-E9E06D355F9D}"/>
    <cellStyle name="쉼표 [0] 4 2 3 7" xfId="905" xr:uid="{48CE07E5-0BF0-497A-9804-8209C9103569}"/>
    <cellStyle name="쉼표 [0] 4 2 3 8" xfId="966" xr:uid="{D1A44D03-EB45-448A-B227-AA95106FF762}"/>
    <cellStyle name="쉼표 [0] 4 2 4" xfId="239" xr:uid="{1742C9E5-DC68-45EB-977F-E4C68EF59C2E}"/>
    <cellStyle name="쉼표 [0] 4 2 4 2" xfId="643" xr:uid="{8AD6BCB4-581C-4096-907E-36172FAADBC5}"/>
    <cellStyle name="쉼표 [0] 4 2 4 3" xfId="1009" xr:uid="{5B7DBDC8-C635-45B2-AD95-1F1FB32FA5A9}"/>
    <cellStyle name="쉼표 [0] 4 2 5" xfId="326" xr:uid="{DB069150-F9DC-4A0A-8D6F-8BBECD39D202}"/>
    <cellStyle name="쉼표 [0] 4 2 5 2" xfId="730" xr:uid="{19C9D23C-3ACA-4180-B3EF-FF6D33EFBDB3}"/>
    <cellStyle name="쉼표 [0] 4 2 6" xfId="421" xr:uid="{48C536CF-DF4A-4D9E-AE72-5C655D321B01}"/>
    <cellStyle name="쉼표 [0] 4 2 6 2" xfId="825" xr:uid="{E070334D-4501-46CF-89AA-4914DF9C7558}"/>
    <cellStyle name="쉼표 [0] 4 2 7" xfId="495" xr:uid="{D8AAB8CD-F336-46EB-9267-160DC61A783E}"/>
    <cellStyle name="쉼표 [0] 4 2 8" xfId="556" xr:uid="{FA634C03-779B-4F11-B2EE-9E78B3B9F139}"/>
    <cellStyle name="쉼표 [0] 4 2 9" xfId="886" xr:uid="{4E46C549-AB5F-4FF3-B13A-F92AA4021777}"/>
    <cellStyle name="쉼표 [0] 4 3" xfId="155" xr:uid="{9AB4DD5C-87EE-4E3A-A7BF-4CEDAFE16EAB}"/>
    <cellStyle name="쉼표 [0] 4 3 10" xfId="952" xr:uid="{9E6E26FA-A2AA-426E-9BB4-33BD6F8E0FF4}"/>
    <cellStyle name="쉼표 [0] 4 3 2" xfId="186" xr:uid="{CD1C6065-7536-42B0-89A5-8CCA0485CC8F}"/>
    <cellStyle name="쉼표 [0] 4 3 2 2" xfId="273" xr:uid="{48699DC5-55C4-409F-BCD9-BCB6C7617EA4}"/>
    <cellStyle name="쉼표 [0] 4 3 2 2 2" xfId="677" xr:uid="{2247CF66-C719-41B0-BFC4-7BA6FEB5332C}"/>
    <cellStyle name="쉼표 [0] 4 3 2 2 3" xfId="1049" xr:uid="{6B002928-0B8B-41D5-901D-2EC7BC33BAA5}"/>
    <cellStyle name="쉼표 [0] 4 3 2 3" xfId="360" xr:uid="{7B526343-A2D1-4F45-B5FC-EFDBD1FE6305}"/>
    <cellStyle name="쉼표 [0] 4 3 2 3 2" xfId="764" xr:uid="{2E6001FB-CD60-4E8D-B8E9-5AD50BDF9619}"/>
    <cellStyle name="쉼표 [0] 4 3 2 4" xfId="467" xr:uid="{24E3623E-A80B-4748-8935-97306452E499}"/>
    <cellStyle name="쉼표 [0] 4 3 2 4 2" xfId="865" xr:uid="{14D52777-921E-46DC-9277-409823745972}"/>
    <cellStyle name="쉼표 [0] 4 3 2 5" xfId="535" xr:uid="{10AA2571-7190-421A-9427-014D2BE199CB}"/>
    <cellStyle name="쉼표 [0] 4 3 2 6" xfId="590" xr:uid="{4304077E-6052-44A5-B111-14C68F0DA781}"/>
    <cellStyle name="쉼표 [0] 4 3 2 7" xfId="926" xr:uid="{B0AA5209-9699-456E-9D83-3A46C83EE864}"/>
    <cellStyle name="쉼표 [0] 4 3 2 8" xfId="987" xr:uid="{10BDFA63-87D4-44AB-855E-A9FB02128E02}"/>
    <cellStyle name="쉼표 [0] 4 3 3" xfId="215" xr:uid="{51AC040B-79E7-4087-9ECD-45A85CF8BCDE}"/>
    <cellStyle name="쉼표 [0] 4 3 3 2" xfId="302" xr:uid="{83CF3149-88B6-45F8-9ED4-4492DD92FBBD}"/>
    <cellStyle name="쉼표 [0] 4 3 3 2 2" xfId="706" xr:uid="{51C38E4A-5ED9-4D62-919D-B745889D2157}"/>
    <cellStyle name="쉼표 [0] 4 3 3 2 3" xfId="1033" xr:uid="{E0112A10-77CD-405E-A7AB-CDA2F54BA392}"/>
    <cellStyle name="쉼표 [0] 4 3 3 3" xfId="389" xr:uid="{E27E82CF-4965-4C24-AA87-5338FC322517}"/>
    <cellStyle name="쉼표 [0] 4 3 3 3 2" xfId="793" xr:uid="{9CBB7BC1-06BF-487C-ACEB-43D00FD003B8}"/>
    <cellStyle name="쉼표 [0] 4 3 3 4" xfId="445" xr:uid="{7E6D135C-0EF5-4736-B20C-1306A29F2D54}"/>
    <cellStyle name="쉼표 [0] 4 3 3 4 2" xfId="849" xr:uid="{0A0BB42C-8AAB-4C41-B4D6-C66F238927BF}"/>
    <cellStyle name="쉼표 [0] 4 3 3 5" xfId="519" xr:uid="{DB4A375A-0ABF-4CFF-A762-AB4291F12A47}"/>
    <cellStyle name="쉼표 [0] 4 3 3 6" xfId="619" xr:uid="{E94575B5-4DCE-41C7-9F2A-45996141DCE5}"/>
    <cellStyle name="쉼표 [0] 4 3 3 7" xfId="910" xr:uid="{86DF4E83-EE3E-4489-AA42-B8651175C2CE}"/>
    <cellStyle name="쉼표 [0] 4 3 3 8" xfId="971" xr:uid="{8C0174B3-3236-467A-87B5-F25AF2DC1881}"/>
    <cellStyle name="쉼표 [0] 4 3 4" xfId="244" xr:uid="{777BFF0C-EED3-4FF7-A729-F1D7BC1278CE}"/>
    <cellStyle name="쉼표 [0] 4 3 4 2" xfId="648" xr:uid="{957CB104-FEC6-4A12-BBFA-6F2ED3BD397B}"/>
    <cellStyle name="쉼표 [0] 4 3 4 3" xfId="1014" xr:uid="{5D9F33C2-BA7D-4989-BDED-A19B2E6EA8E4}"/>
    <cellStyle name="쉼표 [0] 4 3 5" xfId="331" xr:uid="{23A1AA52-9AB8-4704-A3D1-EE2F148C0899}"/>
    <cellStyle name="쉼표 [0] 4 3 5 2" xfId="735" xr:uid="{6EB23E0E-E00B-49B9-BFBD-F006149DCBE8}"/>
    <cellStyle name="쉼표 [0] 4 3 6" xfId="426" xr:uid="{1EF26750-6343-40D1-9352-11C0B7E49BB1}"/>
    <cellStyle name="쉼표 [0] 4 3 6 2" xfId="830" xr:uid="{6A7CE302-67FE-41DE-94FB-CE361EDFF490}"/>
    <cellStyle name="쉼표 [0] 4 3 7" xfId="500" xr:uid="{EF219263-BD11-42E0-A59F-3A549D387840}"/>
    <cellStyle name="쉼표 [0] 4 3 8" xfId="561" xr:uid="{376BCDE5-3722-4B83-9EE4-0913ECB2599C}"/>
    <cellStyle name="쉼표 [0] 4 3 9" xfId="891" xr:uid="{7B7C1C95-98B5-488D-BA95-D26252984098}"/>
    <cellStyle name="쉼표 [0] 4 4" xfId="122" xr:uid="{0907281E-7B11-4B73-A5D6-A9E8D31D420A}"/>
    <cellStyle name="쉼표 [0] 4 4 10" xfId="942" xr:uid="{F8AE721E-10CA-4332-96B5-33D1693C0F24}"/>
    <cellStyle name="쉼표 [0] 4 4 2" xfId="176" xr:uid="{18F2C49D-4484-4738-99EE-79F10436632E}"/>
    <cellStyle name="쉼표 [0] 4 4 2 2" xfId="263" xr:uid="{31802B65-E024-4BE4-913C-D50A3E92214B}"/>
    <cellStyle name="쉼표 [0] 4 4 2 2 2" xfId="667" xr:uid="{3F3D3AD2-82F2-4D43-94A6-FC5B4E8432ED}"/>
    <cellStyle name="쉼표 [0] 4 4 2 2 3" xfId="1039" xr:uid="{B651169B-D945-4C42-BEA5-6A916B982029}"/>
    <cellStyle name="쉼표 [0] 4 4 2 3" xfId="350" xr:uid="{765FEDD7-4E5D-443D-904F-8399575A2321}"/>
    <cellStyle name="쉼표 [0] 4 4 2 3 2" xfId="754" xr:uid="{275C55C9-F8D1-4011-BA9F-DF43344AC75F}"/>
    <cellStyle name="쉼표 [0] 4 4 2 4" xfId="457" xr:uid="{31A8A37C-07C2-44EB-AB20-6A03ABA32BCD}"/>
    <cellStyle name="쉼표 [0] 4 4 2 4 2" xfId="855" xr:uid="{26A8AC61-CE6B-4742-9704-654C1E95EDB1}"/>
    <cellStyle name="쉼표 [0] 4 4 2 5" xfId="525" xr:uid="{83413F67-8E08-423D-B007-ED955C0F270A}"/>
    <cellStyle name="쉼표 [0] 4 4 2 6" xfId="580" xr:uid="{5425BD1E-3912-401F-AFFB-18DC0BF35ADE}"/>
    <cellStyle name="쉼표 [0] 4 4 2 7" xfId="916" xr:uid="{360F9F34-3865-4EB2-BE9A-7461DD84557C}"/>
    <cellStyle name="쉼표 [0] 4 4 2 8" xfId="977" xr:uid="{BDA79D70-B549-4B75-94E9-7B836D925B30}"/>
    <cellStyle name="쉼표 [0] 4 4 3" xfId="205" xr:uid="{A61A2FC8-9CF8-4CDB-9DE5-F42B7634D4B9}"/>
    <cellStyle name="쉼표 [0] 4 4 3 2" xfId="292" xr:uid="{10D711FC-8EA0-4D7C-B90A-7E27F3F01176}"/>
    <cellStyle name="쉼표 [0] 4 4 3 2 2" xfId="696" xr:uid="{89FDA79F-88D7-44B5-AC7D-1E65E8543D2B}"/>
    <cellStyle name="쉼표 [0] 4 4 3 3" xfId="379" xr:uid="{8F8BA9C6-37EB-49AA-BFD7-FEE51C05BC38}"/>
    <cellStyle name="쉼표 [0] 4 4 3 3 2" xfId="783" xr:uid="{8F0E4411-E48F-43CD-9A17-C4D675CA4265}"/>
    <cellStyle name="쉼표 [0] 4 4 3 4" xfId="609" xr:uid="{086E60BB-6810-433D-A694-42D2BEE2EC0A}"/>
    <cellStyle name="쉼표 [0] 4 4 3 5" xfId="1004" xr:uid="{40950EDD-2F01-422D-95BB-FCD32A16C1FC}"/>
    <cellStyle name="쉼표 [0] 4 4 4" xfId="234" xr:uid="{C4C93967-09EF-40E6-8742-5B00E89A7691}"/>
    <cellStyle name="쉼표 [0] 4 4 4 2" xfId="638" xr:uid="{D1C730C9-A7DE-4B91-9F59-3799F736FD31}"/>
    <cellStyle name="쉼표 [0] 4 4 5" xfId="321" xr:uid="{5EA56B88-7231-424E-85A3-5406558FC2A2}"/>
    <cellStyle name="쉼표 [0] 4 4 5 2" xfId="725" xr:uid="{CF0CE3D2-F109-48D7-A1BC-4CBE47DEC07E}"/>
    <cellStyle name="쉼표 [0] 4 4 6" xfId="416" xr:uid="{306CC3D4-7AFD-4C26-A4E4-0A450350D7FA}"/>
    <cellStyle name="쉼표 [0] 4 4 6 2" xfId="820" xr:uid="{550B5A72-D5B3-4C64-96D5-7FC15A354AB1}"/>
    <cellStyle name="쉼표 [0] 4 4 7" xfId="490" xr:uid="{AD107140-7A79-437D-88CD-14CE5DA558E1}"/>
    <cellStyle name="쉼표 [0] 4 4 8" xfId="551" xr:uid="{50CE9A78-C77F-43ED-91D0-1EA099E6716C}"/>
    <cellStyle name="쉼표 [0] 4 4 9" xfId="881" xr:uid="{518729C8-041D-4A69-9C46-CFA9DE940AAF}"/>
    <cellStyle name="쉼표 [0] 4 5" xfId="170" xr:uid="{B7DABC4A-FFEA-4FCA-903E-FFBF37DCB6EE}"/>
    <cellStyle name="쉼표 [0] 4 5 2" xfId="257" xr:uid="{B704F326-3028-4FC8-9AFA-6A6BD415A7A2}"/>
    <cellStyle name="쉼표 [0] 4 5 2 2" xfId="661" xr:uid="{A12EE2EE-99AF-47C5-A9FF-531CFBD40E23}"/>
    <cellStyle name="쉼표 [0] 4 5 2 3" xfId="1023" xr:uid="{C5DC69FF-2E71-46D1-817A-3E315CAAC899}"/>
    <cellStyle name="쉼표 [0] 4 5 3" xfId="344" xr:uid="{F366974A-EBC9-4BA0-8300-CABAF824FFA2}"/>
    <cellStyle name="쉼표 [0] 4 5 3 2" xfId="748" xr:uid="{CEF02CD2-E731-46FA-9AF5-800E5C62B189}"/>
    <cellStyle name="쉼표 [0] 4 5 4" xfId="435" xr:uid="{0CAEA834-7928-4FDF-AA13-09C98003011B}"/>
    <cellStyle name="쉼표 [0] 4 5 4 2" xfId="839" xr:uid="{2467CAF6-70F4-4838-86BB-26B6BA12F5FF}"/>
    <cellStyle name="쉼표 [0] 4 5 5" xfId="509" xr:uid="{091DDC7C-8868-451A-8F95-50ABF1CCE1D0}"/>
    <cellStyle name="쉼표 [0] 4 5 6" xfId="574" xr:uid="{41437277-B868-42E6-8EC2-545865ADD076}"/>
    <cellStyle name="쉼표 [0] 4 5 7" xfId="900" xr:uid="{832EA198-DA33-465A-A98C-C59E17224CD9}"/>
    <cellStyle name="쉼표 [0] 4 5 8" xfId="961" xr:uid="{3BBA1E87-A378-41DD-9B8D-3C57E4EAA06D}"/>
    <cellStyle name="쉼표 [0] 4 6" xfId="199" xr:uid="{C7598D62-B3E1-4AC5-B265-90F8162BB52C}"/>
    <cellStyle name="쉼표 [0] 4 6 2" xfId="286" xr:uid="{5188A12B-C74A-41F3-BAB3-253705115D0E}"/>
    <cellStyle name="쉼표 [0] 4 6 2 2" xfId="690" xr:uid="{89EC8A5B-529C-4888-8F6F-E6B81EE0844E}"/>
    <cellStyle name="쉼표 [0] 4 6 3" xfId="373" xr:uid="{219D74C1-0FD3-4CF1-AA92-E3D2DF98B3BC}"/>
    <cellStyle name="쉼표 [0] 4 6 3 2" xfId="777" xr:uid="{7346445A-F471-4A99-955C-1FF4CEDA1313}"/>
    <cellStyle name="쉼표 [0] 4 6 4" xfId="603" xr:uid="{D93378EB-4507-4FCC-85A6-F3767DFFD94A}"/>
    <cellStyle name="쉼표 [0] 4 6 5" xfId="998" xr:uid="{1A2940FF-ACE6-4EBA-B39A-CB46D3B50ACE}"/>
    <cellStyle name="쉼표 [0] 4 7" xfId="228" xr:uid="{887B375C-8EC2-4BE1-8119-2A75A5B8E75E}"/>
    <cellStyle name="쉼표 [0] 4 7 2" xfId="632" xr:uid="{31C91CB6-F6BE-48CE-8E4C-AB626BC1FEDD}"/>
    <cellStyle name="쉼표 [0] 4 8" xfId="315" xr:uid="{1554027F-B724-42D6-8354-D8FEED669A31}"/>
    <cellStyle name="쉼표 [0] 4 8 2" xfId="719" xr:uid="{F9532D97-DA0B-4658-8FBE-10A50C4B4F7B}"/>
    <cellStyle name="쉼표 [0] 4 9" xfId="401" xr:uid="{8C86A3FF-F38E-41D8-ABA7-12F67E302B58}"/>
    <cellStyle name="쉼표 [0] 4 9 2" xfId="805" xr:uid="{C79CCCF5-0FD7-4418-96B6-7095E60421BB}"/>
    <cellStyle name="쉼표 [0] 5" xfId="53" xr:uid="{89B9CDAD-C4D2-4717-970F-443F44BBD7C5}"/>
    <cellStyle name="쉼표 [0] 5 10" xfId="415" xr:uid="{5A07A733-5371-4769-A0CD-71FEBFA52AD7}"/>
    <cellStyle name="쉼표 [0] 5 10 2" xfId="819" xr:uid="{34CE5D08-F5E6-494A-80AD-D0A8E280FFAE}"/>
    <cellStyle name="쉼표 [0] 5 11" xfId="489" xr:uid="{45F45C20-E5AA-4C03-8948-8A3E2FEE1065}"/>
    <cellStyle name="쉼표 [0] 5 12" xfId="550" xr:uid="{858D387A-6D48-454B-B9A9-B9BC8D32E74C}"/>
    <cellStyle name="쉼표 [0] 5 13" xfId="880" xr:uid="{28D8C616-FD2A-4144-9918-70825936EC2F}"/>
    <cellStyle name="쉼표 [0] 5 14" xfId="941" xr:uid="{52D9E3A4-7F61-4A91-A415-D4BF0A9FB06F}"/>
    <cellStyle name="쉼표 [0] 5 2" xfId="154" xr:uid="{6A15B87A-F565-4703-9B5B-50E9E883D257}"/>
    <cellStyle name="쉼표 [0] 5 2 10" xfId="951" xr:uid="{E6958272-5ADD-49E4-AC10-96338A47FDDC}"/>
    <cellStyle name="쉼표 [0] 5 2 2" xfId="185" xr:uid="{19DD38E0-E9FF-4FC7-908C-A82B858E61E3}"/>
    <cellStyle name="쉼표 [0] 5 2 2 2" xfId="272" xr:uid="{0DB7773C-3E5E-4D09-A0F6-8632FC8B24C1}"/>
    <cellStyle name="쉼표 [0] 5 2 2 2 2" xfId="676" xr:uid="{177D4EC2-54D5-4380-9ABC-3107C366389B}"/>
    <cellStyle name="쉼표 [0] 5 2 2 2 3" xfId="1048" xr:uid="{2D4A2081-F324-4BCB-BBE9-DF7F91389445}"/>
    <cellStyle name="쉼표 [0] 5 2 2 3" xfId="359" xr:uid="{72076A3A-133E-4D32-ADD9-D41C9E64D57D}"/>
    <cellStyle name="쉼표 [0] 5 2 2 3 2" xfId="763" xr:uid="{A15AA5EF-FB0E-4ED6-95A8-6EA650095FB0}"/>
    <cellStyle name="쉼표 [0] 5 2 2 4" xfId="466" xr:uid="{A3C15BCC-B57E-44FD-9B98-8883F429BC3E}"/>
    <cellStyle name="쉼표 [0] 5 2 2 4 2" xfId="864" xr:uid="{5343C4D6-41FB-475C-90D8-2025FCDC5D82}"/>
    <cellStyle name="쉼표 [0] 5 2 2 5" xfId="534" xr:uid="{0B9D1B74-BDD6-464A-8167-2563FC292022}"/>
    <cellStyle name="쉼표 [0] 5 2 2 6" xfId="589" xr:uid="{6478E94A-6F91-4F80-8464-E0563EA305D5}"/>
    <cellStyle name="쉼표 [0] 5 2 2 7" xfId="925" xr:uid="{051047F3-F622-4995-84AD-3F4E52B984B4}"/>
    <cellStyle name="쉼표 [0] 5 2 2 8" xfId="986" xr:uid="{EEE115FD-A54D-4DC8-B436-DB31CF8297D9}"/>
    <cellStyle name="쉼표 [0] 5 2 3" xfId="214" xr:uid="{C2023185-1CF8-418C-875A-15604F4150C8}"/>
    <cellStyle name="쉼표 [0] 5 2 3 2" xfId="301" xr:uid="{2B735FC8-E6F7-453F-8E57-91D5F938D08F}"/>
    <cellStyle name="쉼표 [0] 5 2 3 2 2" xfId="705" xr:uid="{81042F8B-B770-4E07-95CC-C07946D3B5D0}"/>
    <cellStyle name="쉼표 [0] 5 2 3 2 3" xfId="1032" xr:uid="{8C22F717-86C2-479A-BCC7-4E125D79B1DF}"/>
    <cellStyle name="쉼표 [0] 5 2 3 3" xfId="388" xr:uid="{50D9B8ED-8436-4B09-B0C0-C316F9BE0F6A}"/>
    <cellStyle name="쉼표 [0] 5 2 3 3 2" xfId="792" xr:uid="{19D85195-B58B-4B4F-B41F-4BB41BCD1122}"/>
    <cellStyle name="쉼표 [0] 5 2 3 4" xfId="444" xr:uid="{6DB593D6-3F5D-482F-BDB9-D3CCE33C382E}"/>
    <cellStyle name="쉼표 [0] 5 2 3 4 2" xfId="848" xr:uid="{355073D0-0F31-441F-BDF7-A3DFD45486CC}"/>
    <cellStyle name="쉼표 [0] 5 2 3 5" xfId="518" xr:uid="{A06730D2-B379-40E7-9BC5-8D51CD8D669F}"/>
    <cellStyle name="쉼표 [0] 5 2 3 6" xfId="618" xr:uid="{FE02CDAE-AE18-48EF-BEAC-44001C58FA59}"/>
    <cellStyle name="쉼표 [0] 5 2 3 7" xfId="909" xr:uid="{5DADFE30-5A5B-404C-AC1E-261214475E88}"/>
    <cellStyle name="쉼표 [0] 5 2 3 8" xfId="970" xr:uid="{8CE8D19E-2996-4029-B521-6ABB896D398F}"/>
    <cellStyle name="쉼표 [0] 5 2 4" xfId="243" xr:uid="{0B75DF48-9859-4081-8DA9-F38BB8FCCF26}"/>
    <cellStyle name="쉼표 [0] 5 2 4 2" xfId="647" xr:uid="{1BF19D4F-F1AC-41AC-AA8E-A920A512BE9E}"/>
    <cellStyle name="쉼표 [0] 5 2 4 3" xfId="1013" xr:uid="{89B16ADF-D1FA-4C38-A3AF-8E8EE01478E1}"/>
    <cellStyle name="쉼표 [0] 5 2 5" xfId="330" xr:uid="{948D8ED7-3E95-424F-9DAB-2CE26D175386}"/>
    <cellStyle name="쉼표 [0] 5 2 5 2" xfId="734" xr:uid="{9338B703-5C63-4D8C-8743-81F054D813B1}"/>
    <cellStyle name="쉼표 [0] 5 2 6" xfId="425" xr:uid="{B832C1B7-6EBA-4B86-B813-8D5C418CF7F3}"/>
    <cellStyle name="쉼표 [0] 5 2 6 2" xfId="829" xr:uid="{E7CDF40F-4572-4B88-ACA6-833DEF9F686C}"/>
    <cellStyle name="쉼표 [0] 5 2 7" xfId="499" xr:uid="{FBD3675A-1F53-4CB6-8463-8A3B69696CBF}"/>
    <cellStyle name="쉼표 [0] 5 2 8" xfId="560" xr:uid="{08130E8B-6635-4448-8D92-D991CDF852F7}"/>
    <cellStyle name="쉼표 [0] 5 2 9" xfId="890" xr:uid="{BCD39674-4FCE-445A-AEF7-DB09305BBE8B}"/>
    <cellStyle name="쉼표 [0] 5 3" xfId="159" xr:uid="{DA2F1820-8822-4F62-8B23-F34AAD71FF55}"/>
    <cellStyle name="쉼표 [0] 5 3 10" xfId="956" xr:uid="{03CC7BEC-B8A2-4E2D-B43A-43D0F38553FC}"/>
    <cellStyle name="쉼표 [0] 5 3 2" xfId="190" xr:uid="{AC74CCCB-E6F5-442A-80FF-10B1203C06D2}"/>
    <cellStyle name="쉼표 [0] 5 3 2 2" xfId="277" xr:uid="{D39F3DB5-1ABF-4096-AF99-3F112BD2E7B2}"/>
    <cellStyle name="쉼표 [0] 5 3 2 2 2" xfId="681" xr:uid="{99595936-1EBD-4050-AB6C-0FD34A2E80EA}"/>
    <cellStyle name="쉼표 [0] 5 3 2 2 3" xfId="1053" xr:uid="{B23B6169-C379-4B07-AA85-E2C8A43A297B}"/>
    <cellStyle name="쉼표 [0] 5 3 2 3" xfId="364" xr:uid="{98A8E3C7-AB81-401D-B87F-657649CD5871}"/>
    <cellStyle name="쉼표 [0] 5 3 2 3 2" xfId="768" xr:uid="{F84FD849-437D-4CB7-B883-23A54C4531C0}"/>
    <cellStyle name="쉼표 [0] 5 3 2 4" xfId="471" xr:uid="{99B31BEB-6C6F-4242-9080-62D1D405FD07}"/>
    <cellStyle name="쉼표 [0] 5 3 2 4 2" xfId="869" xr:uid="{63F76849-E540-4D1C-B351-C037711F2956}"/>
    <cellStyle name="쉼표 [0] 5 3 2 5" xfId="539" xr:uid="{0A4DEC58-306C-4F0D-8630-3CF2C7EFEC4B}"/>
    <cellStyle name="쉼표 [0] 5 3 2 6" xfId="594" xr:uid="{8DC4C0AD-F1ED-4AFD-A6A3-928035C5D348}"/>
    <cellStyle name="쉼표 [0] 5 3 2 7" xfId="930" xr:uid="{9CB6247B-9B2A-4102-BAC0-8C29BDE7B381}"/>
    <cellStyle name="쉼표 [0] 5 3 2 8" xfId="991" xr:uid="{625FDE9F-4631-4FD1-AF45-4532D0FD92A9}"/>
    <cellStyle name="쉼표 [0] 5 3 3" xfId="219" xr:uid="{BD78B9D7-3F3E-4D7F-962A-1BDCC1A95E75}"/>
    <cellStyle name="쉼표 [0] 5 3 3 2" xfId="306" xr:uid="{96582F4A-EB07-4558-AED0-E22BE29C5FDF}"/>
    <cellStyle name="쉼표 [0] 5 3 3 2 2" xfId="710" xr:uid="{A8F70998-4416-4756-A0A3-3BD89067295D}"/>
    <cellStyle name="쉼표 [0] 5 3 3 2 3" xfId="1037" xr:uid="{2A9FB699-F1DF-4BFF-9332-A1B9276E3ADE}"/>
    <cellStyle name="쉼표 [0] 5 3 3 3" xfId="393" xr:uid="{1900C2BA-9DB7-4784-A0FF-146527A9C520}"/>
    <cellStyle name="쉼표 [0] 5 3 3 3 2" xfId="797" xr:uid="{FE9B51E6-DD1A-45D8-A5C5-9CFBC47BEC3B}"/>
    <cellStyle name="쉼표 [0] 5 3 3 4" xfId="449" xr:uid="{C02CE8E5-3CA9-4BA3-8E5B-3BED6944AB40}"/>
    <cellStyle name="쉼표 [0] 5 3 3 4 2" xfId="853" xr:uid="{697F0F1C-0CEF-4DE9-B8F9-F2EF5B24D478}"/>
    <cellStyle name="쉼표 [0] 5 3 3 5" xfId="523" xr:uid="{278F3D14-7FDC-4C66-A967-44DC454D6752}"/>
    <cellStyle name="쉼표 [0] 5 3 3 6" xfId="623" xr:uid="{D554264E-7C9E-43E7-BC92-58EB81823347}"/>
    <cellStyle name="쉼표 [0] 5 3 3 7" xfId="914" xr:uid="{538576C4-5F30-4B74-9A35-97F670727DA0}"/>
    <cellStyle name="쉼표 [0] 5 3 3 8" xfId="975" xr:uid="{84F2C1FA-B330-4F2E-9DB5-C4CFE5BC99DC}"/>
    <cellStyle name="쉼표 [0] 5 3 4" xfId="248" xr:uid="{6BCA43A5-1622-4997-956A-3C251BE27745}"/>
    <cellStyle name="쉼표 [0] 5 3 4 2" xfId="652" xr:uid="{19FACBCD-6193-42C6-9240-1C59B93D49EE}"/>
    <cellStyle name="쉼표 [0] 5 3 4 3" xfId="1018" xr:uid="{0665F6DF-5168-4130-99D2-F2985AEE165B}"/>
    <cellStyle name="쉼표 [0] 5 3 5" xfId="335" xr:uid="{B361E064-E603-4718-8AE1-2F8A25C5257F}"/>
    <cellStyle name="쉼표 [0] 5 3 5 2" xfId="739" xr:uid="{D98A565A-11B0-4B52-BEDE-4D5CEB2588E9}"/>
    <cellStyle name="쉼표 [0] 5 3 6" xfId="430" xr:uid="{821A7705-0078-4AB0-9753-16C1E4AE1B13}"/>
    <cellStyle name="쉼표 [0] 5 3 6 2" xfId="834" xr:uid="{52F066D9-FF79-41E2-A893-F509C0B79B1E}"/>
    <cellStyle name="쉼표 [0] 5 3 7" xfId="504" xr:uid="{C0C27BBC-39F6-4835-81F6-2432A292D53E}"/>
    <cellStyle name="쉼표 [0] 5 3 8" xfId="565" xr:uid="{1633AD13-E2D8-4BB1-B599-ECFB9E510BE1}"/>
    <cellStyle name="쉼표 [0] 5 3 9" xfId="895" xr:uid="{D865C719-1D86-4A24-A5E0-98876D97DC98}"/>
    <cellStyle name="쉼표 [0] 5 4" xfId="149" xr:uid="{C76F55EA-C559-47E4-98A6-B3FB8E3B22DA}"/>
    <cellStyle name="쉼표 [0] 5 4 10" xfId="946" xr:uid="{76E187C8-97DA-44DE-B65D-56A6095FEA27}"/>
    <cellStyle name="쉼표 [0] 5 4 2" xfId="180" xr:uid="{DE6FBDD8-42E7-4AAB-81FC-AC514EE305D1}"/>
    <cellStyle name="쉼표 [0] 5 4 2 2" xfId="267" xr:uid="{22E4F2B8-CA45-4B16-A111-1A6B0A34A5B4}"/>
    <cellStyle name="쉼표 [0] 5 4 2 2 2" xfId="671" xr:uid="{294F818C-0044-4D9E-B295-346B8E8D22DE}"/>
    <cellStyle name="쉼표 [0] 5 4 2 2 3" xfId="1043" xr:uid="{D09FC244-DC7B-4406-A54D-9D88BCC72E11}"/>
    <cellStyle name="쉼표 [0] 5 4 2 3" xfId="354" xr:uid="{EEBD67C0-DA2F-4B87-9E3A-55CA6F318F23}"/>
    <cellStyle name="쉼표 [0] 5 4 2 3 2" xfId="758" xr:uid="{02D24157-7305-4A00-A755-1883FE41CEF7}"/>
    <cellStyle name="쉼표 [0] 5 4 2 4" xfId="461" xr:uid="{C836013D-ED7A-4F8A-88A6-953C76B63CD3}"/>
    <cellStyle name="쉼표 [0] 5 4 2 4 2" xfId="859" xr:uid="{6D486ED6-F17C-46EC-9670-86169A66619E}"/>
    <cellStyle name="쉼표 [0] 5 4 2 5" xfId="529" xr:uid="{2BC753AE-A422-4BB0-8EAA-9BCA01B4E8DA}"/>
    <cellStyle name="쉼표 [0] 5 4 2 6" xfId="584" xr:uid="{9A5C38FE-F35B-429C-AD5F-E6D0D5E0BC98}"/>
    <cellStyle name="쉼표 [0] 5 4 2 7" xfId="920" xr:uid="{0CC52B62-CD2D-4EE9-B499-309BFEFCF790}"/>
    <cellStyle name="쉼표 [0] 5 4 2 8" xfId="981" xr:uid="{7742C964-E6E5-4D12-AEEB-E8FC6D4EA763}"/>
    <cellStyle name="쉼표 [0] 5 4 3" xfId="209" xr:uid="{4193A01E-16D7-4CE2-94B0-7595CF63CAAC}"/>
    <cellStyle name="쉼표 [0] 5 4 3 2" xfId="296" xr:uid="{2B381C80-661C-4335-B5EA-5FEB3499422E}"/>
    <cellStyle name="쉼표 [0] 5 4 3 2 2" xfId="700" xr:uid="{C885E62F-8994-4E94-9946-16C31D7DC8D6}"/>
    <cellStyle name="쉼표 [0] 5 4 3 3" xfId="383" xr:uid="{C26E0891-43F5-472F-B1DF-0CC056100F44}"/>
    <cellStyle name="쉼표 [0] 5 4 3 3 2" xfId="787" xr:uid="{06ABBFAF-7A2F-453C-A1E4-F056041E2F16}"/>
    <cellStyle name="쉼표 [0] 5 4 3 4" xfId="613" xr:uid="{85673BFD-B5E6-4333-AB79-B96DBAC70183}"/>
    <cellStyle name="쉼표 [0] 5 4 3 5" xfId="1008" xr:uid="{705CB9F1-4C53-4B6A-8993-2D4B42C3F694}"/>
    <cellStyle name="쉼표 [0] 5 4 4" xfId="238" xr:uid="{0AADE315-6482-4D52-A7C9-311FE3B78CD2}"/>
    <cellStyle name="쉼표 [0] 5 4 4 2" xfId="642" xr:uid="{4D465914-0FAB-4B27-B267-BA1DC9FD30DE}"/>
    <cellStyle name="쉼표 [0] 5 4 5" xfId="325" xr:uid="{81E728EE-F771-41EF-89E0-E8530A384F9E}"/>
    <cellStyle name="쉼표 [0] 5 4 5 2" xfId="729" xr:uid="{BEC00DC0-4F79-485E-81BF-61A5FD1CB25D}"/>
    <cellStyle name="쉼표 [0] 5 4 6" xfId="420" xr:uid="{BD681CB5-B5B2-46D0-95B9-19AC3D8D209C}"/>
    <cellStyle name="쉼표 [0] 5 4 6 2" xfId="824" xr:uid="{81BF6239-E69F-4F5D-A8B1-633E502EDDF4}"/>
    <cellStyle name="쉼표 [0] 5 4 7" xfId="494" xr:uid="{C2739F07-B172-45DD-8FC1-4F81706E4D95}"/>
    <cellStyle name="쉼표 [0] 5 4 8" xfId="555" xr:uid="{C0851600-E33A-486C-BFC5-8B76505B09D0}"/>
    <cellStyle name="쉼표 [0] 5 4 9" xfId="885" xr:uid="{DF206E3C-A65C-44CB-B578-5B085D22B074}"/>
    <cellStyle name="쉼표 [0] 5 5" xfId="175" xr:uid="{3BE73C16-155F-429D-A0ED-D373C62E89F3}"/>
    <cellStyle name="쉼표 [0] 5 5 2" xfId="262" xr:uid="{71CF5C5D-31B3-4A78-9A65-67CF686961B7}"/>
    <cellStyle name="쉼표 [0] 5 5 2 2" xfId="666" xr:uid="{B5A83368-133B-4D3D-9783-C2BC8BC266C5}"/>
    <cellStyle name="쉼표 [0] 5 5 2 3" xfId="1027" xr:uid="{E803DD55-6806-425A-9E16-B5E7B738ADDE}"/>
    <cellStyle name="쉼표 [0] 5 5 3" xfId="349" xr:uid="{41E0FA75-683A-4BFA-AE74-C5F27703666C}"/>
    <cellStyle name="쉼표 [0] 5 5 3 2" xfId="753" xr:uid="{CDD75530-852D-4C30-9A7C-D0E002758249}"/>
    <cellStyle name="쉼표 [0] 5 5 4" xfId="439" xr:uid="{0A7CEECE-ACF6-47D7-A541-001C00CA375A}"/>
    <cellStyle name="쉼표 [0] 5 5 4 2" xfId="843" xr:uid="{4600C1A2-B822-4F91-8AF6-9E74BEA5F2CB}"/>
    <cellStyle name="쉼표 [0] 5 5 5" xfId="513" xr:uid="{0D7BE6FC-D4CC-4B80-A5FB-8C0437F238D9}"/>
    <cellStyle name="쉼표 [0] 5 5 6" xfId="579" xr:uid="{701B228C-EA82-4A55-8F99-9F50D76C5D3E}"/>
    <cellStyle name="쉼표 [0] 5 5 7" xfId="904" xr:uid="{EAE8CFAE-6E5D-4E9A-806E-AC473FD78BF8}"/>
    <cellStyle name="쉼표 [0] 5 5 8" xfId="965" xr:uid="{CC164653-92DA-4CCD-83D4-B9D694F28CCF}"/>
    <cellStyle name="쉼표 [0] 5 6" xfId="204" xr:uid="{1E3D23FF-1E86-439B-8F13-2F8C990FBB66}"/>
    <cellStyle name="쉼표 [0] 5 6 2" xfId="291" xr:uid="{F1671396-76C3-4E46-A455-FFFD04E00524}"/>
    <cellStyle name="쉼표 [0] 5 6 2 2" xfId="695" xr:uid="{F2DF90D8-8BB6-4A75-8C58-936E017D6C28}"/>
    <cellStyle name="쉼표 [0] 5 6 3" xfId="378" xr:uid="{A54B48CF-DCAE-4C2B-8DC8-FA37C2AEDB31}"/>
    <cellStyle name="쉼표 [0] 5 6 3 2" xfId="782" xr:uid="{64EFF1A7-E195-4FF4-A43A-CBA6F442B3E5}"/>
    <cellStyle name="쉼표 [0] 5 6 4" xfId="608" xr:uid="{3F583666-4F05-436E-9C1C-C1378025DB5D}"/>
    <cellStyle name="쉼표 [0] 5 6 5" xfId="1003" xr:uid="{E11E48AE-0065-4B93-9EC8-D216BFEC3E5C}"/>
    <cellStyle name="쉼표 [0] 5 7" xfId="233" xr:uid="{E3DC2795-AE69-4508-B730-0DD9AB21C7F5}"/>
    <cellStyle name="쉼표 [0] 5 7 2" xfId="637" xr:uid="{FE50395D-AE0A-4AA0-9D0C-16186CAB13B0}"/>
    <cellStyle name="쉼표 [0] 5 8" xfId="320" xr:uid="{E06C2EEE-DAE6-4826-BE0A-3DEEA1CEEE1A}"/>
    <cellStyle name="쉼표 [0] 5 8 2" xfId="724" xr:uid="{E125767F-FB6F-403F-AFD8-1544CF64B09E}"/>
    <cellStyle name="쉼표 [0] 5 9" xfId="406" xr:uid="{707E77F4-5C39-4822-A26C-018955E16812}"/>
    <cellStyle name="쉼표 [0] 5 9 2" xfId="810" xr:uid="{5AC0D661-1CCC-455B-A0F2-24BB0DB71864}"/>
    <cellStyle name="쉼표 [0] 6" xfId="161" xr:uid="{3E6D230F-68FD-420E-90E8-D1367D666585}"/>
    <cellStyle name="쉼표 [0] 6 10" xfId="957" xr:uid="{C6508CF4-8BD6-4922-A387-EFEB9997F3FE}"/>
    <cellStyle name="쉼표 [0] 6 2" xfId="191" xr:uid="{84AB5599-9736-4960-A3B1-B8465952D376}"/>
    <cellStyle name="쉼표 [0] 6 2 2" xfId="278" xr:uid="{7F8CA32C-59D0-4CEF-83D7-3C2B8C794C28}"/>
    <cellStyle name="쉼표 [0] 6 2 2 2" xfId="682" xr:uid="{22E899C8-68CF-4149-9B83-F0A023FE7472}"/>
    <cellStyle name="쉼표 [0] 6 2 2 3" xfId="1054" xr:uid="{2F1739B7-A3A6-4EE8-BC00-DEA089BFAB60}"/>
    <cellStyle name="쉼표 [0] 6 2 3" xfId="365" xr:uid="{CEA1C4A3-876C-421B-A3E8-9882BF49E3C1}"/>
    <cellStyle name="쉼표 [0] 6 2 3 2" xfId="769" xr:uid="{DE1D5F1C-16C0-4B05-BCC3-2BB892573618}"/>
    <cellStyle name="쉼표 [0] 6 2 4" xfId="472" xr:uid="{59957FC0-8247-40F9-9A57-C56FA712C2F7}"/>
    <cellStyle name="쉼표 [0] 6 2 4 2" xfId="870" xr:uid="{B58D7BC8-9EBA-43C3-9087-40D9F2648EBF}"/>
    <cellStyle name="쉼표 [0] 6 2 5" xfId="540" xr:uid="{07E85137-59A1-48D5-8062-C9EAF46C6D09}"/>
    <cellStyle name="쉼표 [0] 6 2 6" xfId="595" xr:uid="{890E14C0-B7AB-4913-B64A-90145775AD1B}"/>
    <cellStyle name="쉼표 [0] 6 2 7" xfId="931" xr:uid="{EAB537B1-0646-475A-9523-41F79CA2CA99}"/>
    <cellStyle name="쉼표 [0] 6 2 8" xfId="992" xr:uid="{E562F929-515C-4DA5-9D8B-2639026A853F}"/>
    <cellStyle name="쉼표 [0] 6 3" xfId="220" xr:uid="{B8AF8D18-697F-4020-95DE-DBF892B53D6B}"/>
    <cellStyle name="쉼표 [0] 6 3 2" xfId="307" xr:uid="{144EAE6F-A54D-499B-A2C5-8FCFD54D1DD9}"/>
    <cellStyle name="쉼표 [0] 6 3 2 2" xfId="711" xr:uid="{BA5BD71C-0E10-4B7C-A97B-E6FAE95D9BFA}"/>
    <cellStyle name="쉼표 [0] 6 3 3" xfId="394" xr:uid="{FBE1B054-5AF3-4954-BED2-CBE1A1F4D4A5}"/>
    <cellStyle name="쉼표 [0] 6 3 3 2" xfId="798" xr:uid="{185534E0-1443-472D-BD02-D7AFA993E331}"/>
    <cellStyle name="쉼표 [0] 6 3 4" xfId="624" xr:uid="{FE2E4F99-8778-46B5-BD70-19F845E2B64B}"/>
    <cellStyle name="쉼표 [0] 6 3 5" xfId="1019" xr:uid="{E08DD137-1526-462E-AA2A-89FD4F396181}"/>
    <cellStyle name="쉼표 [0] 6 4" xfId="249" xr:uid="{199DD17E-D16A-44C8-A787-43BA9EEE7C28}"/>
    <cellStyle name="쉼표 [0] 6 4 2" xfId="653" xr:uid="{6FBE1CF7-944A-4DA8-A285-DF0F2265893F}"/>
    <cellStyle name="쉼표 [0] 6 5" xfId="336" xr:uid="{DF468AB5-0291-4254-94B7-97F6D312DDE1}"/>
    <cellStyle name="쉼표 [0] 6 5 2" xfId="740" xr:uid="{8FB91743-ABBA-43CB-A7F9-F8EE2B238C7A}"/>
    <cellStyle name="쉼표 [0] 6 6" xfId="431" xr:uid="{E7A80880-198C-4453-A540-02130C69D2C2}"/>
    <cellStyle name="쉼표 [0] 6 6 2" xfId="835" xr:uid="{A958310D-BB24-4EB1-9141-3774FF82744B}"/>
    <cellStyle name="쉼표 [0] 6 7" xfId="505" xr:uid="{A1BE6E55-04E3-40E2-818F-87C7B5C62FFB}"/>
    <cellStyle name="쉼표 [0] 6 8" xfId="566" xr:uid="{039B43E5-1CA1-49DA-A79D-3999B7CBD5CB}"/>
    <cellStyle name="쉼표 [0] 6 9" xfId="896" xr:uid="{B02A724B-DA1C-4F12-9301-B55D8D30BFC4}"/>
    <cellStyle name="쉼표 [0] 7" xfId="162" xr:uid="{9467D5E5-056D-4904-A341-0E7C63E9025C}"/>
    <cellStyle name="쉼표 [0] 7 10" xfId="958" xr:uid="{A702FA73-2516-47CF-A445-337B4BC2B48A}"/>
    <cellStyle name="쉼표 [0] 7 2" xfId="192" xr:uid="{D5A7D2DB-F8EA-4361-8168-BEA36B2AFEA2}"/>
    <cellStyle name="쉼표 [0] 7 2 2" xfId="279" xr:uid="{73973A3E-E7D7-4253-A115-7E4AB0994999}"/>
    <cellStyle name="쉼표 [0] 7 2 2 2" xfId="683" xr:uid="{57683AB9-2350-4612-8C19-0848C96F761F}"/>
    <cellStyle name="쉼표 [0] 7 2 3" xfId="366" xr:uid="{34DC704B-026E-402D-B84D-5306211B52BC}"/>
    <cellStyle name="쉼표 [0] 7 2 3 2" xfId="770" xr:uid="{6477ACF1-18EC-4AB2-A522-279232555AFD}"/>
    <cellStyle name="쉼표 [0] 7 2 4" xfId="596" xr:uid="{6FEAAD82-CAC6-400C-B26E-AC62FACBF2D0}"/>
    <cellStyle name="쉼표 [0] 7 2 5" xfId="1020" xr:uid="{1E06A09F-7469-4206-B127-5CB4A428C7E2}"/>
    <cellStyle name="쉼표 [0] 7 3" xfId="221" xr:uid="{8E50E97C-3AA1-401C-BA7A-53C70B55AAE8}"/>
    <cellStyle name="쉼표 [0] 7 3 2" xfId="308" xr:uid="{8CE3C8E9-DED3-42DD-A28E-CB718C2D7145}"/>
    <cellStyle name="쉼표 [0] 7 3 2 2" xfId="712" xr:uid="{8BB26876-1CC2-42CF-9EC7-FCA6AAF5E5EB}"/>
    <cellStyle name="쉼표 [0] 7 3 3" xfId="395" xr:uid="{8F23621B-AF9D-45A0-A699-7C04E13ADEAD}"/>
    <cellStyle name="쉼표 [0] 7 3 3 2" xfId="799" xr:uid="{3F30E84A-2A55-48C0-9FC6-6CE2E6BCFBB5}"/>
    <cellStyle name="쉼표 [0] 7 3 4" xfId="625" xr:uid="{09055A09-7AE4-43FF-A4BF-EF9D551A7307}"/>
    <cellStyle name="쉼표 [0] 7 4" xfId="250" xr:uid="{E2B60890-4AFA-487A-9FDC-AB11717B8384}"/>
    <cellStyle name="쉼표 [0] 7 4 2" xfId="654" xr:uid="{654D7424-C47E-4BC6-9227-7032A0E18BA5}"/>
    <cellStyle name="쉼표 [0] 7 5" xfId="337" xr:uid="{45088CBF-6CFD-4349-889E-ABFB8E612B89}"/>
    <cellStyle name="쉼표 [0] 7 5 2" xfId="741" xr:uid="{82DFED3E-0915-4FD4-A834-8C208A1F01AE}"/>
    <cellStyle name="쉼표 [0] 7 6" xfId="432" xr:uid="{9D886EBC-94EF-4EC5-B76A-BB6EC30A7CEF}"/>
    <cellStyle name="쉼표 [0] 7 6 2" xfId="836" xr:uid="{1ABB713D-1F15-4B0B-B2B2-5A25F75B088F}"/>
    <cellStyle name="쉼표 [0] 7 7" xfId="506" xr:uid="{8790F6E1-D08A-419D-A1A7-B73A2A4FC8A7}"/>
    <cellStyle name="쉼표 [0] 7 8" xfId="567" xr:uid="{7C6E7840-7337-457B-B6CD-653F561E6F29}"/>
    <cellStyle name="쉼표 [0] 7 9" xfId="897" xr:uid="{98827A34-34C1-44CA-B35E-E87360031153}"/>
    <cellStyle name="쉼표 [0] 8" xfId="163" xr:uid="{71D17BEA-B792-4C55-9491-2EB0D79B65DD}"/>
    <cellStyle name="쉼표 [0] 8 10" xfId="959" xr:uid="{8075B8A2-E32A-447E-B3E6-4F769264CB16}"/>
    <cellStyle name="쉼표 [0] 8 2" xfId="193" xr:uid="{63296DBB-7A4F-45C4-8B39-A2F11EE4FA0D}"/>
    <cellStyle name="쉼표 [0] 8 2 2" xfId="280" xr:uid="{F36F7EE4-B4F5-4467-B875-6E0471BCE606}"/>
    <cellStyle name="쉼표 [0] 8 2 2 2" xfId="684" xr:uid="{46A0462E-620A-4E0F-9161-A271F9CDEAD8}"/>
    <cellStyle name="쉼표 [0] 8 2 3" xfId="367" xr:uid="{3C344B16-C467-47CE-82CA-D3D5E881F090}"/>
    <cellStyle name="쉼표 [0] 8 2 3 2" xfId="771" xr:uid="{A72B5E1F-8BB6-4CDE-918E-7F5F0B54B150}"/>
    <cellStyle name="쉼표 [0] 8 2 4" xfId="597" xr:uid="{CE541670-440F-4DEA-88A8-01D71D3BFDC3}"/>
    <cellStyle name="쉼표 [0] 8 2 5" xfId="1021" xr:uid="{539704E1-9833-4A8A-8A63-10080D1BB20E}"/>
    <cellStyle name="쉼표 [0] 8 3" xfId="222" xr:uid="{4C0F1C82-A74C-4D46-9533-C927073B66FC}"/>
    <cellStyle name="쉼표 [0] 8 3 2" xfId="309" xr:uid="{F263E7B1-7A3E-4CF4-BA69-67B66B430474}"/>
    <cellStyle name="쉼표 [0] 8 3 2 2" xfId="713" xr:uid="{0532E3B0-C6B2-4B30-8422-39EC9EA0B11C}"/>
    <cellStyle name="쉼표 [0] 8 3 3" xfId="396" xr:uid="{2A440281-7B96-4041-90AF-BB3CAA5E7EED}"/>
    <cellStyle name="쉼표 [0] 8 3 3 2" xfId="800" xr:uid="{57902498-2C3A-4A70-9F91-69B57385641C}"/>
    <cellStyle name="쉼표 [0] 8 3 4" xfId="626" xr:uid="{67AC5089-101A-4982-8AC9-76C533C4FE2D}"/>
    <cellStyle name="쉼표 [0] 8 4" xfId="251" xr:uid="{2D56C99F-FF27-416E-A0E7-8DA034D849CB}"/>
    <cellStyle name="쉼표 [0] 8 4 2" xfId="655" xr:uid="{D87A7B0E-0E31-494E-B147-19B829CE2810}"/>
    <cellStyle name="쉼표 [0] 8 5" xfId="338" xr:uid="{0C95EE18-E28D-4AC6-908E-BEC21FB04F46}"/>
    <cellStyle name="쉼표 [0] 8 5 2" xfId="742" xr:uid="{667F2722-6DAA-4925-9026-635B5F2F9119}"/>
    <cellStyle name="쉼표 [0] 8 6" xfId="433" xr:uid="{E38B4B4B-B88C-4BEA-9E59-D23FFA3AF9E3}"/>
    <cellStyle name="쉼표 [0] 8 6 2" xfId="837" xr:uid="{E42BD77C-5ADC-4B90-8CDC-DF719DC0B7D9}"/>
    <cellStyle name="쉼표 [0] 8 7" xfId="507" xr:uid="{608ADE64-2613-45D0-8F55-8C20F9676E6F}"/>
    <cellStyle name="쉼표 [0] 8 8" xfId="568" xr:uid="{245B7E29-3B11-46D7-AA8F-A88BFD6016C5}"/>
    <cellStyle name="쉼표 [0] 8 9" xfId="898" xr:uid="{8F5A2CC9-1DB1-4621-8589-38E145129D35}"/>
    <cellStyle name="쉼표 [0] 9" xfId="44" xr:uid="{26FF4E81-C376-4EA4-9C63-B6A59A77135D}"/>
    <cellStyle name="쉼표 [0] 9 10" xfId="976" xr:uid="{408DEF74-A04C-45F0-A0E2-26E0D54D7CFC}"/>
    <cellStyle name="쉼표 [0] 9 2" xfId="167" xr:uid="{D09FE3F4-C640-493D-A5FF-69E5F12F3750}"/>
    <cellStyle name="쉼표 [0] 9 2 2" xfId="254" xr:uid="{F540F424-293D-4090-B62B-743CDEE36A74}"/>
    <cellStyle name="쉼표 [0] 9 2 2 2" xfId="658" xr:uid="{8B8522F6-4FBF-4931-A5A1-87BB1BE1E923}"/>
    <cellStyle name="쉼표 [0] 9 2 3" xfId="341" xr:uid="{B2B2F40E-87BA-407A-AF78-48FA8B8F120E}"/>
    <cellStyle name="쉼표 [0] 9 2 3 2" xfId="745" xr:uid="{8578B609-A7B5-4B4C-A314-8CF8EC86FE7D}"/>
    <cellStyle name="쉼표 [0] 9 2 4" xfId="571" xr:uid="{5ABB3400-4F0E-4BFD-8ADF-B93B918B9DEA}"/>
    <cellStyle name="쉼표 [0] 9 2 5" xfId="1038" xr:uid="{88336C6C-B733-4A94-B018-7F0D33333B1F}"/>
    <cellStyle name="쉼표 [0] 9 3" xfId="196" xr:uid="{A4700A63-4E1C-43D1-8639-302783583BC2}"/>
    <cellStyle name="쉼표 [0] 9 3 2" xfId="283" xr:uid="{E4CA173A-C731-4683-818D-4C74F7BFAD0A}"/>
    <cellStyle name="쉼표 [0] 9 3 2 2" xfId="687" xr:uid="{D5B976A4-CCD0-4FF7-87F4-A54B7223ACD0}"/>
    <cellStyle name="쉼표 [0] 9 3 3" xfId="370" xr:uid="{C667E6E7-FE43-44C9-87FA-8F6BDB90871E}"/>
    <cellStyle name="쉼표 [0] 9 3 3 2" xfId="774" xr:uid="{25BCBE3C-23F6-473C-834E-89C2170B0049}"/>
    <cellStyle name="쉼표 [0] 9 3 4" xfId="600" xr:uid="{13B2AA47-F3F8-46AA-A7F1-8C03541D086B}"/>
    <cellStyle name="쉼표 [0] 9 4" xfId="225" xr:uid="{D8FE709A-944E-44F4-B26F-7D5604822D0E}"/>
    <cellStyle name="쉼표 [0] 9 4 2" xfId="629" xr:uid="{064D156E-842C-4BC5-8401-803B8213E3C5}"/>
    <cellStyle name="쉼표 [0] 9 5" xfId="312" xr:uid="{81E195F6-1624-48DF-9E4F-5A4129701CB5}"/>
    <cellStyle name="쉼표 [0] 9 5 2" xfId="716" xr:uid="{7FC88F32-E49E-4351-A479-68066B48043C}"/>
    <cellStyle name="쉼표 [0] 9 6" xfId="450" xr:uid="{E327D3D8-95DB-4F6B-8A47-F27834DF7D62}"/>
    <cellStyle name="쉼표 [0] 9 6 2" xfId="854" xr:uid="{D8F11BD7-7A60-463C-8ECB-F09D79463A8B}"/>
    <cellStyle name="쉼표 [0] 9 7" xfId="524" xr:uid="{97017C9D-1B53-4F88-9E0F-0C2C8E7CDD38}"/>
    <cellStyle name="쉼표 [0] 9 8" xfId="542" xr:uid="{69EF49A3-B3EB-43E1-8E67-CA378C8E8BB0}"/>
    <cellStyle name="쉼표 [0] 9 9" xfId="915" xr:uid="{748D722C-B28C-4FEB-8554-81CC3138A768}"/>
    <cellStyle name="연결된 셀" xfId="14" builtinId="24" customBuiltin="1"/>
    <cellStyle name="연결된 셀 2" xfId="126" xr:uid="{1F8DEDEA-01B2-492C-8DA5-0CF2BB5C5969}"/>
    <cellStyle name="연결된 셀 3" xfId="125" xr:uid="{07680DC5-CA3E-4B17-97F6-1BF0F33DDEAE}"/>
    <cellStyle name="요약" xfId="19" builtinId="25" customBuiltin="1"/>
    <cellStyle name="요약 2" xfId="128" xr:uid="{207477E1-B5B4-4ACF-AE9E-8C6E95756ABF}"/>
    <cellStyle name="요약 3" xfId="127" xr:uid="{AF5F8DE2-5033-4E34-9DB3-FA6816BB74D2}"/>
    <cellStyle name="입력" xfId="11" builtinId="20" customBuiltin="1"/>
    <cellStyle name="입력 2" xfId="130" xr:uid="{EEE0E765-C002-400B-8E69-EB4E096DDBA4}"/>
    <cellStyle name="입력 3" xfId="129" xr:uid="{CF14406C-A498-4BB7-A503-EEA6536B9142}"/>
    <cellStyle name="제목" xfId="3" builtinId="15" customBuiltin="1"/>
    <cellStyle name="제목 1" xfId="4" builtinId="16" customBuiltin="1"/>
    <cellStyle name="제목 1 2" xfId="133" xr:uid="{C1B1EFD4-2452-45CD-A43B-6D49F9ECDCAD}"/>
    <cellStyle name="제목 1 3" xfId="132" xr:uid="{6157F89A-8FA7-4FD5-B929-D29D191EBE0E}"/>
    <cellStyle name="제목 2" xfId="5" builtinId="17" customBuiltin="1"/>
    <cellStyle name="제목 2 2" xfId="135" xr:uid="{2E8EB9D2-8CE8-4C02-B869-EBD5FD6463BF}"/>
    <cellStyle name="제목 2 3" xfId="134" xr:uid="{2FC17FEB-B871-4BDC-A070-E6DF31EC2ED4}"/>
    <cellStyle name="제목 3" xfId="6" builtinId="18" customBuiltin="1"/>
    <cellStyle name="제목 3 2" xfId="137" xr:uid="{B60213E6-D3C9-45E0-8B4E-E4462E54AFFF}"/>
    <cellStyle name="제목 3 3" xfId="136" xr:uid="{4741B02D-CC4A-4728-A154-179AEE638145}"/>
    <cellStyle name="제목 4" xfId="7" builtinId="19" customBuiltin="1"/>
    <cellStyle name="제목 4 2" xfId="139" xr:uid="{40272508-F9BB-46B8-BF8A-D98DB77D5D37}"/>
    <cellStyle name="제목 4 3" xfId="138" xr:uid="{F7C9A88B-E468-4C5F-AA3A-4E372AB37899}"/>
    <cellStyle name="제목 5" xfId="140" xr:uid="{23E81092-2BD3-442F-BF75-F963EABB1E12}"/>
    <cellStyle name="제목 6" xfId="131" xr:uid="{E3472626-35AD-47FD-BBE3-14123EE5F805}"/>
    <cellStyle name="좋음" xfId="8" builtinId="26" customBuiltin="1"/>
    <cellStyle name="좋음 2" xfId="142" xr:uid="{1B78F9BF-5432-42DE-91AF-A1E394D7A10B}"/>
    <cellStyle name="좋음 3" xfId="141" xr:uid="{1A2F30F3-4708-4514-9DE9-9755364B0089}"/>
    <cellStyle name="출력" xfId="12" builtinId="21" customBuiltin="1"/>
    <cellStyle name="출력 2" xfId="144" xr:uid="{A9F69698-6BE4-45A2-86FB-F8FB52511974}"/>
    <cellStyle name="출력 3" xfId="143" xr:uid="{598AB093-6CD2-4C84-875D-5550B21A4CA7}"/>
    <cellStyle name="표준" xfId="0" builtinId="0"/>
    <cellStyle name="표준 10" xfId="456" xr:uid="{00A0D224-9F18-46B0-8C3E-F59F8054AF6C}"/>
    <cellStyle name="표준 10 2" xfId="475" xr:uid="{90445684-67DB-4D8A-B1B1-81244D1BC22A}"/>
    <cellStyle name="표준 11" xfId="476" xr:uid="{87B0C5A8-29CB-4FEC-ACFF-7A61ECE0F910}"/>
    <cellStyle name="표준 12" xfId="473" xr:uid="{ECD780A3-F2CE-48E1-918D-9099FA0B7051}"/>
    <cellStyle name="표준 13" xfId="477" xr:uid="{88874C6D-EDB0-4463-921D-DF9CA5C25344}"/>
    <cellStyle name="표준 14" xfId="994" xr:uid="{47314E29-9110-47D0-ABED-CFF7607BE839}"/>
    <cellStyle name="표준 15" xfId="1055" xr:uid="{BD56A79E-85D0-408A-845A-99CABDD68C90}"/>
    <cellStyle name="표준 2" xfId="55" xr:uid="{F836B385-D7B8-43B4-B2BC-493290A9A465}"/>
    <cellStyle name="표준 2 2" xfId="50" xr:uid="{DB580592-F16C-4962-880D-605706A73E1B}"/>
    <cellStyle name="표준 2 2 2" xfId="58" xr:uid="{211B2A8A-0FF4-4C2E-819C-38EB31EAFB83}"/>
    <cellStyle name="표준 2 3" xfId="145" xr:uid="{93C80BF9-DC2F-4362-BE9F-04598D4AE2DF}"/>
    <cellStyle name="표준 2 3 2" xfId="148" xr:uid="{3DB36038-6922-485A-B367-36F6FA7501F7}"/>
    <cellStyle name="표준 2 4" xfId="59" xr:uid="{970273AC-BEF9-4CE2-AF47-483BCBF8EFDB}"/>
    <cellStyle name="표준 2 5" xfId="160" xr:uid="{8642F1EF-705D-4286-AEF8-11E4453AD8C2}"/>
    <cellStyle name="표준 2 6" xfId="164" xr:uid="{574D5083-73EB-4153-8789-84F5F9F8DACF}"/>
    <cellStyle name="표준 2 6 2" xfId="478" xr:uid="{F78C553D-7E30-46B2-A1DB-E0A7282A706A}"/>
    <cellStyle name="표준 3" xfId="54" xr:uid="{8A67CEFB-63FF-483C-9F1A-89BCC6761310}"/>
    <cellStyle name="표준 3 2" xfId="57" xr:uid="{2495BD4E-3670-4972-867A-15CD176F2F94}"/>
    <cellStyle name="표준 3 3" xfId="56" xr:uid="{ADB773C7-BF7A-4D1B-BA73-386A5741D3AE}"/>
    <cellStyle name="표준 3 3 2" xfId="479" xr:uid="{459AE803-28BC-42DA-82CA-0456CFD28674}"/>
    <cellStyle name="표준 3 4" xfId="871" xr:uid="{42054A64-B403-42AD-89B9-F048658A2DF9}"/>
    <cellStyle name="표준 4" xfId="146" xr:uid="{616E7B2F-0676-4E37-AD0F-D66CE419363B}"/>
    <cellStyle name="표준 4 2" xfId="480" xr:uid="{702741C5-5A52-4A62-80E6-418FC69B8653}"/>
    <cellStyle name="표준 4 3" xfId="1058" xr:uid="{162A2572-4732-42C7-A610-5C5A9E5F8C21}"/>
    <cellStyle name="표준 5" xfId="451" xr:uid="{AA56A159-C2FC-45EC-B509-84DF309F92F1}"/>
    <cellStyle name="표준 6" xfId="452" xr:uid="{B7ABD76B-B598-45DF-A168-C9D3475B5745}"/>
    <cellStyle name="표준 7" xfId="453" xr:uid="{1E5A122D-EAC9-42BF-8192-DFDCD64F0BA6}"/>
    <cellStyle name="표준 8" xfId="454" xr:uid="{EA626942-C056-48FA-A5D0-6D769C6EAC5C}"/>
    <cellStyle name="표준 9" xfId="455" xr:uid="{0BF99E0D-719F-4190-AF51-E93663D21A46}"/>
    <cellStyle name="표준 9 2" xfId="474" xr:uid="{7EC9B7D5-9F20-4190-AC9C-535FB61C6C7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283d55t\&#52572;&#44053;&#44396;&#47588;\Users\&#49464;&#48120;&#50896;&#54392;&#46300;2\AppData\Local\Microsoft\Windows\INetCache\IE\TXANKCGU\&#44592;&#51456;&#44032;(2015&#45380;%209&#50900;%201&#51068;%20&#44592;&#51456;)_9&#50900;%20&#44592;&#51456;&#44032;%20&#51064;&#49345;&#51201;&#50857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45236;%20&#46300;&#46972;&#51060;&#48652;\&#51060;&#51652;&#50864;.&#50629;&#47924;\_&#54532;&#47112;&#49884;&#51648;_&#50629;&#47924;\&#51105;&#45796;&#54620;%20&#51088;&#47308;\(&#50689;&#50629;2&#48376;&#48512;)%20&#54856;&#49660;&#54609;&#50689;&#50629;&#54016;%20P&amp;L%20NEW%20!!!!!!!!!!!!.xlsx" TargetMode="External"/><Relationship Id="rId1" Type="http://schemas.openxmlformats.org/officeDocument/2006/relationships/externalLinkPath" Target="file:///G:\&#45236;%20&#46300;&#46972;&#51060;&#48652;\&#51060;&#51652;&#50864;.&#50629;&#47924;\_&#54532;&#47112;&#49884;&#51648;_&#50629;&#47924;\&#51105;&#45796;&#54620;%20&#51088;&#47308;\(&#50689;&#50629;2&#48376;&#48512;)%20&#54856;&#49660;&#54609;&#50689;&#50629;&#54016;%20P&amp;L%20NEW%20!!!!!!!!!!!!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기본정보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"/>
      <sheetName val="RAW"/>
      <sheetName val="info"/>
      <sheetName val="이전 방송내역 (확인용)"/>
      <sheetName val="이전 방송내역"/>
      <sheetName val="세부 정보1"/>
      <sheetName val="세부 정보2"/>
      <sheetName val="세부 정보3"/>
      <sheetName val="세부 정보4"/>
      <sheetName val="거마비"/>
      <sheetName val="직매입 용차비용"/>
      <sheetName val="이동평균원가"/>
      <sheetName val="GS"/>
    </sheetNames>
    <sheetDataSet>
      <sheetData sheetId="0"/>
      <sheetData sheetId="1"/>
      <sheetData sheetId="2">
        <row r="2">
          <cell r="G2"/>
          <cell r="Q2"/>
          <cell r="R2" t="str">
            <v>하절기</v>
          </cell>
          <cell r="S2" t="str">
            <v>동절기</v>
          </cell>
          <cell r="T2" t="str">
            <v>VAT-</v>
          </cell>
        </row>
        <row r="3">
          <cell r="G3" t="str">
            <v>상품코드</v>
          </cell>
          <cell r="Q3" t="str">
            <v>택배비</v>
          </cell>
          <cell r="R3" t="str">
            <v>작업비(원)</v>
          </cell>
          <cell r="S3" t="str">
            <v>작업비(원)</v>
          </cell>
          <cell r="T3" t="str">
            <v>MSRP</v>
          </cell>
          <cell r="W3" t="str">
            <v>면/과세</v>
          </cell>
        </row>
        <row r="4">
          <cell r="Q4">
            <v>0</v>
          </cell>
          <cell r="R4">
            <v>0</v>
          </cell>
          <cell r="S4">
            <v>0</v>
          </cell>
        </row>
        <row r="5">
          <cell r="R5">
            <v>0</v>
          </cell>
          <cell r="S5">
            <v>0</v>
          </cell>
        </row>
        <row r="7">
          <cell r="G7">
            <v>1080703019</v>
          </cell>
          <cell r="Q7">
            <v>0</v>
          </cell>
          <cell r="R7">
            <v>2420</v>
          </cell>
          <cell r="S7">
            <v>1820</v>
          </cell>
          <cell r="T7">
            <v>54454.545454545449</v>
          </cell>
          <cell r="W7" t="str">
            <v>과세</v>
          </cell>
        </row>
        <row r="8">
          <cell r="G8">
            <v>43730812</v>
          </cell>
          <cell r="Q8">
            <v>2409.090909090909</v>
          </cell>
          <cell r="R8">
            <v>2960</v>
          </cell>
          <cell r="S8">
            <v>2380</v>
          </cell>
          <cell r="T8">
            <v>49909.090909090904</v>
          </cell>
          <cell r="W8" t="str">
            <v>과세</v>
          </cell>
        </row>
        <row r="9">
          <cell r="G9">
            <v>1078300249</v>
          </cell>
          <cell r="Q9">
            <v>0</v>
          </cell>
          <cell r="R9">
            <v>2960</v>
          </cell>
          <cell r="S9">
            <v>2380</v>
          </cell>
          <cell r="T9">
            <v>63545.454545454537</v>
          </cell>
          <cell r="W9" t="str">
            <v>과세</v>
          </cell>
        </row>
        <row r="10">
          <cell r="G10">
            <v>1082093782</v>
          </cell>
          <cell r="Q10">
            <v>0</v>
          </cell>
          <cell r="R10">
            <v>2960</v>
          </cell>
          <cell r="S10">
            <v>2380</v>
          </cell>
          <cell r="T10">
            <v>126363.63636363635</v>
          </cell>
          <cell r="W10" t="str">
            <v>과세</v>
          </cell>
        </row>
        <row r="11">
          <cell r="G11">
            <v>1083154288</v>
          </cell>
          <cell r="Q11">
            <v>0</v>
          </cell>
          <cell r="R11">
            <v>2960</v>
          </cell>
          <cell r="S11">
            <v>2380</v>
          </cell>
          <cell r="T11">
            <v>54454.545454545449</v>
          </cell>
          <cell r="W11" t="str">
            <v>과세</v>
          </cell>
        </row>
        <row r="12">
          <cell r="G12">
            <v>11900814</v>
          </cell>
          <cell r="Q12">
            <v>2409.090909090909</v>
          </cell>
          <cell r="R12">
            <v>2470</v>
          </cell>
          <cell r="S12">
            <v>1870</v>
          </cell>
          <cell r="T12">
            <v>54522</v>
          </cell>
          <cell r="W12" t="str">
            <v>면세</v>
          </cell>
        </row>
        <row r="13">
          <cell r="G13">
            <v>150024192</v>
          </cell>
          <cell r="Q13">
            <v>0</v>
          </cell>
          <cell r="R13">
            <v>2420</v>
          </cell>
          <cell r="S13">
            <v>1820</v>
          </cell>
          <cell r="T13">
            <v>54454.545454545449</v>
          </cell>
          <cell r="W13" t="str">
            <v>과세</v>
          </cell>
        </row>
        <row r="14">
          <cell r="G14">
            <v>48546551</v>
          </cell>
          <cell r="Q14">
            <v>2273</v>
          </cell>
          <cell r="R14">
            <v>2420</v>
          </cell>
          <cell r="S14">
            <v>1820</v>
          </cell>
          <cell r="T14">
            <v>54454.545454545449</v>
          </cell>
          <cell r="W14" t="str">
            <v>과세</v>
          </cell>
        </row>
        <row r="15">
          <cell r="G15">
            <v>50591944</v>
          </cell>
          <cell r="Q15">
            <v>2409.090909090909</v>
          </cell>
          <cell r="R15">
            <v>2470</v>
          </cell>
          <cell r="S15">
            <v>1870</v>
          </cell>
          <cell r="T15">
            <v>108999.99999999999</v>
          </cell>
          <cell r="W15" t="str">
            <v>과세</v>
          </cell>
        </row>
        <row r="16">
          <cell r="G16">
            <v>45091230</v>
          </cell>
          <cell r="Q16">
            <v>0</v>
          </cell>
          <cell r="R16">
            <v>0</v>
          </cell>
          <cell r="S16">
            <v>0</v>
          </cell>
          <cell r="T16">
            <v>58999.999999999993</v>
          </cell>
          <cell r="W16" t="str">
            <v>과세</v>
          </cell>
        </row>
        <row r="17">
          <cell r="G17">
            <v>1086370480</v>
          </cell>
          <cell r="Q17">
            <v>0</v>
          </cell>
          <cell r="R17">
            <v>2960</v>
          </cell>
          <cell r="S17">
            <v>2380</v>
          </cell>
          <cell r="T17">
            <v>63545.454545454537</v>
          </cell>
          <cell r="W17" t="str">
            <v>과세</v>
          </cell>
        </row>
        <row r="18">
          <cell r="G18">
            <v>1083156855</v>
          </cell>
          <cell r="Q18">
            <v>0</v>
          </cell>
          <cell r="R18">
            <v>2960</v>
          </cell>
          <cell r="S18">
            <v>2380</v>
          </cell>
          <cell r="T18">
            <v>54454.545454545449</v>
          </cell>
          <cell r="W18" t="str">
            <v>과세</v>
          </cell>
        </row>
        <row r="19">
          <cell r="G19">
            <v>2224826660</v>
          </cell>
          <cell r="Q19">
            <v>0</v>
          </cell>
          <cell r="R19">
            <v>2470</v>
          </cell>
          <cell r="S19">
            <v>1870</v>
          </cell>
          <cell r="T19">
            <v>139000</v>
          </cell>
          <cell r="W19" t="str">
            <v>면세</v>
          </cell>
        </row>
        <row r="20">
          <cell r="G20" t="str">
            <v>2207131894_1</v>
          </cell>
          <cell r="Q20">
            <v>0</v>
          </cell>
          <cell r="R20">
            <v>2420</v>
          </cell>
          <cell r="S20">
            <v>1820</v>
          </cell>
          <cell r="T20">
            <v>54454.545454545449</v>
          </cell>
          <cell r="W20" t="str">
            <v>과세</v>
          </cell>
        </row>
        <row r="21">
          <cell r="G21">
            <v>2207131894</v>
          </cell>
          <cell r="Q21">
            <v>0</v>
          </cell>
          <cell r="R21">
            <v>2470</v>
          </cell>
          <cell r="S21">
            <v>1870</v>
          </cell>
          <cell r="T21">
            <v>54454.545454545449</v>
          </cell>
          <cell r="W21" t="str">
            <v>과세</v>
          </cell>
        </row>
        <row r="22">
          <cell r="G22" t="str">
            <v>피자(리뉴얼)</v>
          </cell>
          <cell r="Q22">
            <v>0</v>
          </cell>
          <cell r="R22">
            <v>0</v>
          </cell>
          <cell r="S22">
            <v>0</v>
          </cell>
          <cell r="T22">
            <v>33982</v>
          </cell>
          <cell r="W22" t="str">
            <v>과세</v>
          </cell>
        </row>
        <row r="23">
          <cell r="G23">
            <v>50766453</v>
          </cell>
          <cell r="Q23">
            <v>0</v>
          </cell>
          <cell r="R23">
            <v>0</v>
          </cell>
          <cell r="S23">
            <v>0</v>
          </cell>
          <cell r="T23">
            <v>30755</v>
          </cell>
          <cell r="W23" t="str">
            <v>과세</v>
          </cell>
        </row>
        <row r="24">
          <cell r="G24">
            <v>20063064</v>
          </cell>
          <cell r="Q24">
            <v>0</v>
          </cell>
          <cell r="R24">
            <v>2175</v>
          </cell>
          <cell r="S24">
            <v>2175</v>
          </cell>
          <cell r="T24">
            <v>32273</v>
          </cell>
          <cell r="W24" t="str">
            <v>과세</v>
          </cell>
        </row>
        <row r="25">
          <cell r="G25" t="str">
            <v>20063064_변경예정</v>
          </cell>
          <cell r="Q25">
            <v>0</v>
          </cell>
          <cell r="R25">
            <v>0</v>
          </cell>
          <cell r="S25">
            <v>0</v>
          </cell>
          <cell r="T25">
            <v>33545</v>
          </cell>
          <cell r="W25" t="str">
            <v>과세</v>
          </cell>
        </row>
        <row r="26">
          <cell r="G26">
            <v>20065305</v>
          </cell>
          <cell r="Q26">
            <v>2409.090909090909</v>
          </cell>
          <cell r="R26">
            <v>2960</v>
          </cell>
          <cell r="S26">
            <v>2380</v>
          </cell>
          <cell r="T26">
            <v>63545.454545454537</v>
          </cell>
          <cell r="W26" t="str">
            <v>과세</v>
          </cell>
        </row>
        <row r="27">
          <cell r="G27">
            <v>20068528</v>
          </cell>
          <cell r="Q27">
            <v>2409.090909090909</v>
          </cell>
          <cell r="R27">
            <v>2380</v>
          </cell>
          <cell r="S27">
            <v>2380</v>
          </cell>
          <cell r="T27">
            <v>63545.454545454537</v>
          </cell>
          <cell r="W27" t="str">
            <v>과세</v>
          </cell>
        </row>
        <row r="28">
          <cell r="G28">
            <v>2233130566</v>
          </cell>
          <cell r="Q28"/>
          <cell r="R28">
            <v>900</v>
          </cell>
          <cell r="S28">
            <v>900</v>
          </cell>
          <cell r="T28">
            <v>63545</v>
          </cell>
          <cell r="W28" t="str">
            <v>과세</v>
          </cell>
        </row>
        <row r="29">
          <cell r="G29">
            <v>20064796</v>
          </cell>
          <cell r="Q29">
            <v>2409.090909090909</v>
          </cell>
          <cell r="R29">
            <v>2960</v>
          </cell>
          <cell r="S29">
            <v>2380</v>
          </cell>
          <cell r="T29">
            <v>54454.545454545449</v>
          </cell>
          <cell r="W29" t="str">
            <v>과세</v>
          </cell>
        </row>
        <row r="30">
          <cell r="G30" t="str">
            <v xml:space="preserve">2236712910	</v>
          </cell>
          <cell r="Q30">
            <v>0</v>
          </cell>
          <cell r="R30">
            <v>2450</v>
          </cell>
          <cell r="S30">
            <v>1870</v>
          </cell>
          <cell r="T30">
            <v>54455</v>
          </cell>
          <cell r="W30" t="str">
            <v>과세</v>
          </cell>
        </row>
        <row r="31">
          <cell r="G31">
            <v>1087631606</v>
          </cell>
          <cell r="Q31">
            <v>0</v>
          </cell>
          <cell r="R31">
            <v>2960</v>
          </cell>
          <cell r="S31">
            <v>2380</v>
          </cell>
          <cell r="T31">
            <v>49909.090909090904</v>
          </cell>
          <cell r="W31" t="str">
            <v>과세</v>
          </cell>
        </row>
        <row r="32">
          <cell r="G32">
            <v>51579540</v>
          </cell>
          <cell r="Q32">
            <v>2409.090909090909</v>
          </cell>
          <cell r="R32">
            <v>2960</v>
          </cell>
          <cell r="S32">
            <v>2380</v>
          </cell>
          <cell r="T32">
            <v>54454.545454545449</v>
          </cell>
          <cell r="W32" t="str">
            <v>과세</v>
          </cell>
        </row>
        <row r="33">
          <cell r="G33">
            <v>2237972685</v>
          </cell>
          <cell r="Q33">
            <v>0</v>
          </cell>
          <cell r="R33">
            <v>100</v>
          </cell>
          <cell r="S33">
            <v>100</v>
          </cell>
          <cell r="T33">
            <v>60900</v>
          </cell>
          <cell r="W33" t="str">
            <v>면세</v>
          </cell>
        </row>
        <row r="34">
          <cell r="G34">
            <v>2226417660</v>
          </cell>
          <cell r="Q34">
            <v>0</v>
          </cell>
          <cell r="R34">
            <v>2470</v>
          </cell>
          <cell r="S34">
            <v>1870</v>
          </cell>
          <cell r="T34">
            <v>109000</v>
          </cell>
          <cell r="W34" t="str">
            <v>과세</v>
          </cell>
        </row>
        <row r="35">
          <cell r="G35">
            <v>1090498175</v>
          </cell>
          <cell r="Q35">
            <v>0</v>
          </cell>
          <cell r="R35">
            <v>2960</v>
          </cell>
          <cell r="S35">
            <v>2380</v>
          </cell>
          <cell r="T35">
            <v>63545.454545454537</v>
          </cell>
          <cell r="W35" t="str">
            <v>과세</v>
          </cell>
        </row>
        <row r="36">
          <cell r="G36">
            <v>1087631127</v>
          </cell>
          <cell r="Q36">
            <v>0</v>
          </cell>
          <cell r="R36">
            <v>2960</v>
          </cell>
          <cell r="S36">
            <v>2380</v>
          </cell>
          <cell r="T36">
            <v>49909.090909090904</v>
          </cell>
          <cell r="W36" t="str">
            <v>과세</v>
          </cell>
        </row>
        <row r="37">
          <cell r="G37">
            <v>47683621</v>
          </cell>
          <cell r="Q37">
            <v>2409.090909090909</v>
          </cell>
          <cell r="R37">
            <v>2470</v>
          </cell>
          <cell r="S37">
            <v>1870</v>
          </cell>
          <cell r="T37">
            <v>126363.63636363635</v>
          </cell>
          <cell r="W37" t="str">
            <v>과세</v>
          </cell>
        </row>
        <row r="38">
          <cell r="G38">
            <v>51782035</v>
          </cell>
          <cell r="Q38">
            <v>2409.090909090909</v>
          </cell>
          <cell r="R38">
            <v>2470</v>
          </cell>
          <cell r="S38">
            <v>1870</v>
          </cell>
          <cell r="T38">
            <v>45363.63636363636</v>
          </cell>
          <cell r="W38" t="str">
            <v>과세</v>
          </cell>
        </row>
        <row r="39">
          <cell r="G39">
            <v>20067413</v>
          </cell>
          <cell r="Q39">
            <v>2409.090909090909</v>
          </cell>
          <cell r="R39">
            <v>2960</v>
          </cell>
          <cell r="S39">
            <v>2380</v>
          </cell>
          <cell r="T39">
            <v>45363.63636363636</v>
          </cell>
          <cell r="W39" t="str">
            <v>과세</v>
          </cell>
        </row>
        <row r="40">
          <cell r="G40">
            <v>1092777230</v>
          </cell>
          <cell r="Q40">
            <v>0</v>
          </cell>
          <cell r="R40">
            <v>2960</v>
          </cell>
          <cell r="S40">
            <v>2380</v>
          </cell>
          <cell r="T40">
            <v>126363.63636363635</v>
          </cell>
          <cell r="W40" t="str">
            <v>과세</v>
          </cell>
        </row>
        <row r="41">
          <cell r="G41" t="str">
            <v>1092777230_1</v>
          </cell>
          <cell r="Q41">
            <v>0</v>
          </cell>
          <cell r="R41">
            <v>2380</v>
          </cell>
          <cell r="S41">
            <v>2380</v>
          </cell>
          <cell r="T41">
            <v>126363.63636363635</v>
          </cell>
          <cell r="W41" t="str">
            <v>과세</v>
          </cell>
        </row>
        <row r="42">
          <cell r="G42">
            <v>54267018</v>
          </cell>
          <cell r="Q42">
            <v>0</v>
          </cell>
          <cell r="R42">
            <v>50</v>
          </cell>
          <cell r="S42">
            <v>50</v>
          </cell>
          <cell r="T42">
            <v>91272.727272727265</v>
          </cell>
          <cell r="W42" t="str">
            <v>과세</v>
          </cell>
        </row>
        <row r="43">
          <cell r="G43">
            <v>54266240</v>
          </cell>
          <cell r="Q43">
            <v>0</v>
          </cell>
          <cell r="R43">
            <v>50</v>
          </cell>
          <cell r="S43">
            <v>50</v>
          </cell>
          <cell r="T43">
            <v>65481.818181818177</v>
          </cell>
          <cell r="W43" t="str">
            <v>과세</v>
          </cell>
        </row>
        <row r="44">
          <cell r="G44">
            <v>1091380853</v>
          </cell>
          <cell r="Q44">
            <v>0</v>
          </cell>
          <cell r="R44">
            <v>2470</v>
          </cell>
          <cell r="S44">
            <v>1870</v>
          </cell>
          <cell r="T44">
            <v>54454.545454545449</v>
          </cell>
          <cell r="W44" t="str">
            <v>과세</v>
          </cell>
        </row>
        <row r="45">
          <cell r="G45" t="str">
            <v>1091380853 (원가변경)</v>
          </cell>
          <cell r="Q45">
            <v>0</v>
          </cell>
          <cell r="R45">
            <v>2470</v>
          </cell>
          <cell r="S45">
            <v>1870</v>
          </cell>
          <cell r="T45">
            <v>54454.545454545449</v>
          </cell>
          <cell r="W45" t="str">
            <v>과세</v>
          </cell>
        </row>
        <row r="46">
          <cell r="G46" t="str">
            <v>마녀스프 1</v>
          </cell>
          <cell r="Q46">
            <v>2409</v>
          </cell>
          <cell r="R46">
            <v>1870</v>
          </cell>
          <cell r="S46">
            <v>1870</v>
          </cell>
          <cell r="T46">
            <v>54454.545454545449</v>
          </cell>
          <cell r="W46" t="str">
            <v>과세</v>
          </cell>
        </row>
        <row r="47">
          <cell r="G47" t="str">
            <v>마녀스프 2</v>
          </cell>
          <cell r="Q47">
            <v>2409</v>
          </cell>
          <cell r="R47">
            <v>1870</v>
          </cell>
          <cell r="S47">
            <v>1870</v>
          </cell>
          <cell r="T47">
            <v>81727.272727272721</v>
          </cell>
          <cell r="W47" t="str">
            <v>과세</v>
          </cell>
        </row>
        <row r="48">
          <cell r="G48">
            <v>1088228151</v>
          </cell>
          <cell r="Q48">
            <v>0</v>
          </cell>
          <cell r="R48">
            <v>2960</v>
          </cell>
          <cell r="S48">
            <v>2380</v>
          </cell>
          <cell r="T48">
            <v>63545.454545454537</v>
          </cell>
          <cell r="W48" t="str">
            <v>과세</v>
          </cell>
        </row>
        <row r="49">
          <cell r="G49">
            <v>2055387818</v>
          </cell>
          <cell r="Q49">
            <v>0</v>
          </cell>
          <cell r="R49">
            <v>0</v>
          </cell>
          <cell r="S49">
            <v>0</v>
          </cell>
          <cell r="T49">
            <v>59900</v>
          </cell>
          <cell r="W49" t="str">
            <v>면세</v>
          </cell>
        </row>
        <row r="50">
          <cell r="G50">
            <v>2064031687</v>
          </cell>
          <cell r="Q50">
            <v>0</v>
          </cell>
          <cell r="R50">
            <v>100</v>
          </cell>
          <cell r="S50">
            <v>100</v>
          </cell>
          <cell r="T50">
            <v>60900</v>
          </cell>
          <cell r="W50" t="str">
            <v>면세</v>
          </cell>
        </row>
        <row r="51">
          <cell r="G51">
            <v>20067289</v>
          </cell>
          <cell r="Q51">
            <v>2409.090909090909</v>
          </cell>
          <cell r="R51">
            <v>2470</v>
          </cell>
          <cell r="S51">
            <v>1870</v>
          </cell>
          <cell r="T51">
            <v>108181.81818181818</v>
          </cell>
          <cell r="W51" t="str">
            <v>과세</v>
          </cell>
        </row>
        <row r="52">
          <cell r="G52" t="str">
            <v>20067289 (원가변경)</v>
          </cell>
          <cell r="Q52"/>
          <cell r="R52">
            <v>0</v>
          </cell>
          <cell r="S52">
            <v>0</v>
          </cell>
          <cell r="T52">
            <v>108181.81818181818</v>
          </cell>
          <cell r="W52" t="str">
            <v>과세</v>
          </cell>
        </row>
        <row r="53">
          <cell r="G53">
            <v>2226241658</v>
          </cell>
          <cell r="Q53">
            <v>0</v>
          </cell>
          <cell r="R53">
            <v>2470</v>
          </cell>
          <cell r="S53">
            <v>1870</v>
          </cell>
          <cell r="T53">
            <v>108182</v>
          </cell>
          <cell r="W53" t="str">
            <v>과세</v>
          </cell>
        </row>
        <row r="54">
          <cell r="G54">
            <v>1091185250</v>
          </cell>
          <cell r="Q54">
            <v>0</v>
          </cell>
          <cell r="R54">
            <v>2960</v>
          </cell>
          <cell r="S54">
            <v>2380</v>
          </cell>
          <cell r="T54">
            <v>63545.454545454537</v>
          </cell>
          <cell r="W54" t="str">
            <v>과세</v>
          </cell>
        </row>
        <row r="55">
          <cell r="G55">
            <v>1098462791</v>
          </cell>
          <cell r="Q55">
            <v>0</v>
          </cell>
          <cell r="R55">
            <v>2180</v>
          </cell>
          <cell r="S55">
            <v>2180</v>
          </cell>
          <cell r="T55">
            <v>54454.545454545449</v>
          </cell>
          <cell r="W55" t="str">
            <v>과세</v>
          </cell>
        </row>
        <row r="56">
          <cell r="G56" t="str">
            <v>함박_1</v>
          </cell>
          <cell r="Q56">
            <v>0</v>
          </cell>
          <cell r="R56">
            <v>2380</v>
          </cell>
          <cell r="S56">
            <v>2380</v>
          </cell>
          <cell r="T56">
            <v>58999.999999999993</v>
          </cell>
          <cell r="W56" t="str">
            <v>과세</v>
          </cell>
        </row>
        <row r="57">
          <cell r="G57">
            <v>2242449541</v>
          </cell>
          <cell r="Q57">
            <v>0</v>
          </cell>
          <cell r="R57">
            <v>2470</v>
          </cell>
          <cell r="S57">
            <v>1870</v>
          </cell>
          <cell r="T57">
            <v>63545.454545454537</v>
          </cell>
          <cell r="W57" t="str">
            <v>과세</v>
          </cell>
        </row>
        <row r="58">
          <cell r="G58" t="str">
            <v>리조또2</v>
          </cell>
          <cell r="Q58">
            <v>2409.090909090909</v>
          </cell>
          <cell r="R58">
            <v>2180</v>
          </cell>
          <cell r="S58">
            <v>2180</v>
          </cell>
          <cell r="T58">
            <v>55363.63636363636</v>
          </cell>
          <cell r="W58" t="str">
            <v>과세</v>
          </cell>
        </row>
        <row r="59">
          <cell r="G59">
            <v>2066496009</v>
          </cell>
          <cell r="Q59">
            <v>0</v>
          </cell>
          <cell r="R59">
            <v>2450</v>
          </cell>
          <cell r="S59">
            <v>1870</v>
          </cell>
          <cell r="T59">
            <v>54454.545454545449</v>
          </cell>
          <cell r="W59" t="str">
            <v>과세</v>
          </cell>
        </row>
        <row r="60">
          <cell r="G60">
            <v>57421994</v>
          </cell>
          <cell r="Q60">
            <v>2409.090909090909</v>
          </cell>
          <cell r="R60">
            <v>1870</v>
          </cell>
          <cell r="S60">
            <v>1870</v>
          </cell>
          <cell r="T60">
            <v>139000</v>
          </cell>
          <cell r="W60" t="str">
            <v>면세</v>
          </cell>
        </row>
        <row r="61">
          <cell r="G61" t="str">
            <v>폭립_채번</v>
          </cell>
          <cell r="Q61">
            <v>2409.090909090909</v>
          </cell>
          <cell r="R61">
            <v>1870</v>
          </cell>
          <cell r="S61">
            <v>1870</v>
          </cell>
          <cell r="T61">
            <v>63545.454545454537</v>
          </cell>
          <cell r="W61" t="str">
            <v>과세</v>
          </cell>
        </row>
        <row r="62">
          <cell r="G62" t="str">
            <v>도가니탕_채번</v>
          </cell>
          <cell r="Q62">
            <v>3200</v>
          </cell>
          <cell r="R62">
            <v>1410</v>
          </cell>
          <cell r="S62">
            <v>1410</v>
          </cell>
          <cell r="T62">
            <v>63545.454545454537</v>
          </cell>
          <cell r="W62" t="str">
            <v>과세</v>
          </cell>
        </row>
        <row r="63">
          <cell r="G63" t="str">
            <v>함박_채번</v>
          </cell>
          <cell r="Q63">
            <v>2409.090909090909</v>
          </cell>
          <cell r="R63">
            <v>1870</v>
          </cell>
          <cell r="S63">
            <v>1870</v>
          </cell>
          <cell r="T63">
            <v>54454.545454545449</v>
          </cell>
          <cell r="W63" t="str">
            <v>과세</v>
          </cell>
        </row>
        <row r="64">
          <cell r="G64" t="str">
            <v>스프_채번</v>
          </cell>
          <cell r="Q64">
            <v>2409.090909090909</v>
          </cell>
          <cell r="R64">
            <v>1870</v>
          </cell>
          <cell r="S64">
            <v>1870</v>
          </cell>
          <cell r="T64">
            <v>54454.545454545449</v>
          </cell>
          <cell r="W64" t="str">
            <v>과세</v>
          </cell>
        </row>
        <row r="65">
          <cell r="G65" t="str">
            <v>장어_채번</v>
          </cell>
          <cell r="Q65">
            <v>2409.090909090909</v>
          </cell>
          <cell r="R65">
            <v>1870</v>
          </cell>
          <cell r="S65">
            <v>1870</v>
          </cell>
          <cell r="T65">
            <v>90818.181818181809</v>
          </cell>
          <cell r="W65" t="str">
            <v>과세</v>
          </cell>
        </row>
        <row r="66">
          <cell r="G66" t="str">
            <v>한우스테이크_채번</v>
          </cell>
          <cell r="Q66">
            <v>2409.090909090909</v>
          </cell>
          <cell r="R66">
            <v>1870</v>
          </cell>
          <cell r="S66">
            <v>1870</v>
          </cell>
          <cell r="T66">
            <v>63545.454545454537</v>
          </cell>
          <cell r="W66" t="str">
            <v>과세</v>
          </cell>
        </row>
        <row r="73">
          <cell r="G73" t="str">
            <v>여경래팔보채</v>
          </cell>
          <cell r="Q73">
            <v>2409.0909090909099</v>
          </cell>
          <cell r="R73">
            <v>2380</v>
          </cell>
          <cell r="S73">
            <v>2380</v>
          </cell>
          <cell r="T73">
            <v>54454.545454545449</v>
          </cell>
          <cell r="W73" t="str">
            <v>과세</v>
          </cell>
        </row>
        <row r="74">
          <cell r="G74">
            <v>1</v>
          </cell>
          <cell r="Q74">
            <v>2409.090909090909</v>
          </cell>
          <cell r="R74">
            <v>2470</v>
          </cell>
          <cell r="S74">
            <v>1870</v>
          </cell>
          <cell r="T74">
            <v>63545.454545454537</v>
          </cell>
          <cell r="W74" t="str">
            <v>과세</v>
          </cell>
        </row>
        <row r="75">
          <cell r="G75">
            <v>2</v>
          </cell>
          <cell r="Q75">
            <v>2409.090909090909</v>
          </cell>
          <cell r="R75">
            <v>2470</v>
          </cell>
          <cell r="S75">
            <v>1870</v>
          </cell>
          <cell r="T75">
            <v>90818.181818181809</v>
          </cell>
          <cell r="W75" t="str">
            <v>과세</v>
          </cell>
        </row>
        <row r="76">
          <cell r="G76">
            <v>3</v>
          </cell>
          <cell r="Q76">
            <v>2409.090909090909</v>
          </cell>
          <cell r="R76">
            <v>2470</v>
          </cell>
          <cell r="S76">
            <v>1870</v>
          </cell>
          <cell r="T76">
            <v>108999.99999999999</v>
          </cell>
          <cell r="W76" t="str">
            <v>과세</v>
          </cell>
        </row>
        <row r="77">
          <cell r="G77">
            <v>1</v>
          </cell>
          <cell r="Q77">
            <v>2409</v>
          </cell>
          <cell r="R77">
            <v>2470</v>
          </cell>
          <cell r="S77">
            <v>1870</v>
          </cell>
          <cell r="T77">
            <v>63545.454545454537</v>
          </cell>
          <cell r="W77" t="str">
            <v>과세</v>
          </cell>
        </row>
        <row r="78">
          <cell r="G78">
            <v>2</v>
          </cell>
          <cell r="Q78">
            <v>2409</v>
          </cell>
          <cell r="R78">
            <v>2470</v>
          </cell>
          <cell r="S78">
            <v>1870</v>
          </cell>
          <cell r="T78">
            <v>90818.181818181809</v>
          </cell>
          <cell r="W78" t="str">
            <v>과세</v>
          </cell>
        </row>
        <row r="79">
          <cell r="G79">
            <v>3</v>
          </cell>
          <cell r="Q79">
            <v>2409</v>
          </cell>
          <cell r="R79">
            <v>2470</v>
          </cell>
          <cell r="S79">
            <v>1870</v>
          </cell>
          <cell r="T79">
            <v>108999.99999999999</v>
          </cell>
          <cell r="W79" t="str">
            <v>과세</v>
          </cell>
        </row>
        <row r="80">
          <cell r="G80" t="str">
            <v>채번_1</v>
          </cell>
          <cell r="Q80">
            <v>0</v>
          </cell>
          <cell r="R80">
            <v>900</v>
          </cell>
          <cell r="S80">
            <v>900</v>
          </cell>
          <cell r="T80">
            <v>65636</v>
          </cell>
          <cell r="W80" t="str">
            <v>과세</v>
          </cell>
        </row>
        <row r="81">
          <cell r="G81" t="str">
            <v>채번_2</v>
          </cell>
          <cell r="Q81">
            <v>0</v>
          </cell>
          <cell r="R81">
            <v>900</v>
          </cell>
          <cell r="S81">
            <v>900</v>
          </cell>
          <cell r="T81">
            <v>75909</v>
          </cell>
          <cell r="W81" t="str">
            <v>과세</v>
          </cell>
        </row>
        <row r="82">
          <cell r="G82">
            <v>2060165628</v>
          </cell>
          <cell r="Q82">
            <v>0</v>
          </cell>
          <cell r="R82">
            <v>2960</v>
          </cell>
          <cell r="S82">
            <v>2380</v>
          </cell>
          <cell r="T82">
            <v>126363.63636363635</v>
          </cell>
          <cell r="W82" t="str">
            <v>과세</v>
          </cell>
        </row>
        <row r="83">
          <cell r="G83" t="str">
            <v>코다리_1</v>
          </cell>
          <cell r="Q83">
            <v>0</v>
          </cell>
          <cell r="R83">
            <v>2420</v>
          </cell>
          <cell r="S83">
            <v>1920</v>
          </cell>
          <cell r="T83">
            <v>54454.545454545449</v>
          </cell>
          <cell r="W83" t="str">
            <v>과세</v>
          </cell>
        </row>
        <row r="84">
          <cell r="G84" t="str">
            <v>해운대_4</v>
          </cell>
          <cell r="Q84">
            <v>2409</v>
          </cell>
          <cell r="R84">
            <v>2960</v>
          </cell>
          <cell r="S84">
            <v>2380</v>
          </cell>
          <cell r="T84">
            <v>71727.272727272721</v>
          </cell>
          <cell r="W84" t="str">
            <v>과세</v>
          </cell>
        </row>
        <row r="85">
          <cell r="G85" t="str">
            <v>현대_LA갈비</v>
          </cell>
          <cell r="Q85">
            <v>0</v>
          </cell>
          <cell r="R85">
            <v>2470</v>
          </cell>
          <cell r="S85">
            <v>1870</v>
          </cell>
          <cell r="T85">
            <v>108999.99999999999</v>
          </cell>
          <cell r="W85" t="str">
            <v>과세</v>
          </cell>
        </row>
        <row r="86">
          <cell r="G86" t="str">
            <v>현대_경복궁 LA갈비</v>
          </cell>
          <cell r="Q86">
            <v>0</v>
          </cell>
          <cell r="R86">
            <v>2470</v>
          </cell>
          <cell r="S86">
            <v>1870</v>
          </cell>
          <cell r="T86">
            <v>108999.99999999999</v>
          </cell>
          <cell r="W86" t="str">
            <v>과세</v>
          </cell>
        </row>
        <row r="87">
          <cell r="G87" t="str">
            <v>꽃갈비_2</v>
          </cell>
          <cell r="Q87">
            <v>2273</v>
          </cell>
          <cell r="R87">
            <v>2470</v>
          </cell>
          <cell r="S87">
            <v>1870</v>
          </cell>
          <cell r="T87">
            <v>108181.81818181818</v>
          </cell>
          <cell r="W87" t="str">
            <v>과세</v>
          </cell>
        </row>
        <row r="88">
          <cell r="G88" t="str">
            <v>위수탁_5</v>
          </cell>
          <cell r="Q88">
            <v>2409</v>
          </cell>
          <cell r="R88">
            <v>2470</v>
          </cell>
          <cell r="S88">
            <v>1870</v>
          </cell>
          <cell r="T88">
            <v>144545</v>
          </cell>
          <cell r="W88" t="str">
            <v>과세</v>
          </cell>
        </row>
        <row r="89">
          <cell r="G89" t="str">
            <v>위수탁_4</v>
          </cell>
          <cell r="Q89">
            <v>2409.090909090909</v>
          </cell>
          <cell r="R89">
            <v>2470</v>
          </cell>
          <cell r="S89">
            <v>1870</v>
          </cell>
          <cell r="T89">
            <v>126364</v>
          </cell>
          <cell r="W89" t="str">
            <v>과세</v>
          </cell>
        </row>
        <row r="90">
          <cell r="G90" t="str">
            <v>직매입_4</v>
          </cell>
          <cell r="Q90">
            <v>0</v>
          </cell>
          <cell r="R90">
            <v>50</v>
          </cell>
          <cell r="S90">
            <v>50</v>
          </cell>
          <cell r="T90">
            <v>74091</v>
          </cell>
          <cell r="W90" t="str">
            <v>과세</v>
          </cell>
        </row>
        <row r="91">
          <cell r="G91" t="str">
            <v>위수탁_8</v>
          </cell>
          <cell r="Q91">
            <v>2409.090909090909</v>
          </cell>
          <cell r="R91">
            <v>2470</v>
          </cell>
          <cell r="S91">
            <v>1870</v>
          </cell>
          <cell r="T91">
            <v>109000</v>
          </cell>
          <cell r="W91" t="str">
            <v>과세</v>
          </cell>
        </row>
        <row r="92">
          <cell r="G92" t="str">
            <v>신상품_폭립</v>
          </cell>
          <cell r="Q92">
            <v>2409</v>
          </cell>
          <cell r="R92">
            <v>1870</v>
          </cell>
          <cell r="S92">
            <v>1870</v>
          </cell>
          <cell r="T92">
            <v>59909</v>
          </cell>
          <cell r="W92" t="str">
            <v>과세</v>
          </cell>
        </row>
        <row r="93">
          <cell r="G93" t="str">
            <v>해운대_4_33%</v>
          </cell>
          <cell r="Q93">
            <v>2409</v>
          </cell>
          <cell r="R93">
            <v>2380</v>
          </cell>
          <cell r="S93">
            <v>2380</v>
          </cell>
          <cell r="T93">
            <v>72636.363636363632</v>
          </cell>
          <cell r="W93" t="str">
            <v>과세</v>
          </cell>
        </row>
        <row r="94">
          <cell r="G94" t="str">
            <v>해운대_4_33%</v>
          </cell>
          <cell r="Q94">
            <v>2409</v>
          </cell>
          <cell r="R94">
            <v>2380</v>
          </cell>
          <cell r="S94">
            <v>2380</v>
          </cell>
          <cell r="T94">
            <v>72636.363636363632</v>
          </cell>
          <cell r="W94" t="str">
            <v>과세</v>
          </cell>
        </row>
        <row r="95">
          <cell r="G95" t="str">
            <v>해운대_5_32%_3%</v>
          </cell>
          <cell r="Q95">
            <v>2409</v>
          </cell>
          <cell r="R95">
            <v>2380</v>
          </cell>
          <cell r="S95">
            <v>2380</v>
          </cell>
          <cell r="T95">
            <v>81727.272727272721</v>
          </cell>
          <cell r="W95" t="str">
            <v>과세</v>
          </cell>
        </row>
        <row r="96">
          <cell r="G96" t="str">
            <v>해운대_5_33%_3%</v>
          </cell>
          <cell r="Q96">
            <v>2409</v>
          </cell>
          <cell r="R96">
            <v>2380</v>
          </cell>
          <cell r="S96">
            <v>2380</v>
          </cell>
          <cell r="T96">
            <v>82636.363636363632</v>
          </cell>
          <cell r="W96" t="str">
            <v>과세</v>
          </cell>
        </row>
        <row r="97">
          <cell r="G97" t="str">
            <v>해운대_5_32%_4%</v>
          </cell>
          <cell r="Q97">
            <v>2409</v>
          </cell>
          <cell r="R97">
            <v>2380</v>
          </cell>
          <cell r="S97">
            <v>2380</v>
          </cell>
          <cell r="T97">
            <v>82636.363636363632</v>
          </cell>
          <cell r="W97" t="str">
            <v>과세</v>
          </cell>
        </row>
        <row r="98">
          <cell r="G98" t="str">
            <v>해운대_5_33%_4%</v>
          </cell>
          <cell r="Q98">
            <v>2409</v>
          </cell>
          <cell r="R98">
            <v>2380</v>
          </cell>
          <cell r="S98">
            <v>2380</v>
          </cell>
          <cell r="T98">
            <v>84454.545454545441</v>
          </cell>
          <cell r="W98" t="str">
            <v>과세</v>
          </cell>
        </row>
        <row r="99">
          <cell r="G99" t="str">
            <v>해운대_5_32%_기존</v>
          </cell>
          <cell r="Q99">
            <v>2409</v>
          </cell>
          <cell r="R99">
            <v>2380</v>
          </cell>
          <cell r="S99">
            <v>2380</v>
          </cell>
          <cell r="T99">
            <v>90000</v>
          </cell>
          <cell r="W99" t="str">
            <v>과세</v>
          </cell>
        </row>
        <row r="100">
          <cell r="G100" t="str">
            <v>해운대_5_33%_기존</v>
          </cell>
          <cell r="Q100">
            <v>2409</v>
          </cell>
          <cell r="R100">
            <v>2380</v>
          </cell>
          <cell r="S100">
            <v>2380</v>
          </cell>
          <cell r="T100">
            <v>90000</v>
          </cell>
          <cell r="W100" t="str">
            <v>과세</v>
          </cell>
        </row>
        <row r="101">
          <cell r="G101" t="str">
            <v>굴비_30%</v>
          </cell>
          <cell r="Q101">
            <v>2409</v>
          </cell>
          <cell r="R101">
            <v>100</v>
          </cell>
          <cell r="S101">
            <v>100</v>
          </cell>
          <cell r="T101">
            <v>56900</v>
          </cell>
          <cell r="W101" t="str">
            <v>면세</v>
          </cell>
        </row>
        <row r="102">
          <cell r="G102" t="str">
            <v>굴비_31%</v>
          </cell>
          <cell r="Q102">
            <v>2409</v>
          </cell>
          <cell r="R102">
            <v>100</v>
          </cell>
          <cell r="S102">
            <v>100</v>
          </cell>
          <cell r="T102">
            <v>105000</v>
          </cell>
          <cell r="W102" t="str">
            <v>면세</v>
          </cell>
        </row>
        <row r="103">
          <cell r="G103" t="str">
            <v>굴비_32%</v>
          </cell>
          <cell r="Q103">
            <v>2409</v>
          </cell>
          <cell r="R103">
            <v>100</v>
          </cell>
          <cell r="S103">
            <v>100</v>
          </cell>
          <cell r="T103">
            <v>145900</v>
          </cell>
          <cell r="W103" t="str">
            <v>면세</v>
          </cell>
        </row>
        <row r="104">
          <cell r="G104" t="str">
            <v>현대_박은영동파육</v>
          </cell>
          <cell r="Q104">
            <v>0</v>
          </cell>
          <cell r="R104">
            <v>1820</v>
          </cell>
          <cell r="S104">
            <v>1820</v>
          </cell>
          <cell r="T104">
            <v>54454.545454545449</v>
          </cell>
          <cell r="W104" t="str">
            <v>과세</v>
          </cell>
        </row>
        <row r="105">
          <cell r="G105" t="str">
            <v>해운대_5_32%</v>
          </cell>
          <cell r="Q105">
            <v>2409</v>
          </cell>
          <cell r="R105">
            <v>2380</v>
          </cell>
          <cell r="S105">
            <v>2380</v>
          </cell>
          <cell r="T105">
            <v>86363.636363636353</v>
          </cell>
          <cell r="W105" t="str">
            <v>과세</v>
          </cell>
        </row>
        <row r="106">
          <cell r="G106" t="str">
            <v>해운대_5_33%</v>
          </cell>
          <cell r="Q106">
            <v>2409</v>
          </cell>
          <cell r="R106">
            <v>2380</v>
          </cell>
          <cell r="S106">
            <v>2380</v>
          </cell>
          <cell r="T106">
            <v>86363.636363636353</v>
          </cell>
          <cell r="W106" t="str">
            <v>과세</v>
          </cell>
        </row>
        <row r="107">
          <cell r="G107" t="str">
            <v>1092777230_테스트</v>
          </cell>
          <cell r="Q107">
            <v>0</v>
          </cell>
          <cell r="R107">
            <v>2910</v>
          </cell>
          <cell r="S107">
            <v>2330</v>
          </cell>
          <cell r="T107">
            <v>126363.63636363635</v>
          </cell>
          <cell r="W107" t="str">
            <v>과세</v>
          </cell>
        </row>
        <row r="109">
          <cell r="G109" t="str">
            <v>해운대_5_33%_확정</v>
          </cell>
          <cell r="Q109">
            <v>2409</v>
          </cell>
          <cell r="R109">
            <v>2380</v>
          </cell>
          <cell r="S109">
            <v>2380</v>
          </cell>
          <cell r="T109">
            <v>86363.636363636353</v>
          </cell>
          <cell r="W109" t="str">
            <v>과세</v>
          </cell>
        </row>
        <row r="110">
          <cell r="G110" t="str">
            <v>해운대_4_33%_확정</v>
          </cell>
          <cell r="Q110">
            <v>2409</v>
          </cell>
          <cell r="R110">
            <v>2380</v>
          </cell>
          <cell r="S110">
            <v>2380</v>
          </cell>
          <cell r="T110">
            <v>71727.272727272721</v>
          </cell>
          <cell r="W110" t="str">
            <v>과세</v>
          </cell>
        </row>
        <row r="111">
          <cell r="G111" t="str">
            <v>현대_경복궁도가니탕</v>
          </cell>
          <cell r="Q111">
            <v>0</v>
          </cell>
          <cell r="R111">
            <v>2960</v>
          </cell>
          <cell r="S111">
            <v>2380</v>
          </cell>
          <cell r="T111">
            <v>63545.454545454537</v>
          </cell>
          <cell r="W111" t="str">
            <v>과세</v>
          </cell>
        </row>
        <row r="112">
          <cell r="G112" t="str">
            <v>공영_횡성축협1++한우스테이크 1팩더</v>
          </cell>
          <cell r="Q112">
            <v>2409.090909090909</v>
          </cell>
          <cell r="R112">
            <v>2980</v>
          </cell>
          <cell r="S112">
            <v>2380</v>
          </cell>
          <cell r="T112">
            <v>69900</v>
          </cell>
          <cell r="W112" t="str">
            <v>면세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게스트 사용자" id="{B1D67506-25D5-4C89-BDF4-39A97AF3BEEA}" userId="S::urn:spo:tenantanon#f8661e8d-9200-42e2-8073-d2b47a5dee93::" providerId="AD"/>
  <person displayName="손단비 팀원(영업전략팀/선임)" id="{3E522DEC-F8CD-4305-AC0A-3D43F494BC7C}" userId="S::T202102002@tasty9.com::1968ffde-86b7-4f7a-902a-fc248043d7cf" providerId="AD"/>
  <person displayName="서 은경" id="{74CB2F23-126B-49F7-BDAB-417AA4BEDE8A}" userId="S::stella_seo@rawgaon.com::aea01bb9-c89c-4075-9328-406b5f270c68" providerId="AD"/>
  <person displayName="정하은 팀원(홈쇼핑영업팀/선임)" id="{E6793285-B598-4539-B55A-6C146942618F}" userId="S::f202507001@fresheasy.co.kr::913afa8f-fd07-4645-b8ae-84ed5261820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550839467593" createdVersion="8" refreshedVersion="8" minRefreshableVersion="3" recordCount="698" xr:uid="{8DE03BDE-119E-4867-92DB-18B9316D6FEE}">
  <cacheSource type="worksheet">
    <worksheetSource ref="Q3:W1048576" sheet="출고요청서_raw"/>
  </cacheSource>
  <cacheFields count="6">
    <cacheField name="출고일" numFmtId="0">
      <sharedItems containsNonDate="0" containsDate="1" containsString="0" containsBlank="1" minDate="2026-01-27T00:00:00" maxDate="2026-02-13T00:00:00" count="9">
        <d v="2026-02-03T00:00:00"/>
        <d v="2026-02-05T00:00:00"/>
        <d v="2026-02-06T00:00:00"/>
        <d v="2026-02-09T00:00:00"/>
        <d v="2026-02-10T00:00:00"/>
        <d v="2026-02-11T00:00:00"/>
        <d v="2026-02-12T00:00:00"/>
        <d v="2026-01-27T00:00:00"/>
        <m/>
      </sharedItems>
    </cacheField>
    <cacheField name="매출처명" numFmtId="0">
      <sharedItems containsBlank="1"/>
    </cacheField>
    <cacheField name="판매가" numFmtId="0">
      <sharedItems containsString="0" containsBlank="1" containsNumber="1" containsInteger="1" minValue="20900" maxValue="267000"/>
    </cacheField>
    <cacheField name="총 매출액" numFmtId="0">
      <sharedItems containsString="0" containsBlank="1" containsNumber="1" containsInteger="1" minValue="17800" maxValue="182000"/>
    </cacheField>
    <cacheField name="실 매출(vat-)" numFmtId="0">
      <sharedItems containsString="0" containsBlank="1" containsNumber="1" minValue="16181.81818181818" maxValue="267000"/>
    </cacheField>
    <cacheField name="수량(1ea 단품 기준)" numFmtId="0">
      <sharedItems containsString="0" containsBlank="1" containsNumber="1" containsInteger="1" minValue="1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8">
  <r>
    <x v="0"/>
    <m/>
    <m/>
    <m/>
    <m/>
    <n v="20"/>
  </r>
  <r>
    <x v="1"/>
    <s v="스마트스토어"/>
    <n v="45800"/>
    <n v="33900"/>
    <n v="30818.181818181816"/>
    <n v="2"/>
  </r>
  <r>
    <x v="1"/>
    <s v="스마트스토어"/>
    <n v="22900"/>
    <n v="17800"/>
    <n v="16181.81818181818"/>
    <n v="1"/>
  </r>
  <r>
    <x v="1"/>
    <s v="스마트스토어"/>
    <n v="22900"/>
    <n v="17800"/>
    <n v="16181.81818181818"/>
    <n v="1"/>
  </r>
  <r>
    <x v="1"/>
    <s v="쿠팡"/>
    <n v="20900"/>
    <n v="20900"/>
    <n v="19000"/>
    <n v="1"/>
  </r>
  <r>
    <x v="1"/>
    <s v="쿠팡"/>
    <n v="20900"/>
    <n v="20900"/>
    <n v="19000"/>
    <n v="1"/>
  </r>
  <r>
    <x v="1"/>
    <s v="쿠팡"/>
    <n v="20900"/>
    <n v="62700"/>
    <n v="56999.999999999993"/>
    <n v="3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136500"/>
    <n v="124090.90909090907"/>
    <n v="12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182000"/>
    <n v="165454.54545454544"/>
    <n v="16"/>
  </r>
  <r>
    <x v="1"/>
    <s v="리씽크"/>
    <n v="45500"/>
    <n v="136500"/>
    <n v="124090.90909090907"/>
    <n v="12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182000"/>
    <n v="165454.54545454544"/>
    <n v="16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91000"/>
    <n v="82727.272727272721"/>
    <n v="8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45500"/>
    <n v="136500"/>
    <n v="124090.90909090907"/>
    <n v="12"/>
  </r>
  <r>
    <x v="1"/>
    <s v="리씽크"/>
    <n v="45500"/>
    <n v="45500"/>
    <n v="41363.63636363636"/>
    <n v="4"/>
  </r>
  <r>
    <x v="1"/>
    <s v="리씽크"/>
    <n v="45500"/>
    <n v="45500"/>
    <n v="41363.63636363636"/>
    <n v="4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126000"/>
    <n v="114545.45454545453"/>
    <n v="12"/>
  </r>
  <r>
    <x v="1"/>
    <s v="리씽크"/>
    <n v="63000"/>
    <n v="126000"/>
    <n v="114545.45454545453"/>
    <n v="12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리씽크"/>
    <n v="63000"/>
    <n v="63000"/>
    <n v="57272.727272727265"/>
    <n v="6"/>
  </r>
  <r>
    <x v="1"/>
    <s v="기타"/>
    <n v="89000"/>
    <m/>
    <n v="89000"/>
    <n v="8"/>
  </r>
  <r>
    <x v="1"/>
    <s v="기타"/>
    <n v="89000"/>
    <m/>
    <n v="89000"/>
    <n v="8"/>
  </r>
  <r>
    <x v="1"/>
    <s v="기타"/>
    <n v="89000"/>
    <m/>
    <n v="89000"/>
    <n v="8"/>
  </r>
  <r>
    <x v="1"/>
    <s v="기타"/>
    <n v="89000"/>
    <m/>
    <n v="89000"/>
    <n v="8"/>
  </r>
  <r>
    <x v="1"/>
    <s v="기타"/>
    <n v="89000"/>
    <m/>
    <n v="89000"/>
    <n v="8"/>
  </r>
  <r>
    <x v="1"/>
    <s v="기타"/>
    <n v="178000"/>
    <m/>
    <n v="178000"/>
    <n v="16"/>
  </r>
  <r>
    <x v="2"/>
    <s v="기타"/>
    <n v="89000"/>
    <m/>
    <n v="89000"/>
    <n v="8"/>
  </r>
  <r>
    <x v="2"/>
    <s v="기타"/>
    <n v="89000"/>
    <m/>
    <n v="89000"/>
    <n v="8"/>
  </r>
  <r>
    <x v="2"/>
    <s v="기타"/>
    <n v="89000"/>
    <m/>
    <n v="89000"/>
    <n v="8"/>
  </r>
  <r>
    <x v="2"/>
    <s v="기타"/>
    <n v="89000"/>
    <m/>
    <n v="89000"/>
    <n v="8"/>
  </r>
  <r>
    <x v="2"/>
    <s v="기타"/>
    <n v="89000"/>
    <m/>
    <n v="89000"/>
    <n v="8"/>
  </r>
  <r>
    <x v="2"/>
    <s v="기타"/>
    <n v="267000"/>
    <m/>
    <n v="267000"/>
    <n v="24"/>
  </r>
  <r>
    <x v="2"/>
    <s v="기타"/>
    <n v="89000"/>
    <m/>
    <n v="89000"/>
    <n v="8"/>
  </r>
  <r>
    <x v="2"/>
    <s v="쿠팡"/>
    <n v="20900"/>
    <n v="20900"/>
    <n v="19000"/>
    <n v="1"/>
  </r>
  <r>
    <x v="2"/>
    <s v="쿠팡"/>
    <n v="40000"/>
    <n v="80000"/>
    <n v="72727.272727272721"/>
    <n v="2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91000"/>
    <n v="82727.272727272721"/>
    <n v="8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136500"/>
    <n v="124090.90909090907"/>
    <n v="12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91000"/>
    <n v="82727.272727272721"/>
    <n v="8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182000"/>
    <n v="165454.54545454544"/>
    <n v="16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91000"/>
    <n v="82727.272727272721"/>
    <n v="8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136500"/>
    <n v="124090.90909090907"/>
    <n v="12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136500"/>
    <n v="124090.90909090907"/>
    <n v="12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45500"/>
    <n v="91000"/>
    <n v="82727.272727272721"/>
    <n v="8"/>
  </r>
  <r>
    <x v="2"/>
    <s v="리씽크"/>
    <n v="45500"/>
    <n v="45500"/>
    <n v="41363.63636363636"/>
    <n v="4"/>
  </r>
  <r>
    <x v="2"/>
    <s v="리씽크"/>
    <n v="45500"/>
    <n v="45500"/>
    <n v="41363.63636363636"/>
    <n v="4"/>
  </r>
  <r>
    <x v="2"/>
    <s v="리씽크"/>
    <n v="63000"/>
    <n v="63000"/>
    <n v="57272.727272727265"/>
    <n v="6"/>
  </r>
  <r>
    <x v="2"/>
    <s v="리씽크"/>
    <n v="63000"/>
    <n v="63000"/>
    <n v="57272.727272727265"/>
    <n v="6"/>
  </r>
  <r>
    <x v="2"/>
    <s v="리씽크"/>
    <n v="63000"/>
    <n v="63000"/>
    <n v="57272.727272727265"/>
    <n v="6"/>
  </r>
  <r>
    <x v="2"/>
    <s v="리씽크"/>
    <n v="63000"/>
    <n v="63000"/>
    <n v="57272.727272727265"/>
    <n v="6"/>
  </r>
  <r>
    <x v="2"/>
    <s v="리씽크"/>
    <n v="63000"/>
    <n v="63000"/>
    <n v="57272.727272727265"/>
    <n v="6"/>
  </r>
  <r>
    <x v="2"/>
    <s v="리씽크"/>
    <n v="63000"/>
    <n v="63000"/>
    <n v="57272.727272727265"/>
    <n v="6"/>
  </r>
  <r>
    <x v="2"/>
    <s v="리씽크"/>
    <n v="63000"/>
    <n v="63000"/>
    <n v="57272.727272727265"/>
    <n v="6"/>
  </r>
  <r>
    <x v="2"/>
    <s v="리씽크"/>
    <n v="63000"/>
    <n v="63000"/>
    <n v="57272.727272727265"/>
    <n v="6"/>
  </r>
  <r>
    <x v="2"/>
    <s v="리씽크"/>
    <n v="63000"/>
    <n v="63000"/>
    <n v="57272.727272727265"/>
    <n v="6"/>
  </r>
  <r>
    <x v="2"/>
    <s v="리씽크"/>
    <n v="63000"/>
    <n v="63000"/>
    <n v="57272.727272727265"/>
    <n v="6"/>
  </r>
  <r>
    <x v="2"/>
    <s v="리씽크"/>
    <n v="63000"/>
    <n v="63000"/>
    <n v="57272.727272727265"/>
    <n v="6"/>
  </r>
  <r>
    <x v="3"/>
    <s v="쿠팡"/>
    <n v="78000"/>
    <n v="78000"/>
    <n v="70909.090909090897"/>
    <n v="4"/>
  </r>
  <r>
    <x v="3"/>
    <s v="쿠팡"/>
    <n v="78000"/>
    <n v="78000"/>
    <n v="70909.090909090897"/>
    <n v="4"/>
  </r>
  <r>
    <x v="3"/>
    <s v="스마트스토어"/>
    <n v="45800"/>
    <n v="33900"/>
    <n v="30818.181818181816"/>
    <n v="2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136500"/>
    <n v="136500"/>
    <n v="124090.90909090907"/>
    <n v="12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91000"/>
    <n v="91000"/>
    <n v="82727.272727272721"/>
    <n v="8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136500"/>
    <n v="136500"/>
    <n v="124090.90909090907"/>
    <n v="12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91000"/>
    <n v="91000"/>
    <n v="82727.272727272721"/>
    <n v="8"/>
  </r>
  <r>
    <x v="3"/>
    <s v="리씽크"/>
    <n v="91000"/>
    <n v="91000"/>
    <n v="82727.272727272721"/>
    <n v="8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45500"/>
    <n v="45500"/>
    <n v="41363.63636363636"/>
    <n v="4"/>
  </r>
  <r>
    <x v="3"/>
    <s v="리씽크"/>
    <n v="63000"/>
    <n v="63000"/>
    <n v="57272.727272727265"/>
    <n v="6"/>
  </r>
  <r>
    <x v="3"/>
    <s v="리씽크"/>
    <n v="126000"/>
    <n v="126000"/>
    <n v="114545.45454545453"/>
    <n v="12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63000"/>
    <n v="63000"/>
    <n v="57272.727272727265"/>
    <n v="6"/>
  </r>
  <r>
    <x v="3"/>
    <s v="리씽크"/>
    <n v="126000"/>
    <n v="126000"/>
    <n v="114545.45454545453"/>
    <n v="12"/>
  </r>
  <r>
    <x v="3"/>
    <s v="리씽크"/>
    <n v="126000"/>
    <n v="126000"/>
    <n v="114545.45454545453"/>
    <n v="12"/>
  </r>
  <r>
    <x v="3"/>
    <s v="리씽크"/>
    <n v="63000"/>
    <n v="63000"/>
    <n v="57272.727272727265"/>
    <n v="6"/>
  </r>
  <r>
    <x v="3"/>
    <s v="쿠팡"/>
    <n v="40000"/>
    <n v="40000"/>
    <n v="36363.63636363636"/>
    <n v="2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91000"/>
    <n v="91000"/>
    <n v="82727.272727272721"/>
    <n v="8"/>
  </r>
  <r>
    <x v="4"/>
    <s v="리씽크"/>
    <n v="91000"/>
    <n v="91000"/>
    <n v="82727.272727272721"/>
    <n v="8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91000"/>
    <n v="91000"/>
    <n v="82727.272727272721"/>
    <n v="8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91000"/>
    <n v="91000"/>
    <n v="82727.272727272721"/>
    <n v="8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91000"/>
    <n v="91000"/>
    <n v="82727.272727272721"/>
    <n v="8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91000"/>
    <n v="91000"/>
    <n v="82727.272727272721"/>
    <n v="8"/>
  </r>
  <r>
    <x v="4"/>
    <s v="리씽크"/>
    <n v="91000"/>
    <n v="91000"/>
    <n v="82727.272727272721"/>
    <n v="8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45500"/>
    <n v="45500"/>
    <n v="41363.63636363636"/>
    <n v="4"/>
  </r>
  <r>
    <x v="4"/>
    <s v="리씽크"/>
    <n v="63000"/>
    <n v="63000"/>
    <n v="57272.727272727265"/>
    <n v="6"/>
  </r>
  <r>
    <x v="4"/>
    <s v="리씽크"/>
    <n v="63000"/>
    <n v="63000"/>
    <n v="57272.727272727265"/>
    <n v="6"/>
  </r>
  <r>
    <x v="4"/>
    <s v="리씽크"/>
    <n v="63000"/>
    <n v="63000"/>
    <n v="57272.727272727265"/>
    <n v="6"/>
  </r>
  <r>
    <x v="4"/>
    <s v="리씽크"/>
    <n v="63000"/>
    <n v="63000"/>
    <n v="57272.727272727265"/>
    <n v="6"/>
  </r>
  <r>
    <x v="4"/>
    <s v="리씽크"/>
    <n v="126000"/>
    <n v="126000"/>
    <n v="114545.45454545453"/>
    <n v="12"/>
  </r>
  <r>
    <x v="5"/>
    <s v="쿠팡"/>
    <n v="78000"/>
    <n v="78000"/>
    <n v="70909.090909090897"/>
    <n v="4"/>
  </r>
  <r>
    <x v="5"/>
    <s v="쿠팡"/>
    <n v="78000"/>
    <n v="78000"/>
    <n v="70909.090909090897"/>
    <n v="4"/>
  </r>
  <r>
    <x v="5"/>
    <s v="쿠팡"/>
    <n v="40000"/>
    <n v="40000"/>
    <n v="36363.63636363636"/>
    <n v="2"/>
  </r>
  <r>
    <x v="5"/>
    <m/>
    <m/>
    <m/>
    <m/>
    <n v="8"/>
  </r>
  <r>
    <x v="5"/>
    <m/>
    <m/>
    <m/>
    <m/>
    <n v="8"/>
  </r>
  <r>
    <x v="5"/>
    <m/>
    <m/>
    <m/>
    <m/>
    <n v="8"/>
  </r>
  <r>
    <x v="5"/>
    <m/>
    <m/>
    <m/>
    <m/>
    <n v="8"/>
  </r>
  <r>
    <x v="5"/>
    <m/>
    <m/>
    <m/>
    <m/>
    <n v="8"/>
  </r>
  <r>
    <x v="5"/>
    <m/>
    <m/>
    <m/>
    <m/>
    <n v="8"/>
  </r>
  <r>
    <x v="5"/>
    <m/>
    <m/>
    <m/>
    <m/>
    <n v="8"/>
  </r>
  <r>
    <x v="5"/>
    <m/>
    <m/>
    <m/>
    <m/>
    <n v="8"/>
  </r>
  <r>
    <x v="5"/>
    <s v="카카오"/>
    <n v="22900"/>
    <n v="18400"/>
    <n v="16727.272727272724"/>
    <n v="1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91000"/>
    <n v="91000"/>
    <n v="82727.272727272721"/>
    <n v="8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91000"/>
    <n v="91000"/>
    <n v="82727.272727272721"/>
    <n v="8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136500"/>
    <n v="136500"/>
    <n v="124090.90909090907"/>
    <n v="12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45500"/>
    <n v="45500"/>
    <n v="41363.63636363636"/>
    <n v="4"/>
  </r>
  <r>
    <x v="5"/>
    <s v="리씽크"/>
    <n v="91000"/>
    <n v="91000"/>
    <n v="82727.272727272721"/>
    <n v="8"/>
  </r>
  <r>
    <x v="5"/>
    <s v="리씽크"/>
    <n v="45500"/>
    <n v="45500"/>
    <n v="41363.63636363636"/>
    <n v="4"/>
  </r>
  <r>
    <x v="5"/>
    <s v="리씽크"/>
    <n v="63000"/>
    <n v="63000"/>
    <n v="57272.727272727265"/>
    <n v="6"/>
  </r>
  <r>
    <x v="5"/>
    <s v="리씽크"/>
    <n v="63000"/>
    <n v="63000"/>
    <n v="57272.727272727265"/>
    <n v="6"/>
  </r>
  <r>
    <x v="5"/>
    <s v="리씽크"/>
    <n v="63000"/>
    <n v="63000"/>
    <n v="57272.727272727265"/>
    <n v="6"/>
  </r>
  <r>
    <x v="5"/>
    <s v="리씽크"/>
    <n v="63000"/>
    <n v="63000"/>
    <n v="57272.727272727265"/>
    <n v="6"/>
  </r>
  <r>
    <x v="5"/>
    <s v="리씽크"/>
    <n v="126000"/>
    <n v="126000"/>
    <n v="114545.45454545453"/>
    <n v="12"/>
  </r>
  <r>
    <x v="5"/>
    <s v="리씽크"/>
    <n v="63000"/>
    <n v="63000"/>
    <n v="57272.727272727265"/>
    <n v="6"/>
  </r>
  <r>
    <x v="5"/>
    <s v="리씽크"/>
    <n v="63000"/>
    <n v="63000"/>
    <n v="57272.727272727265"/>
    <n v="6"/>
  </r>
  <r>
    <x v="5"/>
    <s v="기타"/>
    <n v="89000"/>
    <m/>
    <n v="89000"/>
    <n v="8"/>
  </r>
  <r>
    <x v="5"/>
    <s v="기타"/>
    <n v="89000"/>
    <m/>
    <n v="89000"/>
    <n v="8"/>
  </r>
  <r>
    <x v="5"/>
    <s v="쿠팡"/>
    <n v="78000"/>
    <n v="78000"/>
    <n v="70909.090909090897"/>
    <n v="4"/>
  </r>
  <r>
    <x v="5"/>
    <s v="카카오"/>
    <n v="45800"/>
    <n v="37800"/>
    <n v="34363.63636363636"/>
    <n v="2"/>
  </r>
  <r>
    <x v="6"/>
    <s v="쿠팡"/>
    <n v="40000"/>
    <n v="40000"/>
    <n v="36363.63636363636"/>
    <n v="2"/>
  </r>
  <r>
    <x v="6"/>
    <s v="쿠팡"/>
    <n v="80000"/>
    <n v="80000"/>
    <n v="72727.272727272721"/>
    <n v="4"/>
  </r>
  <r>
    <x v="6"/>
    <s v="쿠팡"/>
    <n v="20900"/>
    <n v="20900"/>
    <n v="19000"/>
    <n v="1"/>
  </r>
  <r>
    <x v="6"/>
    <s v="카카오"/>
    <n v="22900"/>
    <n v="18900"/>
    <n v="17181.81818181818"/>
    <n v="1"/>
  </r>
  <r>
    <x v="6"/>
    <s v="카카오"/>
    <n v="45800"/>
    <n v="37800"/>
    <n v="34363.63636363636"/>
    <n v="2"/>
  </r>
  <r>
    <x v="6"/>
    <s v="카카오"/>
    <n v="45800"/>
    <n v="39800"/>
    <n v="36181.818181818177"/>
    <n v="2"/>
  </r>
  <r>
    <x v="6"/>
    <s v="기타"/>
    <n v="89000"/>
    <m/>
    <n v="89000"/>
    <n v="8"/>
  </r>
  <r>
    <x v="6"/>
    <s v="기타"/>
    <n v="89000"/>
    <m/>
    <n v="89000"/>
    <n v="8"/>
  </r>
  <r>
    <x v="6"/>
    <s v="기타"/>
    <n v="89000"/>
    <m/>
    <n v="89000"/>
    <n v="8"/>
  </r>
  <r>
    <x v="6"/>
    <s v="기타"/>
    <n v="89000"/>
    <m/>
    <n v="89000"/>
    <n v="8"/>
  </r>
  <r>
    <x v="6"/>
    <s v="기타"/>
    <n v="89000"/>
    <m/>
    <n v="89000"/>
    <n v="8"/>
  </r>
  <r>
    <x v="6"/>
    <s v="기타"/>
    <n v="89000"/>
    <m/>
    <n v="89000"/>
    <n v="8"/>
  </r>
  <r>
    <x v="6"/>
    <s v="기타"/>
    <n v="89000"/>
    <m/>
    <n v="89000"/>
    <n v="8"/>
  </r>
  <r>
    <x v="6"/>
    <s v="기타"/>
    <n v="89000"/>
    <m/>
    <n v="89000"/>
    <n v="8"/>
  </r>
  <r>
    <x v="7"/>
    <m/>
    <m/>
    <m/>
    <m/>
    <n v="8"/>
  </r>
  <r>
    <x v="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9F925-EB65-46FD-B18F-675A2473DB80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L6:AM16" firstHeaderRow="1" firstDataRow="1" firstDataCol="1"/>
  <pivotFields count="6">
    <pivotField axis="axisRow" compact="0" outline="0" showAll="0">
      <items count="10">
        <item x="7"/>
        <item x="0"/>
        <item x="1"/>
        <item x="2"/>
        <item x="3"/>
        <item x="4"/>
        <item x="5"/>
        <item x="6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합계 : 수량(1ea 단품 기준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3" dT="2026-02-06T02:48:59.88" personId="{74CB2F23-126B-49F7-BDAB-417AA4BEDE8A}" id="{D81E8543-0AAA-4E05-9AAD-D5B11B9C8C11}">
    <text xml:space="preserve">리씽크 방송 샘플 20팩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9" dT="2026-02-19T04:08:53.33" personId="{B1D67506-25D5-4C89-BDF4-39A97AF3BEEA}" id="{86482C14-F2A7-4D7A-813C-26A5E323A25F}">
    <text>1. SK스토아 QC 샘플 (8개)
2. 리씽크 방송용 샘플 (20개)</text>
  </threadedComment>
  <threadedComment ref="H13" dT="2026-02-19T04:09:02.27" personId="{B1D67506-25D5-4C89-BDF4-39A97AF3BEEA}" id="{D2BD45BD-FC5A-4092-A040-40259A53192B}">
    <text>명절 선물</text>
  </threadedComment>
  <threadedComment ref="J13" dT="2026-02-19T04:42:30.28" personId="{B1D67506-25D5-4C89-BDF4-39A97AF3BEEA}" id="{25A33A3F-344F-4E63-8AD1-E76E0D4FCCA9}">
    <text>홈쇼핑 반품 3건 포함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3" dT="2026-02-05T00:18:43.84" personId="{74CB2F23-126B-49F7-BDAB-417AA4BEDE8A}" id="{1E5AED48-9E44-49E6-9F34-6C5644CD013A}">
    <text>배송메세지</text>
  </threadedComment>
  <threadedComment ref="N3" dT="2026-02-05T00:15:26.53" personId="{74CB2F23-126B-49F7-BDAB-417AA4BEDE8A}" id="{CFC28ACD-8E10-4109-899E-91E30CAF85BF}">
    <text>주문번호</text>
  </threadedComment>
  <threadedComment ref="O3" dT="2026-02-05T00:16:06.75" personId="{74CB2F23-126B-49F7-BDAB-417AA4BEDE8A}" id="{BCDE379E-8100-4A50-BDB5-FEE68992EDC4}">
    <text>상품번호</text>
  </threadedComment>
  <threadedComment ref="P3" dT="2026-02-06T02:14:35.93" personId="{74CB2F23-126B-49F7-BDAB-417AA4BEDE8A}" id="{0647B396-63BD-4AF3-8796-F89B9BC0DBEB}">
    <text>채널명</text>
  </threadedComment>
  <threadedComment ref="Y3" dT="2026-02-09T01:30:17.70" personId="{74CB2F23-126B-49F7-BDAB-417AA4BEDE8A}" id="{291A631E-C879-4152-A5F7-8E67D863DA35}">
    <text>채널 정산금액(vat+) = 총 매출액 - 수수료</text>
  </threadedComment>
  <threadedComment ref="AJ8" dT="2026-02-06T05:28:53.94" personId="{74CB2F23-126B-49F7-BDAB-417AA4BEDE8A}" id="{8B7219D9-FEA0-4BCC-A0CB-CC5F2B801F8C}">
    <text>판매수수료 : 10.6% (VAT별도 기준)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74" dT="2025-08-01T07:14:37.39" personId="{3E522DEC-F8CD-4305-AC0A-3D43F494BC7C}" id="{8E41B881-D6CE-4C32-82A1-BDB477D551BD}">
    <text xml:space="preserve">주식회사 프레시지-2025-13806 </text>
  </threadedComment>
  <threadedComment ref="I91" dT="2025-08-26T02:45:39.67" personId="{3E522DEC-F8CD-4305-AC0A-3D43F494BC7C}" id="{9EEF9B8A-42CC-4D0D-8E07-FDD5D3272F36}">
    <text xml:space="preserve">주식회사 프레시지-2025-15370 </text>
  </threadedComment>
  <threadedComment ref="I107" dT="2025-09-15T02:25:25.32" personId="{3E522DEC-F8CD-4305-AC0A-3D43F494BC7C}" id="{125EDE98-88E1-49B2-A0DA-581E4D43D1F0}">
    <text xml:space="preserve">주식회사 프레시지-2025-16847 </text>
  </threadedComment>
  <threadedComment ref="I108" dT="2025-09-15T02:25:25.32" personId="{3E522DEC-F8CD-4305-AC0A-3D43F494BC7C}" id="{C3265032-DF55-4DDB-B290-96035DCC7640}">
    <text xml:space="preserve">주식회사 프레시지-2025-16847 </text>
  </threadedComment>
  <threadedComment ref="AA120" dT="2025-10-15T02:02:21.69" personId="{E6793285-B598-4539-B55A-6C146942618F}" id="{E467DEE8-278D-48DD-AFB0-A1DF74B020BB}">
    <text>세로형 P&amp;L 공헌이익 값 맞추기 위해 로열티 4.77%→3.77%로 임의 수정(영업전략팀 공유완료)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DCDA69-2361-40A5-8CC9-D39F25383B32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F39E-B278-4D5A-A5E7-FD6A6AA3BF81}">
  <sheetPr>
    <tabColor theme="3" tint="0.749992370372631"/>
  </sheetPr>
  <dimension ref="A1:AC88"/>
  <sheetViews>
    <sheetView showGridLines="0" topLeftCell="F1" workbookViewId="0">
      <pane ySplit="6" topLeftCell="A34" activePane="bottomLeft" state="frozen"/>
      <selection pane="bottomLeft" activeCell="F88" sqref="F88"/>
    </sheetView>
  </sheetViews>
  <sheetFormatPr defaultColWidth="8.75" defaultRowHeight="13.15" customHeight="1" outlineLevelRow="1"/>
  <cols>
    <col min="1" max="1" width="8.75" style="1"/>
    <col min="2" max="2" width="12.125" style="1" customWidth="1"/>
    <col min="3" max="3" width="10.625" style="1" customWidth="1"/>
    <col min="4" max="5" width="10.5" style="36" bestFit="1" customWidth="1"/>
    <col min="6" max="7" width="10.5" style="1" bestFit="1" customWidth="1"/>
    <col min="8" max="8" width="8.875" style="1" customWidth="1"/>
    <col min="9" max="9" width="11.875" style="1" customWidth="1"/>
    <col min="10" max="10" width="10.125" style="1" customWidth="1"/>
    <col min="11" max="11" width="10" style="1" customWidth="1"/>
    <col min="12" max="13" width="8.875" style="1" bestFit="1" customWidth="1"/>
    <col min="14" max="15" width="9" style="1" bestFit="1" customWidth="1"/>
    <col min="16" max="16" width="9.625" style="1" bestFit="1" customWidth="1"/>
    <col min="17" max="17" width="8.875" style="1" bestFit="1" customWidth="1"/>
    <col min="18" max="28" width="8.75" style="1"/>
    <col min="29" max="29" width="8.875" style="1" customWidth="1"/>
    <col min="30" max="16384" width="8.75" style="1"/>
  </cols>
  <sheetData>
    <row r="1" spans="2:29" ht="13.15" customHeight="1">
      <c r="H1" s="2"/>
    </row>
    <row r="2" spans="2:29" s="3" customFormat="1" ht="24" customHeight="1">
      <c r="B2" s="4" t="s">
        <v>0</v>
      </c>
      <c r="C2" s="4"/>
      <c r="D2" s="52"/>
      <c r="E2" s="52"/>
      <c r="F2" s="4"/>
      <c r="G2" s="4"/>
      <c r="H2" s="4"/>
      <c r="I2" s="4"/>
      <c r="J2" s="4"/>
      <c r="K2" s="492"/>
      <c r="L2" s="492"/>
      <c r="M2" s="5"/>
      <c r="N2" s="5"/>
      <c r="O2" s="48"/>
      <c r="P2" s="5"/>
      <c r="Q2" s="5"/>
      <c r="R2" s="5"/>
      <c r="S2" s="5"/>
      <c r="T2" s="5"/>
      <c r="U2" s="493"/>
      <c r="V2" s="493"/>
      <c r="W2" s="493"/>
      <c r="X2" s="493"/>
      <c r="Y2" s="493"/>
      <c r="Z2" s="493"/>
      <c r="AA2" s="493"/>
      <c r="AB2" s="493"/>
      <c r="AC2" s="52"/>
    </row>
    <row r="3" spans="2:29" ht="15" customHeight="1" thickBot="1"/>
    <row r="4" spans="2:29" s="3" customFormat="1" ht="15" customHeight="1">
      <c r="B4" s="508" t="s">
        <v>1</v>
      </c>
      <c r="C4" s="495" t="s">
        <v>2</v>
      </c>
      <c r="D4" s="500" t="s">
        <v>3</v>
      </c>
      <c r="E4" s="498" t="s">
        <v>4</v>
      </c>
      <c r="F4" s="499"/>
      <c r="G4" s="37" t="s">
        <v>5</v>
      </c>
      <c r="H4" s="98"/>
      <c r="I4" s="45" t="s">
        <v>6</v>
      </c>
      <c r="J4" s="102"/>
      <c r="K4" s="45" t="s">
        <v>7</v>
      </c>
      <c r="L4" s="98"/>
      <c r="M4" s="45" t="s">
        <v>8</v>
      </c>
      <c r="N4" s="98"/>
      <c r="O4" s="103" t="s">
        <v>9</v>
      </c>
      <c r="P4" s="102" t="s">
        <v>10</v>
      </c>
      <c r="Q4" s="45" t="s">
        <v>11</v>
      </c>
      <c r="R4" s="98"/>
    </row>
    <row r="5" spans="2:29" s="3" customFormat="1" ht="15" customHeight="1">
      <c r="B5" s="509"/>
      <c r="C5" s="496"/>
      <c r="D5" s="501"/>
      <c r="E5" s="38" t="s">
        <v>12</v>
      </c>
      <c r="F5" s="39" t="s">
        <v>13</v>
      </c>
      <c r="G5" s="40" t="s">
        <v>12</v>
      </c>
      <c r="H5" s="99" t="s">
        <v>13</v>
      </c>
      <c r="I5" s="40" t="s">
        <v>12</v>
      </c>
      <c r="J5" s="99" t="s">
        <v>13</v>
      </c>
      <c r="K5" s="40" t="s">
        <v>12</v>
      </c>
      <c r="L5" s="99" t="s">
        <v>13</v>
      </c>
      <c r="M5" s="40" t="s">
        <v>12</v>
      </c>
      <c r="N5" s="99" t="s">
        <v>13</v>
      </c>
      <c r="O5" s="49" t="s">
        <v>12</v>
      </c>
      <c r="P5" s="106" t="s">
        <v>13</v>
      </c>
      <c r="Q5" s="40" t="s">
        <v>12</v>
      </c>
      <c r="R5" s="99" t="s">
        <v>13</v>
      </c>
    </row>
    <row r="6" spans="2:29" s="3" customFormat="1" ht="15" customHeight="1" thickBot="1">
      <c r="B6" s="510"/>
      <c r="C6" s="497"/>
      <c r="D6" s="502"/>
      <c r="E6" s="41">
        <f>SUM(E7:E34)</f>
        <v>133381090.90909092</v>
      </c>
      <c r="F6" s="42">
        <f>SUM(F7:F34)</f>
        <v>4268</v>
      </c>
      <c r="G6" s="43">
        <f>SUM(G7:G34)</f>
        <v>98870909.090909019</v>
      </c>
      <c r="H6" s="100">
        <f t="shared" ref="H6:Q6" si="0">SUM(H7:H34)</f>
        <v>918</v>
      </c>
      <c r="I6" s="43">
        <f>SUM(I7:I34)</f>
        <v>31487272.727272775</v>
      </c>
      <c r="J6" s="100">
        <f t="shared" si="0"/>
        <v>3086</v>
      </c>
      <c r="K6" s="43">
        <f t="shared" si="0"/>
        <v>94000</v>
      </c>
      <c r="L6" s="100">
        <f t="shared" si="0"/>
        <v>6</v>
      </c>
      <c r="M6" s="43">
        <f t="shared" si="0"/>
        <v>677363.63636363635</v>
      </c>
      <c r="N6" s="100">
        <f t="shared" si="0"/>
        <v>42</v>
      </c>
      <c r="O6" s="104">
        <f>SUM(O7:O34)</f>
        <v>147909.09090909088</v>
      </c>
      <c r="P6" s="107">
        <f>SUM(P7:P34)</f>
        <v>8</v>
      </c>
      <c r="Q6" s="43">
        <f t="shared" si="0"/>
        <v>2103636.3636363633</v>
      </c>
      <c r="R6" s="100">
        <f t="shared" ref="R6" si="1">SUM(R7:R34)</f>
        <v>208</v>
      </c>
    </row>
    <row r="7" spans="2:29" s="3" customFormat="1" ht="15" customHeight="1" thickTop="1">
      <c r="B7" s="503" t="s">
        <v>14</v>
      </c>
      <c r="C7" s="478" t="s">
        <v>15</v>
      </c>
      <c r="D7" s="474">
        <v>46054</v>
      </c>
      <c r="E7" s="84">
        <f t="shared" ref="E7:E34" si="2">SUM(G7,I7,K7,M7,Q7,O7)</f>
        <v>0</v>
      </c>
      <c r="F7" s="85">
        <f t="shared" ref="F7:F34" si="3">SUM(H7,J7,L7,N7,R7,P7)</f>
        <v>0</v>
      </c>
      <c r="G7" s="44">
        <f>SUMIF(SK스토아_raw!$AM:$AM,매출요약!$D7,SK스토아_raw!$AQ:$AQ)</f>
        <v>0</v>
      </c>
      <c r="H7" s="101">
        <f>SUMIF(SK스토아_raw!$AM:$AM,$D7,SK스토아_raw!$AN:$AN)</f>
        <v>0</v>
      </c>
      <c r="I7" s="44">
        <f>SUMIFS(출고요청서_raw!$V:$V,출고요청서_raw!$Q:$Q,매출요약!$D7,출고요청서_raw!$R:$R,매출요약!$I$4)</f>
        <v>0</v>
      </c>
      <c r="J7" s="101">
        <f>SUMIFS(출고요청서_raw!$W:$W,출고요청서_raw!$Q:$Q,매출요약!$D7,출고요청서_raw!$R:$R,매출요약!$I$4)</f>
        <v>0</v>
      </c>
      <c r="K7" s="44">
        <f>SUMIFS(출고요청서_raw!$V:$V,출고요청서_raw!$Q:$Q,매출요약!$D7,출고요청서_raw!$R:$R,매출요약!$K$4)</f>
        <v>0</v>
      </c>
      <c r="L7" s="101">
        <f>SUMIFS(출고요청서_raw!$W:$W,출고요청서_raw!$Q:$Q,매출요약!$D7,출고요청서_raw!$R:$R,매출요약!$K$4)</f>
        <v>0</v>
      </c>
      <c r="M7" s="44">
        <f>SUMIFS(출고요청서_raw!$V:$V,출고요청서_raw!$Q:$Q,매출요약!$D7,출고요청서_raw!$R:$R,매출요약!$M$4)</f>
        <v>0</v>
      </c>
      <c r="N7" s="101">
        <f>SUMIFS(출고요청서_raw!$W:$W,출고요청서_raw!$Q:$Q,매출요약!$D7,출고요청서_raw!$R:$R,매출요약!$M$4)</f>
        <v>0</v>
      </c>
      <c r="O7" s="105">
        <f>SUMIFS(출고요청서_raw!$V:$V,출고요청서_raw!$Q:$Q,매출요약!$D7,출고요청서_raw!$R:$R,매출요약!$O$4)</f>
        <v>0</v>
      </c>
      <c r="P7" s="108">
        <f>SUMIFS(출고요청서_raw!$W:$W,출고요청서_raw!$Q:$Q,매출요약!$D7,출고요청서_raw!$R:$R,매출요약!$O$4)</f>
        <v>0</v>
      </c>
      <c r="Q7" s="44">
        <f>SUMIFS(출고요청서_raw!$V:$V,출고요청서_raw!$Q:$Q,매출요약!$D7,출고요청서_raw!$R:$R,매출요약!$Q$4)</f>
        <v>0</v>
      </c>
      <c r="R7" s="101">
        <f>SUMIFS(출고요청서_raw!$W:$W,출고요청서_raw!$Q:$Q,매출요약!$D7,출고요청서_raw!$R:$R,매출요약!$Q$4)</f>
        <v>0</v>
      </c>
    </row>
    <row r="8" spans="2:29" s="3" customFormat="1" ht="15" customHeight="1">
      <c r="B8" s="504"/>
      <c r="C8" s="494" t="s">
        <v>16</v>
      </c>
      <c r="D8" s="475">
        <v>46055</v>
      </c>
      <c r="E8" s="84">
        <f t="shared" si="2"/>
        <v>0</v>
      </c>
      <c r="F8" s="85">
        <f t="shared" si="3"/>
        <v>0</v>
      </c>
      <c r="G8" s="44">
        <f>SUMIF(SK스토아_raw!$AM:$AM,매출요약!$D8,SK스토아_raw!$AQ:$AQ)</f>
        <v>0</v>
      </c>
      <c r="H8" s="101">
        <f>SUMIF(SK스토아_raw!$AM:$AM,$D8,SK스토아_raw!$AN:$AN)</f>
        <v>0</v>
      </c>
      <c r="I8" s="44">
        <f>SUMIFS(출고요청서_raw!$V:$V,출고요청서_raw!$Q:$Q,매출요약!$D8,출고요청서_raw!$R:$R,매출요약!$I$4)</f>
        <v>0</v>
      </c>
      <c r="J8" s="101">
        <f>SUMIFS(출고요청서_raw!$W:$W,출고요청서_raw!$Q:$Q,매출요약!$D8,출고요청서_raw!$R:$R,매출요약!$I$4)</f>
        <v>0</v>
      </c>
      <c r="K8" s="44">
        <f>SUMIFS(출고요청서_raw!$V:$V,출고요청서_raw!$Q:$Q,매출요약!$D8,출고요청서_raw!$R:$R,매출요약!$K$4)</f>
        <v>0</v>
      </c>
      <c r="L8" s="101">
        <f>SUMIFS(출고요청서_raw!$W:$W,출고요청서_raw!$Q:$Q,매출요약!$D8,출고요청서_raw!$R:$R,매출요약!$K$4)</f>
        <v>0</v>
      </c>
      <c r="M8" s="44">
        <f>SUMIFS(출고요청서_raw!$V:$V,출고요청서_raw!$Q:$Q,매출요약!$D8,출고요청서_raw!$R:$R,매출요약!$M$4)</f>
        <v>0</v>
      </c>
      <c r="N8" s="101">
        <f>SUMIFS(출고요청서_raw!$W:$W,출고요청서_raw!$Q:$Q,매출요약!$D8,출고요청서_raw!$R:$R,매출요약!$M$4)</f>
        <v>0</v>
      </c>
      <c r="O8" s="105">
        <f>SUMIFS(출고요청서_raw!$V:$V,출고요청서_raw!$Q:$Q,매출요약!$D8,출고요청서_raw!$R:$R,매출요약!$O$4)</f>
        <v>0</v>
      </c>
      <c r="P8" s="108">
        <f>SUMIFS(출고요청서_raw!$W:$W,출고요청서_raw!$Q:$Q,매출요약!$D8,출고요청서_raw!$R:$R,매출요약!$O$4)</f>
        <v>0</v>
      </c>
      <c r="Q8" s="44">
        <f>SUMIFS(출고요청서_raw!$V:$V,출고요청서_raw!$Q:$Q,매출요약!$D8,출고요청서_raw!$R:$R,매출요약!$Q$4)</f>
        <v>0</v>
      </c>
      <c r="R8" s="101">
        <f>SUMIFS(출고요청서_raw!$W:$W,출고요청서_raw!$Q:$Q,매출요약!$D8,출고요청서_raw!$R:$R,매출요약!$Q$4)</f>
        <v>0</v>
      </c>
    </row>
    <row r="9" spans="2:29" s="3" customFormat="1" ht="15" customHeight="1">
      <c r="B9" s="504"/>
      <c r="C9" s="494"/>
      <c r="D9" s="475">
        <v>46056</v>
      </c>
      <c r="E9" s="84">
        <f t="shared" si="2"/>
        <v>0</v>
      </c>
      <c r="F9" s="85">
        <f t="shared" si="3"/>
        <v>0</v>
      </c>
      <c r="G9" s="44">
        <f>SUMIF(SK스토아_raw!$AM:$AM,매출요약!$D9,SK스토아_raw!$AQ:$AQ)</f>
        <v>0</v>
      </c>
      <c r="H9" s="101">
        <f>SUMIF(SK스토아_raw!$AM:$AM,$D9,SK스토아_raw!$AN:$AN)</f>
        <v>0</v>
      </c>
      <c r="I9" s="44">
        <f>SUMIFS(출고요청서_raw!$V:$V,출고요청서_raw!$Q:$Q,매출요약!$D9,출고요청서_raw!$R:$R,매출요약!$I$4)</f>
        <v>0</v>
      </c>
      <c r="J9" s="101">
        <f>SUMIFS(출고요청서_raw!$W:$W,출고요청서_raw!$Q:$Q,매출요약!$D9,출고요청서_raw!$R:$R,매출요약!$I$4)</f>
        <v>0</v>
      </c>
      <c r="K9" s="44">
        <f>SUMIFS(출고요청서_raw!$V:$V,출고요청서_raw!$Q:$Q,매출요약!$D9,출고요청서_raw!$R:$R,매출요약!$K$4)</f>
        <v>0</v>
      </c>
      <c r="L9" s="101">
        <f>SUMIFS(출고요청서_raw!$W:$W,출고요청서_raw!$Q:$Q,매출요약!$D9,출고요청서_raw!$R:$R,매출요약!$K$4)</f>
        <v>0</v>
      </c>
      <c r="M9" s="44">
        <f>SUMIFS(출고요청서_raw!$V:$V,출고요청서_raw!$Q:$Q,매출요약!$D9,출고요청서_raw!$R:$R,매출요약!$M$4)</f>
        <v>0</v>
      </c>
      <c r="N9" s="101">
        <f>SUMIFS(출고요청서_raw!$W:$W,출고요청서_raw!$Q:$Q,매출요약!$D9,출고요청서_raw!$R:$R,매출요약!$M$4)</f>
        <v>0</v>
      </c>
      <c r="O9" s="105">
        <f>SUMIFS(출고요청서_raw!$V:$V,출고요청서_raw!$Q:$Q,매출요약!$D9,출고요청서_raw!$R:$R,매출요약!$O$4)</f>
        <v>0</v>
      </c>
      <c r="P9" s="108">
        <f>SUMIFS(출고요청서_raw!$W:$W,출고요청서_raw!$Q:$Q,매출요약!$D9,출고요청서_raw!$R:$R,매출요약!$O$4)</f>
        <v>0</v>
      </c>
      <c r="Q9" s="44">
        <f>SUMIFS(출고요청서_raw!$V:$V,출고요청서_raw!$Q:$Q,매출요약!$D9,출고요청서_raw!$R:$R,매출요약!$Q$4)</f>
        <v>0</v>
      </c>
      <c r="R9" s="101">
        <f>SUMIFS(출고요청서_raw!$W:$W,출고요청서_raw!$Q:$Q,매출요약!$D9,출고요청서_raw!$R:$R,매출요약!$Q$4)</f>
        <v>0</v>
      </c>
    </row>
    <row r="10" spans="2:29" s="3" customFormat="1" ht="15" customHeight="1">
      <c r="B10" s="504"/>
      <c r="C10" s="494"/>
      <c r="D10" s="475">
        <v>46057</v>
      </c>
      <c r="E10" s="84">
        <f t="shared" si="2"/>
        <v>0</v>
      </c>
      <c r="F10" s="85">
        <f t="shared" si="3"/>
        <v>0</v>
      </c>
      <c r="G10" s="44">
        <f>SUMIF(SK스토아_raw!$AM:$AM,매출요약!$D10,SK스토아_raw!$AQ:$AQ)</f>
        <v>0</v>
      </c>
      <c r="H10" s="101">
        <f>SUMIF(SK스토아_raw!$AM:$AM,$D10,SK스토아_raw!$AN:$AN)</f>
        <v>0</v>
      </c>
      <c r="I10" s="44">
        <f>SUMIFS(출고요청서_raw!$V:$V,출고요청서_raw!$Q:$Q,매출요약!$D10,출고요청서_raw!$R:$R,매출요약!$I$4)</f>
        <v>0</v>
      </c>
      <c r="J10" s="101">
        <f>SUMIFS(출고요청서_raw!$W:$W,출고요청서_raw!$Q:$Q,매출요약!$D10,출고요청서_raw!$R:$R,매출요약!$I$4)</f>
        <v>0</v>
      </c>
      <c r="K10" s="44">
        <f>SUMIFS(출고요청서_raw!$V:$V,출고요청서_raw!$Q:$Q,매출요약!$D10,출고요청서_raw!$R:$R,매출요약!$K$4)</f>
        <v>0</v>
      </c>
      <c r="L10" s="101">
        <f>SUMIFS(출고요청서_raw!$W:$W,출고요청서_raw!$Q:$Q,매출요약!$D10,출고요청서_raw!$R:$R,매출요약!$K$4)</f>
        <v>0</v>
      </c>
      <c r="M10" s="44">
        <f>SUMIFS(출고요청서_raw!$V:$V,출고요청서_raw!$Q:$Q,매출요약!$D10,출고요청서_raw!$R:$R,매출요약!$M$4)</f>
        <v>0</v>
      </c>
      <c r="N10" s="101">
        <f>SUMIFS(출고요청서_raw!$W:$W,출고요청서_raw!$Q:$Q,매출요약!$D10,출고요청서_raw!$R:$R,매출요약!$M$4)</f>
        <v>0</v>
      </c>
      <c r="O10" s="105">
        <f>SUMIFS(출고요청서_raw!$V:$V,출고요청서_raw!$Q:$Q,매출요약!$D10,출고요청서_raw!$R:$R,매출요약!$O$4)</f>
        <v>0</v>
      </c>
      <c r="P10" s="108">
        <f>SUMIFS(출고요청서_raw!$W:$W,출고요청서_raw!$Q:$Q,매출요약!$D10,출고요청서_raw!$R:$R,매출요약!$O$4)</f>
        <v>0</v>
      </c>
      <c r="Q10" s="44">
        <f>SUMIFS(출고요청서_raw!$V:$V,출고요청서_raw!$Q:$Q,매출요약!$D10,출고요청서_raw!$R:$R,매출요약!$Q$4)</f>
        <v>0</v>
      </c>
      <c r="R10" s="101">
        <f>SUMIFS(출고요청서_raw!$W:$W,출고요청서_raw!$Q:$Q,매출요약!$D10,출고요청서_raw!$R:$R,매출요약!$Q$4)</f>
        <v>0</v>
      </c>
    </row>
    <row r="11" spans="2:29" s="3" customFormat="1" ht="15" customHeight="1">
      <c r="B11" s="504"/>
      <c r="C11" s="494"/>
      <c r="D11" s="475">
        <v>46058</v>
      </c>
      <c r="E11" s="84">
        <f t="shared" si="2"/>
        <v>13366090.909090927</v>
      </c>
      <c r="F11" s="85">
        <f t="shared" si="3"/>
        <v>1303</v>
      </c>
      <c r="G11" s="44">
        <f>SUMIF(SK스토아_raw!$AM:$AM,매출요약!$D11,SK스토아_raw!$AQ:$AQ)</f>
        <v>0</v>
      </c>
      <c r="H11" s="101">
        <f>SUMIF(SK스토아_raw!$AM:$AM,$D11,SK스토아_raw!$AN:$AN)</f>
        <v>0</v>
      </c>
      <c r="I11" s="44">
        <f>SUMIFS(출고요청서_raw!$V:$V,출고요청서_raw!$Q:$Q,매출요약!$D11,출고요청서_raw!$R:$R,매출요약!$I$4)</f>
        <v>12644545.454545472</v>
      </c>
      <c r="J11" s="101">
        <f>SUMIFS(출고요청서_raw!$W:$W,출고요청서_raw!$Q:$Q,매출요약!$D11,출고요청서_raw!$R:$R,매출요약!$I$4)</f>
        <v>1238</v>
      </c>
      <c r="K11" s="44">
        <f>SUMIFS(출고요청서_raw!$V:$V,출고요청서_raw!$Q:$Q,매출요약!$D11,출고요청서_raw!$R:$R,매출요약!$K$4)</f>
        <v>63181.818181818177</v>
      </c>
      <c r="L11" s="101">
        <f>SUMIFS(출고요청서_raw!$W:$W,출고요청서_raw!$Q:$Q,매출요약!$D11,출고요청서_raw!$R:$R,매출요약!$K$4)</f>
        <v>4</v>
      </c>
      <c r="M11" s="44">
        <f>SUMIFS(출고요청서_raw!$V:$V,출고요청서_raw!$Q:$Q,매출요약!$D11,출고요청서_raw!$R:$R,매출요약!$M$4)</f>
        <v>92000</v>
      </c>
      <c r="N11" s="101">
        <f>SUMIFS(출고요청서_raw!$W:$W,출고요청서_raw!$Q:$Q,매출요약!$D11,출고요청서_raw!$R:$R,매출요약!$M$4)</f>
        <v>5</v>
      </c>
      <c r="O11" s="105">
        <f>SUMIFS(출고요청서_raw!$V:$V,출고요청서_raw!$Q:$Q,매출요약!$D11,출고요청서_raw!$R:$R,매출요약!$O$4)</f>
        <v>0</v>
      </c>
      <c r="P11" s="108">
        <f>SUMIFS(출고요청서_raw!$W:$W,출고요청서_raw!$Q:$Q,매출요약!$D11,출고요청서_raw!$R:$R,매출요약!$O$4)</f>
        <v>0</v>
      </c>
      <c r="Q11" s="44">
        <f>SUMIFS(출고요청서_raw!$V:$V,출고요청서_raw!$Q:$Q,매출요약!$D11,출고요청서_raw!$R:$R,매출요약!$Q$4)</f>
        <v>566363.63636363624</v>
      </c>
      <c r="R11" s="101">
        <f>SUMIFS(출고요청서_raw!$W:$W,출고요청서_raw!$Q:$Q,매출요약!$D11,출고요청서_raw!$R:$R,매출요약!$Q$4)</f>
        <v>56</v>
      </c>
    </row>
    <row r="12" spans="2:29" s="3" customFormat="1" ht="15" customHeight="1">
      <c r="B12" s="504"/>
      <c r="C12" s="494"/>
      <c r="D12" s="475">
        <v>46059</v>
      </c>
      <c r="E12" s="84">
        <f t="shared" si="2"/>
        <v>7311090.9090909157</v>
      </c>
      <c r="F12" s="85">
        <f t="shared" si="3"/>
        <v>655</v>
      </c>
      <c r="G12" s="44">
        <f>SUMIF(SK스토아_raw!$AM:$AM,매출요약!$D12,SK스토아_raw!$AQ:$AQ)</f>
        <v>649090.90909090894</v>
      </c>
      <c r="H12" s="101">
        <f>SUMIF(SK스토아_raw!$AM:$AM,$D12,SK스토아_raw!$AN:$AN)</f>
        <v>6</v>
      </c>
      <c r="I12" s="44">
        <f>SUMIFS(출고요청서_raw!$V:$V,출고요청서_raw!$Q:$Q,매출요약!$D12,출고요청서_raw!$R:$R,매출요약!$I$4)</f>
        <v>5883181.8181818249</v>
      </c>
      <c r="J12" s="101">
        <f>SUMIFS(출고요청서_raw!$W:$W,출고요청서_raw!$Q:$Q,매출요약!$D12,출고요청서_raw!$R:$R,매출요약!$I$4)</f>
        <v>574</v>
      </c>
      <c r="K12" s="44">
        <f>SUMIFS(출고요청서_raw!$V:$V,출고요청서_raw!$Q:$Q,매출요약!$D12,출고요청서_raw!$R:$R,매출요약!$K$4)</f>
        <v>0</v>
      </c>
      <c r="L12" s="101">
        <f>SUMIFS(출고요청서_raw!$W:$W,출고요청서_raw!$Q:$Q,매출요약!$D12,출고요청서_raw!$R:$R,매출요약!$K$4)</f>
        <v>0</v>
      </c>
      <c r="M12" s="44">
        <f>SUMIFS(출고요청서_raw!$V:$V,출고요청서_raw!$Q:$Q,매출요약!$D12,출고요청서_raw!$R:$R,매출요약!$M$4)</f>
        <v>50636.363636363632</v>
      </c>
      <c r="N12" s="101">
        <f>SUMIFS(출고요청서_raw!$W:$W,출고요청서_raw!$Q:$Q,매출요약!$D12,출고요청서_raw!$R:$R,매출요약!$M$4)</f>
        <v>3</v>
      </c>
      <c r="O12" s="105">
        <f>SUMIFS(출고요청서_raw!$V:$V,출고요청서_raw!$Q:$Q,매출요약!$D12,출고요청서_raw!$R:$R,매출요약!$O$4)</f>
        <v>0</v>
      </c>
      <c r="P12" s="108">
        <f>SUMIFS(출고요청서_raw!$W:$W,출고요청서_raw!$Q:$Q,매출요약!$D12,출고요청서_raw!$R:$R,매출요약!$O$4)</f>
        <v>0</v>
      </c>
      <c r="Q12" s="44">
        <f>SUMIFS(출고요청서_raw!$V:$V,출고요청서_raw!$Q:$Q,매출요약!$D12,출고요청서_raw!$R:$R,매출요약!$Q$4)</f>
        <v>728181.81818181812</v>
      </c>
      <c r="R12" s="101">
        <f>SUMIFS(출고요청서_raw!$W:$W,출고요청서_raw!$Q:$Q,매출요약!$D12,출고요청서_raw!$R:$R,매출요약!$Q$4)</f>
        <v>72</v>
      </c>
    </row>
    <row r="13" spans="2:29" s="3" customFormat="1" ht="15" customHeight="1">
      <c r="B13" s="504"/>
      <c r="C13" s="494"/>
      <c r="D13" s="476">
        <v>46060</v>
      </c>
      <c r="E13" s="84">
        <f t="shared" si="2"/>
        <v>47130000.000000022</v>
      </c>
      <c r="F13" s="85">
        <f t="shared" si="3"/>
        <v>436</v>
      </c>
      <c r="G13" s="44">
        <f>SUMIF(SK스토아_raw!$AM:$AM,매출요약!$D13,SK스토아_raw!$AQ:$AQ)</f>
        <v>47130000.000000022</v>
      </c>
      <c r="H13" s="101">
        <f>SUMIF(SK스토아_raw!$AM:$AM,$D13,SK스토아_raw!$AN:$AN)</f>
        <v>436</v>
      </c>
      <c r="I13" s="44">
        <f>SUMIFS(출고요청서_raw!$V:$V,출고요청서_raw!$Q:$Q,매출요약!$D13,출고요청서_raw!$R:$R,매출요약!$I$4)</f>
        <v>0</v>
      </c>
      <c r="J13" s="101">
        <f>SUMIFS(출고요청서_raw!$W:$W,출고요청서_raw!$Q:$Q,매출요약!$D13,출고요청서_raw!$R:$R,매출요약!$I$4)</f>
        <v>0</v>
      </c>
      <c r="K13" s="44">
        <f>SUMIFS(출고요청서_raw!$V:$V,출고요청서_raw!$Q:$Q,매출요약!$D13,출고요청서_raw!$R:$R,매출요약!$K$4)</f>
        <v>0</v>
      </c>
      <c r="L13" s="101">
        <f>SUMIFS(출고요청서_raw!$W:$W,출고요청서_raw!$Q:$Q,매출요약!$D13,출고요청서_raw!$R:$R,매출요약!$K$4)</f>
        <v>0</v>
      </c>
      <c r="M13" s="44">
        <f>SUMIFS(출고요청서_raw!$V:$V,출고요청서_raw!$Q:$Q,매출요약!$D13,출고요청서_raw!$R:$R,매출요약!$M$4)</f>
        <v>0</v>
      </c>
      <c r="N13" s="101">
        <f>SUMIFS(출고요청서_raw!$W:$W,출고요청서_raw!$Q:$Q,매출요약!$D13,출고요청서_raw!$R:$R,매출요약!$M$4)</f>
        <v>0</v>
      </c>
      <c r="O13" s="105">
        <f>SUMIFS(출고요청서_raw!$V:$V,출고요청서_raw!$Q:$Q,매출요약!$D13,출고요청서_raw!$R:$R,매출요약!$O$4)</f>
        <v>0</v>
      </c>
      <c r="P13" s="108">
        <f>SUMIFS(출고요청서_raw!$W:$W,출고요청서_raw!$Q:$Q,매출요약!$D13,출고요청서_raw!$R:$R,매출요약!$O$4)</f>
        <v>0</v>
      </c>
      <c r="Q13" s="44">
        <f>SUMIFS(출고요청서_raw!$V:$V,출고요청서_raw!$Q:$Q,매출요약!$D13,출고요청서_raw!$R:$R,매출요약!$Q$4)</f>
        <v>0</v>
      </c>
      <c r="R13" s="101">
        <f>SUMIFS(출고요청서_raw!$W:$W,출고요청서_raw!$Q:$Q,매출요약!$D13,출고요청서_raw!$R:$R,매출요약!$Q$4)</f>
        <v>0</v>
      </c>
    </row>
    <row r="14" spans="2:29" s="3" customFormat="1" ht="15" customHeight="1">
      <c r="B14" s="504"/>
      <c r="C14" s="494"/>
      <c r="D14" s="476">
        <v>46061</v>
      </c>
      <c r="E14" s="84">
        <f t="shared" si="2"/>
        <v>216363.63636363635</v>
      </c>
      <c r="F14" s="85">
        <f t="shared" si="3"/>
        <v>2</v>
      </c>
      <c r="G14" s="44">
        <f>SUMIF(SK스토아_raw!$AM:$AM,매출요약!$D14,SK스토아_raw!$AQ:$AQ)</f>
        <v>216363.63636363635</v>
      </c>
      <c r="H14" s="101">
        <f>SUMIF(SK스토아_raw!$AM:$AM,$D14,SK스토아_raw!$AN:$AN)</f>
        <v>2</v>
      </c>
      <c r="I14" s="44">
        <f>SUMIFS(출고요청서_raw!$V:$V,출고요청서_raw!$Q:$Q,매출요약!$D14,출고요청서_raw!$R:$R,매출요약!$I$4)</f>
        <v>0</v>
      </c>
      <c r="J14" s="101">
        <f>SUMIFS(출고요청서_raw!$W:$W,출고요청서_raw!$Q:$Q,매출요약!$D14,출고요청서_raw!$R:$R,매출요약!$I$4)</f>
        <v>0</v>
      </c>
      <c r="K14" s="44">
        <f>SUMIFS(출고요청서_raw!$V:$V,출고요청서_raw!$Q:$Q,매출요약!$D14,출고요청서_raw!$R:$R,매출요약!$K$4)</f>
        <v>0</v>
      </c>
      <c r="L14" s="101">
        <f>SUMIFS(출고요청서_raw!$W:$W,출고요청서_raw!$Q:$Q,매출요약!$D14,출고요청서_raw!$R:$R,매출요약!$K$4)</f>
        <v>0</v>
      </c>
      <c r="M14" s="44">
        <f>SUMIFS(출고요청서_raw!$V:$V,출고요청서_raw!$Q:$Q,매출요약!$D14,출고요청서_raw!$R:$R,매출요약!$M$4)</f>
        <v>0</v>
      </c>
      <c r="N14" s="101">
        <f>SUMIFS(출고요청서_raw!$W:$W,출고요청서_raw!$Q:$Q,매출요약!$D14,출고요청서_raw!$R:$R,매출요약!$M$4)</f>
        <v>0</v>
      </c>
      <c r="O14" s="105">
        <f>SUMIFS(출고요청서_raw!$V:$V,출고요청서_raw!$Q:$Q,매출요약!$D14,출고요청서_raw!$R:$R,매출요약!$O$4)</f>
        <v>0</v>
      </c>
      <c r="P14" s="108">
        <f>SUMIFS(출고요청서_raw!$W:$W,출고요청서_raw!$Q:$Q,매출요약!$D14,출고요청서_raw!$R:$R,매출요약!$O$4)</f>
        <v>0</v>
      </c>
      <c r="Q14" s="44">
        <f>SUMIFS(출고요청서_raw!$V:$V,출고요청서_raw!$Q:$Q,매출요약!$D14,출고요청서_raw!$R:$R,매출요약!$Q$4)</f>
        <v>0</v>
      </c>
      <c r="R14" s="101">
        <f>SUMIFS(출고요청서_raw!$W:$W,출고요청서_raw!$Q:$Q,매출요약!$D14,출고요청서_raw!$R:$R,매출요약!$Q$4)</f>
        <v>0</v>
      </c>
    </row>
    <row r="15" spans="2:29" s="3" customFormat="1" ht="15" customHeight="1">
      <c r="B15" s="504"/>
      <c r="C15" s="494" t="s">
        <v>17</v>
      </c>
      <c r="D15" s="475">
        <v>46062</v>
      </c>
      <c r="E15" s="84">
        <f t="shared" si="2"/>
        <v>9154363.6363636572</v>
      </c>
      <c r="F15" s="85">
        <f t="shared" si="3"/>
        <v>894</v>
      </c>
      <c r="G15" s="44">
        <f>SUMIF(SK스토아_raw!$AM:$AM,매출요약!$D15,SK스토아_raw!$AQ:$AQ)</f>
        <v>0</v>
      </c>
      <c r="H15" s="101">
        <f>SUMIF(SK스토아_raw!$AM:$AM,$D15,SK스토아_raw!$AN:$AN)</f>
        <v>0</v>
      </c>
      <c r="I15" s="44">
        <f>SUMIFS(출고요청서_raw!$V:$V,출고요청서_raw!$Q:$Q,매출요약!$D15,출고요청서_raw!$R:$R,매출요약!$I$4)</f>
        <v>8972727.2727272939</v>
      </c>
      <c r="J15" s="101">
        <f>SUMIFS(출고요청서_raw!$W:$W,출고요청서_raw!$Q:$Q,매출요약!$D15,출고요청서_raw!$R:$R,매출요약!$I$4)</f>
        <v>882</v>
      </c>
      <c r="K15" s="44">
        <f>SUMIFS(출고요청서_raw!$V:$V,출고요청서_raw!$Q:$Q,매출요약!$D15,출고요청서_raw!$R:$R,매출요약!$K$4)</f>
        <v>30818.181818181816</v>
      </c>
      <c r="L15" s="101">
        <f>SUMIFS(출고요청서_raw!$W:$W,출고요청서_raw!$Q:$Q,매출요약!$D15,출고요청서_raw!$R:$R,매출요약!$K$4)</f>
        <v>2</v>
      </c>
      <c r="M15" s="44">
        <f>SUMIFS(출고요청서_raw!$V:$V,출고요청서_raw!$Q:$Q,매출요약!$D15,출고요청서_raw!$R:$R,매출요약!$M$4)</f>
        <v>150818.18181818182</v>
      </c>
      <c r="N15" s="101">
        <f>SUMIFS(출고요청서_raw!$W:$W,출고요청서_raw!$Q:$Q,매출요약!$D15,출고요청서_raw!$R:$R,매출요약!$M$4)</f>
        <v>10</v>
      </c>
      <c r="O15" s="105">
        <f>SUMIFS(출고요청서_raw!$V:$V,출고요청서_raw!$Q:$Q,매출요약!$D15,출고요청서_raw!$R:$R,매출요약!$O$4)</f>
        <v>0</v>
      </c>
      <c r="P15" s="108">
        <f>SUMIFS(출고요청서_raw!$W:$W,출고요청서_raw!$Q:$Q,매출요약!$D15,출고요청서_raw!$R:$R,매출요약!$O$4)</f>
        <v>0</v>
      </c>
      <c r="Q15" s="44">
        <f>SUMIFS(출고요청서_raw!$V:$V,출고요청서_raw!$Q:$Q,매출요약!$D15,출고요청서_raw!$R:$R,매출요약!$Q$4)</f>
        <v>0</v>
      </c>
      <c r="R15" s="101">
        <f>SUMIFS(출고요청서_raw!$W:$W,출고요청서_raw!$Q:$Q,매출요약!$D15,출고요청서_raw!$R:$R,매출요약!$Q$4)</f>
        <v>0</v>
      </c>
    </row>
    <row r="16" spans="2:29" s="3" customFormat="1" ht="15" customHeight="1">
      <c r="B16" s="504"/>
      <c r="C16" s="494"/>
      <c r="D16" s="475">
        <v>46063</v>
      </c>
      <c r="E16" s="84">
        <f t="shared" si="2"/>
        <v>6286818.1818181835</v>
      </c>
      <c r="F16" s="85">
        <f t="shared" si="3"/>
        <v>264</v>
      </c>
      <c r="G16" s="44">
        <f>SUMIF(SK스토아_raw!$AM:$AM,매출요약!$D16,SK스토아_raw!$AQ:$AQ)</f>
        <v>3999090.9090909101</v>
      </c>
      <c r="H16" s="101">
        <f>SUMIF(SK스토아_raw!$AM:$AM,$D16,SK스토아_raw!$AN:$AN)</f>
        <v>40</v>
      </c>
      <c r="I16" s="44">
        <f>SUMIFS(출고요청서_raw!$V:$V,출고요청서_raw!$Q:$Q,매출요약!$D16,출고요청서_raw!$R:$R,매출요약!$I$4)</f>
        <v>2287727.2727272739</v>
      </c>
      <c r="J16" s="101">
        <f>SUMIFS(출고요청서_raw!$W:$W,출고요청서_raw!$Q:$Q,매출요약!$D16,출고요청서_raw!$R:$R,매출요약!$I$4)</f>
        <v>224</v>
      </c>
      <c r="K16" s="44">
        <f>SUMIFS(출고요청서_raw!$V:$V,출고요청서_raw!$Q:$Q,매출요약!$D16,출고요청서_raw!$R:$R,매출요약!$K$4)</f>
        <v>0</v>
      </c>
      <c r="L16" s="101">
        <f>SUMIFS(출고요청서_raw!$W:$W,출고요청서_raw!$Q:$Q,매출요약!$D16,출고요청서_raw!$R:$R,매출요약!$K$4)</f>
        <v>0</v>
      </c>
      <c r="M16" s="44">
        <f>SUMIFS(출고요청서_raw!$V:$V,출고요청서_raw!$Q:$Q,매출요약!$D16,출고요청서_raw!$R:$R,매출요약!$M$4)</f>
        <v>0</v>
      </c>
      <c r="N16" s="101">
        <f>SUMIFS(출고요청서_raw!$W:$W,출고요청서_raw!$Q:$Q,매출요약!$D16,출고요청서_raw!$R:$R,매출요약!$M$4)</f>
        <v>0</v>
      </c>
      <c r="O16" s="105">
        <f>SUMIFS(출고요청서_raw!$V:$V,출고요청서_raw!$Q:$Q,매출요약!$D16,출고요청서_raw!$R:$R,매출요약!$O$4)</f>
        <v>0</v>
      </c>
      <c r="P16" s="108">
        <f>SUMIFS(출고요청서_raw!$W:$W,출고요청서_raw!$Q:$Q,매출요약!$D16,출고요청서_raw!$R:$R,매출요약!$O$4)</f>
        <v>0</v>
      </c>
      <c r="Q16" s="44">
        <f>SUMIFS(출고요청서_raw!$V:$V,출고요청서_raw!$Q:$Q,매출요약!$D16,출고요청서_raw!$R:$R,매출요약!$Q$4)</f>
        <v>0</v>
      </c>
      <c r="R16" s="101">
        <f>SUMIFS(출고요청서_raw!$W:$W,출고요청서_raw!$Q:$Q,매출요약!$D16,출고요청서_raw!$R:$R,매출요약!$Q$4)</f>
        <v>0</v>
      </c>
    </row>
    <row r="17" spans="2:18" s="3" customFormat="1" ht="15" customHeight="1">
      <c r="B17" s="504"/>
      <c r="C17" s="494"/>
      <c r="D17" s="475">
        <v>46064</v>
      </c>
      <c r="E17" s="84">
        <f t="shared" si="2"/>
        <v>4035545.4545454541</v>
      </c>
      <c r="F17" s="85">
        <f t="shared" si="3"/>
        <v>219</v>
      </c>
      <c r="G17" s="44">
        <f>SUMIF(SK스토아_raw!$AM:$AM,매출요약!$D17,SK스토아_raw!$AQ:$AQ)</f>
        <v>1909999.9999999993</v>
      </c>
      <c r="H17" s="101">
        <f>SUMIF(SK스토아_raw!$AM:$AM,$D17,SK스토아_raw!$AN:$AN)</f>
        <v>18</v>
      </c>
      <c r="I17" s="44">
        <f>SUMIFS(출고요청서_raw!$V:$V,출고요청서_raw!$Q:$Q,매출요약!$D17,출고요청서_raw!$R:$R,매출요약!$I$4)</f>
        <v>1699090.9090909094</v>
      </c>
      <c r="J17" s="101">
        <f>SUMIFS(출고요청서_raw!$W:$W,출고요청서_raw!$Q:$Q,매출요약!$D17,출고요청서_raw!$R:$R,매출요약!$I$4)</f>
        <v>168</v>
      </c>
      <c r="K17" s="44">
        <f>SUMIFS(출고요청서_raw!$V:$V,출고요청서_raw!$Q:$Q,매출요약!$D17,출고요청서_raw!$R:$R,매출요약!$K$4)</f>
        <v>0</v>
      </c>
      <c r="L17" s="101">
        <f>SUMIFS(출고요청서_raw!$W:$W,출고요청서_raw!$Q:$Q,매출요약!$D17,출고요청서_raw!$R:$R,매출요약!$K$4)</f>
        <v>0</v>
      </c>
      <c r="M17" s="44">
        <f>SUMIFS(출고요청서_raw!$V:$V,출고요청서_raw!$Q:$Q,매출요약!$D17,출고요청서_raw!$R:$R,매출요약!$M$4)</f>
        <v>209909.09090909091</v>
      </c>
      <c r="N17" s="101">
        <f>SUMIFS(출고요청서_raw!$W:$W,출고요청서_raw!$Q:$Q,매출요약!$D17,출고요청서_raw!$R:$R,매출요약!$M$4)</f>
        <v>14</v>
      </c>
      <c r="O17" s="105">
        <f>SUMIFS(출고요청서_raw!$V:$V,출고요청서_raw!$Q:$Q,매출요약!$D17,출고요청서_raw!$R:$R,매출요약!$O$4)</f>
        <v>54727.272727272721</v>
      </c>
      <c r="P17" s="108">
        <f>SUMIFS(출고요청서_raw!$W:$W,출고요청서_raw!$Q:$Q,매출요약!$D17,출고요청서_raw!$R:$R,매출요약!$O$4)</f>
        <v>3</v>
      </c>
      <c r="Q17" s="44">
        <f>SUMIFS(출고요청서_raw!$V:$V,출고요청서_raw!$Q:$Q,매출요약!$D17,출고요청서_raw!$R:$R,매출요약!$Q$4)</f>
        <v>161818.18181818179</v>
      </c>
      <c r="R17" s="101">
        <f>SUMIFS(출고요청서_raw!$W:$W,출고요청서_raw!$Q:$Q,매출요약!$D17,출고요청서_raw!$R:$R,매출요약!$Q$4)</f>
        <v>16</v>
      </c>
    </row>
    <row r="18" spans="2:18" s="3" customFormat="1" ht="15" customHeight="1">
      <c r="B18" s="504"/>
      <c r="C18" s="494"/>
      <c r="D18" s="475">
        <v>46065</v>
      </c>
      <c r="E18" s="84">
        <f t="shared" si="2"/>
        <v>43050999.999999925</v>
      </c>
      <c r="F18" s="85">
        <f t="shared" si="3"/>
        <v>466</v>
      </c>
      <c r="G18" s="44">
        <f>SUMIF(SK스토아_raw!$AM:$AM,매출요약!$D18,SK스토아_raw!$AQ:$AQ)</f>
        <v>42190909.090909012</v>
      </c>
      <c r="H18" s="101">
        <f>SUMIF(SK스토아_raw!$AM:$AM,$D18,SK스토아_raw!$AN:$AN)</f>
        <v>390</v>
      </c>
      <c r="I18" s="44">
        <f>SUMIFS(출고요청서_raw!$V:$V,출고요청서_raw!$Q:$Q,매출요약!$D18,출고요청서_raw!$R:$R,매출요약!$I$4)</f>
        <v>0</v>
      </c>
      <c r="J18" s="101">
        <f>SUMIFS(출고요청서_raw!$W:$W,출고요청서_raw!$Q:$Q,매출요약!$D18,출고요청서_raw!$R:$R,매출요약!$I$4)</f>
        <v>0</v>
      </c>
      <c r="K18" s="44">
        <f>SUMIFS(출고요청서_raw!$V:$V,출고요청서_raw!$Q:$Q,매출요약!$D18,출고요청서_raw!$R:$R,매출요약!$K$4)</f>
        <v>0</v>
      </c>
      <c r="L18" s="101">
        <f>SUMIFS(출고요청서_raw!$W:$W,출고요청서_raw!$Q:$Q,매출요약!$D18,출고요청서_raw!$R:$R,매출요약!$K$4)</f>
        <v>0</v>
      </c>
      <c r="M18" s="44">
        <f>SUMIFS(출고요청서_raw!$V:$V,출고요청서_raw!$Q:$Q,매출요약!$D18,출고요청서_raw!$R:$R,매출요약!$M$4)</f>
        <v>119636.36363636363</v>
      </c>
      <c r="N18" s="101">
        <f>SUMIFS(출고요청서_raw!$W:$W,출고요청서_raw!$Q:$Q,매출요약!$D18,출고요청서_raw!$R:$R,매출요약!$M$4)</f>
        <v>7</v>
      </c>
      <c r="O18" s="105">
        <f>SUMIFS(출고요청서_raw!$V:$V,출고요청서_raw!$Q:$Q,매출요약!$D18,출고요청서_raw!$R:$R,매출요약!$O$4)</f>
        <v>93181.818181818177</v>
      </c>
      <c r="P18" s="108">
        <f>SUMIFS(출고요청서_raw!$W:$W,출고요청서_raw!$Q:$Q,매출요약!$D18,출고요청서_raw!$R:$R,매출요약!$O$4)</f>
        <v>5</v>
      </c>
      <c r="Q18" s="44">
        <f>SUMIFS(출고요청서_raw!$V:$V,출고요청서_raw!$Q:$Q,매출요약!$D18,출고요청서_raw!$R:$R,매출요약!$Q$4)</f>
        <v>647272.72727272718</v>
      </c>
      <c r="R18" s="101">
        <f>SUMIFS(출고요청서_raw!$W:$W,출고요청서_raw!$Q:$Q,매출요약!$D18,출고요청서_raw!$R:$R,매출요약!$Q$4)</f>
        <v>64</v>
      </c>
    </row>
    <row r="19" spans="2:18" s="3" customFormat="1" ht="15" customHeight="1">
      <c r="B19" s="504"/>
      <c r="C19" s="494"/>
      <c r="D19" s="475">
        <v>46066</v>
      </c>
      <c r="E19" s="84">
        <f t="shared" si="2"/>
        <v>2667272.7272727271</v>
      </c>
      <c r="F19" s="85">
        <f t="shared" si="3"/>
        <v>25</v>
      </c>
      <c r="G19" s="44">
        <f>SUMIF(SK스토아_raw!$AM:$AM,매출요약!$D19,SK스토아_raw!$AQ:$AQ)</f>
        <v>2667272.7272727271</v>
      </c>
      <c r="H19" s="101">
        <f>SUMIF(SK스토아_raw!$AM:$AM,$D19,SK스토아_raw!$AN:$AN)</f>
        <v>25</v>
      </c>
      <c r="I19" s="44">
        <f>SUMIFS(출고요청서_raw!$V:$V,출고요청서_raw!$Q:$Q,매출요약!$D19,출고요청서_raw!$R:$R,매출요약!$I$4)</f>
        <v>0</v>
      </c>
      <c r="J19" s="101">
        <f>SUMIFS(출고요청서_raw!$W:$W,출고요청서_raw!$Q:$Q,매출요약!$D19,출고요청서_raw!$R:$R,매출요약!$I$4)</f>
        <v>0</v>
      </c>
      <c r="K19" s="44">
        <f>SUMIFS(출고요청서_raw!$V:$V,출고요청서_raw!$Q:$Q,매출요약!$D19,출고요청서_raw!$R:$R,매출요약!$K$4)</f>
        <v>0</v>
      </c>
      <c r="L19" s="101">
        <f>SUMIFS(출고요청서_raw!$W:$W,출고요청서_raw!$Q:$Q,매출요약!$D19,출고요청서_raw!$R:$R,매출요약!$K$4)</f>
        <v>0</v>
      </c>
      <c r="M19" s="44">
        <f>SUMIFS(출고요청서_raw!$V:$V,출고요청서_raw!$Q:$Q,매출요약!$D19,출고요청서_raw!$R:$R,매출요약!$M$4)</f>
        <v>0</v>
      </c>
      <c r="N19" s="101">
        <f>SUMIFS(출고요청서_raw!$W:$W,출고요청서_raw!$Q:$Q,매출요약!$D19,출고요청서_raw!$R:$R,매출요약!$M$4)</f>
        <v>0</v>
      </c>
      <c r="O19" s="105">
        <f>SUMIFS(출고요청서_raw!$V:$V,출고요청서_raw!$Q:$Q,매출요약!$D19,출고요청서_raw!$R:$R,매출요약!$O$4)</f>
        <v>0</v>
      </c>
      <c r="P19" s="108">
        <f>SUMIFS(출고요청서_raw!$W:$W,출고요청서_raw!$Q:$Q,매출요약!$D19,출고요청서_raw!$R:$R,매출요약!$O$4)</f>
        <v>0</v>
      </c>
      <c r="Q19" s="44">
        <f>SUMIFS(출고요청서_raw!$V:$V,출고요청서_raw!$Q:$Q,매출요약!$D19,출고요청서_raw!$R:$R,매출요약!$Q$4)</f>
        <v>0</v>
      </c>
      <c r="R19" s="101">
        <f>SUMIFS(출고요청서_raw!$W:$W,출고요청서_raw!$Q:$Q,매출요약!$D19,출고요청서_raw!$R:$R,매출요약!$Q$4)</f>
        <v>0</v>
      </c>
    </row>
    <row r="20" spans="2:18" s="3" customFormat="1" ht="15" customHeight="1">
      <c r="B20" s="504"/>
      <c r="C20" s="494"/>
      <c r="D20" s="476">
        <v>46067</v>
      </c>
      <c r="E20" s="84">
        <f t="shared" si="2"/>
        <v>108181.81818181818</v>
      </c>
      <c r="F20" s="85">
        <f t="shared" si="3"/>
        <v>1</v>
      </c>
      <c r="G20" s="44">
        <f>SUMIF(SK스토아_raw!$AM:$AM,매출요약!$D20,SK스토아_raw!$AQ:$AQ)</f>
        <v>108181.81818181818</v>
      </c>
      <c r="H20" s="101">
        <f>SUMIF(SK스토아_raw!$AM:$AM,$D20,SK스토아_raw!$AN:$AN)</f>
        <v>1</v>
      </c>
      <c r="I20" s="44">
        <f>SUMIFS(출고요청서_raw!$V:$V,출고요청서_raw!$Q:$Q,매출요약!$D20,출고요청서_raw!$R:$R,매출요약!$I$4)</f>
        <v>0</v>
      </c>
      <c r="J20" s="101">
        <f>SUMIFS(출고요청서_raw!$W:$W,출고요청서_raw!$Q:$Q,매출요약!$D20,출고요청서_raw!$R:$R,매출요약!$I$4)</f>
        <v>0</v>
      </c>
      <c r="K20" s="44">
        <f>SUMIFS(출고요청서_raw!$V:$V,출고요청서_raw!$Q:$Q,매출요약!$D20,출고요청서_raw!$R:$R,매출요약!$K$4)</f>
        <v>0</v>
      </c>
      <c r="L20" s="101">
        <f>SUMIFS(출고요청서_raw!$W:$W,출고요청서_raw!$Q:$Q,매출요약!$D20,출고요청서_raw!$R:$R,매출요약!$K$4)</f>
        <v>0</v>
      </c>
      <c r="M20" s="44">
        <f>SUMIFS(출고요청서_raw!$V:$V,출고요청서_raw!$Q:$Q,매출요약!$D20,출고요청서_raw!$R:$R,매출요약!$M$4)</f>
        <v>0</v>
      </c>
      <c r="N20" s="101">
        <f>SUMIFS(출고요청서_raw!$W:$W,출고요청서_raw!$Q:$Q,매출요약!$D20,출고요청서_raw!$R:$R,매출요약!$M$4)</f>
        <v>0</v>
      </c>
      <c r="O20" s="105">
        <f>SUMIFS(출고요청서_raw!$V:$V,출고요청서_raw!$Q:$Q,매출요약!$D20,출고요청서_raw!$R:$R,매출요약!$O$4)</f>
        <v>0</v>
      </c>
      <c r="P20" s="108">
        <f>SUMIFS(출고요청서_raw!$W:$W,출고요청서_raw!$Q:$Q,매출요약!$D20,출고요청서_raw!$R:$R,매출요약!$O$4)</f>
        <v>0</v>
      </c>
      <c r="Q20" s="44">
        <f>SUMIFS(출고요청서_raw!$V:$V,출고요청서_raw!$Q:$Q,매출요약!$D20,출고요청서_raw!$R:$R,매출요약!$Q$4)</f>
        <v>0</v>
      </c>
      <c r="R20" s="101">
        <f>SUMIFS(출고요청서_raw!$W:$W,출고요청서_raw!$Q:$Q,매출요약!$D20,출고요청서_raw!$R:$R,매출요약!$Q$4)</f>
        <v>0</v>
      </c>
    </row>
    <row r="21" spans="2:18" s="3" customFormat="1" ht="15" customHeight="1">
      <c r="B21" s="504"/>
      <c r="C21" s="494"/>
      <c r="D21" s="476">
        <v>46068</v>
      </c>
      <c r="E21" s="84">
        <f t="shared" si="2"/>
        <v>0</v>
      </c>
      <c r="F21" s="85">
        <f t="shared" si="3"/>
        <v>0</v>
      </c>
      <c r="G21" s="44">
        <f>SUMIF(SK스토아_raw!$AM:$AM,매출요약!$D21,SK스토아_raw!$AQ:$AQ)</f>
        <v>0</v>
      </c>
      <c r="H21" s="101">
        <f>SUMIF(SK스토아_raw!$AM:$AM,$D21,SK스토아_raw!$AN:$AN)</f>
        <v>0</v>
      </c>
      <c r="I21" s="44">
        <f>SUMIFS(출고요청서_raw!$V:$V,출고요청서_raw!$Q:$Q,매출요약!$D21,출고요청서_raw!$R:$R,매출요약!$I$4)</f>
        <v>0</v>
      </c>
      <c r="J21" s="101">
        <f>SUMIFS(출고요청서_raw!$W:$W,출고요청서_raw!$Q:$Q,매출요약!$D21,출고요청서_raw!$R:$R,매출요약!$I$4)</f>
        <v>0</v>
      </c>
      <c r="K21" s="44">
        <f>SUMIFS(출고요청서_raw!$V:$V,출고요청서_raw!$Q:$Q,매출요약!$D21,출고요청서_raw!$R:$R,매출요약!$K$4)</f>
        <v>0</v>
      </c>
      <c r="L21" s="101">
        <f>SUMIFS(출고요청서_raw!$W:$W,출고요청서_raw!$Q:$Q,매출요약!$D21,출고요청서_raw!$R:$R,매출요약!$K$4)</f>
        <v>0</v>
      </c>
      <c r="M21" s="44">
        <f>SUMIFS(출고요청서_raw!$V:$V,출고요청서_raw!$Q:$Q,매출요약!$D21,출고요청서_raw!$R:$R,매출요약!$M$4)</f>
        <v>0</v>
      </c>
      <c r="N21" s="101">
        <f>SUMIFS(출고요청서_raw!$W:$W,출고요청서_raw!$Q:$Q,매출요약!$D21,출고요청서_raw!$R:$R,매출요약!$M$4)</f>
        <v>0</v>
      </c>
      <c r="O21" s="105">
        <f>SUMIFS(출고요청서_raw!$V:$V,출고요청서_raw!$Q:$Q,매출요약!$D21,출고요청서_raw!$R:$R,매출요약!$O$4)</f>
        <v>0</v>
      </c>
      <c r="P21" s="108">
        <f>SUMIFS(출고요청서_raw!$W:$W,출고요청서_raw!$Q:$Q,매출요약!$D21,출고요청서_raw!$R:$R,매출요약!$O$4)</f>
        <v>0</v>
      </c>
      <c r="Q21" s="44">
        <f>SUMIFS(출고요청서_raw!$V:$V,출고요청서_raw!$Q:$Q,매출요약!$D21,출고요청서_raw!$R:$R,매출요약!$Q$4)</f>
        <v>0</v>
      </c>
      <c r="R21" s="101">
        <f>SUMIFS(출고요청서_raw!$W:$W,출고요청서_raw!$Q:$Q,매출요약!$D21,출고요청서_raw!$R:$R,매출요약!$Q$4)</f>
        <v>0</v>
      </c>
    </row>
    <row r="22" spans="2:18" s="3" customFormat="1" ht="15" customHeight="1">
      <c r="B22" s="504"/>
      <c r="C22" s="494" t="s">
        <v>18</v>
      </c>
      <c r="D22" s="476">
        <v>46069</v>
      </c>
      <c r="E22" s="84">
        <f t="shared" si="2"/>
        <v>0</v>
      </c>
      <c r="F22" s="85">
        <f t="shared" si="3"/>
        <v>0</v>
      </c>
      <c r="G22" s="44">
        <f>SUMIF(SK스토아_raw!$AM:$AM,매출요약!$D22,SK스토아_raw!$AQ:$AQ)</f>
        <v>0</v>
      </c>
      <c r="H22" s="101">
        <f>SUMIF(SK스토아_raw!$AM:$AM,$D22,SK스토아_raw!$AN:$AN)</f>
        <v>0</v>
      </c>
      <c r="I22" s="44">
        <f>SUMIFS(출고요청서_raw!$V:$V,출고요청서_raw!$Q:$Q,매출요약!$D22,출고요청서_raw!$R:$R,매출요약!$I$4)</f>
        <v>0</v>
      </c>
      <c r="J22" s="101">
        <f>SUMIFS(출고요청서_raw!$W:$W,출고요청서_raw!$Q:$Q,매출요약!$D22,출고요청서_raw!$R:$R,매출요약!$I$4)</f>
        <v>0</v>
      </c>
      <c r="K22" s="44">
        <f>SUMIFS(출고요청서_raw!$V:$V,출고요청서_raw!$Q:$Q,매출요약!$D22,출고요청서_raw!$R:$R,매출요약!$K$4)</f>
        <v>0</v>
      </c>
      <c r="L22" s="101">
        <f>SUMIFS(출고요청서_raw!$W:$W,출고요청서_raw!$Q:$Q,매출요약!$D22,출고요청서_raw!$R:$R,매출요약!$K$4)</f>
        <v>0</v>
      </c>
      <c r="M22" s="44">
        <f>SUMIFS(출고요청서_raw!$V:$V,출고요청서_raw!$Q:$Q,매출요약!$D22,출고요청서_raw!$R:$R,매출요약!$M$4)</f>
        <v>0</v>
      </c>
      <c r="N22" s="101">
        <f>SUMIFS(출고요청서_raw!$W:$W,출고요청서_raw!$Q:$Q,매출요약!$D22,출고요청서_raw!$R:$R,매출요약!$M$4)</f>
        <v>0</v>
      </c>
      <c r="O22" s="105">
        <f>SUMIFS(출고요청서_raw!$V:$V,출고요청서_raw!$Q:$Q,매출요약!$D22,출고요청서_raw!$R:$R,매출요약!$O$4)</f>
        <v>0</v>
      </c>
      <c r="P22" s="108">
        <f>SUMIFS(출고요청서_raw!$W:$W,출고요청서_raw!$Q:$Q,매출요약!$D22,출고요청서_raw!$R:$R,매출요약!$O$4)</f>
        <v>0</v>
      </c>
      <c r="Q22" s="44">
        <f>SUMIFS(출고요청서_raw!$V:$V,출고요청서_raw!$Q:$Q,매출요약!$D22,출고요청서_raw!$R:$R,매출요약!$Q$4)</f>
        <v>0</v>
      </c>
      <c r="R22" s="101">
        <f>SUMIFS(출고요청서_raw!$W:$W,출고요청서_raw!$Q:$Q,매출요약!$D22,출고요청서_raw!$R:$R,매출요약!$Q$4)</f>
        <v>0</v>
      </c>
    </row>
    <row r="23" spans="2:18" s="3" customFormat="1" ht="15" customHeight="1">
      <c r="B23" s="504"/>
      <c r="C23" s="494"/>
      <c r="D23" s="476">
        <v>46070</v>
      </c>
      <c r="E23" s="84">
        <f t="shared" si="2"/>
        <v>0</v>
      </c>
      <c r="F23" s="85">
        <f t="shared" si="3"/>
        <v>0</v>
      </c>
      <c r="G23" s="44">
        <f>SUMIF(SK스토아_raw!$AM:$AM,매출요약!$D23,SK스토아_raw!$AQ:$AQ)</f>
        <v>0</v>
      </c>
      <c r="H23" s="101">
        <f>SUMIF(SK스토아_raw!$AM:$AM,$D23,SK스토아_raw!$AN:$AN)</f>
        <v>0</v>
      </c>
      <c r="I23" s="44">
        <f>SUMIFS(출고요청서_raw!$V:$V,출고요청서_raw!$Q:$Q,매출요약!$D23,출고요청서_raw!$R:$R,매출요약!$I$4)</f>
        <v>0</v>
      </c>
      <c r="J23" s="101">
        <f>SUMIFS(출고요청서_raw!$W:$W,출고요청서_raw!$Q:$Q,매출요약!$D23,출고요청서_raw!$R:$R,매출요약!$I$4)</f>
        <v>0</v>
      </c>
      <c r="K23" s="44">
        <f>SUMIFS(출고요청서_raw!$V:$V,출고요청서_raw!$Q:$Q,매출요약!$D23,출고요청서_raw!$R:$R,매출요약!$K$4)</f>
        <v>0</v>
      </c>
      <c r="L23" s="101">
        <f>SUMIFS(출고요청서_raw!$W:$W,출고요청서_raw!$Q:$Q,매출요약!$D23,출고요청서_raw!$R:$R,매출요약!$K$4)</f>
        <v>0</v>
      </c>
      <c r="M23" s="44">
        <f>SUMIFS(출고요청서_raw!$V:$V,출고요청서_raw!$Q:$Q,매출요약!$D23,출고요청서_raw!$R:$R,매출요약!$M$4)</f>
        <v>0</v>
      </c>
      <c r="N23" s="101">
        <f>SUMIFS(출고요청서_raw!$W:$W,출고요청서_raw!$Q:$Q,매출요약!$D23,출고요청서_raw!$R:$R,매출요약!$M$4)</f>
        <v>0</v>
      </c>
      <c r="O23" s="105">
        <f>SUMIFS(출고요청서_raw!$V:$V,출고요청서_raw!$Q:$Q,매출요약!$D23,출고요청서_raw!$R:$R,매출요약!$O$4)</f>
        <v>0</v>
      </c>
      <c r="P23" s="108">
        <f>SUMIFS(출고요청서_raw!$W:$W,출고요청서_raw!$Q:$Q,매출요약!$D23,출고요청서_raw!$R:$R,매출요약!$O$4)</f>
        <v>0</v>
      </c>
      <c r="Q23" s="44">
        <f>SUMIFS(출고요청서_raw!$V:$V,출고요청서_raw!$Q:$Q,매출요약!$D23,출고요청서_raw!$R:$R,매출요약!$Q$4)</f>
        <v>0</v>
      </c>
      <c r="R23" s="101">
        <f>SUMIFS(출고요청서_raw!$W:$W,출고요청서_raw!$Q:$Q,매출요약!$D23,출고요청서_raw!$R:$R,매출요약!$Q$4)</f>
        <v>0</v>
      </c>
    </row>
    <row r="24" spans="2:18" s="3" customFormat="1" ht="15" customHeight="1">
      <c r="B24" s="504"/>
      <c r="C24" s="494"/>
      <c r="D24" s="476">
        <v>46071</v>
      </c>
      <c r="E24" s="84">
        <f t="shared" si="2"/>
        <v>0</v>
      </c>
      <c r="F24" s="85">
        <f t="shared" si="3"/>
        <v>0</v>
      </c>
      <c r="G24" s="44">
        <f>SUMIF(SK스토아_raw!$AM:$AM,매출요약!$D24,SK스토아_raw!$AQ:$AQ)</f>
        <v>0</v>
      </c>
      <c r="H24" s="101">
        <f>SUMIF(SK스토아_raw!$AM:$AM,$D24,SK스토아_raw!$AN:$AN)</f>
        <v>0</v>
      </c>
      <c r="I24" s="44">
        <f>SUMIFS(출고요청서_raw!$V:$V,출고요청서_raw!$Q:$Q,매출요약!$D24,출고요청서_raw!$R:$R,매출요약!$I$4)</f>
        <v>0</v>
      </c>
      <c r="J24" s="101">
        <f>SUMIFS(출고요청서_raw!$W:$W,출고요청서_raw!$Q:$Q,매출요약!$D24,출고요청서_raw!$R:$R,매출요약!$I$4)</f>
        <v>0</v>
      </c>
      <c r="K24" s="44">
        <f>SUMIFS(출고요청서_raw!$V:$V,출고요청서_raw!$Q:$Q,매출요약!$D24,출고요청서_raw!$R:$R,매출요약!$K$4)</f>
        <v>0</v>
      </c>
      <c r="L24" s="101">
        <f>SUMIFS(출고요청서_raw!$W:$W,출고요청서_raw!$Q:$Q,매출요약!$D24,출고요청서_raw!$R:$R,매출요약!$K$4)</f>
        <v>0</v>
      </c>
      <c r="M24" s="44">
        <f>SUMIFS(출고요청서_raw!$V:$V,출고요청서_raw!$Q:$Q,매출요약!$D24,출고요청서_raw!$R:$R,매출요약!$M$4)</f>
        <v>0</v>
      </c>
      <c r="N24" s="101">
        <f>SUMIFS(출고요청서_raw!$W:$W,출고요청서_raw!$Q:$Q,매출요약!$D24,출고요청서_raw!$R:$R,매출요약!$M$4)</f>
        <v>0</v>
      </c>
      <c r="O24" s="105">
        <f>SUMIFS(출고요청서_raw!$V:$V,출고요청서_raw!$Q:$Q,매출요약!$D24,출고요청서_raw!$R:$R,매출요약!$O$4)</f>
        <v>0</v>
      </c>
      <c r="P24" s="108">
        <f>SUMIFS(출고요청서_raw!$W:$W,출고요청서_raw!$Q:$Q,매출요약!$D24,출고요청서_raw!$R:$R,매출요약!$O$4)</f>
        <v>0</v>
      </c>
      <c r="Q24" s="44">
        <f>SUMIFS(출고요청서_raw!$V:$V,출고요청서_raw!$Q:$Q,매출요약!$D24,출고요청서_raw!$R:$R,매출요약!$Q$4)</f>
        <v>0</v>
      </c>
      <c r="R24" s="101">
        <f>SUMIFS(출고요청서_raw!$W:$W,출고요청서_raw!$Q:$Q,매출요약!$D24,출고요청서_raw!$R:$R,매출요약!$Q$4)</f>
        <v>0</v>
      </c>
    </row>
    <row r="25" spans="2:18" s="3" customFormat="1" ht="15" customHeight="1">
      <c r="B25" s="504"/>
      <c r="C25" s="494"/>
      <c r="D25" s="475">
        <v>46072</v>
      </c>
      <c r="E25" s="84">
        <f t="shared" si="2"/>
        <v>0</v>
      </c>
      <c r="F25" s="85">
        <f t="shared" si="3"/>
        <v>0</v>
      </c>
      <c r="G25" s="44">
        <f>SUMIF(SK스토아_raw!$AM:$AM,매출요약!$D25,SK스토아_raw!$AQ:$AQ)</f>
        <v>0</v>
      </c>
      <c r="H25" s="101">
        <f>SUMIF(SK스토아_raw!$AM:$AM,$D25,SK스토아_raw!$AN:$AN)</f>
        <v>0</v>
      </c>
      <c r="I25" s="44">
        <f>SUMIFS(출고요청서_raw!$V:$V,출고요청서_raw!$Q:$Q,매출요약!$D25,출고요청서_raw!$R:$R,매출요약!$I$4)</f>
        <v>0</v>
      </c>
      <c r="J25" s="101">
        <f>SUMIFS(출고요청서_raw!$W:$W,출고요청서_raw!$Q:$Q,매출요약!$D25,출고요청서_raw!$R:$R,매출요약!$I$4)</f>
        <v>0</v>
      </c>
      <c r="K25" s="44">
        <f>SUMIFS(출고요청서_raw!$V:$V,출고요청서_raw!$Q:$Q,매출요약!$D25,출고요청서_raw!$R:$R,매출요약!$K$4)</f>
        <v>0</v>
      </c>
      <c r="L25" s="101">
        <f>SUMIFS(출고요청서_raw!$W:$W,출고요청서_raw!$Q:$Q,매출요약!$D25,출고요청서_raw!$R:$R,매출요약!$K$4)</f>
        <v>0</v>
      </c>
      <c r="M25" s="44">
        <f>SUMIFS(출고요청서_raw!$V:$V,출고요청서_raw!$Q:$Q,매출요약!$D25,출고요청서_raw!$R:$R,매출요약!$M$4)</f>
        <v>0</v>
      </c>
      <c r="N25" s="101">
        <f>SUMIFS(출고요청서_raw!$W:$W,출고요청서_raw!$Q:$Q,매출요약!$D25,출고요청서_raw!$R:$R,매출요약!$M$4)</f>
        <v>0</v>
      </c>
      <c r="O25" s="105">
        <f>SUMIFS(출고요청서_raw!$V:$V,출고요청서_raw!$Q:$Q,매출요약!$D25,출고요청서_raw!$R:$R,매출요약!$O$4)</f>
        <v>0</v>
      </c>
      <c r="P25" s="108">
        <f>SUMIFS(출고요청서_raw!$W:$W,출고요청서_raw!$Q:$Q,매출요약!$D25,출고요청서_raw!$R:$R,매출요약!$O$4)</f>
        <v>0</v>
      </c>
      <c r="Q25" s="44">
        <f>SUMIFS(출고요청서_raw!$V:$V,출고요청서_raw!$Q:$Q,매출요약!$D25,출고요청서_raw!$R:$R,매출요약!$Q$4)</f>
        <v>0</v>
      </c>
      <c r="R25" s="101">
        <f>SUMIFS(출고요청서_raw!$W:$W,출고요청서_raw!$Q:$Q,매출요약!$D25,출고요청서_raw!$R:$R,매출요약!$Q$4)</f>
        <v>0</v>
      </c>
    </row>
    <row r="26" spans="2:18" s="3" customFormat="1" ht="15" customHeight="1">
      <c r="B26" s="504"/>
      <c r="C26" s="494"/>
      <c r="D26" s="475">
        <v>46073</v>
      </c>
      <c r="E26" s="84">
        <f t="shared" si="2"/>
        <v>0</v>
      </c>
      <c r="F26" s="85">
        <f t="shared" si="3"/>
        <v>0</v>
      </c>
      <c r="G26" s="44">
        <f>SUMIF(SK스토아_raw!$AM:$AM,매출요약!$D26,SK스토아_raw!$AQ:$AQ)</f>
        <v>0</v>
      </c>
      <c r="H26" s="101">
        <f>SUMIF(SK스토아_raw!$AM:$AM,$D26,SK스토아_raw!$AN:$AN)</f>
        <v>0</v>
      </c>
      <c r="I26" s="44">
        <f>SUMIFS(출고요청서_raw!$V:$V,출고요청서_raw!$Q:$Q,매출요약!$D26,출고요청서_raw!$R:$R,매출요약!$I$4)</f>
        <v>0</v>
      </c>
      <c r="J26" s="101">
        <f>SUMIFS(출고요청서_raw!$W:$W,출고요청서_raw!$Q:$Q,매출요약!$D26,출고요청서_raw!$R:$R,매출요약!$I$4)</f>
        <v>0</v>
      </c>
      <c r="K26" s="44">
        <f>SUMIFS(출고요청서_raw!$V:$V,출고요청서_raw!$Q:$Q,매출요약!$D26,출고요청서_raw!$R:$R,매출요약!$K$4)</f>
        <v>0</v>
      </c>
      <c r="L26" s="101">
        <f>SUMIFS(출고요청서_raw!$W:$W,출고요청서_raw!$Q:$Q,매출요약!$D26,출고요청서_raw!$R:$R,매출요약!$K$4)</f>
        <v>0</v>
      </c>
      <c r="M26" s="44">
        <f>SUMIFS(출고요청서_raw!$V:$V,출고요청서_raw!$Q:$Q,매출요약!$D26,출고요청서_raw!$R:$R,매출요약!$M$4)</f>
        <v>0</v>
      </c>
      <c r="N26" s="101">
        <f>SUMIFS(출고요청서_raw!$W:$W,출고요청서_raw!$Q:$Q,매출요약!$D26,출고요청서_raw!$R:$R,매출요약!$M$4)</f>
        <v>0</v>
      </c>
      <c r="O26" s="105">
        <f>SUMIFS(출고요청서_raw!$V:$V,출고요청서_raw!$Q:$Q,매출요약!$D26,출고요청서_raw!$R:$R,매출요약!$O$4)</f>
        <v>0</v>
      </c>
      <c r="P26" s="108">
        <f>SUMIFS(출고요청서_raw!$W:$W,출고요청서_raw!$Q:$Q,매출요약!$D26,출고요청서_raw!$R:$R,매출요약!$O$4)</f>
        <v>0</v>
      </c>
      <c r="Q26" s="44">
        <f>SUMIFS(출고요청서_raw!$V:$V,출고요청서_raw!$Q:$Q,매출요약!$D26,출고요청서_raw!$R:$R,매출요약!$Q$4)</f>
        <v>0</v>
      </c>
      <c r="R26" s="101">
        <f>SUMIFS(출고요청서_raw!$W:$W,출고요청서_raw!$Q:$Q,매출요약!$D26,출고요청서_raw!$R:$R,매출요약!$Q$4)</f>
        <v>0</v>
      </c>
    </row>
    <row r="27" spans="2:18" s="3" customFormat="1" ht="15" customHeight="1">
      <c r="B27" s="504"/>
      <c r="C27" s="494"/>
      <c r="D27" s="476">
        <v>46074</v>
      </c>
      <c r="E27" s="84">
        <f t="shared" si="2"/>
        <v>0</v>
      </c>
      <c r="F27" s="85">
        <f t="shared" si="3"/>
        <v>0</v>
      </c>
      <c r="G27" s="44">
        <f>SUMIF(SK스토아_raw!$AM:$AM,매출요약!$D27,SK스토아_raw!$AQ:$AQ)</f>
        <v>0</v>
      </c>
      <c r="H27" s="101">
        <f>SUMIF(SK스토아_raw!$AM:$AM,$D27,SK스토아_raw!$AN:$AN)</f>
        <v>0</v>
      </c>
      <c r="I27" s="44">
        <f>SUMIFS(출고요청서_raw!$V:$V,출고요청서_raw!$Q:$Q,매출요약!$D27,출고요청서_raw!$R:$R,매출요약!$I$4)</f>
        <v>0</v>
      </c>
      <c r="J27" s="101">
        <f>SUMIFS(출고요청서_raw!$W:$W,출고요청서_raw!$Q:$Q,매출요약!$D27,출고요청서_raw!$R:$R,매출요약!$I$4)</f>
        <v>0</v>
      </c>
      <c r="K27" s="44">
        <f>SUMIFS(출고요청서_raw!$V:$V,출고요청서_raw!$Q:$Q,매출요약!$D27,출고요청서_raw!$R:$R,매출요약!$K$4)</f>
        <v>0</v>
      </c>
      <c r="L27" s="101">
        <f>SUMIFS(출고요청서_raw!$W:$W,출고요청서_raw!$Q:$Q,매출요약!$D27,출고요청서_raw!$R:$R,매출요약!$K$4)</f>
        <v>0</v>
      </c>
      <c r="M27" s="44">
        <f>SUMIFS(출고요청서_raw!$V:$V,출고요청서_raw!$Q:$Q,매출요약!$D27,출고요청서_raw!$R:$R,매출요약!$M$4)</f>
        <v>0</v>
      </c>
      <c r="N27" s="101">
        <f>SUMIFS(출고요청서_raw!$W:$W,출고요청서_raw!$Q:$Q,매출요약!$D27,출고요청서_raw!$R:$R,매출요약!$M$4)</f>
        <v>0</v>
      </c>
      <c r="O27" s="105">
        <f>SUMIFS(출고요청서_raw!$V:$V,출고요청서_raw!$Q:$Q,매출요약!$D27,출고요청서_raw!$R:$R,매출요약!$O$4)</f>
        <v>0</v>
      </c>
      <c r="P27" s="108">
        <f>SUMIFS(출고요청서_raw!$W:$W,출고요청서_raw!$Q:$Q,매출요약!$D27,출고요청서_raw!$R:$R,매출요약!$O$4)</f>
        <v>0</v>
      </c>
      <c r="Q27" s="44">
        <f>SUMIFS(출고요청서_raw!$V:$V,출고요청서_raw!$Q:$Q,매출요약!$D27,출고요청서_raw!$R:$R,매출요약!$Q$4)</f>
        <v>0</v>
      </c>
      <c r="R27" s="101">
        <f>SUMIFS(출고요청서_raw!$W:$W,출고요청서_raw!$Q:$Q,매출요약!$D27,출고요청서_raw!$R:$R,매출요약!$Q$4)</f>
        <v>0</v>
      </c>
    </row>
    <row r="28" spans="2:18" s="3" customFormat="1" ht="15" customHeight="1">
      <c r="B28" s="504"/>
      <c r="C28" s="494"/>
      <c r="D28" s="476">
        <v>46075</v>
      </c>
      <c r="E28" s="84">
        <f t="shared" si="2"/>
        <v>0</v>
      </c>
      <c r="F28" s="85">
        <f t="shared" si="3"/>
        <v>0</v>
      </c>
      <c r="G28" s="44">
        <f>SUMIF(SK스토아_raw!$AM:$AM,매출요약!$D28,SK스토아_raw!$AQ:$AQ)</f>
        <v>0</v>
      </c>
      <c r="H28" s="101">
        <f>SUMIF(SK스토아_raw!$AM:$AM,$D28,SK스토아_raw!$AN:$AN)</f>
        <v>0</v>
      </c>
      <c r="I28" s="44">
        <f>SUMIFS(출고요청서_raw!$V:$V,출고요청서_raw!$Q:$Q,매출요약!$D28,출고요청서_raw!$R:$R,매출요약!$I$4)</f>
        <v>0</v>
      </c>
      <c r="J28" s="101">
        <f>SUMIFS(출고요청서_raw!$W:$W,출고요청서_raw!$Q:$Q,매출요약!$D28,출고요청서_raw!$R:$R,매출요약!$I$4)</f>
        <v>0</v>
      </c>
      <c r="K28" s="44">
        <f>SUMIFS(출고요청서_raw!$V:$V,출고요청서_raw!$Q:$Q,매출요약!$D28,출고요청서_raw!$R:$R,매출요약!$K$4)</f>
        <v>0</v>
      </c>
      <c r="L28" s="101">
        <f>SUMIFS(출고요청서_raw!$W:$W,출고요청서_raw!$Q:$Q,매출요약!$D28,출고요청서_raw!$R:$R,매출요약!$K$4)</f>
        <v>0</v>
      </c>
      <c r="M28" s="44">
        <f>SUMIFS(출고요청서_raw!$V:$V,출고요청서_raw!$Q:$Q,매출요약!$D28,출고요청서_raw!$R:$R,매출요약!$M$4)</f>
        <v>0</v>
      </c>
      <c r="N28" s="101">
        <f>SUMIFS(출고요청서_raw!$W:$W,출고요청서_raw!$Q:$Q,매출요약!$D28,출고요청서_raw!$R:$R,매출요약!$M$4)</f>
        <v>0</v>
      </c>
      <c r="O28" s="105">
        <f>SUMIFS(출고요청서_raw!$V:$V,출고요청서_raw!$Q:$Q,매출요약!$D28,출고요청서_raw!$R:$R,매출요약!$O$4)</f>
        <v>0</v>
      </c>
      <c r="P28" s="108">
        <f>SUMIFS(출고요청서_raw!$W:$W,출고요청서_raw!$Q:$Q,매출요약!$D28,출고요청서_raw!$R:$R,매출요약!$O$4)</f>
        <v>0</v>
      </c>
      <c r="Q28" s="44">
        <f>SUMIFS(출고요청서_raw!$V:$V,출고요청서_raw!$Q:$Q,매출요약!$D28,출고요청서_raw!$R:$R,매출요약!$Q$4)</f>
        <v>0</v>
      </c>
      <c r="R28" s="101">
        <f>SUMIFS(출고요청서_raw!$W:$W,출고요청서_raw!$Q:$Q,매출요약!$D28,출고요청서_raw!$R:$R,매출요약!$Q$4)</f>
        <v>0</v>
      </c>
    </row>
    <row r="29" spans="2:18" s="3" customFormat="1" ht="15" customHeight="1">
      <c r="B29" s="511"/>
      <c r="C29" s="505" t="s">
        <v>19</v>
      </c>
      <c r="D29" s="475">
        <v>46076</v>
      </c>
      <c r="E29" s="84">
        <f t="shared" si="2"/>
        <v>54363.63636363636</v>
      </c>
      <c r="F29" s="85">
        <f t="shared" si="3"/>
        <v>3</v>
      </c>
      <c r="G29" s="44">
        <f>SUMIF(SK스토아_raw!$AM:$AM,매출요약!$D29,SK스토아_raw!$AQ:$AQ)</f>
        <v>0</v>
      </c>
      <c r="H29" s="101">
        <f>SUMIF(SK스토아_raw!$AM:$AM,$D29,SK스토아_raw!$AN:$AN)</f>
        <v>0</v>
      </c>
      <c r="I29" s="44">
        <f>SUMIFS(출고요청서_raw!$V:$V,출고요청서_raw!$Q:$Q,매출요약!$D29,출고요청서_raw!$R:$R,매출요약!$I$4)</f>
        <v>0</v>
      </c>
      <c r="J29" s="101">
        <f>SUMIFS(출고요청서_raw!$W:$W,출고요청서_raw!$Q:$Q,매출요약!$D29,출고요청서_raw!$R:$R,매출요약!$I$4)</f>
        <v>0</v>
      </c>
      <c r="K29" s="44">
        <f>SUMIFS(출고요청서_raw!$V:$V,출고요청서_raw!$Q:$Q,매출요약!$D29,출고요청서_raw!$R:$R,매출요약!$K$4)</f>
        <v>0</v>
      </c>
      <c r="L29" s="101">
        <f>SUMIFS(출고요청서_raw!$W:$W,출고요청서_raw!$Q:$Q,매출요약!$D29,출고요청서_raw!$R:$R,매출요약!$K$4)</f>
        <v>0</v>
      </c>
      <c r="M29" s="44">
        <f>SUMIFS(출고요청서_raw!$V:$V,출고요청서_raw!$Q:$Q,매출요약!$D29,출고요청서_raw!$R:$R,매출요약!$M$4)</f>
        <v>54363.63636363636</v>
      </c>
      <c r="N29" s="101">
        <f>SUMIFS(출고요청서_raw!$W:$W,출고요청서_raw!$Q:$Q,매출요약!$D29,출고요청서_raw!$R:$R,매출요약!$M$4)</f>
        <v>3</v>
      </c>
      <c r="O29" s="105">
        <f>SUMIFS(출고요청서_raw!$V:$V,출고요청서_raw!$Q:$Q,매출요약!$D29,출고요청서_raw!$R:$R,매출요약!$O$4)</f>
        <v>0</v>
      </c>
      <c r="P29" s="108">
        <f>SUMIFS(출고요청서_raw!$W:$W,출고요청서_raw!$Q:$Q,매출요약!$D29,출고요청서_raw!$R:$R,매출요약!$O$4)</f>
        <v>0</v>
      </c>
      <c r="Q29" s="44">
        <f>SUMIFS(출고요청서_raw!$V:$V,출고요청서_raw!$Q:$Q,매출요약!$D29,출고요청서_raw!$R:$R,매출요약!$Q$4)</f>
        <v>0</v>
      </c>
      <c r="R29" s="101">
        <f>SUMIFS(출고요청서_raw!$W:$W,출고요청서_raw!$Q:$Q,매출요약!$D29,출고요청서_raw!$R:$R,매출요약!$Q$4)</f>
        <v>0</v>
      </c>
    </row>
    <row r="30" spans="2:18" s="3" customFormat="1" ht="15" customHeight="1">
      <c r="B30" s="511"/>
      <c r="C30" s="506"/>
      <c r="D30" s="475">
        <v>46077</v>
      </c>
      <c r="E30" s="84">
        <f t="shared" si="2"/>
        <v>0</v>
      </c>
      <c r="F30" s="85">
        <f t="shared" si="3"/>
        <v>0</v>
      </c>
      <c r="G30" s="44">
        <f>SUMIF(SK스토아_raw!$AM:$AM,매출요약!$D30,SK스토아_raw!$AQ:$AQ)</f>
        <v>0</v>
      </c>
      <c r="H30" s="101">
        <f>SUMIF(SK스토아_raw!$AM:$AM,$D30,SK스토아_raw!$AN:$AN)</f>
        <v>0</v>
      </c>
      <c r="I30" s="44">
        <f>SUMIFS(출고요청서_raw!$V:$V,출고요청서_raw!$Q:$Q,매출요약!$D30,출고요청서_raw!$R:$R,매출요약!$I$4)</f>
        <v>0</v>
      </c>
      <c r="J30" s="101">
        <f>SUMIFS(출고요청서_raw!$W:$W,출고요청서_raw!$Q:$Q,매출요약!$D30,출고요청서_raw!$R:$R,매출요약!$I$4)</f>
        <v>0</v>
      </c>
      <c r="K30" s="44">
        <f>SUMIFS(출고요청서_raw!$V:$V,출고요청서_raw!$Q:$Q,매출요약!$D30,출고요청서_raw!$R:$R,매출요약!$K$4)</f>
        <v>0</v>
      </c>
      <c r="L30" s="101">
        <f>SUMIFS(출고요청서_raw!$W:$W,출고요청서_raw!$Q:$Q,매출요약!$D30,출고요청서_raw!$R:$R,매출요약!$K$4)</f>
        <v>0</v>
      </c>
      <c r="M30" s="44">
        <f>SUMIFS(출고요청서_raw!$V:$V,출고요청서_raw!$Q:$Q,매출요약!$D30,출고요청서_raw!$R:$R,매출요약!$M$4)</f>
        <v>0</v>
      </c>
      <c r="N30" s="101">
        <f>SUMIFS(출고요청서_raw!$W:$W,출고요청서_raw!$Q:$Q,매출요약!$D30,출고요청서_raw!$R:$R,매출요약!$M$4)</f>
        <v>0</v>
      </c>
      <c r="O30" s="105">
        <f>SUMIFS(출고요청서_raw!$V:$V,출고요청서_raw!$Q:$Q,매출요약!$D30,출고요청서_raw!$R:$R,매출요약!$O$4)</f>
        <v>0</v>
      </c>
      <c r="P30" s="108">
        <f>SUMIFS(출고요청서_raw!$W:$W,출고요청서_raw!$Q:$Q,매출요약!$D30,출고요청서_raw!$R:$R,매출요약!$O$4)</f>
        <v>0</v>
      </c>
      <c r="Q30" s="44">
        <f>SUMIFS(출고요청서_raw!$V:$V,출고요청서_raw!$Q:$Q,매출요약!$D30,출고요청서_raw!$R:$R,매출요약!$Q$4)</f>
        <v>0</v>
      </c>
      <c r="R30" s="101">
        <f>SUMIFS(출고요청서_raw!$W:$W,출고요청서_raw!$Q:$Q,매출요약!$D30,출고요청서_raw!$R:$R,매출요약!$Q$4)</f>
        <v>0</v>
      </c>
    </row>
    <row r="31" spans="2:18" s="3" customFormat="1" ht="15" customHeight="1">
      <c r="B31" s="511"/>
      <c r="C31" s="506"/>
      <c r="D31" s="475">
        <v>46078</v>
      </c>
      <c r="E31" s="84">
        <f t="shared" si="2"/>
        <v>0</v>
      </c>
      <c r="F31" s="85">
        <f t="shared" si="3"/>
        <v>0</v>
      </c>
      <c r="G31" s="44">
        <f>SUMIF(SK스토아_raw!$AM:$AM,매출요약!$D31,SK스토아_raw!$AQ:$AQ)</f>
        <v>0</v>
      </c>
      <c r="H31" s="101">
        <f>SUMIF(SK스토아_raw!$AM:$AM,$D31,SK스토아_raw!$AN:$AN)</f>
        <v>0</v>
      </c>
      <c r="I31" s="44">
        <f>SUMIFS(출고요청서_raw!$V:$V,출고요청서_raw!$Q:$Q,매출요약!$D31,출고요청서_raw!$R:$R,매출요약!$I$4)</f>
        <v>0</v>
      </c>
      <c r="J31" s="101">
        <f>SUMIFS(출고요청서_raw!$W:$W,출고요청서_raw!$Q:$Q,매출요약!$D31,출고요청서_raw!$R:$R,매출요약!$I$4)</f>
        <v>0</v>
      </c>
      <c r="K31" s="44">
        <f>SUMIFS(출고요청서_raw!$V:$V,출고요청서_raw!$Q:$Q,매출요약!$D31,출고요청서_raw!$R:$R,매출요약!$K$4)</f>
        <v>0</v>
      </c>
      <c r="L31" s="101">
        <f>SUMIFS(출고요청서_raw!$W:$W,출고요청서_raw!$Q:$Q,매출요약!$D31,출고요청서_raw!$R:$R,매출요약!$K$4)</f>
        <v>0</v>
      </c>
      <c r="M31" s="44">
        <f>SUMIFS(출고요청서_raw!$V:$V,출고요청서_raw!$Q:$Q,매출요약!$D31,출고요청서_raw!$R:$R,매출요약!$M$4)</f>
        <v>0</v>
      </c>
      <c r="N31" s="101">
        <f>SUMIFS(출고요청서_raw!$W:$W,출고요청서_raw!$Q:$Q,매출요약!$D31,출고요청서_raw!$R:$R,매출요약!$M$4)</f>
        <v>0</v>
      </c>
      <c r="O31" s="105">
        <f>SUMIFS(출고요청서_raw!$V:$V,출고요청서_raw!$Q:$Q,매출요약!$D31,출고요청서_raw!$R:$R,매출요약!$O$4)</f>
        <v>0</v>
      </c>
      <c r="P31" s="108">
        <f>SUMIFS(출고요청서_raw!$W:$W,출고요청서_raw!$Q:$Q,매출요약!$D31,출고요청서_raw!$R:$R,매출요약!$O$4)</f>
        <v>0</v>
      </c>
      <c r="Q31" s="44">
        <f>SUMIFS(출고요청서_raw!$V:$V,출고요청서_raw!$Q:$Q,매출요약!$D31,출고요청서_raw!$R:$R,매출요약!$Q$4)</f>
        <v>0</v>
      </c>
      <c r="R31" s="101">
        <f>SUMIFS(출고요청서_raw!$W:$W,출고요청서_raw!$Q:$Q,매출요약!$D31,출고요청서_raw!$R:$R,매출요약!$Q$4)</f>
        <v>0</v>
      </c>
    </row>
    <row r="32" spans="2:18" s="3" customFormat="1" ht="15" customHeight="1">
      <c r="B32" s="511"/>
      <c r="C32" s="506"/>
      <c r="D32" s="475">
        <v>46079</v>
      </c>
      <c r="E32" s="84">
        <f t="shared" si="2"/>
        <v>0</v>
      </c>
      <c r="F32" s="85">
        <f t="shared" si="3"/>
        <v>0</v>
      </c>
      <c r="G32" s="44">
        <f>SUMIF(SK스토아_raw!$AM:$AM,매출요약!$D32,SK스토아_raw!$AQ:$AQ)</f>
        <v>0</v>
      </c>
      <c r="H32" s="101">
        <f>SUMIF(SK스토아_raw!$AM:$AM,$D32,SK스토아_raw!$AN:$AN)</f>
        <v>0</v>
      </c>
      <c r="I32" s="44">
        <f>SUMIFS(출고요청서_raw!$V:$V,출고요청서_raw!$Q:$Q,매출요약!$D32,출고요청서_raw!$R:$R,매출요약!$I$4)</f>
        <v>0</v>
      </c>
      <c r="J32" s="101">
        <f>SUMIFS(출고요청서_raw!$W:$W,출고요청서_raw!$Q:$Q,매출요약!$D32,출고요청서_raw!$R:$R,매출요약!$I$4)</f>
        <v>0</v>
      </c>
      <c r="K32" s="44">
        <f>SUMIFS(출고요청서_raw!$V:$V,출고요청서_raw!$Q:$Q,매출요약!$D32,출고요청서_raw!$R:$R,매출요약!$K$4)</f>
        <v>0</v>
      </c>
      <c r="L32" s="101">
        <f>SUMIFS(출고요청서_raw!$W:$W,출고요청서_raw!$Q:$Q,매출요약!$D32,출고요청서_raw!$R:$R,매출요약!$K$4)</f>
        <v>0</v>
      </c>
      <c r="M32" s="44">
        <f>SUMIFS(출고요청서_raw!$V:$V,출고요청서_raw!$Q:$Q,매출요약!$D32,출고요청서_raw!$R:$R,매출요약!$M$4)</f>
        <v>0</v>
      </c>
      <c r="N32" s="101">
        <f>SUMIFS(출고요청서_raw!$W:$W,출고요청서_raw!$Q:$Q,매출요약!$D32,출고요청서_raw!$R:$R,매출요약!$M$4)</f>
        <v>0</v>
      </c>
      <c r="O32" s="105">
        <f>SUMIFS(출고요청서_raw!$V:$V,출고요청서_raw!$Q:$Q,매출요약!$D32,출고요청서_raw!$R:$R,매출요약!$O$4)</f>
        <v>0</v>
      </c>
      <c r="P32" s="108">
        <f>SUMIFS(출고요청서_raw!$W:$W,출고요청서_raw!$Q:$Q,매출요약!$D32,출고요청서_raw!$R:$R,매출요약!$O$4)</f>
        <v>0</v>
      </c>
      <c r="Q32" s="44">
        <f>SUMIFS(출고요청서_raw!$V:$V,출고요청서_raw!$Q:$Q,매출요약!$D32,출고요청서_raw!$R:$R,매출요약!$Q$4)</f>
        <v>0</v>
      </c>
      <c r="R32" s="101">
        <f>SUMIFS(출고요청서_raw!$W:$W,출고요청서_raw!$Q:$Q,매출요약!$D32,출고요청서_raw!$R:$R,매출요약!$Q$4)</f>
        <v>0</v>
      </c>
    </row>
    <row r="33" spans="2:18" s="3" customFormat="1" ht="15" customHeight="1">
      <c r="B33" s="511"/>
      <c r="C33" s="506"/>
      <c r="D33" s="475">
        <v>46080</v>
      </c>
      <c r="E33" s="84">
        <f t="shared" si="2"/>
        <v>0</v>
      </c>
      <c r="F33" s="85">
        <f t="shared" si="3"/>
        <v>0</v>
      </c>
      <c r="G33" s="44">
        <f>SUMIF(SK스토아_raw!$AM:$AM,매출요약!$D33,SK스토아_raw!$AQ:$AQ)</f>
        <v>0</v>
      </c>
      <c r="H33" s="101">
        <f>SUMIF(SK스토아_raw!$AM:$AM,$D33,SK스토아_raw!$AN:$AN)</f>
        <v>0</v>
      </c>
      <c r="I33" s="44">
        <f>SUMIFS(출고요청서_raw!$V:$V,출고요청서_raw!$Q:$Q,매출요약!$D33,출고요청서_raw!$R:$R,매출요약!$I$4)</f>
        <v>0</v>
      </c>
      <c r="J33" s="101">
        <f>SUMIFS(출고요청서_raw!$W:$W,출고요청서_raw!$Q:$Q,매출요약!$D33,출고요청서_raw!$R:$R,매출요약!$I$4)</f>
        <v>0</v>
      </c>
      <c r="K33" s="44">
        <f>SUMIFS(출고요청서_raw!$V:$V,출고요청서_raw!$Q:$Q,매출요약!$D33,출고요청서_raw!$R:$R,매출요약!$K$4)</f>
        <v>0</v>
      </c>
      <c r="L33" s="101">
        <f>SUMIFS(출고요청서_raw!$W:$W,출고요청서_raw!$Q:$Q,매출요약!$D33,출고요청서_raw!$R:$R,매출요약!$K$4)</f>
        <v>0</v>
      </c>
      <c r="M33" s="44">
        <f>SUMIFS(출고요청서_raw!$V:$V,출고요청서_raw!$Q:$Q,매출요약!$D33,출고요청서_raw!$R:$R,매출요약!$M$4)</f>
        <v>0</v>
      </c>
      <c r="N33" s="101">
        <f>SUMIFS(출고요청서_raw!$W:$W,출고요청서_raw!$Q:$Q,매출요약!$D33,출고요청서_raw!$R:$R,매출요약!$M$4)</f>
        <v>0</v>
      </c>
      <c r="O33" s="105">
        <f>SUMIFS(출고요청서_raw!$V:$V,출고요청서_raw!$Q:$Q,매출요약!$D33,출고요청서_raw!$R:$R,매출요약!$O$4)</f>
        <v>0</v>
      </c>
      <c r="P33" s="108">
        <f>SUMIFS(출고요청서_raw!$W:$W,출고요청서_raw!$Q:$Q,매출요약!$D33,출고요청서_raw!$R:$R,매출요약!$O$4)</f>
        <v>0</v>
      </c>
      <c r="Q33" s="44">
        <f>SUMIFS(출고요청서_raw!$V:$V,출고요청서_raw!$Q:$Q,매출요약!$D33,출고요청서_raw!$R:$R,매출요약!$Q$4)</f>
        <v>0</v>
      </c>
      <c r="R33" s="101">
        <f>SUMIFS(출고요청서_raw!$W:$W,출고요청서_raw!$Q:$Q,매출요약!$D33,출고요청서_raw!$R:$R,매출요약!$Q$4)</f>
        <v>0</v>
      </c>
    </row>
    <row r="34" spans="2:18" s="3" customFormat="1" ht="15" customHeight="1" thickBot="1">
      <c r="B34" s="512"/>
      <c r="C34" s="507"/>
      <c r="D34" s="480">
        <v>46081</v>
      </c>
      <c r="E34" s="488">
        <f t="shared" si="2"/>
        <v>0</v>
      </c>
      <c r="F34" s="489">
        <f t="shared" si="3"/>
        <v>0</v>
      </c>
      <c r="G34" s="481">
        <f>SUMIF(SK스토아_raw!$AM:$AM,매출요약!$D34,SK스토아_raw!$AQ:$AQ)</f>
        <v>0</v>
      </c>
      <c r="H34" s="482">
        <f>SUMIF(SK스토아_raw!$AM:$AM,$D34,SK스토아_raw!$AN:$AN)</f>
        <v>0</v>
      </c>
      <c r="I34" s="481">
        <f>SUMIFS(출고요청서_raw!$V:$V,출고요청서_raw!$Q:$Q,매출요약!$D34,출고요청서_raw!$R:$R,매출요약!$I$4)</f>
        <v>0</v>
      </c>
      <c r="J34" s="482">
        <f>SUMIFS(출고요청서_raw!$W:$W,출고요청서_raw!$Q:$Q,매출요약!$D34,출고요청서_raw!$R:$R,매출요약!$I$4)</f>
        <v>0</v>
      </c>
      <c r="K34" s="481">
        <f>SUMIFS(출고요청서_raw!$V:$V,출고요청서_raw!$Q:$Q,매출요약!$D34,출고요청서_raw!$R:$R,매출요약!$K$4)</f>
        <v>0</v>
      </c>
      <c r="L34" s="482">
        <f>SUMIFS(출고요청서_raw!$W:$W,출고요청서_raw!$Q:$Q,매출요약!$D34,출고요청서_raw!$R:$R,매출요약!$K$4)</f>
        <v>0</v>
      </c>
      <c r="M34" s="481">
        <f>SUMIFS(출고요청서_raw!$V:$V,출고요청서_raw!$Q:$Q,매출요약!$D34,출고요청서_raw!$R:$R,매출요약!$M$4)</f>
        <v>0</v>
      </c>
      <c r="N34" s="482">
        <f>SUMIFS(출고요청서_raw!$W:$W,출고요청서_raw!$Q:$Q,매출요약!$D34,출고요청서_raw!$R:$R,매출요약!$M$4)</f>
        <v>0</v>
      </c>
      <c r="O34" s="483">
        <f>SUMIFS(출고요청서_raw!$V:$V,출고요청서_raw!$Q:$Q,매출요약!$D34,출고요청서_raw!$R:$R,매출요약!$O$4)</f>
        <v>0</v>
      </c>
      <c r="P34" s="484">
        <f>SUMIFS(출고요청서_raw!$W:$W,출고요청서_raw!$Q:$Q,매출요약!$D34,출고요청서_raw!$R:$R,매출요약!$O$4)</f>
        <v>0</v>
      </c>
      <c r="Q34" s="481">
        <f>SUMIFS(출고요청서_raw!$V:$V,출고요청서_raw!$Q:$Q,매출요약!$D34,출고요청서_raw!$R:$R,매출요약!$Q$4)</f>
        <v>0</v>
      </c>
      <c r="R34" s="482">
        <f>SUMIFS(출고요청서_raw!$W:$W,출고요청서_raw!$Q:$Q,매출요약!$D34,출고요청서_raw!$R:$R,매출요약!$Q$4)</f>
        <v>0</v>
      </c>
    </row>
    <row r="35" spans="2:18" s="3" customFormat="1" ht="15" customHeight="1" thickTop="1" thickBot="1">
      <c r="B35" s="485"/>
      <c r="C35" s="486"/>
      <c r="D35" s="487"/>
      <c r="E35" s="41">
        <f>SUM(E36:E66)</f>
        <v>0</v>
      </c>
      <c r="F35" s="42">
        <f t="shared" ref="F35:R35" si="4">SUM(F36:F66)</f>
        <v>0</v>
      </c>
      <c r="G35" s="43">
        <f t="shared" si="4"/>
        <v>0</v>
      </c>
      <c r="H35" s="100">
        <f t="shared" si="4"/>
        <v>0</v>
      </c>
      <c r="I35" s="43">
        <f t="shared" si="4"/>
        <v>0</v>
      </c>
      <c r="J35" s="100">
        <f t="shared" si="4"/>
        <v>0</v>
      </c>
      <c r="K35" s="43">
        <f t="shared" si="4"/>
        <v>0</v>
      </c>
      <c r="L35" s="100">
        <f t="shared" si="4"/>
        <v>0</v>
      </c>
      <c r="M35" s="43">
        <f t="shared" si="4"/>
        <v>0</v>
      </c>
      <c r="N35" s="100">
        <f t="shared" si="4"/>
        <v>0</v>
      </c>
      <c r="O35" s="104">
        <f t="shared" si="4"/>
        <v>0</v>
      </c>
      <c r="P35" s="107">
        <f t="shared" si="4"/>
        <v>0</v>
      </c>
      <c r="Q35" s="43">
        <f t="shared" si="4"/>
        <v>0</v>
      </c>
      <c r="R35" s="100">
        <f t="shared" si="4"/>
        <v>0</v>
      </c>
    </row>
    <row r="36" spans="2:18" s="3" customFormat="1" ht="15" hidden="1" customHeight="1" outlineLevel="1" thickTop="1">
      <c r="B36" s="503" t="s">
        <v>20</v>
      </c>
      <c r="C36" s="478" t="s">
        <v>21</v>
      </c>
      <c r="D36" s="479">
        <v>46082</v>
      </c>
      <c r="E36" s="84">
        <f t="shared" ref="E36" si="5">SUM(G36,I36,K36,M36,Q36)</f>
        <v>0</v>
      </c>
      <c r="F36" s="85">
        <f t="shared" ref="F36" si="6">SUM(H36,J36,L36,N36,R36)</f>
        <v>0</v>
      </c>
      <c r="G36" s="44">
        <f>SUMIF(SK스토아_raw!$AM:$AM,매출요약!$D36,SK스토아_raw!$AQ:$AQ)</f>
        <v>0</v>
      </c>
      <c r="H36" s="101">
        <f>SUMIF(SK스토아_raw!$AM:$AM,$D36,SK스토아_raw!$AN:$AN)</f>
        <v>0</v>
      </c>
      <c r="I36" s="44">
        <f>SUMIFS(출고요청서_raw!$V:$V,출고요청서_raw!$Q:$Q,매출요약!$D36,출고요청서_raw!$R:$R,매출요약!$I$4)</f>
        <v>0</v>
      </c>
      <c r="J36" s="101">
        <f>SUMIFS(출고요청서_raw!$W:$W,출고요청서_raw!$Q:$Q,매출요약!$D36,출고요청서_raw!$R:$R,매출요약!$I$4)</f>
        <v>0</v>
      </c>
      <c r="K36" s="44">
        <f>SUMIFS(출고요청서_raw!$V:$V,출고요청서_raw!$Q:$Q,매출요약!$D36,출고요청서_raw!$R:$R,매출요약!$K$4)</f>
        <v>0</v>
      </c>
      <c r="L36" s="101">
        <f>SUMIFS(출고요청서_raw!$W:$W,출고요청서_raw!$Q:$Q,매출요약!$D36,출고요청서_raw!$R:$R,매출요약!$K$4)</f>
        <v>0</v>
      </c>
      <c r="M36" s="44">
        <f>SUMIFS(출고요청서_raw!$V:$V,출고요청서_raw!$Q:$Q,매출요약!$D36,출고요청서_raw!$R:$R,매출요약!$M$4)</f>
        <v>0</v>
      </c>
      <c r="N36" s="101">
        <f>SUMIFS(출고요청서_raw!$W:$W,출고요청서_raw!$Q:$Q,매출요약!$D36,출고요청서_raw!$R:$R,매출요약!$M$4)</f>
        <v>0</v>
      </c>
      <c r="O36" s="105">
        <f>SUMIFS(출고요청서_raw!$V:$V,출고요청서_raw!$Q:$Q,매출요약!$D36,출고요청서_raw!$R:$R,매출요약!$O$4)</f>
        <v>0</v>
      </c>
      <c r="P36" s="108">
        <f>SUMIFS(출고요청서_raw!$W:$W,출고요청서_raw!$Q:$Q,매출요약!$D36,출고요청서_raw!$R:$R,매출요약!$O$4)</f>
        <v>0</v>
      </c>
      <c r="Q36" s="44">
        <f>SUMIFS(출고요청서_raw!$V:$V,출고요청서_raw!$Q:$Q,매출요약!$D36,출고요청서_raw!$R:$R,매출요약!$Q$4)</f>
        <v>0</v>
      </c>
      <c r="R36" s="101">
        <f>SUMIFS(출고요청서_raw!$W:$W,출고요청서_raw!$Q:$Q,매출요약!$D36,출고요청서_raw!$R:$R,매출요약!$Q$4)</f>
        <v>0</v>
      </c>
    </row>
    <row r="37" spans="2:18" s="3" customFormat="1" ht="15" hidden="1" customHeight="1" outlineLevel="1">
      <c r="B37" s="504"/>
      <c r="C37" s="494" t="s">
        <v>22</v>
      </c>
      <c r="D37" s="476">
        <v>46083</v>
      </c>
      <c r="E37" s="84">
        <f t="shared" ref="E37:E47" si="7">SUM(G37,I37,K37,M37,Q37)</f>
        <v>0</v>
      </c>
      <c r="F37" s="85">
        <f t="shared" ref="F37:F47" si="8">SUM(H37,J37,L37,N37,R37)</f>
        <v>0</v>
      </c>
      <c r="G37" s="44">
        <f>SUMIF(SK스토아_raw!$AM:$AM,매출요약!$D37,SK스토아_raw!$AQ:$AQ)</f>
        <v>0</v>
      </c>
      <c r="H37" s="101">
        <f>SUMIF(SK스토아_raw!$AM:$AM,$D37,SK스토아_raw!$AN:$AN)</f>
        <v>0</v>
      </c>
      <c r="I37" s="44">
        <f>SUMIFS(출고요청서_raw!$V:$V,출고요청서_raw!$Q:$Q,매출요약!$D37,출고요청서_raw!$R:$R,매출요약!$I$4)</f>
        <v>0</v>
      </c>
      <c r="J37" s="101">
        <f>SUMIFS(출고요청서_raw!$W:$W,출고요청서_raw!$Q:$Q,매출요약!$D37,출고요청서_raw!$R:$R,매출요약!$I$4)</f>
        <v>0</v>
      </c>
      <c r="K37" s="44">
        <f>SUMIFS(출고요청서_raw!$V:$V,출고요청서_raw!$Q:$Q,매출요약!$D37,출고요청서_raw!$R:$R,매출요약!$K$4)</f>
        <v>0</v>
      </c>
      <c r="L37" s="101">
        <f>SUMIFS(출고요청서_raw!$W:$W,출고요청서_raw!$Q:$Q,매출요약!$D37,출고요청서_raw!$R:$R,매출요약!$K$4)</f>
        <v>0</v>
      </c>
      <c r="M37" s="44">
        <f>SUMIFS(출고요청서_raw!$V:$V,출고요청서_raw!$Q:$Q,매출요약!$D37,출고요청서_raw!$R:$R,매출요약!$M$4)</f>
        <v>0</v>
      </c>
      <c r="N37" s="101">
        <f>SUMIFS(출고요청서_raw!$W:$W,출고요청서_raw!$Q:$Q,매출요약!$D37,출고요청서_raw!$R:$R,매출요약!$M$4)</f>
        <v>0</v>
      </c>
      <c r="O37" s="105">
        <f>SUMIFS(출고요청서_raw!$V:$V,출고요청서_raw!$Q:$Q,매출요약!$D37,출고요청서_raw!$R:$R,매출요약!$O$4)</f>
        <v>0</v>
      </c>
      <c r="P37" s="108">
        <f>SUMIFS(출고요청서_raw!$W:$W,출고요청서_raw!$Q:$Q,매출요약!$D37,출고요청서_raw!$R:$R,매출요약!$O$4)</f>
        <v>0</v>
      </c>
      <c r="Q37" s="44">
        <f>SUMIFS(출고요청서_raw!$V:$V,출고요청서_raw!$Q:$Q,매출요약!$D37,출고요청서_raw!$R:$R,매출요약!$Q$4)</f>
        <v>0</v>
      </c>
      <c r="R37" s="101">
        <f>SUMIFS(출고요청서_raw!$W:$W,출고요청서_raw!$Q:$Q,매출요약!$D37,출고요청서_raw!$R:$R,매출요약!$Q$4)</f>
        <v>0</v>
      </c>
    </row>
    <row r="38" spans="2:18" s="3" customFormat="1" ht="15" hidden="1" customHeight="1" outlineLevel="1">
      <c r="B38" s="504"/>
      <c r="C38" s="494"/>
      <c r="D38" s="477">
        <v>46084</v>
      </c>
      <c r="E38" s="84">
        <f t="shared" si="7"/>
        <v>0</v>
      </c>
      <c r="F38" s="85">
        <f t="shared" si="8"/>
        <v>0</v>
      </c>
      <c r="G38" s="44">
        <f>SUMIF(SK스토아_raw!$AM:$AM,매출요약!$D38,SK스토아_raw!$AQ:$AQ)</f>
        <v>0</v>
      </c>
      <c r="H38" s="101">
        <f>SUMIF(SK스토아_raw!$AM:$AM,$D38,SK스토아_raw!$AN:$AN)</f>
        <v>0</v>
      </c>
      <c r="I38" s="44">
        <f>SUMIFS(출고요청서_raw!$V:$V,출고요청서_raw!$Q:$Q,매출요약!$D38,출고요청서_raw!$R:$R,매출요약!$I$4)</f>
        <v>0</v>
      </c>
      <c r="J38" s="101">
        <f>SUMIFS(출고요청서_raw!$W:$W,출고요청서_raw!$Q:$Q,매출요약!$D38,출고요청서_raw!$R:$R,매출요약!$I$4)</f>
        <v>0</v>
      </c>
      <c r="K38" s="44">
        <f>SUMIFS(출고요청서_raw!$V:$V,출고요청서_raw!$Q:$Q,매출요약!$D38,출고요청서_raw!$R:$R,매출요약!$K$4)</f>
        <v>0</v>
      </c>
      <c r="L38" s="101">
        <f>SUMIFS(출고요청서_raw!$W:$W,출고요청서_raw!$Q:$Q,매출요약!$D38,출고요청서_raw!$R:$R,매출요약!$K$4)</f>
        <v>0</v>
      </c>
      <c r="M38" s="44">
        <f>SUMIFS(출고요청서_raw!$V:$V,출고요청서_raw!$Q:$Q,매출요약!$D38,출고요청서_raw!$R:$R,매출요약!$M$4)</f>
        <v>0</v>
      </c>
      <c r="N38" s="101">
        <f>SUMIFS(출고요청서_raw!$W:$W,출고요청서_raw!$Q:$Q,매출요약!$D38,출고요청서_raw!$R:$R,매출요약!$M$4)</f>
        <v>0</v>
      </c>
      <c r="O38" s="105">
        <f>SUMIFS(출고요청서_raw!$V:$V,출고요청서_raw!$Q:$Q,매출요약!$D38,출고요청서_raw!$R:$R,매출요약!$O$4)</f>
        <v>0</v>
      </c>
      <c r="P38" s="108">
        <f>SUMIFS(출고요청서_raw!$W:$W,출고요청서_raw!$Q:$Q,매출요약!$D38,출고요청서_raw!$R:$R,매출요약!$O$4)</f>
        <v>0</v>
      </c>
      <c r="Q38" s="44">
        <f>SUMIFS(출고요청서_raw!$V:$V,출고요청서_raw!$Q:$Q,매출요약!$D38,출고요청서_raw!$R:$R,매출요약!$Q$4)</f>
        <v>0</v>
      </c>
      <c r="R38" s="101">
        <f>SUMIFS(출고요청서_raw!$W:$W,출고요청서_raw!$Q:$Q,매출요약!$D38,출고요청서_raw!$R:$R,매출요약!$Q$4)</f>
        <v>0</v>
      </c>
    </row>
    <row r="39" spans="2:18" s="3" customFormat="1" ht="15" hidden="1" customHeight="1" outlineLevel="1">
      <c r="B39" s="504"/>
      <c r="C39" s="494"/>
      <c r="D39" s="477">
        <v>46085</v>
      </c>
      <c r="E39" s="84">
        <f t="shared" si="7"/>
        <v>0</v>
      </c>
      <c r="F39" s="85">
        <f t="shared" si="8"/>
        <v>0</v>
      </c>
      <c r="G39" s="44">
        <f>SUMIF(SK스토아_raw!$AM:$AM,매출요약!$D39,SK스토아_raw!$AQ:$AQ)</f>
        <v>0</v>
      </c>
      <c r="H39" s="101">
        <f>SUMIF(SK스토아_raw!$AM:$AM,$D39,SK스토아_raw!$AN:$AN)</f>
        <v>0</v>
      </c>
      <c r="I39" s="44">
        <f>SUMIFS(출고요청서_raw!$V:$V,출고요청서_raw!$Q:$Q,매출요약!$D39,출고요청서_raw!$R:$R,매출요약!$I$4)</f>
        <v>0</v>
      </c>
      <c r="J39" s="101">
        <f>SUMIFS(출고요청서_raw!$W:$W,출고요청서_raw!$Q:$Q,매출요약!$D39,출고요청서_raw!$R:$R,매출요약!$I$4)</f>
        <v>0</v>
      </c>
      <c r="K39" s="44">
        <f>SUMIFS(출고요청서_raw!$V:$V,출고요청서_raw!$Q:$Q,매출요약!$D39,출고요청서_raw!$R:$R,매출요약!$K$4)</f>
        <v>0</v>
      </c>
      <c r="L39" s="101">
        <f>SUMIFS(출고요청서_raw!$W:$W,출고요청서_raw!$Q:$Q,매출요약!$D39,출고요청서_raw!$R:$R,매출요약!$K$4)</f>
        <v>0</v>
      </c>
      <c r="M39" s="44">
        <f>SUMIFS(출고요청서_raw!$V:$V,출고요청서_raw!$Q:$Q,매출요약!$D39,출고요청서_raw!$R:$R,매출요약!$M$4)</f>
        <v>0</v>
      </c>
      <c r="N39" s="101">
        <f>SUMIFS(출고요청서_raw!$W:$W,출고요청서_raw!$Q:$Q,매출요약!$D39,출고요청서_raw!$R:$R,매출요약!$M$4)</f>
        <v>0</v>
      </c>
      <c r="O39" s="105">
        <f>SUMIFS(출고요청서_raw!$V:$V,출고요청서_raw!$Q:$Q,매출요약!$D39,출고요청서_raw!$R:$R,매출요약!$O$4)</f>
        <v>0</v>
      </c>
      <c r="P39" s="108">
        <f>SUMIFS(출고요청서_raw!$W:$W,출고요청서_raw!$Q:$Q,매출요약!$D39,출고요청서_raw!$R:$R,매출요약!$O$4)</f>
        <v>0</v>
      </c>
      <c r="Q39" s="44">
        <f>SUMIFS(출고요청서_raw!$V:$V,출고요청서_raw!$Q:$Q,매출요약!$D39,출고요청서_raw!$R:$R,매출요약!$Q$4)</f>
        <v>0</v>
      </c>
      <c r="R39" s="101">
        <f>SUMIFS(출고요청서_raw!$W:$W,출고요청서_raw!$Q:$Q,매출요약!$D39,출고요청서_raw!$R:$R,매출요약!$Q$4)</f>
        <v>0</v>
      </c>
    </row>
    <row r="40" spans="2:18" s="3" customFormat="1" ht="15" hidden="1" customHeight="1" outlineLevel="1">
      <c r="B40" s="504"/>
      <c r="C40" s="494"/>
      <c r="D40" s="477">
        <v>46086</v>
      </c>
      <c r="E40" s="84">
        <f t="shared" si="7"/>
        <v>0</v>
      </c>
      <c r="F40" s="85">
        <f t="shared" si="8"/>
        <v>0</v>
      </c>
      <c r="G40" s="44">
        <f>SUMIF(SK스토아_raw!$AM:$AM,매출요약!$D40,SK스토아_raw!$AQ:$AQ)</f>
        <v>0</v>
      </c>
      <c r="H40" s="101">
        <f>SUMIF(SK스토아_raw!$AM:$AM,$D40,SK스토아_raw!$AN:$AN)</f>
        <v>0</v>
      </c>
      <c r="I40" s="44">
        <f>SUMIFS(출고요청서_raw!$V:$V,출고요청서_raw!$Q:$Q,매출요약!$D40,출고요청서_raw!$R:$R,매출요약!$I$4)</f>
        <v>0</v>
      </c>
      <c r="J40" s="101">
        <f>SUMIFS(출고요청서_raw!$W:$W,출고요청서_raw!$Q:$Q,매출요약!$D40,출고요청서_raw!$R:$R,매출요약!$I$4)</f>
        <v>0</v>
      </c>
      <c r="K40" s="44">
        <f>SUMIFS(출고요청서_raw!$V:$V,출고요청서_raw!$Q:$Q,매출요약!$D40,출고요청서_raw!$R:$R,매출요약!$K$4)</f>
        <v>0</v>
      </c>
      <c r="L40" s="101">
        <f>SUMIFS(출고요청서_raw!$W:$W,출고요청서_raw!$Q:$Q,매출요약!$D40,출고요청서_raw!$R:$R,매출요약!$K$4)</f>
        <v>0</v>
      </c>
      <c r="M40" s="44">
        <f>SUMIFS(출고요청서_raw!$V:$V,출고요청서_raw!$Q:$Q,매출요약!$D40,출고요청서_raw!$R:$R,매출요약!$M$4)</f>
        <v>0</v>
      </c>
      <c r="N40" s="101">
        <f>SUMIFS(출고요청서_raw!$W:$W,출고요청서_raw!$Q:$Q,매출요약!$D40,출고요청서_raw!$R:$R,매출요약!$M$4)</f>
        <v>0</v>
      </c>
      <c r="O40" s="105">
        <f>SUMIFS(출고요청서_raw!$V:$V,출고요청서_raw!$Q:$Q,매출요약!$D40,출고요청서_raw!$R:$R,매출요약!$O$4)</f>
        <v>0</v>
      </c>
      <c r="P40" s="108">
        <f>SUMIFS(출고요청서_raw!$W:$W,출고요청서_raw!$Q:$Q,매출요약!$D40,출고요청서_raw!$R:$R,매출요약!$O$4)</f>
        <v>0</v>
      </c>
      <c r="Q40" s="44">
        <f>SUMIFS(출고요청서_raw!$V:$V,출고요청서_raw!$Q:$Q,매출요약!$D40,출고요청서_raw!$R:$R,매출요약!$Q$4)</f>
        <v>0</v>
      </c>
      <c r="R40" s="101">
        <f>SUMIFS(출고요청서_raw!$W:$W,출고요청서_raw!$Q:$Q,매출요약!$D40,출고요청서_raw!$R:$R,매출요약!$Q$4)</f>
        <v>0</v>
      </c>
    </row>
    <row r="41" spans="2:18" s="3" customFormat="1" ht="15" hidden="1" customHeight="1" outlineLevel="1">
      <c r="B41" s="504"/>
      <c r="C41" s="494"/>
      <c r="D41" s="477">
        <v>46087</v>
      </c>
      <c r="E41" s="84">
        <f t="shared" si="7"/>
        <v>0</v>
      </c>
      <c r="F41" s="85">
        <f t="shared" si="8"/>
        <v>0</v>
      </c>
      <c r="G41" s="44">
        <f>SUMIF(SK스토아_raw!$AM:$AM,매출요약!$D41,SK스토아_raw!$AQ:$AQ)</f>
        <v>0</v>
      </c>
      <c r="H41" s="101">
        <f>SUMIF(SK스토아_raw!$AM:$AM,$D41,SK스토아_raw!$AN:$AN)</f>
        <v>0</v>
      </c>
      <c r="I41" s="44">
        <f>SUMIFS(출고요청서_raw!$V:$V,출고요청서_raw!$Q:$Q,매출요약!$D41,출고요청서_raw!$R:$R,매출요약!$I$4)</f>
        <v>0</v>
      </c>
      <c r="J41" s="101">
        <f>SUMIFS(출고요청서_raw!$W:$W,출고요청서_raw!$Q:$Q,매출요약!$D41,출고요청서_raw!$R:$R,매출요약!$I$4)</f>
        <v>0</v>
      </c>
      <c r="K41" s="44">
        <f>SUMIFS(출고요청서_raw!$V:$V,출고요청서_raw!$Q:$Q,매출요약!$D41,출고요청서_raw!$R:$R,매출요약!$K$4)</f>
        <v>0</v>
      </c>
      <c r="L41" s="101">
        <f>SUMIFS(출고요청서_raw!$W:$W,출고요청서_raw!$Q:$Q,매출요약!$D41,출고요청서_raw!$R:$R,매출요약!$K$4)</f>
        <v>0</v>
      </c>
      <c r="M41" s="44">
        <f>SUMIFS(출고요청서_raw!$V:$V,출고요청서_raw!$Q:$Q,매출요약!$D41,출고요청서_raw!$R:$R,매출요약!$M$4)</f>
        <v>0</v>
      </c>
      <c r="N41" s="101">
        <f>SUMIFS(출고요청서_raw!$W:$W,출고요청서_raw!$Q:$Q,매출요약!$D41,출고요청서_raw!$R:$R,매출요약!$M$4)</f>
        <v>0</v>
      </c>
      <c r="O41" s="105">
        <f>SUMIFS(출고요청서_raw!$V:$V,출고요청서_raw!$Q:$Q,매출요약!$D41,출고요청서_raw!$R:$R,매출요약!$O$4)</f>
        <v>0</v>
      </c>
      <c r="P41" s="108">
        <f>SUMIFS(출고요청서_raw!$W:$W,출고요청서_raw!$Q:$Q,매출요약!$D41,출고요청서_raw!$R:$R,매출요약!$O$4)</f>
        <v>0</v>
      </c>
      <c r="Q41" s="44">
        <f>SUMIFS(출고요청서_raw!$V:$V,출고요청서_raw!$Q:$Q,매출요약!$D41,출고요청서_raw!$R:$R,매출요약!$Q$4)</f>
        <v>0</v>
      </c>
      <c r="R41" s="101">
        <f>SUMIFS(출고요청서_raw!$W:$W,출고요청서_raw!$Q:$Q,매출요약!$D41,출고요청서_raw!$R:$R,매출요약!$Q$4)</f>
        <v>0</v>
      </c>
    </row>
    <row r="42" spans="2:18" s="3" customFormat="1" ht="15" hidden="1" customHeight="1" outlineLevel="1">
      <c r="B42" s="504"/>
      <c r="C42" s="494"/>
      <c r="D42" s="476">
        <v>46088</v>
      </c>
      <c r="E42" s="84">
        <f t="shared" si="7"/>
        <v>0</v>
      </c>
      <c r="F42" s="85">
        <f t="shared" si="8"/>
        <v>0</v>
      </c>
      <c r="G42" s="44">
        <f>SUMIF(SK스토아_raw!$AM:$AM,매출요약!$D42,SK스토아_raw!$AQ:$AQ)</f>
        <v>0</v>
      </c>
      <c r="H42" s="101">
        <f>SUMIF(SK스토아_raw!$AM:$AM,$D42,SK스토아_raw!$AN:$AN)</f>
        <v>0</v>
      </c>
      <c r="I42" s="44">
        <f>SUMIFS(출고요청서_raw!$V:$V,출고요청서_raw!$Q:$Q,매출요약!$D42,출고요청서_raw!$R:$R,매출요약!$I$4)</f>
        <v>0</v>
      </c>
      <c r="J42" s="101">
        <f>SUMIFS(출고요청서_raw!$W:$W,출고요청서_raw!$Q:$Q,매출요약!$D42,출고요청서_raw!$R:$R,매출요약!$I$4)</f>
        <v>0</v>
      </c>
      <c r="K42" s="44">
        <f>SUMIFS(출고요청서_raw!$V:$V,출고요청서_raw!$Q:$Q,매출요약!$D42,출고요청서_raw!$R:$R,매출요약!$K$4)</f>
        <v>0</v>
      </c>
      <c r="L42" s="101">
        <f>SUMIFS(출고요청서_raw!$W:$W,출고요청서_raw!$Q:$Q,매출요약!$D42,출고요청서_raw!$R:$R,매출요약!$K$4)</f>
        <v>0</v>
      </c>
      <c r="M42" s="44">
        <f>SUMIFS(출고요청서_raw!$V:$V,출고요청서_raw!$Q:$Q,매출요약!$D42,출고요청서_raw!$R:$R,매출요약!$M$4)</f>
        <v>0</v>
      </c>
      <c r="N42" s="101">
        <f>SUMIFS(출고요청서_raw!$W:$W,출고요청서_raw!$Q:$Q,매출요약!$D42,출고요청서_raw!$R:$R,매출요약!$M$4)</f>
        <v>0</v>
      </c>
      <c r="O42" s="105">
        <f>SUMIFS(출고요청서_raw!$V:$V,출고요청서_raw!$Q:$Q,매출요약!$D42,출고요청서_raw!$R:$R,매출요약!$O$4)</f>
        <v>0</v>
      </c>
      <c r="P42" s="108">
        <f>SUMIFS(출고요청서_raw!$W:$W,출고요청서_raw!$Q:$Q,매출요약!$D42,출고요청서_raw!$R:$R,매출요약!$O$4)</f>
        <v>0</v>
      </c>
      <c r="Q42" s="44">
        <f>SUMIFS(출고요청서_raw!$V:$V,출고요청서_raw!$Q:$Q,매출요약!$D42,출고요청서_raw!$R:$R,매출요약!$Q$4)</f>
        <v>0</v>
      </c>
      <c r="R42" s="101">
        <f>SUMIFS(출고요청서_raw!$W:$W,출고요청서_raw!$Q:$Q,매출요약!$D42,출고요청서_raw!$R:$R,매출요약!$Q$4)</f>
        <v>0</v>
      </c>
    </row>
    <row r="43" spans="2:18" s="3" customFormat="1" ht="15" hidden="1" customHeight="1" outlineLevel="1">
      <c r="B43" s="504"/>
      <c r="C43" s="494"/>
      <c r="D43" s="476">
        <v>46089</v>
      </c>
      <c r="E43" s="84">
        <f t="shared" si="7"/>
        <v>0</v>
      </c>
      <c r="F43" s="85">
        <f t="shared" si="8"/>
        <v>0</v>
      </c>
      <c r="G43" s="44">
        <f>SUMIF(SK스토아_raw!$AM:$AM,매출요약!$D43,SK스토아_raw!$AQ:$AQ)</f>
        <v>0</v>
      </c>
      <c r="H43" s="101">
        <f>SUMIF(SK스토아_raw!$AM:$AM,$D43,SK스토아_raw!$AN:$AN)</f>
        <v>0</v>
      </c>
      <c r="I43" s="44">
        <f>SUMIFS(출고요청서_raw!$V:$V,출고요청서_raw!$Q:$Q,매출요약!$D43,출고요청서_raw!$R:$R,매출요약!$I$4)</f>
        <v>0</v>
      </c>
      <c r="J43" s="101">
        <f>SUMIFS(출고요청서_raw!$W:$W,출고요청서_raw!$Q:$Q,매출요약!$D43,출고요청서_raw!$R:$R,매출요약!$I$4)</f>
        <v>0</v>
      </c>
      <c r="K43" s="44">
        <f>SUMIFS(출고요청서_raw!$V:$V,출고요청서_raw!$Q:$Q,매출요약!$D43,출고요청서_raw!$R:$R,매출요약!$K$4)</f>
        <v>0</v>
      </c>
      <c r="L43" s="101">
        <f>SUMIFS(출고요청서_raw!$W:$W,출고요청서_raw!$Q:$Q,매출요약!$D43,출고요청서_raw!$R:$R,매출요약!$K$4)</f>
        <v>0</v>
      </c>
      <c r="M43" s="44">
        <f>SUMIFS(출고요청서_raw!$V:$V,출고요청서_raw!$Q:$Q,매출요약!$D43,출고요청서_raw!$R:$R,매출요약!$M$4)</f>
        <v>0</v>
      </c>
      <c r="N43" s="101">
        <f>SUMIFS(출고요청서_raw!$W:$W,출고요청서_raw!$Q:$Q,매출요약!$D43,출고요청서_raw!$R:$R,매출요약!$M$4)</f>
        <v>0</v>
      </c>
      <c r="O43" s="105">
        <f>SUMIFS(출고요청서_raw!$V:$V,출고요청서_raw!$Q:$Q,매출요약!$D43,출고요청서_raw!$R:$R,매출요약!$O$4)</f>
        <v>0</v>
      </c>
      <c r="P43" s="108">
        <f>SUMIFS(출고요청서_raw!$W:$W,출고요청서_raw!$Q:$Q,매출요약!$D43,출고요청서_raw!$R:$R,매출요약!$O$4)</f>
        <v>0</v>
      </c>
      <c r="Q43" s="44">
        <f>SUMIFS(출고요청서_raw!$V:$V,출고요청서_raw!$Q:$Q,매출요약!$D43,출고요청서_raw!$R:$R,매출요약!$Q$4)</f>
        <v>0</v>
      </c>
      <c r="R43" s="101">
        <f>SUMIFS(출고요청서_raw!$W:$W,출고요청서_raw!$Q:$Q,매출요약!$D43,출고요청서_raw!$R:$R,매출요약!$Q$4)</f>
        <v>0</v>
      </c>
    </row>
    <row r="44" spans="2:18" s="3" customFormat="1" ht="15" hidden="1" customHeight="1" outlineLevel="1">
      <c r="B44" s="504"/>
      <c r="C44" s="494" t="s">
        <v>23</v>
      </c>
      <c r="D44" s="477">
        <v>46090</v>
      </c>
      <c r="E44" s="84">
        <f t="shared" si="7"/>
        <v>0</v>
      </c>
      <c r="F44" s="85">
        <f t="shared" si="8"/>
        <v>0</v>
      </c>
      <c r="G44" s="44">
        <f>SUMIF(SK스토아_raw!$AM:$AM,매출요약!$D44,SK스토아_raw!$AQ:$AQ)</f>
        <v>0</v>
      </c>
      <c r="H44" s="101">
        <f>SUMIF(SK스토아_raw!$AM:$AM,$D44,SK스토아_raw!$AN:$AN)</f>
        <v>0</v>
      </c>
      <c r="I44" s="44">
        <f>SUMIFS(출고요청서_raw!$V:$V,출고요청서_raw!$Q:$Q,매출요약!$D44,출고요청서_raw!$R:$R,매출요약!$I$4)</f>
        <v>0</v>
      </c>
      <c r="J44" s="101">
        <f>SUMIFS(출고요청서_raw!$W:$W,출고요청서_raw!$Q:$Q,매출요약!$D44,출고요청서_raw!$R:$R,매출요약!$I$4)</f>
        <v>0</v>
      </c>
      <c r="K44" s="44">
        <f>SUMIFS(출고요청서_raw!$V:$V,출고요청서_raw!$Q:$Q,매출요약!$D44,출고요청서_raw!$R:$R,매출요약!$K$4)</f>
        <v>0</v>
      </c>
      <c r="L44" s="101">
        <f>SUMIFS(출고요청서_raw!$W:$W,출고요청서_raw!$Q:$Q,매출요약!$D44,출고요청서_raw!$R:$R,매출요약!$K$4)</f>
        <v>0</v>
      </c>
      <c r="M44" s="44">
        <f>SUMIFS(출고요청서_raw!$V:$V,출고요청서_raw!$Q:$Q,매출요약!$D44,출고요청서_raw!$R:$R,매출요약!$M$4)</f>
        <v>0</v>
      </c>
      <c r="N44" s="101">
        <f>SUMIFS(출고요청서_raw!$W:$W,출고요청서_raw!$Q:$Q,매출요약!$D44,출고요청서_raw!$R:$R,매출요약!$M$4)</f>
        <v>0</v>
      </c>
      <c r="O44" s="105">
        <f>SUMIFS(출고요청서_raw!$V:$V,출고요청서_raw!$Q:$Q,매출요약!$D44,출고요청서_raw!$R:$R,매출요약!$O$4)</f>
        <v>0</v>
      </c>
      <c r="P44" s="108">
        <f>SUMIFS(출고요청서_raw!$W:$W,출고요청서_raw!$Q:$Q,매출요약!$D44,출고요청서_raw!$R:$R,매출요약!$O$4)</f>
        <v>0</v>
      </c>
      <c r="Q44" s="44">
        <f>SUMIFS(출고요청서_raw!$V:$V,출고요청서_raw!$Q:$Q,매출요약!$D44,출고요청서_raw!$R:$R,매출요약!$Q$4)</f>
        <v>0</v>
      </c>
      <c r="R44" s="101">
        <f>SUMIFS(출고요청서_raw!$W:$W,출고요청서_raw!$Q:$Q,매출요약!$D44,출고요청서_raw!$R:$R,매출요약!$Q$4)</f>
        <v>0</v>
      </c>
    </row>
    <row r="45" spans="2:18" s="3" customFormat="1" ht="15" hidden="1" customHeight="1" outlineLevel="1">
      <c r="B45" s="504"/>
      <c r="C45" s="494"/>
      <c r="D45" s="477">
        <v>46091</v>
      </c>
      <c r="E45" s="84">
        <f t="shared" si="7"/>
        <v>0</v>
      </c>
      <c r="F45" s="85">
        <f t="shared" si="8"/>
        <v>0</v>
      </c>
      <c r="G45" s="44">
        <f>SUMIF(SK스토아_raw!$AM:$AM,매출요약!$D45,SK스토아_raw!$AQ:$AQ)</f>
        <v>0</v>
      </c>
      <c r="H45" s="101">
        <f>SUMIF(SK스토아_raw!$AM:$AM,$D45,SK스토아_raw!$AN:$AN)</f>
        <v>0</v>
      </c>
      <c r="I45" s="44">
        <f>SUMIFS(출고요청서_raw!$V:$V,출고요청서_raw!$Q:$Q,매출요약!$D45,출고요청서_raw!$R:$R,매출요약!$I$4)</f>
        <v>0</v>
      </c>
      <c r="J45" s="101">
        <f>SUMIFS(출고요청서_raw!$W:$W,출고요청서_raw!$Q:$Q,매출요약!$D45,출고요청서_raw!$R:$R,매출요약!$I$4)</f>
        <v>0</v>
      </c>
      <c r="K45" s="44">
        <f>SUMIFS(출고요청서_raw!$V:$V,출고요청서_raw!$Q:$Q,매출요약!$D45,출고요청서_raw!$R:$R,매출요약!$K$4)</f>
        <v>0</v>
      </c>
      <c r="L45" s="101">
        <f>SUMIFS(출고요청서_raw!$W:$W,출고요청서_raw!$Q:$Q,매출요약!$D45,출고요청서_raw!$R:$R,매출요약!$K$4)</f>
        <v>0</v>
      </c>
      <c r="M45" s="44">
        <f>SUMIFS(출고요청서_raw!$V:$V,출고요청서_raw!$Q:$Q,매출요약!$D45,출고요청서_raw!$R:$R,매출요약!$M$4)</f>
        <v>0</v>
      </c>
      <c r="N45" s="101">
        <f>SUMIFS(출고요청서_raw!$W:$W,출고요청서_raw!$Q:$Q,매출요약!$D45,출고요청서_raw!$R:$R,매출요약!$M$4)</f>
        <v>0</v>
      </c>
      <c r="O45" s="105">
        <f>SUMIFS(출고요청서_raw!$V:$V,출고요청서_raw!$Q:$Q,매출요약!$D45,출고요청서_raw!$R:$R,매출요약!$O$4)</f>
        <v>0</v>
      </c>
      <c r="P45" s="108">
        <f>SUMIFS(출고요청서_raw!$W:$W,출고요청서_raw!$Q:$Q,매출요약!$D45,출고요청서_raw!$R:$R,매출요약!$O$4)</f>
        <v>0</v>
      </c>
      <c r="Q45" s="44">
        <f>SUMIFS(출고요청서_raw!$V:$V,출고요청서_raw!$Q:$Q,매출요약!$D45,출고요청서_raw!$R:$R,매출요약!$Q$4)</f>
        <v>0</v>
      </c>
      <c r="R45" s="101">
        <f>SUMIFS(출고요청서_raw!$W:$W,출고요청서_raw!$Q:$Q,매출요약!$D45,출고요청서_raw!$R:$R,매출요약!$Q$4)</f>
        <v>0</v>
      </c>
    </row>
    <row r="46" spans="2:18" s="3" customFormat="1" ht="15" hidden="1" customHeight="1" outlineLevel="1">
      <c r="B46" s="504"/>
      <c r="C46" s="494"/>
      <c r="D46" s="477">
        <v>46092</v>
      </c>
      <c r="E46" s="84">
        <f t="shared" si="7"/>
        <v>0</v>
      </c>
      <c r="F46" s="85">
        <f t="shared" si="8"/>
        <v>0</v>
      </c>
      <c r="G46" s="44">
        <f>SUMIF(SK스토아_raw!$AM:$AM,매출요약!$D46,SK스토아_raw!$AQ:$AQ)</f>
        <v>0</v>
      </c>
      <c r="H46" s="101">
        <f>SUMIF(SK스토아_raw!$AM:$AM,$D46,SK스토아_raw!$AN:$AN)</f>
        <v>0</v>
      </c>
      <c r="I46" s="44">
        <f>SUMIFS(출고요청서_raw!$V:$V,출고요청서_raw!$Q:$Q,매출요약!$D46,출고요청서_raw!$R:$R,매출요약!$I$4)</f>
        <v>0</v>
      </c>
      <c r="J46" s="101">
        <f>SUMIFS(출고요청서_raw!$W:$W,출고요청서_raw!$Q:$Q,매출요약!$D46,출고요청서_raw!$R:$R,매출요약!$I$4)</f>
        <v>0</v>
      </c>
      <c r="K46" s="44">
        <f>SUMIFS(출고요청서_raw!$V:$V,출고요청서_raw!$Q:$Q,매출요약!$D46,출고요청서_raw!$R:$R,매출요약!$K$4)</f>
        <v>0</v>
      </c>
      <c r="L46" s="101">
        <f>SUMIFS(출고요청서_raw!$W:$W,출고요청서_raw!$Q:$Q,매출요약!$D46,출고요청서_raw!$R:$R,매출요약!$K$4)</f>
        <v>0</v>
      </c>
      <c r="M46" s="44">
        <f>SUMIFS(출고요청서_raw!$V:$V,출고요청서_raw!$Q:$Q,매출요약!$D46,출고요청서_raw!$R:$R,매출요약!$M$4)</f>
        <v>0</v>
      </c>
      <c r="N46" s="101">
        <f>SUMIFS(출고요청서_raw!$W:$W,출고요청서_raw!$Q:$Q,매출요약!$D46,출고요청서_raw!$R:$R,매출요약!$M$4)</f>
        <v>0</v>
      </c>
      <c r="O46" s="105">
        <f>SUMIFS(출고요청서_raw!$V:$V,출고요청서_raw!$Q:$Q,매출요약!$D46,출고요청서_raw!$R:$R,매출요약!$O$4)</f>
        <v>0</v>
      </c>
      <c r="P46" s="108">
        <f>SUMIFS(출고요청서_raw!$W:$W,출고요청서_raw!$Q:$Q,매출요약!$D46,출고요청서_raw!$R:$R,매출요약!$O$4)</f>
        <v>0</v>
      </c>
      <c r="Q46" s="44">
        <f>SUMIFS(출고요청서_raw!$V:$V,출고요청서_raw!$Q:$Q,매출요약!$D46,출고요청서_raw!$R:$R,매출요약!$Q$4)</f>
        <v>0</v>
      </c>
      <c r="R46" s="101">
        <f>SUMIFS(출고요청서_raw!$W:$W,출고요청서_raw!$Q:$Q,매출요약!$D46,출고요청서_raw!$R:$R,매출요약!$Q$4)</f>
        <v>0</v>
      </c>
    </row>
    <row r="47" spans="2:18" s="3" customFormat="1" ht="15" hidden="1" customHeight="1" outlineLevel="1">
      <c r="B47" s="504"/>
      <c r="C47" s="494"/>
      <c r="D47" s="477">
        <v>46093</v>
      </c>
      <c r="E47" s="84">
        <f t="shared" si="7"/>
        <v>0</v>
      </c>
      <c r="F47" s="85">
        <f t="shared" si="8"/>
        <v>0</v>
      </c>
      <c r="G47" s="44">
        <f>SUMIF(SK스토아_raw!$AM:$AM,매출요약!$D47,SK스토아_raw!$AQ:$AQ)</f>
        <v>0</v>
      </c>
      <c r="H47" s="101">
        <f>SUMIF(SK스토아_raw!$AM:$AM,$D47,SK스토아_raw!$AN:$AN)</f>
        <v>0</v>
      </c>
      <c r="I47" s="44">
        <f>SUMIFS(출고요청서_raw!$V:$V,출고요청서_raw!$Q:$Q,매출요약!$D47,출고요청서_raw!$R:$R,매출요약!$I$4)</f>
        <v>0</v>
      </c>
      <c r="J47" s="101">
        <f>SUMIFS(출고요청서_raw!$W:$W,출고요청서_raw!$Q:$Q,매출요약!$D47,출고요청서_raw!$R:$R,매출요약!$I$4)</f>
        <v>0</v>
      </c>
      <c r="K47" s="44">
        <f>SUMIFS(출고요청서_raw!$V:$V,출고요청서_raw!$Q:$Q,매출요약!$D47,출고요청서_raw!$R:$R,매출요약!$K$4)</f>
        <v>0</v>
      </c>
      <c r="L47" s="101">
        <f>SUMIFS(출고요청서_raw!$W:$W,출고요청서_raw!$Q:$Q,매출요약!$D47,출고요청서_raw!$R:$R,매출요약!$K$4)</f>
        <v>0</v>
      </c>
      <c r="M47" s="44">
        <f>SUMIFS(출고요청서_raw!$V:$V,출고요청서_raw!$Q:$Q,매출요약!$D47,출고요청서_raw!$R:$R,매출요약!$M$4)</f>
        <v>0</v>
      </c>
      <c r="N47" s="101">
        <f>SUMIFS(출고요청서_raw!$W:$W,출고요청서_raw!$Q:$Q,매출요약!$D47,출고요청서_raw!$R:$R,매출요약!$M$4)</f>
        <v>0</v>
      </c>
      <c r="O47" s="105">
        <f>SUMIFS(출고요청서_raw!$V:$V,출고요청서_raw!$Q:$Q,매출요약!$D47,출고요청서_raw!$R:$R,매출요약!$O$4)</f>
        <v>0</v>
      </c>
      <c r="P47" s="108">
        <f>SUMIFS(출고요청서_raw!$W:$W,출고요청서_raw!$Q:$Q,매출요약!$D47,출고요청서_raw!$R:$R,매출요약!$O$4)</f>
        <v>0</v>
      </c>
      <c r="Q47" s="44">
        <f>SUMIFS(출고요청서_raw!$V:$V,출고요청서_raw!$Q:$Q,매출요약!$D47,출고요청서_raw!$R:$R,매출요약!$Q$4)</f>
        <v>0</v>
      </c>
      <c r="R47" s="101">
        <f>SUMIFS(출고요청서_raw!$W:$W,출고요청서_raw!$Q:$Q,매출요약!$D47,출고요청서_raw!$R:$R,매출요약!$Q$4)</f>
        <v>0</v>
      </c>
    </row>
    <row r="48" spans="2:18" s="3" customFormat="1" ht="15" hidden="1" customHeight="1" outlineLevel="1">
      <c r="B48" s="504"/>
      <c r="C48" s="494"/>
      <c r="D48" s="477">
        <v>46094</v>
      </c>
      <c r="E48" s="84">
        <f t="shared" ref="E48:E57" si="9">SUM(G48,I48,K48,M48,Q48)</f>
        <v>0</v>
      </c>
      <c r="F48" s="85">
        <f t="shared" ref="F48:F57" si="10">SUM(H48,J48,L48,N48,R48)</f>
        <v>0</v>
      </c>
      <c r="G48" s="44">
        <f>SUMIF(SK스토아_raw!$AM:$AM,매출요약!$D48,SK스토아_raw!$AQ:$AQ)</f>
        <v>0</v>
      </c>
      <c r="H48" s="101">
        <f>SUMIF(SK스토아_raw!$AM:$AM,$D48,SK스토아_raw!$AN:$AN)</f>
        <v>0</v>
      </c>
      <c r="I48" s="44">
        <f>SUMIFS(출고요청서_raw!$V:$V,출고요청서_raw!$Q:$Q,매출요약!$D48,출고요청서_raw!$R:$R,매출요약!$I$4)</f>
        <v>0</v>
      </c>
      <c r="J48" s="101">
        <f>SUMIFS(출고요청서_raw!$W:$W,출고요청서_raw!$Q:$Q,매출요약!$D48,출고요청서_raw!$R:$R,매출요약!$I$4)</f>
        <v>0</v>
      </c>
      <c r="K48" s="44">
        <f>SUMIFS(출고요청서_raw!$V:$V,출고요청서_raw!$Q:$Q,매출요약!$D48,출고요청서_raw!$R:$R,매출요약!$K$4)</f>
        <v>0</v>
      </c>
      <c r="L48" s="101">
        <f>SUMIFS(출고요청서_raw!$W:$W,출고요청서_raw!$Q:$Q,매출요약!$D48,출고요청서_raw!$R:$R,매출요약!$K$4)</f>
        <v>0</v>
      </c>
      <c r="M48" s="44">
        <f>SUMIFS(출고요청서_raw!$V:$V,출고요청서_raw!$Q:$Q,매출요약!$D48,출고요청서_raw!$R:$R,매출요약!$M$4)</f>
        <v>0</v>
      </c>
      <c r="N48" s="101">
        <f>SUMIFS(출고요청서_raw!$W:$W,출고요청서_raw!$Q:$Q,매출요약!$D48,출고요청서_raw!$R:$R,매출요약!$M$4)</f>
        <v>0</v>
      </c>
      <c r="O48" s="105">
        <f>SUMIFS(출고요청서_raw!$V:$V,출고요청서_raw!$Q:$Q,매출요약!$D48,출고요청서_raw!$R:$R,매출요약!$O$4)</f>
        <v>0</v>
      </c>
      <c r="P48" s="108">
        <f>SUMIFS(출고요청서_raw!$W:$W,출고요청서_raw!$Q:$Q,매출요약!$D48,출고요청서_raw!$R:$R,매출요약!$O$4)</f>
        <v>0</v>
      </c>
      <c r="Q48" s="44">
        <f>SUMIFS(출고요청서_raw!$V:$V,출고요청서_raw!$Q:$Q,매출요약!$D48,출고요청서_raw!$R:$R,매출요약!$Q$4)</f>
        <v>0</v>
      </c>
      <c r="R48" s="101">
        <f>SUMIFS(출고요청서_raw!$W:$W,출고요청서_raw!$Q:$Q,매출요약!$D48,출고요청서_raw!$R:$R,매출요약!$Q$4)</f>
        <v>0</v>
      </c>
    </row>
    <row r="49" spans="2:18" s="3" customFormat="1" ht="15" hidden="1" customHeight="1" outlineLevel="1">
      <c r="B49" s="504"/>
      <c r="C49" s="494"/>
      <c r="D49" s="476">
        <v>46095</v>
      </c>
      <c r="E49" s="84">
        <f t="shared" si="9"/>
        <v>0</v>
      </c>
      <c r="F49" s="85">
        <f t="shared" si="10"/>
        <v>0</v>
      </c>
      <c r="G49" s="44">
        <f>SUMIF(SK스토아_raw!$AM:$AM,매출요약!$D49,SK스토아_raw!$AQ:$AQ)</f>
        <v>0</v>
      </c>
      <c r="H49" s="101">
        <f>SUMIF(SK스토아_raw!$AM:$AM,$D49,SK스토아_raw!$AN:$AN)</f>
        <v>0</v>
      </c>
      <c r="I49" s="44">
        <f>SUMIFS(출고요청서_raw!$V:$V,출고요청서_raw!$Q:$Q,매출요약!$D49,출고요청서_raw!$R:$R,매출요약!$I$4)</f>
        <v>0</v>
      </c>
      <c r="J49" s="101">
        <f>SUMIFS(출고요청서_raw!$W:$W,출고요청서_raw!$Q:$Q,매출요약!$D49,출고요청서_raw!$R:$R,매출요약!$I$4)</f>
        <v>0</v>
      </c>
      <c r="K49" s="44">
        <f>SUMIFS(출고요청서_raw!$V:$V,출고요청서_raw!$Q:$Q,매출요약!$D49,출고요청서_raw!$R:$R,매출요약!$K$4)</f>
        <v>0</v>
      </c>
      <c r="L49" s="101">
        <f>SUMIFS(출고요청서_raw!$W:$W,출고요청서_raw!$Q:$Q,매출요약!$D49,출고요청서_raw!$R:$R,매출요약!$K$4)</f>
        <v>0</v>
      </c>
      <c r="M49" s="44">
        <f>SUMIFS(출고요청서_raw!$V:$V,출고요청서_raw!$Q:$Q,매출요약!$D49,출고요청서_raw!$R:$R,매출요약!$M$4)</f>
        <v>0</v>
      </c>
      <c r="N49" s="101">
        <f>SUMIFS(출고요청서_raw!$W:$W,출고요청서_raw!$Q:$Q,매출요약!$D49,출고요청서_raw!$R:$R,매출요약!$M$4)</f>
        <v>0</v>
      </c>
      <c r="O49" s="105">
        <f>SUMIFS(출고요청서_raw!$V:$V,출고요청서_raw!$Q:$Q,매출요약!$D49,출고요청서_raw!$R:$R,매출요약!$O$4)</f>
        <v>0</v>
      </c>
      <c r="P49" s="108">
        <f>SUMIFS(출고요청서_raw!$W:$W,출고요청서_raw!$Q:$Q,매출요약!$D49,출고요청서_raw!$R:$R,매출요약!$O$4)</f>
        <v>0</v>
      </c>
      <c r="Q49" s="44">
        <f>SUMIFS(출고요청서_raw!$V:$V,출고요청서_raw!$Q:$Q,매출요약!$D49,출고요청서_raw!$R:$R,매출요약!$Q$4)</f>
        <v>0</v>
      </c>
      <c r="R49" s="101">
        <f>SUMIFS(출고요청서_raw!$W:$W,출고요청서_raw!$Q:$Q,매출요약!$D49,출고요청서_raw!$R:$R,매출요약!$Q$4)</f>
        <v>0</v>
      </c>
    </row>
    <row r="50" spans="2:18" s="3" customFormat="1" ht="15" hidden="1" customHeight="1" outlineLevel="1">
      <c r="B50" s="504"/>
      <c r="C50" s="494"/>
      <c r="D50" s="476">
        <v>46096</v>
      </c>
      <c r="E50" s="84">
        <f t="shared" si="9"/>
        <v>0</v>
      </c>
      <c r="F50" s="85">
        <f t="shared" si="10"/>
        <v>0</v>
      </c>
      <c r="G50" s="44">
        <f>SUMIF(SK스토아_raw!$AM:$AM,매출요약!$D50,SK스토아_raw!$AQ:$AQ)</f>
        <v>0</v>
      </c>
      <c r="H50" s="101">
        <f>SUMIF(SK스토아_raw!$AM:$AM,$D50,SK스토아_raw!$AN:$AN)</f>
        <v>0</v>
      </c>
      <c r="I50" s="44">
        <f>SUMIFS(출고요청서_raw!$V:$V,출고요청서_raw!$Q:$Q,매출요약!$D50,출고요청서_raw!$R:$R,매출요약!$I$4)</f>
        <v>0</v>
      </c>
      <c r="J50" s="101">
        <f>SUMIFS(출고요청서_raw!$W:$W,출고요청서_raw!$Q:$Q,매출요약!$D50,출고요청서_raw!$R:$R,매출요약!$I$4)</f>
        <v>0</v>
      </c>
      <c r="K50" s="44">
        <f>SUMIFS(출고요청서_raw!$V:$V,출고요청서_raw!$Q:$Q,매출요약!$D50,출고요청서_raw!$R:$R,매출요약!$K$4)</f>
        <v>0</v>
      </c>
      <c r="L50" s="101">
        <f>SUMIFS(출고요청서_raw!$W:$W,출고요청서_raw!$Q:$Q,매출요약!$D50,출고요청서_raw!$R:$R,매출요약!$K$4)</f>
        <v>0</v>
      </c>
      <c r="M50" s="44">
        <f>SUMIFS(출고요청서_raw!$V:$V,출고요청서_raw!$Q:$Q,매출요약!$D50,출고요청서_raw!$R:$R,매출요약!$M$4)</f>
        <v>0</v>
      </c>
      <c r="N50" s="101">
        <f>SUMIFS(출고요청서_raw!$W:$W,출고요청서_raw!$Q:$Q,매출요약!$D50,출고요청서_raw!$R:$R,매출요약!$M$4)</f>
        <v>0</v>
      </c>
      <c r="O50" s="105">
        <f>SUMIFS(출고요청서_raw!$V:$V,출고요청서_raw!$Q:$Q,매출요약!$D50,출고요청서_raw!$R:$R,매출요약!$O$4)</f>
        <v>0</v>
      </c>
      <c r="P50" s="108">
        <f>SUMIFS(출고요청서_raw!$W:$W,출고요청서_raw!$Q:$Q,매출요약!$D50,출고요청서_raw!$R:$R,매출요약!$O$4)</f>
        <v>0</v>
      </c>
      <c r="Q50" s="44">
        <f>SUMIFS(출고요청서_raw!$V:$V,출고요청서_raw!$Q:$Q,매출요약!$D50,출고요청서_raw!$R:$R,매출요약!$Q$4)</f>
        <v>0</v>
      </c>
      <c r="R50" s="101">
        <f>SUMIFS(출고요청서_raw!$W:$W,출고요청서_raw!$Q:$Q,매출요약!$D50,출고요청서_raw!$R:$R,매출요약!$Q$4)</f>
        <v>0</v>
      </c>
    </row>
    <row r="51" spans="2:18" s="3" customFormat="1" ht="15" hidden="1" customHeight="1" outlineLevel="1">
      <c r="B51" s="504"/>
      <c r="C51" s="494" t="s">
        <v>24</v>
      </c>
      <c r="D51" s="477">
        <v>46097</v>
      </c>
      <c r="E51" s="84">
        <f t="shared" si="9"/>
        <v>0</v>
      </c>
      <c r="F51" s="85">
        <f t="shared" si="10"/>
        <v>0</v>
      </c>
      <c r="G51" s="44">
        <f>SUMIF(SK스토아_raw!$AM:$AM,매출요약!$D51,SK스토아_raw!$AQ:$AQ)</f>
        <v>0</v>
      </c>
      <c r="H51" s="101">
        <f>SUMIF(SK스토아_raw!$AM:$AM,$D51,SK스토아_raw!$AN:$AN)</f>
        <v>0</v>
      </c>
      <c r="I51" s="44">
        <f>SUMIFS(출고요청서_raw!$V:$V,출고요청서_raw!$Q:$Q,매출요약!$D51,출고요청서_raw!$R:$R,매출요약!$I$4)</f>
        <v>0</v>
      </c>
      <c r="J51" s="101">
        <f>SUMIFS(출고요청서_raw!$W:$W,출고요청서_raw!$Q:$Q,매출요약!$D51,출고요청서_raw!$R:$R,매출요약!$I$4)</f>
        <v>0</v>
      </c>
      <c r="K51" s="44">
        <f>SUMIFS(출고요청서_raw!$V:$V,출고요청서_raw!$Q:$Q,매출요약!$D51,출고요청서_raw!$R:$R,매출요약!$K$4)</f>
        <v>0</v>
      </c>
      <c r="L51" s="101">
        <f>SUMIFS(출고요청서_raw!$W:$W,출고요청서_raw!$Q:$Q,매출요약!$D51,출고요청서_raw!$R:$R,매출요약!$K$4)</f>
        <v>0</v>
      </c>
      <c r="M51" s="44">
        <f>SUMIFS(출고요청서_raw!$V:$V,출고요청서_raw!$Q:$Q,매출요약!$D51,출고요청서_raw!$R:$R,매출요약!$M$4)</f>
        <v>0</v>
      </c>
      <c r="N51" s="101">
        <f>SUMIFS(출고요청서_raw!$W:$W,출고요청서_raw!$Q:$Q,매출요약!$D51,출고요청서_raw!$R:$R,매출요약!$M$4)</f>
        <v>0</v>
      </c>
      <c r="O51" s="105">
        <f>SUMIFS(출고요청서_raw!$V:$V,출고요청서_raw!$Q:$Q,매출요약!$D51,출고요청서_raw!$R:$R,매출요약!$O$4)</f>
        <v>0</v>
      </c>
      <c r="P51" s="108">
        <f>SUMIFS(출고요청서_raw!$W:$W,출고요청서_raw!$Q:$Q,매출요약!$D51,출고요청서_raw!$R:$R,매출요약!$O$4)</f>
        <v>0</v>
      </c>
      <c r="Q51" s="44">
        <f>SUMIFS(출고요청서_raw!$V:$V,출고요청서_raw!$Q:$Q,매출요약!$D51,출고요청서_raw!$R:$R,매출요약!$Q$4)</f>
        <v>0</v>
      </c>
      <c r="R51" s="101">
        <f>SUMIFS(출고요청서_raw!$W:$W,출고요청서_raw!$Q:$Q,매출요약!$D51,출고요청서_raw!$R:$R,매출요약!$Q$4)</f>
        <v>0</v>
      </c>
    </row>
    <row r="52" spans="2:18" s="3" customFormat="1" ht="15" hidden="1" customHeight="1" outlineLevel="1">
      <c r="B52" s="504"/>
      <c r="C52" s="494"/>
      <c r="D52" s="477">
        <v>46098</v>
      </c>
      <c r="E52" s="84">
        <f t="shared" si="9"/>
        <v>0</v>
      </c>
      <c r="F52" s="85">
        <f t="shared" si="10"/>
        <v>0</v>
      </c>
      <c r="G52" s="44">
        <f>SUMIF(SK스토아_raw!$AM:$AM,매출요약!$D52,SK스토아_raw!$AQ:$AQ)</f>
        <v>0</v>
      </c>
      <c r="H52" s="101">
        <f>SUMIF(SK스토아_raw!$AM:$AM,$D52,SK스토아_raw!$AN:$AN)</f>
        <v>0</v>
      </c>
      <c r="I52" s="44">
        <f>SUMIFS(출고요청서_raw!$V:$V,출고요청서_raw!$Q:$Q,매출요약!$D52,출고요청서_raw!$R:$R,매출요약!$I$4)</f>
        <v>0</v>
      </c>
      <c r="J52" s="101">
        <f>SUMIFS(출고요청서_raw!$W:$W,출고요청서_raw!$Q:$Q,매출요약!$D52,출고요청서_raw!$R:$R,매출요약!$I$4)</f>
        <v>0</v>
      </c>
      <c r="K52" s="44">
        <f>SUMIFS(출고요청서_raw!$V:$V,출고요청서_raw!$Q:$Q,매출요약!$D52,출고요청서_raw!$R:$R,매출요약!$K$4)</f>
        <v>0</v>
      </c>
      <c r="L52" s="101">
        <f>SUMIFS(출고요청서_raw!$W:$W,출고요청서_raw!$Q:$Q,매출요약!$D52,출고요청서_raw!$R:$R,매출요약!$K$4)</f>
        <v>0</v>
      </c>
      <c r="M52" s="44">
        <f>SUMIFS(출고요청서_raw!$V:$V,출고요청서_raw!$Q:$Q,매출요약!$D52,출고요청서_raw!$R:$R,매출요약!$M$4)</f>
        <v>0</v>
      </c>
      <c r="N52" s="101">
        <f>SUMIFS(출고요청서_raw!$W:$W,출고요청서_raw!$Q:$Q,매출요약!$D52,출고요청서_raw!$R:$R,매출요약!$M$4)</f>
        <v>0</v>
      </c>
      <c r="O52" s="105">
        <f>SUMIFS(출고요청서_raw!$V:$V,출고요청서_raw!$Q:$Q,매출요약!$D52,출고요청서_raw!$R:$R,매출요약!$O$4)</f>
        <v>0</v>
      </c>
      <c r="P52" s="108">
        <f>SUMIFS(출고요청서_raw!$W:$W,출고요청서_raw!$Q:$Q,매출요약!$D52,출고요청서_raw!$R:$R,매출요약!$O$4)</f>
        <v>0</v>
      </c>
      <c r="Q52" s="44">
        <f>SUMIFS(출고요청서_raw!$V:$V,출고요청서_raw!$Q:$Q,매출요약!$D52,출고요청서_raw!$R:$R,매출요약!$Q$4)</f>
        <v>0</v>
      </c>
      <c r="R52" s="101">
        <f>SUMIFS(출고요청서_raw!$W:$W,출고요청서_raw!$Q:$Q,매출요약!$D52,출고요청서_raw!$R:$R,매출요약!$Q$4)</f>
        <v>0</v>
      </c>
    </row>
    <row r="53" spans="2:18" s="3" customFormat="1" ht="15" hidden="1" customHeight="1" outlineLevel="1">
      <c r="B53" s="504"/>
      <c r="C53" s="494"/>
      <c r="D53" s="477">
        <v>46099</v>
      </c>
      <c r="E53" s="84">
        <f t="shared" si="9"/>
        <v>0</v>
      </c>
      <c r="F53" s="85">
        <f t="shared" si="10"/>
        <v>0</v>
      </c>
      <c r="G53" s="44">
        <f>SUMIF(SK스토아_raw!$AM:$AM,매출요약!$D53,SK스토아_raw!$AQ:$AQ)</f>
        <v>0</v>
      </c>
      <c r="H53" s="101">
        <f>SUMIF(SK스토아_raw!$AM:$AM,$D53,SK스토아_raw!$AN:$AN)</f>
        <v>0</v>
      </c>
      <c r="I53" s="44">
        <f>SUMIFS(출고요청서_raw!$V:$V,출고요청서_raw!$Q:$Q,매출요약!$D53,출고요청서_raw!$R:$R,매출요약!$I$4)</f>
        <v>0</v>
      </c>
      <c r="J53" s="101">
        <f>SUMIFS(출고요청서_raw!$W:$W,출고요청서_raw!$Q:$Q,매출요약!$D53,출고요청서_raw!$R:$R,매출요약!$I$4)</f>
        <v>0</v>
      </c>
      <c r="K53" s="44">
        <f>SUMIFS(출고요청서_raw!$V:$V,출고요청서_raw!$Q:$Q,매출요약!$D53,출고요청서_raw!$R:$R,매출요약!$K$4)</f>
        <v>0</v>
      </c>
      <c r="L53" s="101">
        <f>SUMIFS(출고요청서_raw!$W:$W,출고요청서_raw!$Q:$Q,매출요약!$D53,출고요청서_raw!$R:$R,매출요약!$K$4)</f>
        <v>0</v>
      </c>
      <c r="M53" s="44">
        <f>SUMIFS(출고요청서_raw!$V:$V,출고요청서_raw!$Q:$Q,매출요약!$D53,출고요청서_raw!$R:$R,매출요약!$M$4)</f>
        <v>0</v>
      </c>
      <c r="N53" s="101">
        <f>SUMIFS(출고요청서_raw!$W:$W,출고요청서_raw!$Q:$Q,매출요약!$D53,출고요청서_raw!$R:$R,매출요약!$M$4)</f>
        <v>0</v>
      </c>
      <c r="O53" s="105">
        <f>SUMIFS(출고요청서_raw!$V:$V,출고요청서_raw!$Q:$Q,매출요약!$D53,출고요청서_raw!$R:$R,매출요약!$O$4)</f>
        <v>0</v>
      </c>
      <c r="P53" s="108">
        <f>SUMIFS(출고요청서_raw!$W:$W,출고요청서_raw!$Q:$Q,매출요약!$D53,출고요청서_raw!$R:$R,매출요약!$O$4)</f>
        <v>0</v>
      </c>
      <c r="Q53" s="44">
        <f>SUMIFS(출고요청서_raw!$V:$V,출고요청서_raw!$Q:$Q,매출요약!$D53,출고요청서_raw!$R:$R,매출요약!$Q$4)</f>
        <v>0</v>
      </c>
      <c r="R53" s="101">
        <f>SUMIFS(출고요청서_raw!$W:$W,출고요청서_raw!$Q:$Q,매출요약!$D53,출고요청서_raw!$R:$R,매출요약!$Q$4)</f>
        <v>0</v>
      </c>
    </row>
    <row r="54" spans="2:18" s="3" customFormat="1" ht="15" hidden="1" customHeight="1" outlineLevel="1">
      <c r="B54" s="504"/>
      <c r="C54" s="494"/>
      <c r="D54" s="477">
        <v>46100</v>
      </c>
      <c r="E54" s="84">
        <f t="shared" si="9"/>
        <v>0</v>
      </c>
      <c r="F54" s="85">
        <f t="shared" si="10"/>
        <v>0</v>
      </c>
      <c r="G54" s="44">
        <f>SUMIF(SK스토아_raw!$AM:$AM,매출요약!$D54,SK스토아_raw!$AQ:$AQ)</f>
        <v>0</v>
      </c>
      <c r="H54" s="101">
        <f>SUMIF(SK스토아_raw!$AM:$AM,$D54,SK스토아_raw!$AN:$AN)</f>
        <v>0</v>
      </c>
      <c r="I54" s="44">
        <f>SUMIFS(출고요청서_raw!$V:$V,출고요청서_raw!$Q:$Q,매출요약!$D54,출고요청서_raw!$R:$R,매출요약!$I$4)</f>
        <v>0</v>
      </c>
      <c r="J54" s="101">
        <f>SUMIFS(출고요청서_raw!$W:$W,출고요청서_raw!$Q:$Q,매출요약!$D54,출고요청서_raw!$R:$R,매출요약!$I$4)</f>
        <v>0</v>
      </c>
      <c r="K54" s="44">
        <f>SUMIFS(출고요청서_raw!$V:$V,출고요청서_raw!$Q:$Q,매출요약!$D54,출고요청서_raw!$R:$R,매출요약!$K$4)</f>
        <v>0</v>
      </c>
      <c r="L54" s="101">
        <f>SUMIFS(출고요청서_raw!$W:$W,출고요청서_raw!$Q:$Q,매출요약!$D54,출고요청서_raw!$R:$R,매출요약!$K$4)</f>
        <v>0</v>
      </c>
      <c r="M54" s="44">
        <f>SUMIFS(출고요청서_raw!$V:$V,출고요청서_raw!$Q:$Q,매출요약!$D54,출고요청서_raw!$R:$R,매출요약!$M$4)</f>
        <v>0</v>
      </c>
      <c r="N54" s="101">
        <f>SUMIFS(출고요청서_raw!$W:$W,출고요청서_raw!$Q:$Q,매출요약!$D54,출고요청서_raw!$R:$R,매출요약!$M$4)</f>
        <v>0</v>
      </c>
      <c r="O54" s="105">
        <f>SUMIFS(출고요청서_raw!$V:$V,출고요청서_raw!$Q:$Q,매출요약!$D54,출고요청서_raw!$R:$R,매출요약!$O$4)</f>
        <v>0</v>
      </c>
      <c r="P54" s="108">
        <f>SUMIFS(출고요청서_raw!$W:$W,출고요청서_raw!$Q:$Q,매출요약!$D54,출고요청서_raw!$R:$R,매출요약!$O$4)</f>
        <v>0</v>
      </c>
      <c r="Q54" s="44">
        <f>SUMIFS(출고요청서_raw!$V:$V,출고요청서_raw!$Q:$Q,매출요약!$D54,출고요청서_raw!$R:$R,매출요약!$Q$4)</f>
        <v>0</v>
      </c>
      <c r="R54" s="101">
        <f>SUMIFS(출고요청서_raw!$W:$W,출고요청서_raw!$Q:$Q,매출요약!$D54,출고요청서_raw!$R:$R,매출요약!$Q$4)</f>
        <v>0</v>
      </c>
    </row>
    <row r="55" spans="2:18" s="3" customFormat="1" ht="15" hidden="1" customHeight="1" outlineLevel="1">
      <c r="B55" s="504"/>
      <c r="C55" s="494"/>
      <c r="D55" s="477">
        <v>46101</v>
      </c>
      <c r="E55" s="84">
        <f t="shared" si="9"/>
        <v>0</v>
      </c>
      <c r="F55" s="85">
        <f t="shared" si="10"/>
        <v>0</v>
      </c>
      <c r="G55" s="44">
        <f>SUMIF(SK스토아_raw!$AM:$AM,매출요약!$D55,SK스토아_raw!$AQ:$AQ)</f>
        <v>0</v>
      </c>
      <c r="H55" s="101">
        <f>SUMIF(SK스토아_raw!$AM:$AM,$D55,SK스토아_raw!$AN:$AN)</f>
        <v>0</v>
      </c>
      <c r="I55" s="44">
        <f>SUMIFS(출고요청서_raw!$V:$V,출고요청서_raw!$Q:$Q,매출요약!$D55,출고요청서_raw!$R:$R,매출요약!$I$4)</f>
        <v>0</v>
      </c>
      <c r="J55" s="101">
        <f>SUMIFS(출고요청서_raw!$W:$W,출고요청서_raw!$Q:$Q,매출요약!$D55,출고요청서_raw!$R:$R,매출요약!$I$4)</f>
        <v>0</v>
      </c>
      <c r="K55" s="44">
        <f>SUMIFS(출고요청서_raw!$V:$V,출고요청서_raw!$Q:$Q,매출요약!$D55,출고요청서_raw!$R:$R,매출요약!$K$4)</f>
        <v>0</v>
      </c>
      <c r="L55" s="101">
        <f>SUMIFS(출고요청서_raw!$W:$W,출고요청서_raw!$Q:$Q,매출요약!$D55,출고요청서_raw!$R:$R,매출요약!$K$4)</f>
        <v>0</v>
      </c>
      <c r="M55" s="44">
        <f>SUMIFS(출고요청서_raw!$V:$V,출고요청서_raw!$Q:$Q,매출요약!$D55,출고요청서_raw!$R:$R,매출요약!$M$4)</f>
        <v>0</v>
      </c>
      <c r="N55" s="101">
        <f>SUMIFS(출고요청서_raw!$W:$W,출고요청서_raw!$Q:$Q,매출요약!$D55,출고요청서_raw!$R:$R,매출요약!$M$4)</f>
        <v>0</v>
      </c>
      <c r="O55" s="105">
        <f>SUMIFS(출고요청서_raw!$V:$V,출고요청서_raw!$Q:$Q,매출요약!$D55,출고요청서_raw!$R:$R,매출요약!$O$4)</f>
        <v>0</v>
      </c>
      <c r="P55" s="108">
        <f>SUMIFS(출고요청서_raw!$W:$W,출고요청서_raw!$Q:$Q,매출요약!$D55,출고요청서_raw!$R:$R,매출요약!$O$4)</f>
        <v>0</v>
      </c>
      <c r="Q55" s="44">
        <f>SUMIFS(출고요청서_raw!$V:$V,출고요청서_raw!$Q:$Q,매출요약!$D55,출고요청서_raw!$R:$R,매출요약!$Q$4)</f>
        <v>0</v>
      </c>
      <c r="R55" s="101">
        <f>SUMIFS(출고요청서_raw!$W:$W,출고요청서_raw!$Q:$Q,매출요약!$D55,출고요청서_raw!$R:$R,매출요약!$Q$4)</f>
        <v>0</v>
      </c>
    </row>
    <row r="56" spans="2:18" s="3" customFormat="1" ht="15" hidden="1" customHeight="1" outlineLevel="1">
      <c r="B56" s="504"/>
      <c r="C56" s="494"/>
      <c r="D56" s="476">
        <v>46102</v>
      </c>
      <c r="E56" s="84">
        <f t="shared" si="9"/>
        <v>0</v>
      </c>
      <c r="F56" s="85">
        <f t="shared" si="10"/>
        <v>0</v>
      </c>
      <c r="G56" s="44">
        <f>SUMIF(SK스토아_raw!$AM:$AM,매출요약!$D56,SK스토아_raw!$AQ:$AQ)</f>
        <v>0</v>
      </c>
      <c r="H56" s="101">
        <f>SUMIF(SK스토아_raw!$AM:$AM,$D56,SK스토아_raw!$AN:$AN)</f>
        <v>0</v>
      </c>
      <c r="I56" s="44">
        <f>SUMIFS(출고요청서_raw!$V:$V,출고요청서_raw!$Q:$Q,매출요약!$D56,출고요청서_raw!$R:$R,매출요약!$I$4)</f>
        <v>0</v>
      </c>
      <c r="J56" s="101">
        <f>SUMIFS(출고요청서_raw!$W:$W,출고요청서_raw!$Q:$Q,매출요약!$D56,출고요청서_raw!$R:$R,매출요약!$I$4)</f>
        <v>0</v>
      </c>
      <c r="K56" s="44">
        <f>SUMIFS(출고요청서_raw!$V:$V,출고요청서_raw!$Q:$Q,매출요약!$D56,출고요청서_raw!$R:$R,매출요약!$K$4)</f>
        <v>0</v>
      </c>
      <c r="L56" s="101">
        <f>SUMIFS(출고요청서_raw!$W:$W,출고요청서_raw!$Q:$Q,매출요약!$D56,출고요청서_raw!$R:$R,매출요약!$K$4)</f>
        <v>0</v>
      </c>
      <c r="M56" s="44">
        <f>SUMIFS(출고요청서_raw!$V:$V,출고요청서_raw!$Q:$Q,매출요약!$D56,출고요청서_raw!$R:$R,매출요약!$M$4)</f>
        <v>0</v>
      </c>
      <c r="N56" s="101">
        <f>SUMIFS(출고요청서_raw!$W:$W,출고요청서_raw!$Q:$Q,매출요약!$D56,출고요청서_raw!$R:$R,매출요약!$M$4)</f>
        <v>0</v>
      </c>
      <c r="O56" s="105">
        <f>SUMIFS(출고요청서_raw!$V:$V,출고요청서_raw!$Q:$Q,매출요약!$D56,출고요청서_raw!$R:$R,매출요약!$O$4)</f>
        <v>0</v>
      </c>
      <c r="P56" s="108">
        <f>SUMIFS(출고요청서_raw!$W:$W,출고요청서_raw!$Q:$Q,매출요약!$D56,출고요청서_raw!$R:$R,매출요약!$O$4)</f>
        <v>0</v>
      </c>
      <c r="Q56" s="44">
        <f>SUMIFS(출고요청서_raw!$V:$V,출고요청서_raw!$Q:$Q,매출요약!$D56,출고요청서_raw!$R:$R,매출요약!$Q$4)</f>
        <v>0</v>
      </c>
      <c r="R56" s="101">
        <f>SUMIFS(출고요청서_raw!$W:$W,출고요청서_raw!$Q:$Q,매출요약!$D56,출고요청서_raw!$R:$R,매출요약!$Q$4)</f>
        <v>0</v>
      </c>
    </row>
    <row r="57" spans="2:18" s="3" customFormat="1" ht="15" hidden="1" customHeight="1" outlineLevel="1">
      <c r="B57" s="504"/>
      <c r="C57" s="494"/>
      <c r="D57" s="476">
        <v>46103</v>
      </c>
      <c r="E57" s="84">
        <f t="shared" si="9"/>
        <v>0</v>
      </c>
      <c r="F57" s="85">
        <f t="shared" si="10"/>
        <v>0</v>
      </c>
      <c r="G57" s="44">
        <f>SUMIF(SK스토아_raw!$AM:$AM,매출요약!$D57,SK스토아_raw!$AQ:$AQ)</f>
        <v>0</v>
      </c>
      <c r="H57" s="101">
        <f>SUMIF(SK스토아_raw!$AM:$AM,$D57,SK스토아_raw!$AN:$AN)</f>
        <v>0</v>
      </c>
      <c r="I57" s="44">
        <f>SUMIFS(출고요청서_raw!$V:$V,출고요청서_raw!$Q:$Q,매출요약!$D57,출고요청서_raw!$R:$R,매출요약!$I$4)</f>
        <v>0</v>
      </c>
      <c r="J57" s="101">
        <f>SUMIFS(출고요청서_raw!$W:$W,출고요청서_raw!$Q:$Q,매출요약!$D57,출고요청서_raw!$R:$R,매출요약!$I$4)</f>
        <v>0</v>
      </c>
      <c r="K57" s="44">
        <f>SUMIFS(출고요청서_raw!$V:$V,출고요청서_raw!$Q:$Q,매출요약!$D57,출고요청서_raw!$R:$R,매출요약!$K$4)</f>
        <v>0</v>
      </c>
      <c r="L57" s="101">
        <f>SUMIFS(출고요청서_raw!$W:$W,출고요청서_raw!$Q:$Q,매출요약!$D57,출고요청서_raw!$R:$R,매출요약!$K$4)</f>
        <v>0</v>
      </c>
      <c r="M57" s="44">
        <f>SUMIFS(출고요청서_raw!$V:$V,출고요청서_raw!$Q:$Q,매출요약!$D57,출고요청서_raw!$R:$R,매출요약!$M$4)</f>
        <v>0</v>
      </c>
      <c r="N57" s="101">
        <f>SUMIFS(출고요청서_raw!$W:$W,출고요청서_raw!$Q:$Q,매출요약!$D57,출고요청서_raw!$R:$R,매출요약!$M$4)</f>
        <v>0</v>
      </c>
      <c r="O57" s="105">
        <f>SUMIFS(출고요청서_raw!$V:$V,출고요청서_raw!$Q:$Q,매출요약!$D57,출고요청서_raw!$R:$R,매출요약!$O$4)</f>
        <v>0</v>
      </c>
      <c r="P57" s="108">
        <f>SUMIFS(출고요청서_raw!$W:$W,출고요청서_raw!$Q:$Q,매출요약!$D57,출고요청서_raw!$R:$R,매출요약!$O$4)</f>
        <v>0</v>
      </c>
      <c r="Q57" s="44">
        <f>SUMIFS(출고요청서_raw!$V:$V,출고요청서_raw!$Q:$Q,매출요약!$D57,출고요청서_raw!$R:$R,매출요약!$Q$4)</f>
        <v>0</v>
      </c>
      <c r="R57" s="101">
        <f>SUMIFS(출고요청서_raw!$W:$W,출고요청서_raw!$Q:$Q,매출요약!$D57,출고요청서_raw!$R:$R,매출요약!$Q$4)</f>
        <v>0</v>
      </c>
    </row>
    <row r="58" spans="2:18" s="3" customFormat="1" ht="15" hidden="1" customHeight="1" outlineLevel="1">
      <c r="B58" s="504"/>
      <c r="C58" s="494" t="s">
        <v>25</v>
      </c>
      <c r="D58" s="477">
        <v>46104</v>
      </c>
      <c r="E58" s="84">
        <f t="shared" ref="E58:E65" si="11">SUM(G58,I58,K58,M58,Q58)</f>
        <v>0</v>
      </c>
      <c r="F58" s="85">
        <f t="shared" ref="F58:F65" si="12">SUM(H58,J58,L58,N58,R58)</f>
        <v>0</v>
      </c>
      <c r="G58" s="44">
        <f>SUMIF(SK스토아_raw!$AM:$AM,매출요약!$D58,SK스토아_raw!$AQ:$AQ)</f>
        <v>0</v>
      </c>
      <c r="H58" s="101">
        <f>SUMIF(SK스토아_raw!$AM:$AM,$D58,SK스토아_raw!$AN:$AN)</f>
        <v>0</v>
      </c>
      <c r="I58" s="44">
        <f>SUMIFS(출고요청서_raw!$V:$V,출고요청서_raw!$Q:$Q,매출요약!$D58,출고요청서_raw!$R:$R,매출요약!$I$4)</f>
        <v>0</v>
      </c>
      <c r="J58" s="101">
        <f>SUMIFS(출고요청서_raw!$W:$W,출고요청서_raw!$Q:$Q,매출요약!$D58,출고요청서_raw!$R:$R,매출요약!$I$4)</f>
        <v>0</v>
      </c>
      <c r="K58" s="44">
        <f>SUMIFS(출고요청서_raw!$V:$V,출고요청서_raw!$Q:$Q,매출요약!$D58,출고요청서_raw!$R:$R,매출요약!$K$4)</f>
        <v>0</v>
      </c>
      <c r="L58" s="101">
        <f>SUMIFS(출고요청서_raw!$W:$W,출고요청서_raw!$Q:$Q,매출요약!$D58,출고요청서_raw!$R:$R,매출요약!$K$4)</f>
        <v>0</v>
      </c>
      <c r="M58" s="44">
        <f>SUMIFS(출고요청서_raw!$V:$V,출고요청서_raw!$Q:$Q,매출요약!$D58,출고요청서_raw!$R:$R,매출요약!$M$4)</f>
        <v>0</v>
      </c>
      <c r="N58" s="101">
        <f>SUMIFS(출고요청서_raw!$W:$W,출고요청서_raw!$Q:$Q,매출요약!$D58,출고요청서_raw!$R:$R,매출요약!$M$4)</f>
        <v>0</v>
      </c>
      <c r="O58" s="105">
        <f>SUMIFS(출고요청서_raw!$V:$V,출고요청서_raw!$Q:$Q,매출요약!$D58,출고요청서_raw!$R:$R,매출요약!$O$4)</f>
        <v>0</v>
      </c>
      <c r="P58" s="108">
        <f>SUMIFS(출고요청서_raw!$W:$W,출고요청서_raw!$Q:$Q,매출요약!$D58,출고요청서_raw!$R:$R,매출요약!$O$4)</f>
        <v>0</v>
      </c>
      <c r="Q58" s="44">
        <f>SUMIFS(출고요청서_raw!$V:$V,출고요청서_raw!$Q:$Q,매출요약!$D58,출고요청서_raw!$R:$R,매출요약!$Q$4)</f>
        <v>0</v>
      </c>
      <c r="R58" s="101">
        <f>SUMIFS(출고요청서_raw!$W:$W,출고요청서_raw!$Q:$Q,매출요약!$D58,출고요청서_raw!$R:$R,매출요약!$Q$4)</f>
        <v>0</v>
      </c>
    </row>
    <row r="59" spans="2:18" s="3" customFormat="1" ht="15" hidden="1" customHeight="1" outlineLevel="1">
      <c r="B59" s="504"/>
      <c r="C59" s="494"/>
      <c r="D59" s="477">
        <v>46105</v>
      </c>
      <c r="E59" s="84">
        <f t="shared" si="11"/>
        <v>0</v>
      </c>
      <c r="F59" s="85">
        <f t="shared" si="12"/>
        <v>0</v>
      </c>
      <c r="G59" s="44">
        <f>SUMIF(SK스토아_raw!$AM:$AM,매출요약!$D59,SK스토아_raw!$AQ:$AQ)</f>
        <v>0</v>
      </c>
      <c r="H59" s="101">
        <f>SUMIF(SK스토아_raw!$AM:$AM,$D59,SK스토아_raw!$AN:$AN)</f>
        <v>0</v>
      </c>
      <c r="I59" s="44">
        <f>SUMIFS(출고요청서_raw!$V:$V,출고요청서_raw!$Q:$Q,매출요약!$D59,출고요청서_raw!$R:$R,매출요약!$I$4)</f>
        <v>0</v>
      </c>
      <c r="J59" s="101">
        <f>SUMIFS(출고요청서_raw!$W:$W,출고요청서_raw!$Q:$Q,매출요약!$D59,출고요청서_raw!$R:$R,매출요약!$I$4)</f>
        <v>0</v>
      </c>
      <c r="K59" s="44">
        <f>SUMIFS(출고요청서_raw!$V:$V,출고요청서_raw!$Q:$Q,매출요약!$D59,출고요청서_raw!$R:$R,매출요약!$K$4)</f>
        <v>0</v>
      </c>
      <c r="L59" s="101">
        <f>SUMIFS(출고요청서_raw!$W:$W,출고요청서_raw!$Q:$Q,매출요약!$D59,출고요청서_raw!$R:$R,매출요약!$K$4)</f>
        <v>0</v>
      </c>
      <c r="M59" s="44">
        <f>SUMIFS(출고요청서_raw!$V:$V,출고요청서_raw!$Q:$Q,매출요약!$D59,출고요청서_raw!$R:$R,매출요약!$M$4)</f>
        <v>0</v>
      </c>
      <c r="N59" s="101">
        <f>SUMIFS(출고요청서_raw!$W:$W,출고요청서_raw!$Q:$Q,매출요약!$D59,출고요청서_raw!$R:$R,매출요약!$M$4)</f>
        <v>0</v>
      </c>
      <c r="O59" s="105">
        <f>SUMIFS(출고요청서_raw!$V:$V,출고요청서_raw!$Q:$Q,매출요약!$D59,출고요청서_raw!$R:$R,매출요약!$O$4)</f>
        <v>0</v>
      </c>
      <c r="P59" s="108">
        <f>SUMIFS(출고요청서_raw!$W:$W,출고요청서_raw!$Q:$Q,매출요약!$D59,출고요청서_raw!$R:$R,매출요약!$O$4)</f>
        <v>0</v>
      </c>
      <c r="Q59" s="44">
        <f>SUMIFS(출고요청서_raw!$V:$V,출고요청서_raw!$Q:$Q,매출요약!$D59,출고요청서_raw!$R:$R,매출요약!$Q$4)</f>
        <v>0</v>
      </c>
      <c r="R59" s="101">
        <f>SUMIFS(출고요청서_raw!$W:$W,출고요청서_raw!$Q:$Q,매출요약!$D59,출고요청서_raw!$R:$R,매출요약!$Q$4)</f>
        <v>0</v>
      </c>
    </row>
    <row r="60" spans="2:18" s="3" customFormat="1" ht="15" hidden="1" customHeight="1" outlineLevel="1">
      <c r="B60" s="504"/>
      <c r="C60" s="494"/>
      <c r="D60" s="477">
        <v>46106</v>
      </c>
      <c r="E60" s="84">
        <f t="shared" si="11"/>
        <v>0</v>
      </c>
      <c r="F60" s="85">
        <f t="shared" si="12"/>
        <v>0</v>
      </c>
      <c r="G60" s="44">
        <f>SUMIF(SK스토아_raw!$AM:$AM,매출요약!$D60,SK스토아_raw!$AQ:$AQ)</f>
        <v>0</v>
      </c>
      <c r="H60" s="101">
        <f>SUMIF(SK스토아_raw!$AM:$AM,$D60,SK스토아_raw!$AN:$AN)</f>
        <v>0</v>
      </c>
      <c r="I60" s="44">
        <f>SUMIFS(출고요청서_raw!$V:$V,출고요청서_raw!$Q:$Q,매출요약!$D60,출고요청서_raw!$R:$R,매출요약!$I$4)</f>
        <v>0</v>
      </c>
      <c r="J60" s="101">
        <f>SUMIFS(출고요청서_raw!$W:$W,출고요청서_raw!$Q:$Q,매출요약!$D60,출고요청서_raw!$R:$R,매출요약!$I$4)</f>
        <v>0</v>
      </c>
      <c r="K60" s="44">
        <f>SUMIFS(출고요청서_raw!$V:$V,출고요청서_raw!$Q:$Q,매출요약!$D60,출고요청서_raw!$R:$R,매출요약!$K$4)</f>
        <v>0</v>
      </c>
      <c r="L60" s="101">
        <f>SUMIFS(출고요청서_raw!$W:$W,출고요청서_raw!$Q:$Q,매출요약!$D60,출고요청서_raw!$R:$R,매출요약!$K$4)</f>
        <v>0</v>
      </c>
      <c r="M60" s="44">
        <f>SUMIFS(출고요청서_raw!$V:$V,출고요청서_raw!$Q:$Q,매출요약!$D60,출고요청서_raw!$R:$R,매출요약!$M$4)</f>
        <v>0</v>
      </c>
      <c r="N60" s="101">
        <f>SUMIFS(출고요청서_raw!$W:$W,출고요청서_raw!$Q:$Q,매출요약!$D60,출고요청서_raw!$R:$R,매출요약!$M$4)</f>
        <v>0</v>
      </c>
      <c r="O60" s="105">
        <f>SUMIFS(출고요청서_raw!$V:$V,출고요청서_raw!$Q:$Q,매출요약!$D60,출고요청서_raw!$R:$R,매출요약!$O$4)</f>
        <v>0</v>
      </c>
      <c r="P60" s="108">
        <f>SUMIFS(출고요청서_raw!$W:$W,출고요청서_raw!$Q:$Q,매출요약!$D60,출고요청서_raw!$R:$R,매출요약!$O$4)</f>
        <v>0</v>
      </c>
      <c r="Q60" s="44">
        <f>SUMIFS(출고요청서_raw!$V:$V,출고요청서_raw!$Q:$Q,매출요약!$D60,출고요청서_raw!$R:$R,매출요약!$Q$4)</f>
        <v>0</v>
      </c>
      <c r="R60" s="101">
        <f>SUMIFS(출고요청서_raw!$W:$W,출고요청서_raw!$Q:$Q,매출요약!$D60,출고요청서_raw!$R:$R,매출요약!$Q$4)</f>
        <v>0</v>
      </c>
    </row>
    <row r="61" spans="2:18" s="3" customFormat="1" ht="15" hidden="1" customHeight="1" outlineLevel="1">
      <c r="B61" s="504"/>
      <c r="C61" s="494"/>
      <c r="D61" s="477">
        <v>46107</v>
      </c>
      <c r="E61" s="84">
        <f t="shared" si="11"/>
        <v>0</v>
      </c>
      <c r="F61" s="85">
        <f t="shared" si="12"/>
        <v>0</v>
      </c>
      <c r="G61" s="44">
        <f>SUMIF(SK스토아_raw!$AM:$AM,매출요약!$D61,SK스토아_raw!$AQ:$AQ)</f>
        <v>0</v>
      </c>
      <c r="H61" s="101">
        <f>SUMIF(SK스토아_raw!$AM:$AM,$D61,SK스토아_raw!$AN:$AN)</f>
        <v>0</v>
      </c>
      <c r="I61" s="44">
        <f>SUMIFS(출고요청서_raw!$V:$V,출고요청서_raw!$Q:$Q,매출요약!$D61,출고요청서_raw!$R:$R,매출요약!$I$4)</f>
        <v>0</v>
      </c>
      <c r="J61" s="101">
        <f>SUMIFS(출고요청서_raw!$W:$W,출고요청서_raw!$Q:$Q,매출요약!$D61,출고요청서_raw!$R:$R,매출요약!$I$4)</f>
        <v>0</v>
      </c>
      <c r="K61" s="44">
        <f>SUMIFS(출고요청서_raw!$V:$V,출고요청서_raw!$Q:$Q,매출요약!$D61,출고요청서_raw!$R:$R,매출요약!$K$4)</f>
        <v>0</v>
      </c>
      <c r="L61" s="101">
        <f>SUMIFS(출고요청서_raw!$W:$W,출고요청서_raw!$Q:$Q,매출요약!$D61,출고요청서_raw!$R:$R,매출요약!$K$4)</f>
        <v>0</v>
      </c>
      <c r="M61" s="44">
        <f>SUMIFS(출고요청서_raw!$V:$V,출고요청서_raw!$Q:$Q,매출요약!$D61,출고요청서_raw!$R:$R,매출요약!$M$4)</f>
        <v>0</v>
      </c>
      <c r="N61" s="101">
        <f>SUMIFS(출고요청서_raw!$W:$W,출고요청서_raw!$Q:$Q,매출요약!$D61,출고요청서_raw!$R:$R,매출요약!$M$4)</f>
        <v>0</v>
      </c>
      <c r="O61" s="105">
        <f>SUMIFS(출고요청서_raw!$V:$V,출고요청서_raw!$Q:$Q,매출요약!$D61,출고요청서_raw!$R:$R,매출요약!$O$4)</f>
        <v>0</v>
      </c>
      <c r="P61" s="108">
        <f>SUMIFS(출고요청서_raw!$W:$W,출고요청서_raw!$Q:$Q,매출요약!$D61,출고요청서_raw!$R:$R,매출요약!$O$4)</f>
        <v>0</v>
      </c>
      <c r="Q61" s="44">
        <f>SUMIFS(출고요청서_raw!$V:$V,출고요청서_raw!$Q:$Q,매출요약!$D61,출고요청서_raw!$R:$R,매출요약!$Q$4)</f>
        <v>0</v>
      </c>
      <c r="R61" s="101">
        <f>SUMIFS(출고요청서_raw!$W:$W,출고요청서_raw!$Q:$Q,매출요약!$D61,출고요청서_raw!$R:$R,매출요약!$Q$4)</f>
        <v>0</v>
      </c>
    </row>
    <row r="62" spans="2:18" s="3" customFormat="1" ht="15" hidden="1" customHeight="1" outlineLevel="1">
      <c r="B62" s="504"/>
      <c r="C62" s="494"/>
      <c r="D62" s="477">
        <v>46108</v>
      </c>
      <c r="E62" s="84">
        <f t="shared" si="11"/>
        <v>0</v>
      </c>
      <c r="F62" s="85">
        <f t="shared" si="12"/>
        <v>0</v>
      </c>
      <c r="G62" s="44">
        <f>SUMIF(SK스토아_raw!$AM:$AM,매출요약!$D62,SK스토아_raw!$AQ:$AQ)</f>
        <v>0</v>
      </c>
      <c r="H62" s="101">
        <f>SUMIF(SK스토아_raw!$AM:$AM,$D62,SK스토아_raw!$AN:$AN)</f>
        <v>0</v>
      </c>
      <c r="I62" s="44">
        <f>SUMIFS(출고요청서_raw!$V:$V,출고요청서_raw!$Q:$Q,매출요약!$D62,출고요청서_raw!$R:$R,매출요약!$I$4)</f>
        <v>0</v>
      </c>
      <c r="J62" s="101">
        <f>SUMIFS(출고요청서_raw!$W:$W,출고요청서_raw!$Q:$Q,매출요약!$D62,출고요청서_raw!$R:$R,매출요약!$I$4)</f>
        <v>0</v>
      </c>
      <c r="K62" s="44">
        <f>SUMIFS(출고요청서_raw!$V:$V,출고요청서_raw!$Q:$Q,매출요약!$D62,출고요청서_raw!$R:$R,매출요약!$K$4)</f>
        <v>0</v>
      </c>
      <c r="L62" s="101">
        <f>SUMIFS(출고요청서_raw!$W:$W,출고요청서_raw!$Q:$Q,매출요약!$D62,출고요청서_raw!$R:$R,매출요약!$K$4)</f>
        <v>0</v>
      </c>
      <c r="M62" s="44">
        <f>SUMIFS(출고요청서_raw!$V:$V,출고요청서_raw!$Q:$Q,매출요약!$D62,출고요청서_raw!$R:$R,매출요약!$M$4)</f>
        <v>0</v>
      </c>
      <c r="N62" s="101">
        <f>SUMIFS(출고요청서_raw!$W:$W,출고요청서_raw!$Q:$Q,매출요약!$D62,출고요청서_raw!$R:$R,매출요약!$M$4)</f>
        <v>0</v>
      </c>
      <c r="O62" s="105">
        <f>SUMIFS(출고요청서_raw!$V:$V,출고요청서_raw!$Q:$Q,매출요약!$D62,출고요청서_raw!$R:$R,매출요약!$O$4)</f>
        <v>0</v>
      </c>
      <c r="P62" s="108">
        <f>SUMIFS(출고요청서_raw!$W:$W,출고요청서_raw!$Q:$Q,매출요약!$D62,출고요청서_raw!$R:$R,매출요약!$O$4)</f>
        <v>0</v>
      </c>
      <c r="Q62" s="44">
        <f>SUMIFS(출고요청서_raw!$V:$V,출고요청서_raw!$Q:$Q,매출요약!$D62,출고요청서_raw!$R:$R,매출요약!$Q$4)</f>
        <v>0</v>
      </c>
      <c r="R62" s="101">
        <f>SUMIFS(출고요청서_raw!$W:$W,출고요청서_raw!$Q:$Q,매출요약!$D62,출고요청서_raw!$R:$R,매출요약!$Q$4)</f>
        <v>0</v>
      </c>
    </row>
    <row r="63" spans="2:18" s="3" customFormat="1" ht="15" hidden="1" customHeight="1" outlineLevel="1">
      <c r="B63" s="504"/>
      <c r="C63" s="494"/>
      <c r="D63" s="476">
        <v>46109</v>
      </c>
      <c r="E63" s="84">
        <f t="shared" si="11"/>
        <v>0</v>
      </c>
      <c r="F63" s="85">
        <f t="shared" si="12"/>
        <v>0</v>
      </c>
      <c r="G63" s="44">
        <f>SUMIF(SK스토아_raw!$AM:$AM,매출요약!$D63,SK스토아_raw!$AQ:$AQ)</f>
        <v>0</v>
      </c>
      <c r="H63" s="101">
        <f>SUMIF(SK스토아_raw!$AM:$AM,$D63,SK스토아_raw!$AN:$AN)</f>
        <v>0</v>
      </c>
      <c r="I63" s="44">
        <f>SUMIFS(출고요청서_raw!$V:$V,출고요청서_raw!$Q:$Q,매출요약!$D63,출고요청서_raw!$R:$R,매출요약!$I$4)</f>
        <v>0</v>
      </c>
      <c r="J63" s="101">
        <f>SUMIFS(출고요청서_raw!$W:$W,출고요청서_raw!$Q:$Q,매출요약!$D63,출고요청서_raw!$R:$R,매출요약!$I$4)</f>
        <v>0</v>
      </c>
      <c r="K63" s="44">
        <f>SUMIFS(출고요청서_raw!$V:$V,출고요청서_raw!$Q:$Q,매출요약!$D63,출고요청서_raw!$R:$R,매출요약!$K$4)</f>
        <v>0</v>
      </c>
      <c r="L63" s="101">
        <f>SUMIFS(출고요청서_raw!$W:$W,출고요청서_raw!$Q:$Q,매출요약!$D63,출고요청서_raw!$R:$R,매출요약!$K$4)</f>
        <v>0</v>
      </c>
      <c r="M63" s="44">
        <f>SUMIFS(출고요청서_raw!$V:$V,출고요청서_raw!$Q:$Q,매출요약!$D63,출고요청서_raw!$R:$R,매출요약!$M$4)</f>
        <v>0</v>
      </c>
      <c r="N63" s="101">
        <f>SUMIFS(출고요청서_raw!$W:$W,출고요청서_raw!$Q:$Q,매출요약!$D63,출고요청서_raw!$R:$R,매출요약!$M$4)</f>
        <v>0</v>
      </c>
      <c r="O63" s="105">
        <f>SUMIFS(출고요청서_raw!$V:$V,출고요청서_raw!$Q:$Q,매출요약!$D63,출고요청서_raw!$R:$R,매출요약!$O$4)</f>
        <v>0</v>
      </c>
      <c r="P63" s="108">
        <f>SUMIFS(출고요청서_raw!$W:$W,출고요청서_raw!$Q:$Q,매출요약!$D63,출고요청서_raw!$R:$R,매출요약!$O$4)</f>
        <v>0</v>
      </c>
      <c r="Q63" s="44">
        <f>SUMIFS(출고요청서_raw!$V:$V,출고요청서_raw!$Q:$Q,매출요약!$D63,출고요청서_raw!$R:$R,매출요약!$Q$4)</f>
        <v>0</v>
      </c>
      <c r="R63" s="101">
        <f>SUMIFS(출고요청서_raw!$W:$W,출고요청서_raw!$Q:$Q,매출요약!$D63,출고요청서_raw!$R:$R,매출요약!$Q$4)</f>
        <v>0</v>
      </c>
    </row>
    <row r="64" spans="2:18" s="3" customFormat="1" ht="15" hidden="1" customHeight="1" outlineLevel="1">
      <c r="B64" s="504"/>
      <c r="C64" s="494"/>
      <c r="D64" s="476">
        <v>46110</v>
      </c>
      <c r="E64" s="84">
        <f t="shared" si="11"/>
        <v>0</v>
      </c>
      <c r="F64" s="85">
        <f t="shared" si="12"/>
        <v>0</v>
      </c>
      <c r="G64" s="44">
        <f>SUMIF(SK스토아_raw!$AM:$AM,매출요약!$D64,SK스토아_raw!$AQ:$AQ)</f>
        <v>0</v>
      </c>
      <c r="H64" s="101">
        <f>SUMIF(SK스토아_raw!$AM:$AM,$D64,SK스토아_raw!$AN:$AN)</f>
        <v>0</v>
      </c>
      <c r="I64" s="44">
        <f>SUMIFS(출고요청서_raw!$V:$V,출고요청서_raw!$Q:$Q,매출요약!$D64,출고요청서_raw!$R:$R,매출요약!$I$4)</f>
        <v>0</v>
      </c>
      <c r="J64" s="101">
        <f>SUMIFS(출고요청서_raw!$W:$W,출고요청서_raw!$Q:$Q,매출요약!$D64,출고요청서_raw!$R:$R,매출요약!$I$4)</f>
        <v>0</v>
      </c>
      <c r="K64" s="44">
        <f>SUMIFS(출고요청서_raw!$V:$V,출고요청서_raw!$Q:$Q,매출요약!$D64,출고요청서_raw!$R:$R,매출요약!$K$4)</f>
        <v>0</v>
      </c>
      <c r="L64" s="101">
        <f>SUMIFS(출고요청서_raw!$W:$W,출고요청서_raw!$Q:$Q,매출요약!$D64,출고요청서_raw!$R:$R,매출요약!$K$4)</f>
        <v>0</v>
      </c>
      <c r="M64" s="44">
        <f>SUMIFS(출고요청서_raw!$V:$V,출고요청서_raw!$Q:$Q,매출요약!$D64,출고요청서_raw!$R:$R,매출요약!$M$4)</f>
        <v>0</v>
      </c>
      <c r="N64" s="101">
        <f>SUMIFS(출고요청서_raw!$W:$W,출고요청서_raw!$Q:$Q,매출요약!$D64,출고요청서_raw!$R:$R,매출요약!$M$4)</f>
        <v>0</v>
      </c>
      <c r="O64" s="105">
        <f>SUMIFS(출고요청서_raw!$V:$V,출고요청서_raw!$Q:$Q,매출요약!$D64,출고요청서_raw!$R:$R,매출요약!$O$4)</f>
        <v>0</v>
      </c>
      <c r="P64" s="108">
        <f>SUMIFS(출고요청서_raw!$W:$W,출고요청서_raw!$Q:$Q,매출요약!$D64,출고요청서_raw!$R:$R,매출요약!$O$4)</f>
        <v>0</v>
      </c>
      <c r="Q64" s="44">
        <f>SUMIFS(출고요청서_raw!$V:$V,출고요청서_raw!$Q:$Q,매출요약!$D64,출고요청서_raw!$R:$R,매출요약!$Q$4)</f>
        <v>0</v>
      </c>
      <c r="R64" s="101">
        <f>SUMIFS(출고요청서_raw!$W:$W,출고요청서_raw!$Q:$Q,매출요약!$D64,출고요청서_raw!$R:$R,매출요약!$Q$4)</f>
        <v>0</v>
      </c>
    </row>
    <row r="65" spans="1:29" s="3" customFormat="1" ht="15" hidden="1" customHeight="1" outlineLevel="1">
      <c r="B65" s="504"/>
      <c r="C65" s="494" t="s">
        <v>26</v>
      </c>
      <c r="D65" s="477">
        <v>46111</v>
      </c>
      <c r="E65" s="84">
        <f t="shared" si="11"/>
        <v>0</v>
      </c>
      <c r="F65" s="85">
        <f t="shared" si="12"/>
        <v>0</v>
      </c>
      <c r="G65" s="44">
        <f>SUMIF(SK스토아_raw!$AM:$AM,매출요약!$D65,SK스토아_raw!$AQ:$AQ)</f>
        <v>0</v>
      </c>
      <c r="H65" s="101">
        <f>SUMIF(SK스토아_raw!$AM:$AM,$D65,SK스토아_raw!$AN:$AN)</f>
        <v>0</v>
      </c>
      <c r="I65" s="44">
        <f>SUMIFS(출고요청서_raw!$V:$V,출고요청서_raw!$Q:$Q,매출요약!$D65,출고요청서_raw!$R:$R,매출요약!$I$4)</f>
        <v>0</v>
      </c>
      <c r="J65" s="101">
        <f>SUMIFS(출고요청서_raw!$W:$W,출고요청서_raw!$Q:$Q,매출요약!$D65,출고요청서_raw!$R:$R,매출요약!$I$4)</f>
        <v>0</v>
      </c>
      <c r="K65" s="44">
        <f>SUMIFS(출고요청서_raw!$V:$V,출고요청서_raw!$Q:$Q,매출요약!$D65,출고요청서_raw!$R:$R,매출요약!$K$4)</f>
        <v>0</v>
      </c>
      <c r="L65" s="101">
        <f>SUMIFS(출고요청서_raw!$W:$W,출고요청서_raw!$Q:$Q,매출요약!$D65,출고요청서_raw!$R:$R,매출요약!$K$4)</f>
        <v>0</v>
      </c>
      <c r="M65" s="44">
        <f>SUMIFS(출고요청서_raw!$V:$V,출고요청서_raw!$Q:$Q,매출요약!$D65,출고요청서_raw!$R:$R,매출요약!$M$4)</f>
        <v>0</v>
      </c>
      <c r="N65" s="101">
        <f>SUMIFS(출고요청서_raw!$W:$W,출고요청서_raw!$Q:$Q,매출요약!$D65,출고요청서_raw!$R:$R,매출요약!$M$4)</f>
        <v>0</v>
      </c>
      <c r="O65" s="105">
        <f>SUMIFS(출고요청서_raw!$V:$V,출고요청서_raw!$Q:$Q,매출요약!$D65,출고요청서_raw!$R:$R,매출요약!$O$4)</f>
        <v>0</v>
      </c>
      <c r="P65" s="108">
        <f>SUMIFS(출고요청서_raw!$W:$W,출고요청서_raw!$Q:$Q,매출요약!$D65,출고요청서_raw!$R:$R,매출요약!$O$4)</f>
        <v>0</v>
      </c>
      <c r="Q65" s="44">
        <f>SUMIFS(출고요청서_raw!$V:$V,출고요청서_raw!$Q:$Q,매출요약!$D65,출고요청서_raw!$R:$R,매출요약!$Q$4)</f>
        <v>0</v>
      </c>
      <c r="R65" s="101">
        <f>SUMIFS(출고요청서_raw!$W:$W,출고요청서_raw!$Q:$Q,매출요약!$D65,출고요청서_raw!$R:$R,매출요약!$Q$4)</f>
        <v>0</v>
      </c>
    </row>
    <row r="66" spans="1:29" ht="13.15" hidden="1" customHeight="1" outlineLevel="1" thickTop="1">
      <c r="A66" s="3"/>
      <c r="B66" s="504"/>
      <c r="C66" s="494"/>
      <c r="D66" s="477">
        <v>46112</v>
      </c>
      <c r="E66" s="84">
        <f t="shared" ref="E66" si="13">SUM(G66,I66,K66,M66,Q66)</f>
        <v>0</v>
      </c>
      <c r="F66" s="85">
        <f t="shared" ref="F66" si="14">SUM(H66,J66,L66,N66,R66)</f>
        <v>0</v>
      </c>
      <c r="G66" s="44">
        <f>SUMIF(SK스토아_raw!$AM:$AM,매출요약!$D66,SK스토아_raw!$AQ:$AQ)</f>
        <v>0</v>
      </c>
      <c r="H66" s="101">
        <f>SUMIF(SK스토아_raw!$AM:$AM,$D66,SK스토아_raw!$AN:$AN)</f>
        <v>0</v>
      </c>
      <c r="I66" s="44">
        <f>SUMIFS(출고요청서_raw!$V:$V,출고요청서_raw!$Q:$Q,매출요약!$D66,출고요청서_raw!$R:$R,매출요약!$I$4)</f>
        <v>0</v>
      </c>
      <c r="J66" s="101">
        <f>SUMIFS(출고요청서_raw!$W:$W,출고요청서_raw!$Q:$Q,매출요약!$D66,출고요청서_raw!$R:$R,매출요약!$I$4)</f>
        <v>0</v>
      </c>
      <c r="K66" s="44">
        <f>SUMIFS(출고요청서_raw!$V:$V,출고요청서_raw!$Q:$Q,매출요약!$D66,출고요청서_raw!$R:$R,매출요약!$K$4)</f>
        <v>0</v>
      </c>
      <c r="L66" s="101">
        <f>SUMIFS(출고요청서_raw!$W:$W,출고요청서_raw!$Q:$Q,매출요약!$D66,출고요청서_raw!$R:$R,매출요약!$K$4)</f>
        <v>0</v>
      </c>
      <c r="M66" s="44">
        <f>SUMIFS(출고요청서_raw!$V:$V,출고요청서_raw!$Q:$Q,매출요약!$D66,출고요청서_raw!$R:$R,매출요약!$M$4)</f>
        <v>0</v>
      </c>
      <c r="N66" s="101">
        <f>SUMIFS(출고요청서_raw!$W:$W,출고요청서_raw!$Q:$Q,매출요약!$D66,출고요청서_raw!$R:$R,매출요약!$M$4)</f>
        <v>0</v>
      </c>
      <c r="O66" s="105">
        <f>SUMIFS(출고요청서_raw!$V:$V,출고요청서_raw!$Q:$Q,매출요약!$D66,출고요청서_raw!$R:$R,매출요약!$O$4)</f>
        <v>0</v>
      </c>
      <c r="P66" s="108">
        <f>SUMIFS(출고요청서_raw!$W:$W,출고요청서_raw!$Q:$Q,매출요약!$D66,출고요청서_raw!$R:$R,매출요약!$O$4)</f>
        <v>0</v>
      </c>
      <c r="Q66" s="44">
        <f>SUMIFS(출고요청서_raw!$V:$V,출고요청서_raw!$Q:$Q,매출요약!$D66,출고요청서_raw!$R:$R,매출요약!$Q$4)</f>
        <v>0</v>
      </c>
      <c r="R66" s="101">
        <f>SUMIFS(출고요청서_raw!$W:$W,출고요청서_raw!$Q:$Q,매출요약!$D66,출고요청서_raw!$R:$R,매출요약!$Q$4)</f>
        <v>0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3.15" customHeight="1" collapsed="1" thickTop="1"/>
    <row r="68" spans="1:29" s="3" customFormat="1" ht="24.75" customHeight="1">
      <c r="B68" s="4" t="s">
        <v>27</v>
      </c>
      <c r="C68" s="46"/>
      <c r="D68" s="47"/>
      <c r="E68" s="47"/>
      <c r="F68" s="46"/>
      <c r="G68" s="46"/>
      <c r="H68" s="46"/>
      <c r="I68" s="46"/>
      <c r="J68" s="46"/>
      <c r="K68" s="490"/>
      <c r="L68" s="490"/>
      <c r="M68" s="48"/>
      <c r="N68" s="48"/>
      <c r="O68" s="48"/>
      <c r="P68" s="48"/>
      <c r="Q68" s="48"/>
      <c r="R68" s="48"/>
      <c r="S68" s="48"/>
      <c r="T68" s="48"/>
      <c r="U68" s="491"/>
      <c r="V68" s="491"/>
      <c r="W68" s="491"/>
      <c r="X68" s="491"/>
      <c r="Y68" s="491"/>
      <c r="Z68" s="491"/>
      <c r="AA68" s="491"/>
      <c r="AB68" s="491"/>
      <c r="AC68" s="47"/>
    </row>
    <row r="69" spans="1:29" ht="15" customHeight="1"/>
    <row r="70" spans="1:29" ht="15" customHeight="1">
      <c r="I70" s="1" t="s">
        <v>28</v>
      </c>
    </row>
    <row r="71" spans="1:29" ht="15" customHeight="1">
      <c r="B71" s="76" t="s">
        <v>29</v>
      </c>
      <c r="C71" s="76" t="s">
        <v>30</v>
      </c>
      <c r="D71" s="76" t="s">
        <v>31</v>
      </c>
      <c r="E71" s="76" t="s">
        <v>32</v>
      </c>
      <c r="F71" s="76" t="s">
        <v>33</v>
      </c>
      <c r="G71" s="76" t="s">
        <v>34</v>
      </c>
      <c r="H71" s="76" t="s">
        <v>35</v>
      </c>
      <c r="I71" s="76" t="s">
        <v>36</v>
      </c>
      <c r="J71" s="76" t="s">
        <v>37</v>
      </c>
      <c r="K71" s="76" t="s">
        <v>38</v>
      </c>
    </row>
    <row r="72" spans="1:29" ht="15" customHeight="1">
      <c r="B72" s="50" t="s">
        <v>39</v>
      </c>
      <c r="C72" s="50" t="s">
        <v>40</v>
      </c>
      <c r="D72" s="50">
        <f>SUM(D73:D77)</f>
        <v>34510181.818181925</v>
      </c>
      <c r="E72" s="50">
        <f>SUM(E73:E77)</f>
        <v>34510181.818181925</v>
      </c>
      <c r="F72" s="50">
        <f>SUM(F73:F77)</f>
        <v>0</v>
      </c>
      <c r="G72" s="50">
        <f>SUM(G73:G77)</f>
        <v>25751450</v>
      </c>
      <c r="H72" s="50">
        <f t="shared" ref="H72:I72" si="15">SUM(H73:H77)</f>
        <v>3235050</v>
      </c>
      <c r="I72" s="50">
        <f t="shared" si="15"/>
        <v>252838.16</v>
      </c>
      <c r="J72" s="50">
        <f>SUM(J73:J77)</f>
        <v>5270843.6581819216</v>
      </c>
      <c r="K72" s="77">
        <f t="shared" ref="K72:K74" si="16">J72/E72</f>
        <v>0.15273300169647155</v>
      </c>
    </row>
    <row r="73" spans="1:29" ht="15" customHeight="1">
      <c r="B73" s="78" t="s">
        <v>39</v>
      </c>
      <c r="C73" s="78" t="s">
        <v>41</v>
      </c>
      <c r="D73" s="51">
        <f>SUMIF(출고요청서_raw!$R:$R,매출요약!$C73,출고요청서_raw!$V:$V)</f>
        <v>31487272.727272831</v>
      </c>
      <c r="E73" s="51">
        <f>D73-F73</f>
        <v>31487272.727272831</v>
      </c>
      <c r="F73" s="51">
        <v>0</v>
      </c>
      <c r="G73" s="51">
        <f>SUMIF(출고요청서_raw!$R:$R,매출요약!$C73,출고요청서_raw!$Z:$Z)</f>
        <v>23722082</v>
      </c>
      <c r="H73" s="51">
        <f>SUMIF(출고요청서_raw!$R:$R,매출요약!$C73,출고요청서_raw!$AA:$AA)</f>
        <v>2998450</v>
      </c>
      <c r="I73" s="51">
        <f>재고내역!M6*20+SUMIF(출고요청서_raw!$R:$R,매출요약!$C73,출고요청서_raw!$Y:$Y)</f>
        <v>153740</v>
      </c>
      <c r="J73" s="51">
        <f>D73-F73-G73-H73-I73</f>
        <v>4613000.7272728309</v>
      </c>
      <c r="K73" s="79">
        <f>J73/E73</f>
        <v>0.14650366093082623</v>
      </c>
      <c r="L73" s="83"/>
    </row>
    <row r="74" spans="1:29" ht="15" customHeight="1">
      <c r="B74" s="78" t="s">
        <v>39</v>
      </c>
      <c r="C74" s="78" t="s">
        <v>7</v>
      </c>
      <c r="D74" s="51">
        <f>SUMIF(출고요청서_raw!$R:$R,매출요약!$C74,출고요청서_raw!$V:$V)</f>
        <v>94000</v>
      </c>
      <c r="E74" s="51">
        <f>D74-F74</f>
        <v>94000</v>
      </c>
      <c r="F74" s="51">
        <v>0</v>
      </c>
      <c r="G74" s="51">
        <f>SUMIF(출고요청서_raw!$R:$R,매출요약!$C74,출고요청서_raw!$Z:$Z)</f>
        <v>46122</v>
      </c>
      <c r="H74" s="51">
        <f>SUMIF(출고요청서_raw!$R:$R,매출요약!$C74,출고요청서_raw!$AA:$AA)</f>
        <v>18200</v>
      </c>
      <c r="I74" s="51">
        <f>SUMIF(출고요청서_raw!$R:$R,매출요약!$C74,출고요청서_raw!$Y:$Y)</f>
        <v>6854</v>
      </c>
      <c r="J74" s="51">
        <f>D74-F74-G74-H74-I74</f>
        <v>22824</v>
      </c>
      <c r="K74" s="79">
        <f t="shared" si="16"/>
        <v>0.24280851063829786</v>
      </c>
      <c r="L74" s="83"/>
    </row>
    <row r="75" spans="1:29" ht="15" customHeight="1">
      <c r="B75" s="78" t="s">
        <v>39</v>
      </c>
      <c r="C75" s="78" t="s">
        <v>8</v>
      </c>
      <c r="D75" s="51">
        <f>SUMIF(출고요청서_raw!$R:$R,매출요약!$C75,출고요청서_raw!$V:$V)</f>
        <v>677363.63636363635</v>
      </c>
      <c r="E75" s="51">
        <f>D75-F75</f>
        <v>677363.63636363635</v>
      </c>
      <c r="F75" s="51">
        <v>0</v>
      </c>
      <c r="G75" s="51">
        <f>SUMIF(출고요청서_raw!$R:$R,매출요약!$C75,출고요청서_raw!$Z:$Z)</f>
        <v>322854</v>
      </c>
      <c r="H75" s="51">
        <f>SUMIF(출고요청서_raw!$R:$R,매출요약!$C75,출고요청서_raw!$AA:$AA)</f>
        <v>77350</v>
      </c>
      <c r="I75" s="51">
        <f>SUMIF(출고요청서_raw!$R:$R,매출요약!$C75,출고요청서_raw!$Y:$Y)</f>
        <v>86875.06</v>
      </c>
      <c r="J75" s="51">
        <f>D75-F75-G75-H75-I75</f>
        <v>190284.57636363636</v>
      </c>
      <c r="K75" s="79">
        <f>J75/E75</f>
        <v>0.28091938531740707</v>
      </c>
      <c r="L75" s="83"/>
    </row>
    <row r="76" spans="1:29" ht="15" customHeight="1">
      <c r="B76" s="51" t="s">
        <v>39</v>
      </c>
      <c r="C76" s="78" t="s">
        <v>11</v>
      </c>
      <c r="D76" s="51">
        <f>SUMIF(출고요청서_raw!$R:$R,매출요약!$C76,출고요청서_raw!$V:$V)</f>
        <v>2103636.3636363628</v>
      </c>
      <c r="E76" s="51">
        <f>D76-F76</f>
        <v>2103636.3636363628</v>
      </c>
      <c r="F76" s="51">
        <v>0</v>
      </c>
      <c r="G76" s="51">
        <f>SUMIF(출고요청서_raw!$R:$R,매출요약!$C76,출고요청서_raw!$Z:$Z)</f>
        <v>1598896</v>
      </c>
      <c r="H76" s="51">
        <f>SUMIF(출고요청서_raw!$R:$R,매출요약!$C76,출고요청서_raw!$AA:$AA)</f>
        <v>118300</v>
      </c>
      <c r="I76" s="51">
        <f>SUMIF(출고요청서_raw!$R:$R,매출요약!$C76,출고요청서_raw!$Y:$Y)</f>
        <v>0</v>
      </c>
      <c r="J76" s="51">
        <f>D76-F76-G76-H76-I76</f>
        <v>386440.36363636283</v>
      </c>
      <c r="K76" s="79">
        <f>J76/E76</f>
        <v>0.18370112359550531</v>
      </c>
    </row>
    <row r="77" spans="1:29" ht="15" customHeight="1">
      <c r="B77" s="51" t="s">
        <v>39</v>
      </c>
      <c r="C77" s="78" t="s">
        <v>9</v>
      </c>
      <c r="D77" s="51">
        <f>SUMIF(출고요청서_raw!$R:$R,매출요약!$C77,출고요청서_raw!$V:$V)</f>
        <v>147909.09090909088</v>
      </c>
      <c r="E77" s="51">
        <f>D77-F77</f>
        <v>147909.09090909088</v>
      </c>
      <c r="F77" s="51">
        <v>0</v>
      </c>
      <c r="G77" s="51">
        <f>SUMIF(출고요청서_raw!$R:$R,매출요약!$C77,출고요청서_raw!$Z:$Z)</f>
        <v>61496</v>
      </c>
      <c r="H77" s="51">
        <f>SUMIF(출고요청서_raw!$R:$R,매출요약!$C77,출고요청서_raw!$AA:$AA)</f>
        <v>22750</v>
      </c>
      <c r="I77" s="51">
        <f>SUMIF(출고요청서_raw!$R:$R,매출요약!$C77,출고요청서_raw!$Y:$Y)</f>
        <v>5369.1</v>
      </c>
      <c r="J77" s="51">
        <f>D77-F77-G77-H77-I77</f>
        <v>58293.990909090884</v>
      </c>
      <c r="K77" s="79">
        <f>J77/E77</f>
        <v>0.3941204056545789</v>
      </c>
    </row>
    <row r="78" spans="1:29" ht="15" customHeight="1">
      <c r="B78" s="51"/>
      <c r="C78" s="78"/>
      <c r="D78" s="51"/>
      <c r="E78" s="51"/>
      <c r="F78" s="51"/>
      <c r="G78" s="51"/>
      <c r="H78" s="51"/>
      <c r="I78" s="51"/>
      <c r="J78" s="51"/>
      <c r="K78" s="78"/>
    </row>
    <row r="79" spans="1:29" ht="13.15" customHeight="1">
      <c r="B79" s="3"/>
      <c r="C79" s="3"/>
      <c r="D79" s="80"/>
      <c r="E79" s="80"/>
      <c r="F79" s="3"/>
      <c r="G79" s="3"/>
      <c r="H79" s="3"/>
      <c r="I79" s="3"/>
      <c r="J79" s="3"/>
      <c r="K79" s="3"/>
    </row>
    <row r="81" spans="2:11" ht="13.15" customHeight="1">
      <c r="B81" s="76" t="s">
        <v>29</v>
      </c>
      <c r="C81" s="76" t="s">
        <v>30</v>
      </c>
      <c r="D81" s="76" t="s">
        <v>31</v>
      </c>
      <c r="E81" s="76" t="s">
        <v>32</v>
      </c>
      <c r="F81" s="76" t="s">
        <v>33</v>
      </c>
      <c r="G81" s="76" t="s">
        <v>34</v>
      </c>
      <c r="H81" s="76" t="s">
        <v>35</v>
      </c>
      <c r="I81" s="76" t="s">
        <v>36</v>
      </c>
      <c r="J81" s="76" t="s">
        <v>37</v>
      </c>
      <c r="K81" s="76" t="s">
        <v>38</v>
      </c>
    </row>
    <row r="82" spans="2:11" ht="13.15" customHeight="1">
      <c r="B82" s="50" t="s">
        <v>42</v>
      </c>
      <c r="C82" s="50" t="s">
        <v>40</v>
      </c>
      <c r="D82" s="50">
        <f>RAW!K12</f>
        <v>98654545.454545453</v>
      </c>
      <c r="E82" s="50">
        <f>RAW!O12</f>
        <v>98654545.454545453</v>
      </c>
      <c r="F82" s="50">
        <f>SUM(F83:F87)</f>
        <v>0</v>
      </c>
      <c r="G82" s="50">
        <f>RAW!P12</f>
        <v>56022856</v>
      </c>
      <c r="H82" s="50">
        <f>RAW!Q12</f>
        <v>4158700</v>
      </c>
      <c r="I82" s="50">
        <f>RAW!X12</f>
        <v>32789530.363636363</v>
      </c>
      <c r="J82" s="50">
        <f>RAW!AK12</f>
        <v>5683459.0909090918</v>
      </c>
      <c r="K82" s="77">
        <f>J82/E82</f>
        <v>5.7609703280501301E-2</v>
      </c>
    </row>
    <row r="88" spans="2:11" ht="13.15" customHeight="1">
      <c r="C88" s="1">
        <v>0</v>
      </c>
    </row>
  </sheetData>
  <mergeCells count="19">
    <mergeCell ref="B36:B66"/>
    <mergeCell ref="C29:C34"/>
    <mergeCell ref="B4:B6"/>
    <mergeCell ref="B7:B34"/>
    <mergeCell ref="K68:L68"/>
    <mergeCell ref="U68:AB68"/>
    <mergeCell ref="K2:L2"/>
    <mergeCell ref="U2:AB2"/>
    <mergeCell ref="C22:C28"/>
    <mergeCell ref="C4:C6"/>
    <mergeCell ref="C8:C14"/>
    <mergeCell ref="C15:C21"/>
    <mergeCell ref="E4:F4"/>
    <mergeCell ref="D4:D6"/>
    <mergeCell ref="C37:C43"/>
    <mergeCell ref="C44:C50"/>
    <mergeCell ref="C51:C57"/>
    <mergeCell ref="C58:C64"/>
    <mergeCell ref="C65:C66"/>
  </mergeCells>
  <phoneticPr fontId="1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F205-8B24-4F30-9370-8E303F6E6AFA}">
  <sheetPr>
    <tabColor theme="3" tint="0.749992370372631"/>
    <pageSetUpPr fitToPage="1"/>
  </sheetPr>
  <dimension ref="A1:T29"/>
  <sheetViews>
    <sheetView showGridLines="0" tabSelected="1" workbookViewId="0">
      <selection activeCell="F6" sqref="F6"/>
    </sheetView>
  </sheetViews>
  <sheetFormatPr defaultRowHeight="18" customHeight="1" outlineLevelRow="1"/>
  <cols>
    <col min="1" max="1" width="3.375" style="6" customWidth="1"/>
    <col min="2" max="2" width="12.25" style="9" customWidth="1"/>
    <col min="3" max="3" width="16.625" style="9" bestFit="1" customWidth="1"/>
    <col min="4" max="4" width="9.375" style="9" customWidth="1"/>
    <col min="5" max="5" width="7.375" style="9" customWidth="1"/>
    <col min="6" max="6" width="48.125" style="10" customWidth="1"/>
    <col min="7" max="7" width="8" style="9" customWidth="1"/>
    <col min="8" max="9" width="11.75" style="11" customWidth="1"/>
    <col min="10" max="10" width="12.75" style="11" customWidth="1"/>
    <col min="11" max="11" width="12.625" style="12" customWidth="1"/>
    <col min="12" max="12" width="9.875" style="11" customWidth="1"/>
    <col min="13" max="13" width="10.375" style="11" customWidth="1"/>
    <col min="14" max="14" width="15.375" style="11" customWidth="1"/>
    <col min="15" max="16" width="13.75" style="6" customWidth="1"/>
    <col min="17" max="17" width="11.5" style="6" customWidth="1"/>
    <col min="18" max="18" width="13.125" style="6" customWidth="1"/>
    <col min="19" max="19" width="11.25" style="6" customWidth="1"/>
    <col min="20" max="20" width="11.875" style="6" customWidth="1"/>
    <col min="21" max="16384" width="9" style="6"/>
  </cols>
  <sheetData>
    <row r="1" spans="1:20" ht="16.5" customHeight="1">
      <c r="B1" s="13"/>
      <c r="C1" s="13"/>
      <c r="D1" s="13"/>
      <c r="E1" s="13"/>
      <c r="F1" s="13"/>
      <c r="G1" s="13"/>
      <c r="H1" s="13"/>
      <c r="I1" s="13"/>
      <c r="J1" s="13"/>
      <c r="K1" s="14"/>
      <c r="L1" s="13"/>
      <c r="M1" s="13"/>
      <c r="N1" s="13"/>
    </row>
    <row r="2" spans="1:20" ht="20.25" customHeight="1">
      <c r="B2" s="15" t="s">
        <v>43</v>
      </c>
      <c r="C2" s="15"/>
      <c r="D2" s="13"/>
      <c r="E2" s="13"/>
      <c r="F2" s="13"/>
      <c r="G2" s="453" t="s">
        <v>44</v>
      </c>
      <c r="H2" s="453">
        <f>H4-H3</f>
        <v>0</v>
      </c>
      <c r="I2" s="453">
        <f>I4-I3</f>
        <v>0</v>
      </c>
      <c r="J2" s="453">
        <f>J4-J3</f>
        <v>22</v>
      </c>
      <c r="K2" s="14"/>
      <c r="L2" s="13"/>
      <c r="M2" s="13"/>
      <c r="N2" s="13"/>
    </row>
    <row r="3" spans="1:20" ht="15" customHeight="1">
      <c r="B3" s="13"/>
      <c r="C3" s="13"/>
      <c r="D3" s="13"/>
      <c r="E3" s="13"/>
      <c r="F3" s="13"/>
      <c r="G3" s="453" t="s">
        <v>45</v>
      </c>
      <c r="H3" s="453">
        <v>20000</v>
      </c>
      <c r="I3" s="453">
        <v>10759</v>
      </c>
      <c r="J3" s="453">
        <v>9219</v>
      </c>
      <c r="K3" s="14"/>
      <c r="L3" s="35"/>
      <c r="M3" s="449"/>
      <c r="N3" s="13"/>
    </row>
    <row r="4" spans="1:20" s="7" customFormat="1" ht="15" customHeight="1">
      <c r="B4" s="16"/>
      <c r="C4" s="16"/>
      <c r="D4" s="16"/>
      <c r="E4" s="17"/>
      <c r="F4" s="18"/>
      <c r="G4" s="17" t="s">
        <v>46</v>
      </c>
      <c r="H4" s="16">
        <f>H6</f>
        <v>20000</v>
      </c>
      <c r="I4" s="16">
        <v>10759</v>
      </c>
      <c r="J4" s="16">
        <f>J3+22</f>
        <v>9241</v>
      </c>
      <c r="K4" s="19"/>
      <c r="L4" s="35"/>
      <c r="M4" s="450"/>
      <c r="N4" s="16">
        <f>SUBTOTAL(9,N6:N9851)</f>
        <v>71019384</v>
      </c>
      <c r="O4" s="16">
        <f>SUBTOTAL(9,O6:O9851)</f>
        <v>153754640</v>
      </c>
      <c r="P4" s="16">
        <f>SUBTOTAL(9,P6:P9851)</f>
        <v>83188129</v>
      </c>
    </row>
    <row r="5" spans="1:20" s="8" customFormat="1" ht="15.75" customHeight="1">
      <c r="A5" s="8" t="s">
        <v>47</v>
      </c>
      <c r="B5" s="20" t="s">
        <v>48</v>
      </c>
      <c r="C5" s="20" t="s">
        <v>49</v>
      </c>
      <c r="D5" s="20" t="s">
        <v>50</v>
      </c>
      <c r="E5" s="21" t="s">
        <v>51</v>
      </c>
      <c r="F5" s="22" t="s">
        <v>52</v>
      </c>
      <c r="G5" s="21" t="s">
        <v>53</v>
      </c>
      <c r="H5" s="23" t="s">
        <v>54</v>
      </c>
      <c r="I5" s="23" t="s">
        <v>55</v>
      </c>
      <c r="J5" s="23" t="s">
        <v>56</v>
      </c>
      <c r="K5" s="24" t="s">
        <v>57</v>
      </c>
      <c r="L5" s="23" t="s">
        <v>58</v>
      </c>
      <c r="M5" s="23" t="s">
        <v>59</v>
      </c>
      <c r="N5" s="23" t="s">
        <v>60</v>
      </c>
      <c r="O5" s="25" t="s">
        <v>61</v>
      </c>
      <c r="P5" s="25" t="s">
        <v>62</v>
      </c>
    </row>
    <row r="6" spans="1:20" ht="15.75" customHeight="1">
      <c r="B6" s="26" t="s">
        <v>63</v>
      </c>
      <c r="C6" s="27" t="s">
        <v>64</v>
      </c>
      <c r="D6" s="27" t="s">
        <v>65</v>
      </c>
      <c r="E6" s="27" t="s">
        <v>66</v>
      </c>
      <c r="F6" s="378" t="s">
        <v>5926</v>
      </c>
      <c r="G6" s="27" t="s">
        <v>68</v>
      </c>
      <c r="H6" s="390">
        <v>20000</v>
      </c>
      <c r="I6" s="32">
        <f>SUM(H9:J9)*1+SUM(H10:J10)*2+SUM(H11:J11)*4+SUM(H12:J12)*6+SUM(H13:J13)*8</f>
        <v>10762</v>
      </c>
      <c r="J6" s="390">
        <f>H6-I6</f>
        <v>9238</v>
      </c>
      <c r="K6" s="29">
        <v>46412</v>
      </c>
      <c r="L6" s="31"/>
      <c r="M6" s="31">
        <v>7687</v>
      </c>
      <c r="N6" s="31">
        <f>J6*M6</f>
        <v>71012506</v>
      </c>
      <c r="O6" s="31">
        <f t="shared" ref="O6" si="0">H6*M6</f>
        <v>153740000</v>
      </c>
      <c r="P6" s="31">
        <f t="shared" ref="P6" si="1">I6*M6</f>
        <v>82727494</v>
      </c>
    </row>
    <row r="7" spans="1:20" ht="15.75" customHeight="1">
      <c r="B7" s="26"/>
      <c r="C7" s="27"/>
      <c r="D7" s="27"/>
      <c r="E7" s="27"/>
      <c r="F7" s="391"/>
      <c r="G7" s="392"/>
      <c r="H7" s="393"/>
      <c r="I7" s="394"/>
      <c r="J7" s="393"/>
      <c r="K7" s="29"/>
      <c r="L7" s="31"/>
      <c r="M7" s="31"/>
      <c r="N7" s="31"/>
      <c r="O7" s="31"/>
      <c r="P7" s="31"/>
    </row>
    <row r="8" spans="1:20" ht="15.75" customHeight="1" outlineLevel="1">
      <c r="B8" s="26"/>
      <c r="C8" s="27"/>
      <c r="D8" s="27"/>
      <c r="E8" s="27"/>
      <c r="F8" s="385" t="s">
        <v>69</v>
      </c>
      <c r="G8" s="386"/>
      <c r="H8" s="387" t="s">
        <v>70</v>
      </c>
      <c r="I8" s="388" t="s">
        <v>39</v>
      </c>
      <c r="J8" s="389" t="s">
        <v>42</v>
      </c>
      <c r="K8" s="29"/>
      <c r="L8" s="31"/>
      <c r="M8" s="31"/>
      <c r="N8" s="31"/>
      <c r="O8" s="31"/>
      <c r="P8" s="31"/>
    </row>
    <row r="9" spans="1:20" ht="15.75" customHeight="1" outlineLevel="1">
      <c r="B9" s="26"/>
      <c r="C9" s="27"/>
      <c r="D9" s="27"/>
      <c r="E9" s="27"/>
      <c r="F9" s="379" t="s">
        <v>71</v>
      </c>
      <c r="G9" s="27" t="s">
        <v>68</v>
      </c>
      <c r="H9" s="28">
        <v>28</v>
      </c>
      <c r="I9" s="33">
        <f>SUMIF(출고요청서_raw!$H:$H,F9, 출고요청서_raw!$G:$G)</f>
        <v>18</v>
      </c>
      <c r="J9" s="380">
        <f>SUMIF(SK스토아_raw!$W:$W,F9, SK스토아_raw!$Y:$Y)</f>
        <v>0</v>
      </c>
      <c r="K9" s="29"/>
      <c r="L9" s="30"/>
      <c r="M9" s="30"/>
      <c r="N9" s="30"/>
      <c r="O9" s="30"/>
      <c r="P9" s="30"/>
    </row>
    <row r="10" spans="1:20" ht="15.75" customHeight="1" outlineLevel="1">
      <c r="B10" s="26"/>
      <c r="C10" s="27"/>
      <c r="D10" s="27"/>
      <c r="E10" s="27"/>
      <c r="F10" s="379" t="s">
        <v>72</v>
      </c>
      <c r="G10" s="27" t="s">
        <v>68</v>
      </c>
      <c r="H10" s="28"/>
      <c r="I10" s="33">
        <f>SUMIF(출고요청서_raw!$H:$H,F10, 출고요청서_raw!$G:$G)</f>
        <v>9</v>
      </c>
      <c r="J10" s="380">
        <f>SUMIF(SK스토아_raw!$W:$W,F10, SK스토아_raw!$Y:$Y)</f>
        <v>0</v>
      </c>
      <c r="K10" s="29"/>
      <c r="L10" s="30"/>
      <c r="M10" s="30"/>
      <c r="N10" s="30"/>
      <c r="O10" s="30"/>
      <c r="P10" s="30"/>
    </row>
    <row r="11" spans="1:20" ht="15.75" customHeight="1" outlineLevel="1">
      <c r="B11" s="26"/>
      <c r="C11" s="27"/>
      <c r="D11" s="27"/>
      <c r="E11" s="27"/>
      <c r="F11" s="379" t="s">
        <v>73</v>
      </c>
      <c r="G11" s="27" t="s">
        <v>68</v>
      </c>
      <c r="H11" s="28"/>
      <c r="I11" s="33">
        <f>SUMIF(출고요청서_raw!$H:$H,F11, 출고요청서_raw!$G:$G)</f>
        <v>643</v>
      </c>
      <c r="J11" s="380" cm="1">
        <f t="array" ref="J11">SUMPRODUCT((SK스토아_raw!AL$3:AL$2922=F11)*(SK스토아_raw!AN$3:AN$2922&gt;0)*SK스토아_raw!AN$3:AN$2922)</f>
        <v>6</v>
      </c>
      <c r="K11" s="29"/>
      <c r="L11" s="30"/>
      <c r="M11" s="30"/>
      <c r="N11" s="30"/>
      <c r="O11" s="30"/>
      <c r="P11" s="30"/>
    </row>
    <row r="12" spans="1:20" ht="15.75" customHeight="1" outlineLevel="1">
      <c r="B12" s="26"/>
      <c r="C12" s="27"/>
      <c r="D12" s="27"/>
      <c r="E12" s="27"/>
      <c r="F12" s="381" t="s">
        <v>74</v>
      </c>
      <c r="G12" s="27" t="s">
        <v>68</v>
      </c>
      <c r="H12" s="28"/>
      <c r="I12" s="33">
        <f>SUMIF(출고요청서_raw!$H:$H,F12, 출고요청서_raw!$G:$G)</f>
        <v>89</v>
      </c>
      <c r="J12" s="405" cm="1">
        <f t="array" ref="J12">SUMPRODUCT((SK스토아_raw!AL$3:AL$2922=F12)*(SK스토아_raw!AN$3:AN$2922&gt;0)*SK스토아_raw!AN$3:AN$2922)</f>
        <v>0</v>
      </c>
      <c r="K12" s="29"/>
      <c r="L12" s="30"/>
      <c r="M12" s="30"/>
      <c r="N12" s="30"/>
      <c r="O12" s="30"/>
      <c r="P12" s="30"/>
    </row>
    <row r="13" spans="1:20" ht="15.75" customHeight="1" outlineLevel="1">
      <c r="B13" s="26"/>
      <c r="C13" s="27"/>
      <c r="D13" s="27"/>
      <c r="E13" s="27"/>
      <c r="F13" s="382" t="s">
        <v>75</v>
      </c>
      <c r="G13" s="383" t="s">
        <v>68</v>
      </c>
      <c r="H13" s="384">
        <v>8</v>
      </c>
      <c r="I13" s="403">
        <f>SUMIF(출고요청서_raw!$H:$H,F13, 출고요청서_raw!$G:$G)</f>
        <v>26</v>
      </c>
      <c r="J13" s="402" cm="1">
        <f t="array" ref="J13">SUMPRODUCT((SK스토아_raw!AL$3:AL$2922=F13)*(SK스토아_raw!AN$3:AN$2922&gt;0)*SK스토아_raw!AN$3:AN$2922)</f>
        <v>912</v>
      </c>
      <c r="K13" s="404"/>
      <c r="L13" s="30"/>
      <c r="M13" s="30"/>
      <c r="N13" s="30"/>
      <c r="O13" s="30"/>
      <c r="P13" s="30"/>
    </row>
    <row r="14" spans="1:20" ht="18" customHeight="1">
      <c r="I14" s="34"/>
    </row>
    <row r="15" spans="1:20" ht="18" customHeight="1">
      <c r="H15" s="451"/>
      <c r="I15" s="451"/>
      <c r="L15" s="11" t="s">
        <v>76</v>
      </c>
      <c r="N15" s="11" t="s">
        <v>77</v>
      </c>
      <c r="O15" s="6" t="s">
        <v>78</v>
      </c>
      <c r="P15" s="443" t="s">
        <v>79</v>
      </c>
      <c r="Q15" s="447" t="s">
        <v>80</v>
      </c>
      <c r="R15" s="447" t="s">
        <v>81</v>
      </c>
      <c r="S15" s="448" t="s">
        <v>82</v>
      </c>
      <c r="T15" s="448" t="s">
        <v>83</v>
      </c>
    </row>
    <row r="16" spans="1:20" ht="18" customHeight="1">
      <c r="H16" s="451"/>
      <c r="I16" s="451"/>
      <c r="K16" s="440">
        <v>46049</v>
      </c>
      <c r="L16" s="11">
        <v>8</v>
      </c>
      <c r="M16" s="440">
        <v>46049</v>
      </c>
      <c r="N16">
        <v>8</v>
      </c>
      <c r="O16" s="441">
        <f t="shared" ref="O16:O23" si="2">L16-N16</f>
        <v>0</v>
      </c>
      <c r="P16" s="444">
        <v>46059</v>
      </c>
      <c r="Q16" s="6" cm="1">
        <f t="array" ref="Q16">SUMPRODUCT((SK스토아_raw!M$3:M$2922=TEXT(P16,"yyyy-mm-dd"))*(SK스토아_raw!AN$3:AN$2922&gt;0)*(SK스토아_raw!AO$3:AO$2922=119000)*SK스토아_raw!AN$3:AN$2922)</f>
        <v>6</v>
      </c>
      <c r="R16" s="6" cm="1">
        <f t="array" ref="R16">SUMPRODUCT((SK스토아_raw!M$3:M$2922=TEXT(P16,"yyyy-mm-dd"))*(SK스토아_raw!AN$3:AN$2922&lt;0)*(SK스토아_raw!AO$3:AO$2922=119000)*SK스토아_raw!AN$3:AN$2922)</f>
        <v>-1</v>
      </c>
      <c r="S16" s="6" cm="1">
        <f t="array" ref="S16">SUMPRODUCT((SK스토아_raw!M$3:M$2922=TEXT(P16,"yyyy-mm-dd"))*(SK스토아_raw!AN$3:AN$2922&gt;0)*(SK스토아_raw!AO$3:AO$2922=78000)*SK스토아_raw!AN$3:AN$2922)</f>
        <v>0</v>
      </c>
      <c r="T16" s="6" cm="1">
        <f t="array" ref="T16">SUMPRODUCT((SK스토아_raw!M$3:M$2922=TEXT(P16,"yyyy-mm-dd"))*(SK스토아_raw!AN$3:AN$2922&lt;0)*(SK스토아_raw!AO$3:AO$2922=78000)*SK스토아_raw!AN$3:AN$2922)</f>
        <v>0</v>
      </c>
    </row>
    <row r="17" spans="4:20" ht="18" customHeight="1">
      <c r="H17" s="451"/>
      <c r="I17" s="451"/>
      <c r="K17" s="440">
        <v>46056</v>
      </c>
      <c r="L17" s="11">
        <v>20</v>
      </c>
      <c r="M17" s="440">
        <v>46056</v>
      </c>
      <c r="N17">
        <v>20</v>
      </c>
      <c r="O17" s="441">
        <f t="shared" si="2"/>
        <v>0</v>
      </c>
      <c r="P17" s="444">
        <v>46060</v>
      </c>
      <c r="Q17" s="6" cm="1">
        <f t="array" ref="Q17">SUMPRODUCT((SK스토아_raw!M$3:M$2922=TEXT(P17,"yyyy-mm-dd"))*(SK스토아_raw!AN$3:AN$2922&gt;0)*(SK스토아_raw!AO$3:AO$2922=119000)*SK스토아_raw!AN$3:AN$2922)</f>
        <v>435</v>
      </c>
      <c r="R17" s="6" cm="1">
        <f t="array" ref="R17">SUMPRODUCT((SK스토아_raw!M$3:M$2922=TEXT(P17,"yyyy-mm-dd"))*(SK스토아_raw!AN$3:AN$2922&lt;0)*(SK스토아_raw!AO$3:AO$2922=119000)*SK스토아_raw!AN$3:AN$2922)</f>
        <v>0</v>
      </c>
      <c r="S17" s="6" cm="1">
        <f t="array" ref="S17">SUMPRODUCT((SK스토아_raw!M$3:M$2922=TEXT(P17,"yyyy-mm-dd"))*(SK스토아_raw!AN$3:AN$2922&gt;0)*(SK스토아_raw!AO$3:AO$2922=78000)*SK스토아_raw!AN$3:AN$2922)</f>
        <v>1</v>
      </c>
      <c r="T17" s="6" cm="1">
        <f t="array" ref="T17">SUMPRODUCT((SK스토아_raw!M$3:M$2922=TEXT(P17,"yyyy-mm-dd"))*(SK스토아_raw!AN$3:AN$2922&lt;0)*(SK스토아_raw!AO$3:AO$2922=78000)*SK스토아_raw!AN$3:AN$2922)</f>
        <v>0</v>
      </c>
    </row>
    <row r="18" spans="4:20" ht="18" customHeight="1">
      <c r="H18" s="451"/>
      <c r="I18" s="451"/>
      <c r="K18" s="440">
        <v>46058</v>
      </c>
      <c r="L18" s="11">
        <v>1343</v>
      </c>
      <c r="M18" s="440">
        <v>46058</v>
      </c>
      <c r="N18">
        <v>1303</v>
      </c>
      <c r="O18" s="441">
        <f t="shared" si="2"/>
        <v>40</v>
      </c>
      <c r="P18" s="445">
        <v>46061</v>
      </c>
      <c r="Q18" s="7" cm="1">
        <f t="array" ref="Q18">SUMPRODUCT((SK스토아_raw!M$3:M$2922=TEXT(P18,"yyyy-mm-dd"))*(SK스토아_raw!AN$3:AN$2922&gt;0)*(SK스토아_raw!AO$3:AO$2922=119000)*SK스토아_raw!AN$3:AN$2922)</f>
        <v>2</v>
      </c>
      <c r="R18" s="7" cm="1">
        <f t="array" ref="R18">SUMPRODUCT((SK스토아_raw!M$3:M$2922=TEXT(P18,"yyyy-mm-dd"))*(SK스토아_raw!AN$3:AN$2922&lt;0)*(SK스토아_raw!AO$3:AO$2922=119000)*SK스토아_raw!AN$3:AN$2922)</f>
        <v>0</v>
      </c>
      <c r="S18" s="7" cm="1">
        <f t="array" ref="S18">SUMPRODUCT((SK스토아_raw!M$3:M$2922=TEXT(P18,"yyyy-mm-dd"))*(SK스토아_raw!AN$3:AN$2922&gt;0)*(SK스토아_raw!AO$3:AO$2922=78000)*SK스토아_raw!AN$3:AN$2922)</f>
        <v>0</v>
      </c>
      <c r="T18" s="7" cm="1">
        <f t="array" ref="T18">SUMPRODUCT((SK스토아_raw!M$3:M$2922=TEXT(P18,"yyyy-mm-dd"))*(SK스토아_raw!AN$3:AN$2922&lt;0)*(SK스토아_raw!AO$3:AO$2922=78000)*SK스토아_raw!AN$3:AN$2922)</f>
        <v>0</v>
      </c>
    </row>
    <row r="19" spans="4:20" ht="18" customHeight="1">
      <c r="H19" s="451"/>
      <c r="I19" s="451"/>
      <c r="K19" s="440">
        <v>46059</v>
      </c>
      <c r="L19" s="11">
        <v>4153</v>
      </c>
      <c r="M19" s="440">
        <v>46059</v>
      </c>
      <c r="N19">
        <v>649</v>
      </c>
      <c r="O19" s="441">
        <f t="shared" si="2"/>
        <v>3504</v>
      </c>
      <c r="P19" s="445">
        <v>46062</v>
      </c>
      <c r="Q19" s="7" cm="1">
        <f t="array" ref="Q19">SUMPRODUCT((SK스토아_raw!M$3:M$2922=TEXT(P19,"yyyy-mm-dd"))*(SK스토아_raw!AN$3:AN$2922&gt;0)*(SK스토아_raw!AO$3:AO$2922=119000)*SK스토아_raw!AN$3:AN$2922)</f>
        <v>0</v>
      </c>
      <c r="R19" s="7" cm="1">
        <f t="array" ref="R19">SUMPRODUCT((SK스토아_raw!M$3:M$2922=TEXT(P19,"yyyy-mm-dd"))*(SK스토아_raw!AN$3:AN$2922&lt;0)*(SK스토아_raw!AO$3:AO$2922=119000)*SK스토아_raw!AN$3:AN$2922)</f>
        <v>0</v>
      </c>
      <c r="S19" s="7" cm="1">
        <f t="array" ref="S19">SUMPRODUCT((SK스토아_raw!M$3:M$2922=TEXT(P19,"yyyy-mm-dd"))*(SK스토아_raw!AN$3:AN$2922&gt;0)*(SK스토아_raw!AO$3:AO$2922=78000)*SK스토아_raw!AN$3:AN$2922)</f>
        <v>0</v>
      </c>
      <c r="T19" s="7" cm="1">
        <f t="array" ref="T19">SUMPRODUCT((SK스토아_raw!M$3:M$2922=TEXT(P19,"yyyy-mm-dd"))*(SK스토아_raw!AN$3:AN$2922&lt;0)*(SK스토아_raw!AO$3:AO$2922=78000)*SK스토아_raw!AN$3:AN$2922)</f>
        <v>0</v>
      </c>
    </row>
    <row r="20" spans="4:20" ht="18" customHeight="1">
      <c r="D20" s="10"/>
      <c r="H20" s="451"/>
      <c r="I20" s="452"/>
      <c r="K20" s="440">
        <v>46062</v>
      </c>
      <c r="L20" s="11">
        <v>1214</v>
      </c>
      <c r="M20" s="440">
        <v>46062</v>
      </c>
      <c r="N20">
        <v>894</v>
      </c>
      <c r="O20" s="441">
        <f t="shared" si="2"/>
        <v>320</v>
      </c>
      <c r="P20" s="444">
        <v>46063</v>
      </c>
      <c r="Q20" s="6" cm="1">
        <f t="array" ref="Q20">SUMPRODUCT((SK스토아_raw!M$3:M$2922=TEXT(P20,"yyyy-mm-dd"))*(SK스토아_raw!AN$3:AN$2922&gt;0)*(SK스토아_raw!AO$3:AO$2922=119000)*SK스토아_raw!AN$3:AN$2922)</f>
        <v>37</v>
      </c>
      <c r="R20" s="6" cm="1">
        <f t="array" ref="R20">SUMPRODUCT((SK스토아_raw!M$3:M$2922=TEXT(P20,"yyyy-mm-dd"))*(SK스토아_raw!AN$3:AN$2922&lt;0)*(SK스토아_raw!AO$3:AO$2922=119000)*SK스토아_raw!AN$3:AN$2922)</f>
        <v>-1</v>
      </c>
      <c r="S20" s="6" cm="1">
        <f t="array" ref="S20">SUMPRODUCT((SK스토아_raw!M$3:M$2922=TEXT(P20,"yyyy-mm-dd"))*(SK스토아_raw!AN$3:AN$2922&gt;0)*(SK스토아_raw!AO$3:AO$2922=78000)*SK스토아_raw!AN$3:AN$2922)</f>
        <v>3</v>
      </c>
      <c r="T20" s="6" cm="1">
        <f t="array" ref="T20">SUMPRODUCT((SK스토아_raw!M$3:M$2922=TEXT(P20,"yyyy-mm-dd"))*(SK스토아_raw!AN$3:AN$2922&lt;0)*(SK스토아_raw!AO$3:AO$2922=78000)*SK스토아_raw!AN$3:AN$2922)</f>
        <v>0</v>
      </c>
    </row>
    <row r="21" spans="4:20" ht="18" customHeight="1">
      <c r="H21" s="451"/>
      <c r="I21" s="451"/>
      <c r="K21" s="440">
        <v>46063</v>
      </c>
      <c r="L21" s="11">
        <v>360</v>
      </c>
      <c r="M21" s="440">
        <v>46063</v>
      </c>
      <c r="N21">
        <v>224</v>
      </c>
      <c r="O21" s="441">
        <f t="shared" si="2"/>
        <v>136</v>
      </c>
      <c r="P21" s="444">
        <v>46064</v>
      </c>
      <c r="Q21" s="6" cm="1">
        <f t="array" ref="Q21">SUMPRODUCT((SK스토아_raw!M$3:M$2922=TEXT(P21,"yyyy-mm-dd"))*(SK스토아_raw!AN$3:AN$2922&gt;0)*(SK스토아_raw!AO$3:AO$2922=119000)*SK스토아_raw!AN$3:AN$2922)</f>
        <v>17</v>
      </c>
      <c r="R21" s="6" cm="1">
        <f t="array" ref="R21">SUMPRODUCT((SK스토아_raw!M$3:M$2922=TEXT(P21,"yyyy-mm-dd"))*(SK스토아_raw!AN$3:AN$2922&lt;0)*(SK스토아_raw!AO$3:AO$2922=119000)*SK스토아_raw!AN$3:AN$2922)</f>
        <v>-1</v>
      </c>
      <c r="S21" s="6" cm="1">
        <f t="array" ref="S21">SUMPRODUCT((SK스토아_raw!M$3:M$2922=TEXT(P21,"yyyy-mm-dd"))*(SK스토아_raw!AN$3:AN$2922&gt;0)*(SK스토아_raw!AO$3:AO$2922=78000)*SK스토아_raw!AN$3:AN$2922)</f>
        <v>1</v>
      </c>
      <c r="T21" s="6" cm="1">
        <f t="array" ref="T21">SUMPRODUCT((SK스토아_raw!M$3:M$2922=TEXT(P21,"yyyy-mm-dd"))*(SK스토아_raw!AN$3:AN$2922&lt;0)*(SK스토아_raw!AO$3:AO$2922=78000)*SK스토아_raw!AN$3:AN$2922)</f>
        <v>0</v>
      </c>
    </row>
    <row r="22" spans="4:20" ht="18" customHeight="1">
      <c r="H22" s="451"/>
      <c r="I22" s="451"/>
      <c r="K22" s="440">
        <v>46064</v>
      </c>
      <c r="L22" s="11">
        <v>3425</v>
      </c>
      <c r="M22" s="440">
        <v>46064</v>
      </c>
      <c r="N22">
        <v>265</v>
      </c>
      <c r="O22" s="441">
        <f t="shared" si="2"/>
        <v>3160</v>
      </c>
      <c r="P22" s="444">
        <v>46065</v>
      </c>
      <c r="Q22" s="6" cm="1">
        <f t="array" ref="Q22">SUMPRODUCT((SK스토아_raw!M$3:M$2922=TEXT(P22,"yyyy-mm-dd"))*(SK스토아_raw!AN$3:AN$2922&gt;0)*(SK스토아_raw!AO$3:AO$2922=119000)*SK스토아_raw!AN$3:AN$2922)</f>
        <v>390</v>
      </c>
      <c r="R22" s="6" cm="1">
        <f t="array" ref="R22">SUMPRODUCT((SK스토아_raw!M$3:M$2922=TEXT(P22,"yyyy-mm-dd"))*(SK스토아_raw!AN$3:AN$2922&lt;0)*(SK스토아_raw!AO$3:AO$2922=119000)*SK스토아_raw!AN$3:AN$2922)</f>
        <v>0</v>
      </c>
      <c r="S22" s="6" cm="1">
        <f t="array" ref="S22">SUMPRODUCT((SK스토아_raw!M$3:M$2922=TEXT(P22,"yyyy-mm-dd"))*(SK스토아_raw!AN$3:AN$2922&gt;0)*(SK스토아_raw!AO$3:AO$2922=78000)*SK스토아_raw!AN$3:AN$2922)</f>
        <v>0</v>
      </c>
      <c r="T22" s="6" cm="1">
        <f t="array" ref="T22">SUMPRODUCT((SK스토아_raw!M$3:M$2922=TEXT(P22,"yyyy-mm-dd"))*(SK스토아_raw!AN$3:AN$2922&lt;0)*(SK스토아_raw!AO$3:AO$2922=78000)*SK스토아_raw!AN$3:AN$2922)</f>
        <v>0</v>
      </c>
    </row>
    <row r="23" spans="4:20" ht="18" customHeight="1">
      <c r="H23" s="451"/>
      <c r="I23" s="451"/>
      <c r="K23" s="440">
        <v>46065</v>
      </c>
      <c r="L23" s="11">
        <v>236</v>
      </c>
      <c r="M23" s="440">
        <v>46065</v>
      </c>
      <c r="N23">
        <v>76</v>
      </c>
      <c r="O23" s="441">
        <f t="shared" si="2"/>
        <v>160</v>
      </c>
      <c r="P23" s="444">
        <v>46066</v>
      </c>
      <c r="Q23" s="6" cm="1">
        <f t="array" ref="Q23">SUMPRODUCT((SK스토아_raw!M$3:M$2922=TEXT(P23,"yyyy-mm-dd"))*(SK스토아_raw!AN$3:AN$2922&gt;0)*(SK스토아_raw!AO$3:AO$2922=119000)*SK스토아_raw!AN$3:AN$2922)</f>
        <v>24</v>
      </c>
      <c r="R23" s="6" cm="1">
        <f t="array" ref="R23">SUMPRODUCT((SK스토아_raw!M$3:M$2922=TEXT(P23,"yyyy-mm-dd"))*(SK스토아_raw!AN$3:AN$2922&lt;0)*(SK스토아_raw!AO$3:AO$2922=119000)*SK스토아_raw!AN$3:AN$2922)</f>
        <v>0</v>
      </c>
      <c r="S23" s="6" cm="1">
        <f t="array" ref="S23">SUMPRODUCT((SK스토아_raw!M$3:M$2922=TEXT(P23,"yyyy-mm-dd"))*(SK스토아_raw!AN$3:AN$2922&gt;0)*(SK스토아_raw!AO$3:AO$2922=78000)*SK스토아_raw!AN$3:AN$2922)</f>
        <v>1</v>
      </c>
      <c r="T23" s="6" cm="1">
        <f t="array" ref="T23">SUMPRODUCT((SK스토아_raw!M$3:M$2922=TEXT(P23,"yyyy-mm-dd"))*(SK스토아_raw!AN$3:AN$2922&lt;0)*(SK스토아_raw!AO$3:AO$2922=78000)*SK스토아_raw!AN$3:AN$2922)</f>
        <v>0</v>
      </c>
    </row>
    <row r="24" spans="4:20" ht="18" customHeight="1">
      <c r="K24" s="87"/>
      <c r="L24" s="446">
        <f>SUM(L16:L23)</f>
        <v>10759</v>
      </c>
      <c r="M24" s="446"/>
      <c r="N24" s="446">
        <f>SUM(N16:N23)</f>
        <v>3439</v>
      </c>
      <c r="O24" s="455">
        <f>SUM(O16:O23)</f>
        <v>7320</v>
      </c>
      <c r="P24" s="444">
        <v>46067</v>
      </c>
      <c r="Q24" s="6" cm="1">
        <f t="array" ref="Q24">SUMPRODUCT((SK스토아_raw!M$3:M$2922=TEXT(P24,"yyyy-mm-dd"))*(SK스토아_raw!AN$3:AN$2922&gt;0)*(SK스토아_raw!AO$3:AO$2922=119000)*SK스토아_raw!AN$3:AN$2922)</f>
        <v>1</v>
      </c>
      <c r="R24" s="6" cm="1">
        <f t="array" ref="R24">SUMPRODUCT((SK스토아_raw!M$3:M$2922=TEXT(P24,"yyyy-mm-dd"))*(SK스토아_raw!AN$3:AN$2922&lt;0)*(SK스토아_raw!AO$3:AO$2922=119000)*SK스토아_raw!AN$3:AN$2922)</f>
        <v>0</v>
      </c>
      <c r="S24" s="6" cm="1">
        <f t="array" ref="S24">SUMPRODUCT((SK스토아_raw!M$3:M$2922=TEXT(P24,"yyyy-mm-dd"))*(SK스토아_raw!AN$3:AN$2922&gt;0)*(SK스토아_raw!AO$3:AO$2922=78000)*SK스토아_raw!AN$3:AN$2922)</f>
        <v>0</v>
      </c>
      <c r="T24" s="6" cm="1">
        <f t="array" ref="T24">SUMPRODUCT((SK스토아_raw!M$3:M$2922=TEXT(P24,"yyyy-mm-dd"))*(SK스토아_raw!AN$3:AN$2922&lt;0)*(SK스토아_raw!AO$3:AO$2922=78000)*SK스토아_raw!AN$3:AN$2922)</f>
        <v>0</v>
      </c>
    </row>
    <row r="25" spans="4:20" ht="18" customHeight="1">
      <c r="P25" s="444">
        <v>46068</v>
      </c>
      <c r="Q25" s="6" cm="1">
        <f t="array" ref="Q25">SUMPRODUCT((SK스토아_raw!M$3:M$2922=TEXT(P25,"yyyy-mm-dd"))*(SK스토아_raw!AN$3:AN$2922&gt;0)*(SK스토아_raw!AO$3:AO$2922=119000)*SK스토아_raw!AN$3:AN$2922)</f>
        <v>0</v>
      </c>
      <c r="R25" s="6" cm="1">
        <f t="array" ref="R25">SUMPRODUCT((SK스토아_raw!M$3:M$2922=TEXT(P25,"yyyy-mm-dd"))*(SK스토아_raw!AN$3:AN$2922&lt;0)*(SK스토아_raw!AO$3:AO$2922=119000)*SK스토아_raw!AN$3:AN$2922)</f>
        <v>0</v>
      </c>
      <c r="S25" s="6" cm="1">
        <f t="array" ref="S25">SUMPRODUCT((SK스토아_raw!M$3:M$2922=TEXT(P25,"yyyy-mm-dd"))*(SK스토아_raw!AN$3:AN$2922&gt;0)*(SK스토아_raw!AO$3:AO$2922=78000)*SK스토아_raw!AN$3:AN$2922)</f>
        <v>0</v>
      </c>
      <c r="T25" s="6" cm="1">
        <f t="array" ref="T25">SUMPRODUCT((SK스토아_raw!M$3:M$2922=TEXT(P25,"yyyy-mm-dd"))*(SK스토아_raw!AN$3:AN$2922&lt;0)*(SK스토아_raw!AO$3:AO$2922=78000)*SK스토아_raw!AN$3:AN$2922)</f>
        <v>0</v>
      </c>
    </row>
    <row r="26" spans="4:20" ht="18" customHeight="1">
      <c r="P26" s="13" t="s">
        <v>84</v>
      </c>
      <c r="Q26" s="13">
        <f>SUM(Q16:Q25)</f>
        <v>912</v>
      </c>
      <c r="R26" s="13">
        <f>SUM(R16:R25)</f>
        <v>-3</v>
      </c>
      <c r="S26" s="13">
        <f>SUM(S16:S25)</f>
        <v>6</v>
      </c>
      <c r="T26" s="13">
        <f>SUM(T16:T25)</f>
        <v>0</v>
      </c>
    </row>
    <row r="27" spans="4:20" ht="18" customHeight="1">
      <c r="Q27" s="6">
        <f>Q26*8</f>
        <v>7296</v>
      </c>
      <c r="S27" s="6">
        <f>S26*4</f>
        <v>24</v>
      </c>
      <c r="T27" s="454">
        <f>Q27+S27</f>
        <v>7320</v>
      </c>
    </row>
    <row r="29" spans="4:20" ht="18" customHeight="1">
      <c r="H29" s="9"/>
      <c r="I29" s="9"/>
      <c r="J29" s="9"/>
      <c r="K29" s="9"/>
    </row>
  </sheetData>
  <autoFilter ref="B5:P6" xr:uid="{00000000-0001-0000-0100-000000000000}"/>
  <phoneticPr fontId="18" type="noConversion"/>
  <conditionalFormatting sqref="J5:J28 J30:J1048576">
    <cfRule type="cellIs" dxfId="1" priority="1" operator="lessThan">
      <formula>0</formula>
    </cfRule>
  </conditionalFormatting>
  <pageMargins left="0.54" right="0.46" top="0.75" bottom="0.61" header="0.3" footer="0.3"/>
  <pageSetup paperSize="9" scale="4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5875-4EC4-4C1E-B5F6-B9735A9EE6E5}">
  <dimension ref="A1:DI702"/>
  <sheetViews>
    <sheetView topLeftCell="G1" workbookViewId="0">
      <pane ySplit="3" topLeftCell="A124" activePane="bottomLeft" state="frozen"/>
      <selection activeCell="H1" sqref="H1"/>
      <selection pane="bottomLeft" activeCell="M233" sqref="M233"/>
    </sheetView>
  </sheetViews>
  <sheetFormatPr defaultColWidth="8.75" defaultRowHeight="15.75" customHeight="1" outlineLevelCol="1"/>
  <cols>
    <col min="1" max="1" width="11.75" style="55" customWidth="1"/>
    <col min="2" max="2" width="11.75" style="418" customWidth="1"/>
    <col min="3" max="3" width="11.75" style="55" hidden="1" customWidth="1" outlineLevel="1"/>
    <col min="4" max="4" width="11.75" style="418" hidden="1" customWidth="1" outlineLevel="1"/>
    <col min="5" max="5" width="11.75" style="418" customWidth="1" collapsed="1"/>
    <col min="6" max="6" width="11.75" style="55" customWidth="1"/>
    <col min="7" max="7" width="9.625" style="60" customWidth="1"/>
    <col min="8" max="8" width="32.625" style="54" customWidth="1"/>
    <col min="9" max="11" width="11.125" style="54" customWidth="1" outlineLevel="1"/>
    <col min="12" max="12" width="11.125" style="54" customWidth="1"/>
    <col min="13" max="13" width="14.625" style="54" customWidth="1"/>
    <col min="14" max="15" width="10.375" style="54" customWidth="1"/>
    <col min="16" max="16" width="10.375" style="57" customWidth="1"/>
    <col min="17" max="17" width="10.375" style="58" customWidth="1"/>
    <col min="18" max="18" width="9.75" style="59" customWidth="1"/>
    <col min="19" max="19" width="10.875" style="58" bestFit="1" customWidth="1"/>
    <col min="20" max="20" width="8.75" style="56" customWidth="1"/>
    <col min="21" max="21" width="10.875" style="58" bestFit="1" customWidth="1"/>
    <col min="22" max="22" width="13.375" style="58" bestFit="1" customWidth="1"/>
    <col min="23" max="23" width="12.125" style="65" customWidth="1"/>
    <col min="24" max="25" width="8.75" style="58" customWidth="1"/>
    <col min="26" max="26" width="10.875" style="56" bestFit="1" customWidth="1"/>
    <col min="27" max="28" width="8.75" style="56" customWidth="1"/>
    <col min="29" max="29" width="8.75" style="62" customWidth="1"/>
    <col min="30" max="31" width="12.125" style="58" customWidth="1"/>
    <col min="32" max="32" width="31.75" style="54" customWidth="1"/>
    <col min="33" max="33" width="15" style="54" customWidth="1"/>
    <col min="34" max="35" width="12" style="54" customWidth="1"/>
    <col min="36" max="37" width="15" style="54" customWidth="1"/>
    <col min="38" max="38" width="11.125" style="54" bestFit="1" customWidth="1"/>
    <col min="39" max="39" width="25.625" style="54" bestFit="1" customWidth="1"/>
    <col min="40" max="41" width="15" style="54" customWidth="1"/>
    <col min="42" max="42" width="12" style="54" customWidth="1"/>
    <col min="43" max="44" width="15" style="54" customWidth="1"/>
    <col min="45" max="45" width="12" style="54" customWidth="1"/>
    <col min="46" max="47" width="15" style="54" customWidth="1"/>
    <col min="48" max="48" width="12" style="54" customWidth="1"/>
    <col min="49" max="51" width="15" style="54" customWidth="1"/>
    <col min="52" max="53" width="18" style="54" customWidth="1"/>
    <col min="54" max="54" width="15" style="54" customWidth="1"/>
    <col min="55" max="56" width="18" style="54" customWidth="1"/>
    <col min="57" max="57" width="15" style="54" customWidth="1"/>
    <col min="58" max="59" width="18" style="54" customWidth="1"/>
    <col min="60" max="60" width="15" style="54" customWidth="1"/>
    <col min="61" max="62" width="18" style="54" customWidth="1"/>
    <col min="63" max="63" width="15" style="54" customWidth="1"/>
    <col min="64" max="65" width="18" style="54" customWidth="1"/>
    <col min="66" max="66" width="15" style="54" customWidth="1"/>
    <col min="67" max="68" width="18" style="54" customWidth="1"/>
    <col min="69" max="69" width="15" style="54" customWidth="1"/>
    <col min="70" max="71" width="18" style="54" customWidth="1"/>
    <col min="72" max="72" width="15" style="54" customWidth="1"/>
    <col min="73" max="74" width="18" style="54" customWidth="1"/>
    <col min="75" max="75" width="15" style="54" customWidth="1"/>
    <col min="76" max="77" width="18" style="54" customWidth="1"/>
    <col min="78" max="78" width="15" style="54" customWidth="1"/>
    <col min="79" max="80" width="18" style="54" customWidth="1"/>
    <col min="81" max="81" width="15" style="54" customWidth="1"/>
    <col min="82" max="83" width="18" style="54" customWidth="1"/>
    <col min="84" max="84" width="15" style="54" customWidth="1"/>
    <col min="85" max="86" width="18" style="54" customWidth="1"/>
    <col min="87" max="87" width="15" style="54" customWidth="1"/>
    <col min="88" max="89" width="18" style="54" customWidth="1"/>
    <col min="90" max="90" width="15" style="54" customWidth="1"/>
    <col min="91" max="92" width="18" style="54" customWidth="1"/>
    <col min="93" max="93" width="15" style="54" customWidth="1"/>
    <col min="94" max="95" width="18" style="54" customWidth="1"/>
    <col min="96" max="96" width="15" style="54" customWidth="1"/>
    <col min="97" max="98" width="18" style="54" customWidth="1"/>
    <col min="99" max="99" width="15" style="54" customWidth="1"/>
    <col min="100" max="101" width="18" style="54" customWidth="1"/>
    <col min="102" max="102" width="15" style="54" customWidth="1"/>
    <col min="103" max="104" width="18" style="54" customWidth="1"/>
    <col min="105" max="105" width="15" style="54" customWidth="1"/>
    <col min="106" max="107" width="18" style="54" customWidth="1"/>
    <col min="108" max="108" width="15" style="54" customWidth="1"/>
    <col min="109" max="110" width="18" style="54" customWidth="1"/>
    <col min="111" max="111" width="15" style="54" customWidth="1"/>
    <col min="112" max="113" width="18" style="54" customWidth="1"/>
    <col min="114" max="16382" width="8.75" style="54"/>
    <col min="16383" max="16383" width="8.75" style="54" bestFit="1"/>
    <col min="16384" max="16384" width="8.75" style="54"/>
  </cols>
  <sheetData>
    <row r="1" spans="1:113" ht="15.75" customHeight="1">
      <c r="H1" s="54" t="s">
        <v>85</v>
      </c>
      <c r="T1" s="58" t="s">
        <v>86</v>
      </c>
      <c r="U1" s="60"/>
      <c r="V1" s="58" t="s">
        <v>86</v>
      </c>
      <c r="W1" s="65" t="s">
        <v>86</v>
      </c>
      <c r="Z1" s="58" t="s">
        <v>86</v>
      </c>
      <c r="AA1" s="58" t="s">
        <v>86</v>
      </c>
      <c r="AB1" s="58" t="s">
        <v>86</v>
      </c>
      <c r="AC1" s="65" t="s">
        <v>86</v>
      </c>
    </row>
    <row r="2" spans="1:113" ht="15.75" customHeight="1">
      <c r="S2" s="60">
        <f>SUBTOTAL(9,S4:S1048576)</f>
        <v>35934300</v>
      </c>
      <c r="T2" s="60">
        <f>SUBTOTAL(9,T4:T1048576)</f>
        <v>136100</v>
      </c>
      <c r="U2" s="60">
        <f>SUBTOTAL(9,U4:U1048576)</f>
        <v>37961200</v>
      </c>
      <c r="V2" s="60">
        <f>SUBTOTAL(9,V4:V1048576)</f>
        <v>34510181.818181962</v>
      </c>
      <c r="W2" s="60">
        <f>SUBTOTAL(9,W4:W1048576)</f>
        <v>3442</v>
      </c>
      <c r="Y2" s="60">
        <f>SUBTOTAL(9,Y4:Y1048576)</f>
        <v>99098.159999999974</v>
      </c>
      <c r="Z2" s="60">
        <f>SUBTOTAL(9,Z4:Z1048576)</f>
        <v>25751450</v>
      </c>
      <c r="AA2" s="60">
        <f>SUBTOTAL(9,AA4:AA1048576)</f>
        <v>3235050</v>
      </c>
      <c r="AB2" s="60">
        <f>SUBTOTAL(9,AB4:AB1048576)</f>
        <v>5424583.6581818229</v>
      </c>
      <c r="AC2" s="466">
        <f>AB2/V2</f>
        <v>0.15718791882237601</v>
      </c>
      <c r="AD2" s="60">
        <f>U2-Y2</f>
        <v>37862101.840000004</v>
      </c>
      <c r="AE2" s="60">
        <f>SUBTOTAL(9,AE4:AE1048576)</f>
        <v>859274.52000000014</v>
      </c>
    </row>
    <row r="3" spans="1:113" ht="15.75" customHeight="1">
      <c r="A3" s="419" t="s">
        <v>87</v>
      </c>
      <c r="B3" s="420" t="s">
        <v>88</v>
      </c>
      <c r="C3" s="421" t="s">
        <v>89</v>
      </c>
      <c r="D3" s="422" t="s">
        <v>90</v>
      </c>
      <c r="E3" s="420" t="s">
        <v>91</v>
      </c>
      <c r="F3" s="419" t="s">
        <v>92</v>
      </c>
      <c r="G3" s="89" t="s">
        <v>13</v>
      </c>
      <c r="H3" s="90" t="s">
        <v>93</v>
      </c>
      <c r="I3" s="88" t="s">
        <v>94</v>
      </c>
      <c r="J3" s="88" t="s">
        <v>95</v>
      </c>
      <c r="K3" s="88" t="s">
        <v>96</v>
      </c>
      <c r="L3" s="88" t="s">
        <v>97</v>
      </c>
      <c r="M3" s="88" t="s">
        <v>98</v>
      </c>
      <c r="N3" s="88" t="s">
        <v>99</v>
      </c>
      <c r="O3" s="88" t="s">
        <v>100</v>
      </c>
      <c r="P3" s="91" t="s">
        <v>101</v>
      </c>
      <c r="Q3" s="90" t="s">
        <v>102</v>
      </c>
      <c r="R3" s="92" t="s">
        <v>103</v>
      </c>
      <c r="S3" s="90" t="s">
        <v>104</v>
      </c>
      <c r="T3" s="465" t="s">
        <v>105</v>
      </c>
      <c r="U3" s="90" t="s">
        <v>106</v>
      </c>
      <c r="V3" s="90" t="s">
        <v>107</v>
      </c>
      <c r="W3" s="93" t="s">
        <v>108</v>
      </c>
      <c r="X3" s="94" t="s">
        <v>109</v>
      </c>
      <c r="Y3" s="94" t="s">
        <v>109</v>
      </c>
      <c r="Z3" s="95" t="s">
        <v>110</v>
      </c>
      <c r="AA3" s="95" t="s">
        <v>111</v>
      </c>
      <c r="AB3" s="95" t="s">
        <v>112</v>
      </c>
      <c r="AC3" s="373" t="s">
        <v>113</v>
      </c>
      <c r="AD3" s="88" t="s">
        <v>114</v>
      </c>
      <c r="AE3" s="88" t="s">
        <v>115</v>
      </c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</row>
    <row r="4" spans="1:113" ht="15.75" customHeight="1">
      <c r="G4" s="60">
        <v>20</v>
      </c>
      <c r="H4" s="54" t="s">
        <v>67</v>
      </c>
      <c r="Q4" s="61">
        <v>46056</v>
      </c>
      <c r="R4" s="55"/>
      <c r="S4" s="53"/>
      <c r="U4" s="53"/>
      <c r="V4" s="53"/>
      <c r="W4" s="62">
        <v>20</v>
      </c>
      <c r="X4" s="53"/>
      <c r="Y4" s="53"/>
      <c r="AD4" s="58" t="s">
        <v>116</v>
      </c>
    </row>
    <row r="5" spans="1:113" ht="15.75" customHeight="1">
      <c r="A5" s="55" t="s">
        <v>117</v>
      </c>
      <c r="B5" s="55" t="s">
        <v>118</v>
      </c>
      <c r="E5" s="55" t="s">
        <v>119</v>
      </c>
      <c r="F5" s="55" t="s">
        <v>120</v>
      </c>
      <c r="G5" s="60">
        <v>1</v>
      </c>
      <c r="H5" s="54" t="s">
        <v>72</v>
      </c>
      <c r="M5" s="54" t="s">
        <v>121</v>
      </c>
      <c r="N5" s="54" t="s">
        <v>122</v>
      </c>
      <c r="O5" s="54" t="s">
        <v>123</v>
      </c>
      <c r="P5" s="57" t="s">
        <v>7</v>
      </c>
      <c r="Q5" s="61">
        <v>46058</v>
      </c>
      <c r="R5" s="55" t="s">
        <v>7</v>
      </c>
      <c r="S5" s="360">
        <v>45800</v>
      </c>
      <c r="T5" s="56">
        <f>S5-U5</f>
        <v>11900</v>
      </c>
      <c r="U5" s="360">
        <v>33900</v>
      </c>
      <c r="V5" s="360">
        <f>U5/1.1</f>
        <v>30818.181818181816</v>
      </c>
      <c r="W5" s="65">
        <f>IF(H5=재고내역!$F$9,출고요청서_raw!G5*1,IF(H5=재고내역!$F$10,출고요청서_raw!G5*2,IF(출고요청서_raw!H5=재고내역!$F$11,출고요청서_raw!G5*4,IF(출고요청서_raw!H5=재고내역!$F$12,출고요청서_raw!G5*6,IF(출고요청서_raw!H5=재고내역!$F$13,출고요청서_raw!G5*8)))))</f>
        <v>2</v>
      </c>
      <c r="X5" s="66">
        <f t="shared" ref="X5:X10" si="0">Y5/U5</f>
        <v>6.628318584070797E-2</v>
      </c>
      <c r="Y5" s="360">
        <v>2247</v>
      </c>
      <c r="Z5" s="56">
        <f>W5*재고내역!$M$6</f>
        <v>15374</v>
      </c>
      <c r="AA5" s="56">
        <f>IF(W5&gt;8,4550*2,4550)</f>
        <v>4550</v>
      </c>
      <c r="AB5" s="56">
        <f>V5-Z5-AA5-Y5</f>
        <v>8647.1818181818162</v>
      </c>
      <c r="AC5" s="376">
        <f>AB5/V5</f>
        <v>0.28058702064896751</v>
      </c>
      <c r="AD5" s="60"/>
      <c r="AE5" s="60">
        <f>U5-Y5</f>
        <v>31653</v>
      </c>
    </row>
    <row r="6" spans="1:113" ht="16.5">
      <c r="A6" s="55" t="s">
        <v>124</v>
      </c>
      <c r="B6" s="55" t="s">
        <v>125</v>
      </c>
      <c r="E6" s="55" t="s">
        <v>126</v>
      </c>
      <c r="F6" s="55" t="s">
        <v>127</v>
      </c>
      <c r="G6" s="60">
        <v>1</v>
      </c>
      <c r="H6" s="54" t="s">
        <v>71</v>
      </c>
      <c r="M6" s="54" t="s">
        <v>128</v>
      </c>
      <c r="N6" s="54" t="s">
        <v>129</v>
      </c>
      <c r="O6" s="54" t="s">
        <v>130</v>
      </c>
      <c r="P6" s="57" t="s">
        <v>7</v>
      </c>
      <c r="Q6" s="61">
        <v>46058</v>
      </c>
      <c r="R6" s="459" t="s">
        <v>7</v>
      </c>
      <c r="S6" s="458">
        <v>22900</v>
      </c>
      <c r="T6" s="56">
        <f t="shared" ref="T6:T7" si="1">S6-U6</f>
        <v>5100</v>
      </c>
      <c r="U6" s="458">
        <v>17800</v>
      </c>
      <c r="V6" s="458">
        <f t="shared" ref="V6:V11" si="2">U6/1.1</f>
        <v>16181.81818181818</v>
      </c>
      <c r="W6" s="442">
        <f>IF(H6=재고내역!$F$9,출고요청서_raw!G6*1,IF(H6=재고내역!$F$10,출고요청서_raw!G6*2,IF(출고요청서_raw!H6=재고내역!$F$11,출고요청서_raw!G6*4,IF(출고요청서_raw!H6=재고내역!$F$12,출고요청서_raw!G6*6,IF(출고요청서_raw!H6=재고내역!$F$13,출고요청서_raw!G6*8)))))</f>
        <v>1</v>
      </c>
      <c r="X6" s="457">
        <f t="shared" si="0"/>
        <v>6.6292134831460681E-2</v>
      </c>
      <c r="Y6" s="458">
        <v>1180</v>
      </c>
      <c r="Z6" s="456">
        <f>W6*재고내역!$M$6</f>
        <v>7687</v>
      </c>
      <c r="AA6" s="56">
        <f t="shared" ref="AA6:AA68" si="3">IF(W6&gt;8,4550*2,4550)</f>
        <v>4550</v>
      </c>
      <c r="AB6" s="56">
        <f t="shared" ref="AB6:AB69" si="4">V6-Z6-AA6-Y6</f>
        <v>2764.8181818181802</v>
      </c>
      <c r="AC6" s="376">
        <f>AB6/V6</f>
        <v>0.17085955056179766</v>
      </c>
      <c r="AE6" s="60">
        <f t="shared" ref="AE6:AE7" si="5">U6-Y6</f>
        <v>16620</v>
      </c>
      <c r="AF6" s="63" t="s">
        <v>131</v>
      </c>
      <c r="AG6" s="64" t="s">
        <v>132</v>
      </c>
      <c r="AI6" s="63" t="s">
        <v>133</v>
      </c>
      <c r="AJ6" s="64"/>
      <c r="AL6" s="439" t="s">
        <v>102</v>
      </c>
      <c r="AM6" t="s">
        <v>134</v>
      </c>
      <c r="AN6"/>
      <c r="AO6"/>
    </row>
    <row r="7" spans="1:113" ht="16.5">
      <c r="A7" s="55" t="s">
        <v>135</v>
      </c>
      <c r="B7" s="55" t="s">
        <v>136</v>
      </c>
      <c r="E7" s="55" t="s">
        <v>137</v>
      </c>
      <c r="F7" s="55" t="s">
        <v>138</v>
      </c>
      <c r="G7" s="60">
        <v>1</v>
      </c>
      <c r="H7" s="54" t="s">
        <v>71</v>
      </c>
      <c r="M7" s="54" t="s">
        <v>139</v>
      </c>
      <c r="N7" s="54" t="s">
        <v>140</v>
      </c>
      <c r="O7" s="54" t="s">
        <v>130</v>
      </c>
      <c r="P7" s="57" t="s">
        <v>7</v>
      </c>
      <c r="Q7" s="61">
        <v>46058</v>
      </c>
      <c r="R7" s="459" t="s">
        <v>7</v>
      </c>
      <c r="S7" s="458">
        <v>22900</v>
      </c>
      <c r="T7" s="56">
        <f t="shared" si="1"/>
        <v>5100</v>
      </c>
      <c r="U7" s="458">
        <v>17800</v>
      </c>
      <c r="V7" s="458">
        <f>U7/1.1</f>
        <v>16181.81818181818</v>
      </c>
      <c r="W7" s="442">
        <f>IF(H7=재고내역!$F$9,출고요청서_raw!G7*1,IF(H7=재고내역!$F$10,출고요청서_raw!G7*2,IF(출고요청서_raw!H7=재고내역!$F$11,출고요청서_raw!G7*4,IF(출고요청서_raw!H7=재고내역!$F$12,출고요청서_raw!G7*6,IF(출고요청서_raw!H7=재고내역!$F$13,출고요청서_raw!G7*8)))))</f>
        <v>1</v>
      </c>
      <c r="X7" s="457">
        <f t="shared" si="0"/>
        <v>6.6292134831460681E-2</v>
      </c>
      <c r="Y7" s="458">
        <v>1180</v>
      </c>
      <c r="Z7" s="456">
        <f>W7*재고내역!$M$6</f>
        <v>7687</v>
      </c>
      <c r="AA7" s="56">
        <f t="shared" si="3"/>
        <v>4550</v>
      </c>
      <c r="AB7" s="56">
        <f t="shared" si="4"/>
        <v>2764.8181818181802</v>
      </c>
      <c r="AC7" s="376">
        <f t="shared" ref="AC7:AC69" si="6">AB7/V7</f>
        <v>0.17085955056179766</v>
      </c>
      <c r="AE7" s="60">
        <f t="shared" si="5"/>
        <v>16620</v>
      </c>
      <c r="AF7" s="67" t="s">
        <v>71</v>
      </c>
      <c r="AG7" s="68">
        <v>1100</v>
      </c>
      <c r="AI7" s="67" t="s">
        <v>7</v>
      </c>
      <c r="AJ7" s="374">
        <v>6.6299999999999998E-2</v>
      </c>
      <c r="AL7" s="440">
        <v>46049</v>
      </c>
      <c r="AM7">
        <v>8</v>
      </c>
      <c r="AN7"/>
      <c r="AO7"/>
    </row>
    <row r="8" spans="1:113" ht="16.5">
      <c r="A8" s="418" t="s">
        <v>141</v>
      </c>
      <c r="B8" s="418" t="s">
        <v>142</v>
      </c>
      <c r="E8" s="418" t="s">
        <v>143</v>
      </c>
      <c r="F8" s="418" t="s">
        <v>144</v>
      </c>
      <c r="G8" s="60">
        <v>1</v>
      </c>
      <c r="H8" s="54" t="s">
        <v>71</v>
      </c>
      <c r="L8" s="81" t="s">
        <v>145</v>
      </c>
      <c r="M8" s="467" t="s">
        <v>146</v>
      </c>
      <c r="N8" s="81" t="s">
        <v>147</v>
      </c>
      <c r="O8" s="81" t="s">
        <v>148</v>
      </c>
      <c r="P8" s="57" t="s">
        <v>8</v>
      </c>
      <c r="Q8" s="61">
        <v>46058</v>
      </c>
      <c r="R8" s="460" t="s">
        <v>8</v>
      </c>
      <c r="S8" s="461">
        <v>20900</v>
      </c>
      <c r="T8" s="56">
        <f>IF(R8="쿠팡",VLOOKUP(H8,$AF$7:$AG$10,2,0)*G8,"0")</f>
        <v>1100</v>
      </c>
      <c r="U8" s="461">
        <f>S8-T8</f>
        <v>19800</v>
      </c>
      <c r="V8" s="458">
        <f>U8/1.1</f>
        <v>18000</v>
      </c>
      <c r="W8" s="442">
        <f>IF(H8=재고내역!$F$9,출고요청서_raw!G8*1,IF(H8=재고내역!$F$10,출고요청서_raw!G8*2,IF(출고요청서_raw!H8=재고내역!$F$11,출고요청서_raw!G8*4,IF(출고요청서_raw!H8=재고내역!$F$12,출고요청서_raw!G8*6,IF(출고요청서_raw!H8=재고내역!$F$13,출고요청서_raw!G8*8)))))</f>
        <v>1</v>
      </c>
      <c r="X8" s="462">
        <f t="shared" si="0"/>
        <v>0.11656565656565657</v>
      </c>
      <c r="Y8" s="461">
        <v>2308</v>
      </c>
      <c r="Z8" s="456">
        <f>W8*재고내역!$M$6</f>
        <v>7687</v>
      </c>
      <c r="AA8" s="56">
        <f t="shared" si="3"/>
        <v>4550</v>
      </c>
      <c r="AB8" s="56">
        <f>V8-Z8-AA8-Y8</f>
        <v>3455</v>
      </c>
      <c r="AC8" s="376">
        <f t="shared" si="6"/>
        <v>0.19194444444444445</v>
      </c>
      <c r="AE8" s="60">
        <f>U8-Y8</f>
        <v>17492</v>
      </c>
      <c r="AF8" s="67" t="s">
        <v>72</v>
      </c>
      <c r="AG8" s="68">
        <v>4100</v>
      </c>
      <c r="AI8" s="67" t="s">
        <v>8</v>
      </c>
      <c r="AJ8" s="374">
        <v>0.1166</v>
      </c>
      <c r="AL8" s="440">
        <v>46056</v>
      </c>
      <c r="AM8">
        <v>20</v>
      </c>
      <c r="AN8"/>
      <c r="AO8"/>
    </row>
    <row r="9" spans="1:113" ht="16.5">
      <c r="A9" s="418" t="s">
        <v>135</v>
      </c>
      <c r="B9" s="418" t="s">
        <v>149</v>
      </c>
      <c r="E9" s="418" t="s">
        <v>137</v>
      </c>
      <c r="F9" s="418" t="s">
        <v>150</v>
      </c>
      <c r="G9" s="60">
        <v>1</v>
      </c>
      <c r="H9" s="54" t="s">
        <v>71</v>
      </c>
      <c r="L9" s="81" t="s">
        <v>145</v>
      </c>
      <c r="M9" s="467" t="s">
        <v>151</v>
      </c>
      <c r="N9" s="81" t="s">
        <v>152</v>
      </c>
      <c r="O9" s="81" t="s">
        <v>148</v>
      </c>
      <c r="P9" s="57" t="s">
        <v>8</v>
      </c>
      <c r="Q9" s="61">
        <v>46058</v>
      </c>
      <c r="R9" s="59" t="s">
        <v>8</v>
      </c>
      <c r="S9" s="60">
        <v>20900</v>
      </c>
      <c r="T9" s="56">
        <f>IF(R9="쿠팡",VLOOKUP(H9,$AF$7:$AG$10,2,0)*G9,"0")</f>
        <v>1100</v>
      </c>
      <c r="U9" s="461">
        <f t="shared" ref="U9:U10" si="7">S9-T9</f>
        <v>19800</v>
      </c>
      <c r="V9" s="360">
        <f>U9/1.1</f>
        <v>18000</v>
      </c>
      <c r="W9" s="65">
        <f>IF(H9=재고내역!$F$9,출고요청서_raw!G9*1,IF(H9=재고내역!$F$10,출고요청서_raw!G9*2,IF(출고요청서_raw!H9=재고내역!$F$11,출고요청서_raw!G9*4,IF(출고요청서_raw!H9=재고내역!$F$12,출고요청서_raw!G9*6,IF(출고요청서_raw!H9=재고내역!$F$13,출고요청서_raw!G9*8)))))</f>
        <v>1</v>
      </c>
      <c r="X9" s="462">
        <f t="shared" si="0"/>
        <v>0.11656565656565657</v>
      </c>
      <c r="Y9" s="60">
        <v>2308</v>
      </c>
      <c r="Z9" s="56">
        <f>W9*재고내역!$M$6</f>
        <v>7687</v>
      </c>
      <c r="AA9" s="56">
        <f t="shared" si="3"/>
        <v>4550</v>
      </c>
      <c r="AB9" s="56">
        <f t="shared" si="4"/>
        <v>3455</v>
      </c>
      <c r="AC9" s="376">
        <f t="shared" si="6"/>
        <v>0.19194444444444445</v>
      </c>
      <c r="AD9" s="60"/>
      <c r="AE9" s="60">
        <f>U9-Y9</f>
        <v>17492</v>
      </c>
      <c r="AF9" s="67" t="s">
        <v>73</v>
      </c>
      <c r="AG9" s="68">
        <v>13000</v>
      </c>
      <c r="AI9" s="67" t="s">
        <v>9</v>
      </c>
      <c r="AJ9" s="374">
        <v>3.3000000000000002E-2</v>
      </c>
      <c r="AL9" s="440">
        <v>46058</v>
      </c>
      <c r="AM9">
        <v>1303</v>
      </c>
      <c r="AN9"/>
      <c r="AO9"/>
    </row>
    <row r="10" spans="1:113" ht="16.5">
      <c r="A10" s="418" t="s">
        <v>153</v>
      </c>
      <c r="B10" s="418" t="s">
        <v>154</v>
      </c>
      <c r="E10" s="418" t="s">
        <v>155</v>
      </c>
      <c r="F10" s="418" t="s">
        <v>156</v>
      </c>
      <c r="G10" s="60">
        <v>3</v>
      </c>
      <c r="H10" s="54" t="s">
        <v>71</v>
      </c>
      <c r="L10" s="81" t="s">
        <v>145</v>
      </c>
      <c r="M10" s="467" t="s">
        <v>157</v>
      </c>
      <c r="N10" s="81" t="s">
        <v>158</v>
      </c>
      <c r="O10" s="81" t="s">
        <v>148</v>
      </c>
      <c r="P10" s="57" t="s">
        <v>8</v>
      </c>
      <c r="Q10" s="61">
        <v>46058</v>
      </c>
      <c r="R10" s="59" t="s">
        <v>8</v>
      </c>
      <c r="S10" s="60">
        <f>20900*3</f>
        <v>62700</v>
      </c>
      <c r="T10" s="377">
        <f>IF(R10="쿠팡",VLOOKUP(H10,$AF$7:$AG$10,2,0),"0")</f>
        <v>1100</v>
      </c>
      <c r="U10" s="461">
        <f t="shared" si="7"/>
        <v>61600</v>
      </c>
      <c r="V10" s="360">
        <f>U10/1.1</f>
        <v>55999.999999999993</v>
      </c>
      <c r="W10" s="65">
        <f>IF(H10=재고내역!$F$9,출고요청서_raw!G10*1,IF(H10=재고내역!$F$10,출고요청서_raw!G10*2,IF(출고요청서_raw!H10=재고내역!$F$11,출고요청서_raw!G10*4,IF(출고요청서_raw!H10=재고내역!$F$12,출고요청서_raw!G10*6,IF(출고요청서_raw!H10=재고내역!$F$13,출고요청서_raw!G10*8)))))</f>
        <v>3</v>
      </c>
      <c r="X10" s="462">
        <f t="shared" si="0"/>
        <v>0.11657467532467533</v>
      </c>
      <c r="Y10" s="60">
        <v>7181</v>
      </c>
      <c r="Z10" s="56">
        <f>W10*재고내역!$M$6</f>
        <v>23061</v>
      </c>
      <c r="AA10" s="56">
        <f t="shared" si="3"/>
        <v>4550</v>
      </c>
      <c r="AB10" s="56">
        <f t="shared" si="4"/>
        <v>21207.999999999993</v>
      </c>
      <c r="AC10" s="376">
        <f t="shared" si="6"/>
        <v>0.37871428571428561</v>
      </c>
      <c r="AD10" s="464"/>
      <c r="AE10" s="60">
        <f t="shared" ref="AE10" si="8">U10-Y10</f>
        <v>54419</v>
      </c>
      <c r="AF10" s="70" t="s">
        <v>75</v>
      </c>
      <c r="AG10" s="71">
        <v>25000</v>
      </c>
      <c r="AI10" s="375"/>
      <c r="AJ10" s="71"/>
      <c r="AL10" s="440">
        <v>46059</v>
      </c>
      <c r="AM10">
        <v>649</v>
      </c>
      <c r="AN10"/>
      <c r="AO10"/>
    </row>
    <row r="11" spans="1:113" ht="16.5">
      <c r="A11" s="423" t="s">
        <v>159</v>
      </c>
      <c r="B11" s="423" t="s">
        <v>160</v>
      </c>
      <c r="E11" s="423" t="s">
        <v>161</v>
      </c>
      <c r="F11" s="423" t="s">
        <v>162</v>
      </c>
      <c r="G11" s="60">
        <v>1</v>
      </c>
      <c r="H11" s="54" t="s">
        <v>73</v>
      </c>
      <c r="L11" s="97" t="s">
        <v>163</v>
      </c>
      <c r="N11" s="97" t="s">
        <v>164</v>
      </c>
      <c r="P11" s="57" t="s">
        <v>41</v>
      </c>
      <c r="Q11" s="61">
        <v>46058</v>
      </c>
      <c r="R11" s="55" t="s">
        <v>41</v>
      </c>
      <c r="S11" s="56">
        <v>45500</v>
      </c>
      <c r="T11" s="56" t="str">
        <f t="shared" ref="T11:T42" si="9">IF(R11="쿠팡",VLOOKUP(H11,$AF$7:$AG$10,2,0)*G11,"0")</f>
        <v>0</v>
      </c>
      <c r="U11" s="56">
        <v>45500</v>
      </c>
      <c r="V11" s="56">
        <f t="shared" si="2"/>
        <v>41363.63636363636</v>
      </c>
      <c r="W11" s="65">
        <f>IF(H11=재고내역!$F$9,출고요청서_raw!G11*1,IF(H11=재고내역!$F$10,출고요청서_raw!G11*2,IF(출고요청서_raw!H11=재고내역!$F$11,출고요청서_raw!G11*4,IF(출고요청서_raw!H11=재고내역!$F$12,출고요청서_raw!G11*6,IF(출고요청서_raw!H11=재고내역!$F$13,출고요청서_raw!G11*8)))))</f>
        <v>4</v>
      </c>
      <c r="X11" s="53"/>
      <c r="Y11" s="56"/>
      <c r="Z11" s="56">
        <f>W11*재고내역!$M$6</f>
        <v>30748</v>
      </c>
      <c r="AA11" s="56">
        <f t="shared" si="3"/>
        <v>4550</v>
      </c>
      <c r="AB11" s="56">
        <f t="shared" si="4"/>
        <v>6065.6363636363603</v>
      </c>
      <c r="AC11" s="376">
        <f t="shared" si="6"/>
        <v>0.14664175824175818</v>
      </c>
      <c r="AE11" s="60"/>
      <c r="AL11" s="440">
        <v>46062</v>
      </c>
      <c r="AM11">
        <v>894</v>
      </c>
      <c r="AN11"/>
      <c r="AO11"/>
    </row>
    <row r="12" spans="1:113" ht="16.5">
      <c r="A12" s="423" t="s">
        <v>165</v>
      </c>
      <c r="B12" s="423" t="s">
        <v>166</v>
      </c>
      <c r="E12" s="423" t="s">
        <v>167</v>
      </c>
      <c r="F12" s="423" t="s">
        <v>168</v>
      </c>
      <c r="G12" s="60">
        <v>1</v>
      </c>
      <c r="H12" s="54" t="s">
        <v>73</v>
      </c>
      <c r="L12" s="97" t="s">
        <v>169</v>
      </c>
      <c r="N12" s="97" t="s">
        <v>170</v>
      </c>
      <c r="P12" s="57" t="s">
        <v>41</v>
      </c>
      <c r="Q12" s="61">
        <v>46058</v>
      </c>
      <c r="R12" s="55" t="s">
        <v>41</v>
      </c>
      <c r="S12" s="56">
        <v>45500</v>
      </c>
      <c r="T12" s="56" t="str">
        <f t="shared" si="9"/>
        <v>0</v>
      </c>
      <c r="U12" s="56">
        <v>45500</v>
      </c>
      <c r="V12" s="56">
        <f t="shared" ref="V12:V75" si="10">U12/1.1</f>
        <v>41363.63636363636</v>
      </c>
      <c r="W12" s="65">
        <f>IF(H12=재고내역!$F$9,출고요청서_raw!G12*1,IF(H12=재고내역!$F$10,출고요청서_raw!G12*2,IF(출고요청서_raw!H12=재고내역!$F$11,출고요청서_raw!G12*4,IF(출고요청서_raw!H12=재고내역!$F$12,출고요청서_raw!G12*6,IF(출고요청서_raw!H12=재고내역!$F$13,출고요청서_raw!G12*8)))))</f>
        <v>4</v>
      </c>
      <c r="X12" s="53"/>
      <c r="Y12" s="352"/>
      <c r="Z12" s="56">
        <f>W12*재고내역!$M$6</f>
        <v>30748</v>
      </c>
      <c r="AA12" s="56">
        <f t="shared" si="3"/>
        <v>4550</v>
      </c>
      <c r="AB12" s="56">
        <f t="shared" si="4"/>
        <v>6065.6363636363603</v>
      </c>
      <c r="AC12" s="376">
        <f t="shared" si="6"/>
        <v>0.14664175824175818</v>
      </c>
      <c r="AF12" s="63" t="s">
        <v>131</v>
      </c>
      <c r="AG12" s="417" t="s">
        <v>171</v>
      </c>
      <c r="AL12" s="440">
        <v>46063</v>
      </c>
      <c r="AM12">
        <v>224</v>
      </c>
      <c r="AN12"/>
      <c r="AO12"/>
    </row>
    <row r="13" spans="1:113" ht="16.5">
      <c r="A13" s="423" t="s">
        <v>172</v>
      </c>
      <c r="B13" s="423" t="s">
        <v>173</v>
      </c>
      <c r="E13" s="423" t="s">
        <v>174</v>
      </c>
      <c r="F13" s="423" t="s">
        <v>175</v>
      </c>
      <c r="G13" s="60">
        <v>1</v>
      </c>
      <c r="H13" s="54" t="s">
        <v>73</v>
      </c>
      <c r="L13" s="97" t="s">
        <v>163</v>
      </c>
      <c r="N13" s="97" t="s">
        <v>176</v>
      </c>
      <c r="P13" s="57" t="s">
        <v>41</v>
      </c>
      <c r="Q13" s="61">
        <v>46058</v>
      </c>
      <c r="R13" s="55" t="s">
        <v>41</v>
      </c>
      <c r="S13" s="56">
        <v>45500</v>
      </c>
      <c r="T13" s="56" t="str">
        <f t="shared" si="9"/>
        <v>0</v>
      </c>
      <c r="U13" s="56">
        <v>45500</v>
      </c>
      <c r="V13" s="56">
        <f t="shared" si="10"/>
        <v>41363.63636363636</v>
      </c>
      <c r="W13" s="65">
        <f>IF(H13=재고내역!$F$9,출고요청서_raw!G13*1,IF(H13=재고내역!$F$10,출고요청서_raw!G13*2,IF(출고요청서_raw!H13=재고내역!$F$11,출고요청서_raw!G13*4,IF(출고요청서_raw!H13=재고내역!$F$12,출고요청서_raw!G13*6,IF(출고요청서_raw!H13=재고내역!$F$13,출고요청서_raw!G13*8)))))</f>
        <v>4</v>
      </c>
      <c r="X13" s="53"/>
      <c r="Y13" s="53"/>
      <c r="Z13" s="56">
        <f>W13*재고내역!$M$6</f>
        <v>30748</v>
      </c>
      <c r="AA13" s="56">
        <f t="shared" si="3"/>
        <v>4550</v>
      </c>
      <c r="AB13" s="56">
        <f t="shared" si="4"/>
        <v>6065.6363636363603</v>
      </c>
      <c r="AC13" s="376">
        <f t="shared" si="6"/>
        <v>0.14664175824175818</v>
      </c>
      <c r="AF13" s="67" t="s">
        <v>71</v>
      </c>
      <c r="AG13" s="68">
        <v>1100</v>
      </c>
      <c r="AL13" s="440">
        <v>46064</v>
      </c>
      <c r="AM13">
        <v>265</v>
      </c>
      <c r="AN13"/>
      <c r="AO13"/>
    </row>
    <row r="14" spans="1:113" ht="16.5">
      <c r="A14" s="423" t="s">
        <v>177</v>
      </c>
      <c r="B14" s="423" t="s">
        <v>178</v>
      </c>
      <c r="E14" s="423" t="s">
        <v>179</v>
      </c>
      <c r="F14" s="423" t="s">
        <v>180</v>
      </c>
      <c r="G14" s="60">
        <v>1</v>
      </c>
      <c r="H14" s="54" t="s">
        <v>73</v>
      </c>
      <c r="L14" s="97" t="s">
        <v>163</v>
      </c>
      <c r="N14" s="97" t="s">
        <v>181</v>
      </c>
      <c r="P14" s="57" t="s">
        <v>41</v>
      </c>
      <c r="Q14" s="61">
        <v>46058</v>
      </c>
      <c r="R14" s="55" t="s">
        <v>41</v>
      </c>
      <c r="S14" s="56">
        <v>45500</v>
      </c>
      <c r="T14" s="56" t="str">
        <f t="shared" si="9"/>
        <v>0</v>
      </c>
      <c r="U14" s="56">
        <v>45500</v>
      </c>
      <c r="V14" s="56">
        <f t="shared" si="10"/>
        <v>41363.63636363636</v>
      </c>
      <c r="W14" s="65">
        <f>IF(H14=재고내역!$F$9,출고요청서_raw!G14*1,IF(H14=재고내역!$F$10,출고요청서_raw!G14*2,IF(출고요청서_raw!H14=재고내역!$F$11,출고요청서_raw!G14*4,IF(출고요청서_raw!H14=재고내역!$F$12,출고요청서_raw!G14*6,IF(출고요청서_raw!H14=재고내역!$F$13,출고요청서_raw!G14*8)))))</f>
        <v>4</v>
      </c>
      <c r="X14" s="53"/>
      <c r="Y14" s="53"/>
      <c r="Z14" s="56">
        <f>W14*재고내역!$M$6</f>
        <v>30748</v>
      </c>
      <c r="AA14" s="56">
        <f t="shared" si="3"/>
        <v>4550</v>
      </c>
      <c r="AB14" s="56">
        <f t="shared" si="4"/>
        <v>6065.6363636363603</v>
      </c>
      <c r="AC14" s="376">
        <f t="shared" si="6"/>
        <v>0.14664175824175818</v>
      </c>
      <c r="AF14" s="67" t="s">
        <v>72</v>
      </c>
      <c r="AG14" s="68"/>
      <c r="AL14" s="440">
        <v>46065</v>
      </c>
      <c r="AM14">
        <v>76</v>
      </c>
      <c r="AN14"/>
      <c r="AO14"/>
    </row>
    <row r="15" spans="1:113" ht="16.5">
      <c r="A15" s="423" t="s">
        <v>182</v>
      </c>
      <c r="B15" s="423" t="s">
        <v>183</v>
      </c>
      <c r="E15" s="423" t="s">
        <v>184</v>
      </c>
      <c r="F15" s="423" t="s">
        <v>185</v>
      </c>
      <c r="G15" s="60">
        <v>1</v>
      </c>
      <c r="H15" s="54" t="s">
        <v>73</v>
      </c>
      <c r="L15" s="97" t="s">
        <v>163</v>
      </c>
      <c r="N15" s="97" t="s">
        <v>186</v>
      </c>
      <c r="P15" s="57" t="s">
        <v>41</v>
      </c>
      <c r="Q15" s="61">
        <v>46058</v>
      </c>
      <c r="R15" s="55" t="s">
        <v>41</v>
      </c>
      <c r="S15" s="56">
        <v>45500</v>
      </c>
      <c r="T15" s="56" t="str">
        <f t="shared" si="9"/>
        <v>0</v>
      </c>
      <c r="U15" s="56">
        <v>45500</v>
      </c>
      <c r="V15" s="56">
        <f t="shared" si="10"/>
        <v>41363.63636363636</v>
      </c>
      <c r="W15" s="65">
        <f>IF(H15=재고내역!$F$9,출고요청서_raw!G15*1,IF(H15=재고내역!$F$10,출고요청서_raw!G15*2,IF(출고요청서_raw!H15=재고내역!$F$11,출고요청서_raw!G15*4,IF(출고요청서_raw!H15=재고내역!$F$12,출고요청서_raw!G15*6,IF(출고요청서_raw!H15=재고내역!$F$13,출고요청서_raw!G15*8)))))</f>
        <v>4</v>
      </c>
      <c r="X15" s="53"/>
      <c r="Y15" s="53"/>
      <c r="Z15" s="56">
        <f>W15*재고내역!$M$6</f>
        <v>30748</v>
      </c>
      <c r="AA15" s="56">
        <f t="shared" si="3"/>
        <v>4550</v>
      </c>
      <c r="AB15" s="56">
        <f t="shared" si="4"/>
        <v>6065.6363636363603</v>
      </c>
      <c r="AC15" s="376">
        <f t="shared" si="6"/>
        <v>0.14664175824175818</v>
      </c>
      <c r="AF15" s="67" t="s">
        <v>73</v>
      </c>
      <c r="AG15" s="68"/>
      <c r="AL15" t="s">
        <v>187</v>
      </c>
      <c r="AM15"/>
      <c r="AN15"/>
      <c r="AO15"/>
    </row>
    <row r="16" spans="1:113" ht="16.5">
      <c r="A16" s="423" t="s">
        <v>188</v>
      </c>
      <c r="B16" s="423" t="s">
        <v>189</v>
      </c>
      <c r="E16" s="423" t="s">
        <v>190</v>
      </c>
      <c r="F16" s="423" t="s">
        <v>191</v>
      </c>
      <c r="G16" s="60">
        <v>1</v>
      </c>
      <c r="H16" s="54" t="s">
        <v>73</v>
      </c>
      <c r="L16" s="97" t="s">
        <v>163</v>
      </c>
      <c r="N16" s="97" t="s">
        <v>192</v>
      </c>
      <c r="P16" s="57" t="s">
        <v>41</v>
      </c>
      <c r="Q16" s="61">
        <v>46058</v>
      </c>
      <c r="R16" s="55" t="s">
        <v>41</v>
      </c>
      <c r="S16" s="56">
        <v>45500</v>
      </c>
      <c r="T16" s="56" t="str">
        <f t="shared" si="9"/>
        <v>0</v>
      </c>
      <c r="U16" s="56">
        <v>45500</v>
      </c>
      <c r="V16" s="56">
        <f t="shared" si="10"/>
        <v>41363.63636363636</v>
      </c>
      <c r="W16" s="65">
        <f>IF(H16=재고내역!$F$9,출고요청서_raw!G16*1,IF(H16=재고내역!$F$10,출고요청서_raw!G16*2,IF(출고요청서_raw!H16=재고내역!$F$11,출고요청서_raw!G16*4,IF(출고요청서_raw!H16=재고내역!$F$12,출고요청서_raw!G16*6,IF(출고요청서_raw!H16=재고내역!$F$13,출고요청서_raw!G16*8)))))</f>
        <v>4</v>
      </c>
      <c r="X16" s="53"/>
      <c r="Y16" s="53"/>
      <c r="Z16" s="56">
        <f>W16*재고내역!$M$6</f>
        <v>30748</v>
      </c>
      <c r="AA16" s="56">
        <f t="shared" si="3"/>
        <v>4550</v>
      </c>
      <c r="AB16" s="56">
        <f t="shared" si="4"/>
        <v>6065.6363636363603</v>
      </c>
      <c r="AC16" s="376">
        <f t="shared" si="6"/>
        <v>0.14664175824175818</v>
      </c>
      <c r="AF16" s="70" t="s">
        <v>75</v>
      </c>
      <c r="AG16" s="71"/>
      <c r="AL16" t="s">
        <v>193</v>
      </c>
      <c r="AM16">
        <v>3439</v>
      </c>
      <c r="AN16"/>
      <c r="AO16"/>
    </row>
    <row r="17" spans="1:41" ht="16.5">
      <c r="A17" s="423" t="s">
        <v>194</v>
      </c>
      <c r="B17" s="423" t="s">
        <v>195</v>
      </c>
      <c r="E17" s="423" t="s">
        <v>196</v>
      </c>
      <c r="F17" s="423" t="s">
        <v>197</v>
      </c>
      <c r="G17" s="370">
        <v>2</v>
      </c>
      <c r="H17" s="54" t="s">
        <v>73</v>
      </c>
      <c r="L17" s="97" t="s">
        <v>163</v>
      </c>
      <c r="N17" s="97" t="s">
        <v>198</v>
      </c>
      <c r="P17" s="57" t="s">
        <v>41</v>
      </c>
      <c r="Q17" s="61">
        <v>46058</v>
      </c>
      <c r="R17" s="55" t="s">
        <v>41</v>
      </c>
      <c r="S17" s="56">
        <v>45500</v>
      </c>
      <c r="T17" s="56" t="str">
        <f t="shared" si="9"/>
        <v>0</v>
      </c>
      <c r="U17" s="56">
        <v>91000</v>
      </c>
      <c r="V17" s="56">
        <f t="shared" si="10"/>
        <v>82727.272727272721</v>
      </c>
      <c r="W17" s="65">
        <f>IF(H17=재고내역!$F$9,출고요청서_raw!G17*1,IF(H17=재고내역!$F$10,출고요청서_raw!G17*2,IF(출고요청서_raw!H17=재고내역!$F$11,출고요청서_raw!G17*4,IF(출고요청서_raw!H17=재고내역!$F$12,출고요청서_raw!G17*6,IF(출고요청서_raw!H17=재고내역!$F$13,출고요청서_raw!G17*8)))))</f>
        <v>8</v>
      </c>
      <c r="X17" s="53"/>
      <c r="Y17" s="53"/>
      <c r="Z17" s="56">
        <f>W17*재고내역!$M$6</f>
        <v>61496</v>
      </c>
      <c r="AA17" s="56">
        <f t="shared" si="3"/>
        <v>4550</v>
      </c>
      <c r="AB17" s="56">
        <f t="shared" si="4"/>
        <v>16681.272727272721</v>
      </c>
      <c r="AC17" s="376">
        <f t="shared" si="6"/>
        <v>0.20164175824175817</v>
      </c>
      <c r="AL17"/>
      <c r="AM17"/>
      <c r="AN17"/>
      <c r="AO17"/>
    </row>
    <row r="18" spans="1:41" ht="16.5">
      <c r="A18" s="423" t="s">
        <v>199</v>
      </c>
      <c r="B18" s="423" t="s">
        <v>200</v>
      </c>
      <c r="E18" s="423" t="s">
        <v>201</v>
      </c>
      <c r="F18" s="423" t="s">
        <v>202</v>
      </c>
      <c r="G18" s="60">
        <v>1</v>
      </c>
      <c r="H18" s="54" t="s">
        <v>73</v>
      </c>
      <c r="L18" s="97" t="s">
        <v>203</v>
      </c>
      <c r="N18" s="97" t="s">
        <v>204</v>
      </c>
      <c r="P18" s="57" t="s">
        <v>41</v>
      </c>
      <c r="Q18" s="61">
        <v>46058</v>
      </c>
      <c r="R18" s="55" t="s">
        <v>41</v>
      </c>
      <c r="S18" s="56">
        <v>45500</v>
      </c>
      <c r="T18" s="56" t="str">
        <f t="shared" si="9"/>
        <v>0</v>
      </c>
      <c r="U18" s="56">
        <v>45500</v>
      </c>
      <c r="V18" s="56">
        <f t="shared" si="10"/>
        <v>41363.63636363636</v>
      </c>
      <c r="W18" s="65">
        <f>IF(H18=재고내역!$F$9,출고요청서_raw!G18*1,IF(H18=재고내역!$F$10,출고요청서_raw!G18*2,IF(출고요청서_raw!H18=재고내역!$F$11,출고요청서_raw!G18*4,IF(출고요청서_raw!H18=재고내역!$F$12,출고요청서_raw!G18*6,IF(출고요청서_raw!H18=재고내역!$F$13,출고요청서_raw!G18*8)))))</f>
        <v>4</v>
      </c>
      <c r="X18" s="53"/>
      <c r="Y18" s="53"/>
      <c r="Z18" s="56">
        <f>W18*재고내역!$M$6</f>
        <v>30748</v>
      </c>
      <c r="AA18" s="56">
        <f t="shared" si="3"/>
        <v>4550</v>
      </c>
      <c r="AB18" s="56">
        <f t="shared" si="4"/>
        <v>6065.6363636363603</v>
      </c>
      <c r="AC18" s="376">
        <f t="shared" si="6"/>
        <v>0.14664175824175818</v>
      </c>
      <c r="AL18"/>
      <c r="AM18"/>
      <c r="AN18"/>
      <c r="AO18"/>
    </row>
    <row r="19" spans="1:41" ht="16.5">
      <c r="A19" s="423" t="s">
        <v>205</v>
      </c>
      <c r="B19" s="423" t="s">
        <v>206</v>
      </c>
      <c r="E19" s="423" t="s">
        <v>207</v>
      </c>
      <c r="F19" s="423" t="s">
        <v>208</v>
      </c>
      <c r="G19" s="60">
        <v>1</v>
      </c>
      <c r="H19" s="54" t="s">
        <v>73</v>
      </c>
      <c r="L19" s="97" t="s">
        <v>163</v>
      </c>
      <c r="N19" s="97" t="s">
        <v>209</v>
      </c>
      <c r="P19" s="57" t="s">
        <v>41</v>
      </c>
      <c r="Q19" s="61">
        <v>46058</v>
      </c>
      <c r="R19" s="55" t="s">
        <v>41</v>
      </c>
      <c r="S19" s="56">
        <v>45500</v>
      </c>
      <c r="T19" s="56" t="str">
        <f t="shared" si="9"/>
        <v>0</v>
      </c>
      <c r="U19" s="56">
        <v>45500</v>
      </c>
      <c r="V19" s="56">
        <f t="shared" si="10"/>
        <v>41363.63636363636</v>
      </c>
      <c r="W19" s="65">
        <f>IF(H19=재고내역!$F$9,출고요청서_raw!G19*1,IF(H19=재고내역!$F$10,출고요청서_raw!G19*2,IF(출고요청서_raw!H19=재고내역!$F$11,출고요청서_raw!G19*4,IF(출고요청서_raw!H19=재고내역!$F$12,출고요청서_raw!G19*6,IF(출고요청서_raw!H19=재고내역!$F$13,출고요청서_raw!G19*8)))))</f>
        <v>4</v>
      </c>
      <c r="X19" s="53"/>
      <c r="Y19" s="53"/>
      <c r="Z19" s="56">
        <f>W19*재고내역!$M$6</f>
        <v>30748</v>
      </c>
      <c r="AA19" s="56">
        <f t="shared" si="3"/>
        <v>4550</v>
      </c>
      <c r="AB19" s="56">
        <f t="shared" si="4"/>
        <v>6065.6363636363603</v>
      </c>
      <c r="AC19" s="376">
        <f t="shared" si="6"/>
        <v>0.14664175824175818</v>
      </c>
      <c r="AL19"/>
      <c r="AM19"/>
      <c r="AN19"/>
      <c r="AO19"/>
    </row>
    <row r="20" spans="1:41" ht="16.5">
      <c r="A20" s="423" t="s">
        <v>210</v>
      </c>
      <c r="B20" s="423" t="s">
        <v>211</v>
      </c>
      <c r="E20" s="423" t="s">
        <v>212</v>
      </c>
      <c r="F20" s="423" t="s">
        <v>213</v>
      </c>
      <c r="G20" s="60">
        <v>1</v>
      </c>
      <c r="H20" s="54" t="s">
        <v>73</v>
      </c>
      <c r="L20" s="97" t="s">
        <v>214</v>
      </c>
      <c r="N20" s="97" t="s">
        <v>215</v>
      </c>
      <c r="P20" s="57" t="s">
        <v>41</v>
      </c>
      <c r="Q20" s="61">
        <v>46058</v>
      </c>
      <c r="R20" s="55" t="s">
        <v>41</v>
      </c>
      <c r="S20" s="56">
        <v>45500</v>
      </c>
      <c r="T20" s="56" t="str">
        <f t="shared" si="9"/>
        <v>0</v>
      </c>
      <c r="U20" s="56">
        <v>45500</v>
      </c>
      <c r="V20" s="56">
        <f t="shared" si="10"/>
        <v>41363.63636363636</v>
      </c>
      <c r="W20" s="65">
        <f>IF(H20=재고내역!$F$9,출고요청서_raw!G20*1,IF(H20=재고내역!$F$10,출고요청서_raw!G20*2,IF(출고요청서_raw!H20=재고내역!$F$11,출고요청서_raw!G20*4,IF(출고요청서_raw!H20=재고내역!$F$12,출고요청서_raw!G20*6,IF(출고요청서_raw!H20=재고내역!$F$13,출고요청서_raw!G20*8)))))</f>
        <v>4</v>
      </c>
      <c r="X20" s="53"/>
      <c r="Y20" s="53"/>
      <c r="Z20" s="56">
        <f>W20*재고내역!$M$6</f>
        <v>30748</v>
      </c>
      <c r="AA20" s="56">
        <f t="shared" si="3"/>
        <v>4550</v>
      </c>
      <c r="AB20" s="56">
        <f t="shared" si="4"/>
        <v>6065.6363636363603</v>
      </c>
      <c r="AC20" s="376">
        <f t="shared" si="6"/>
        <v>0.14664175824175818</v>
      </c>
      <c r="AL20"/>
      <c r="AM20"/>
      <c r="AN20"/>
      <c r="AO20"/>
    </row>
    <row r="21" spans="1:41" ht="16.5">
      <c r="A21" s="423" t="s">
        <v>216</v>
      </c>
      <c r="B21" s="423" t="s">
        <v>217</v>
      </c>
      <c r="E21" s="423" t="s">
        <v>218</v>
      </c>
      <c r="F21" s="423" t="s">
        <v>219</v>
      </c>
      <c r="G21" s="60">
        <v>1</v>
      </c>
      <c r="H21" s="54" t="s">
        <v>73</v>
      </c>
      <c r="L21" s="97" t="s">
        <v>163</v>
      </c>
      <c r="N21" s="97" t="s">
        <v>220</v>
      </c>
      <c r="P21" s="57" t="s">
        <v>41</v>
      </c>
      <c r="Q21" s="61">
        <v>46058</v>
      </c>
      <c r="R21" s="55" t="s">
        <v>41</v>
      </c>
      <c r="S21" s="56">
        <v>45500</v>
      </c>
      <c r="T21" s="56" t="str">
        <f t="shared" si="9"/>
        <v>0</v>
      </c>
      <c r="U21" s="56">
        <v>45500</v>
      </c>
      <c r="V21" s="56">
        <f t="shared" si="10"/>
        <v>41363.63636363636</v>
      </c>
      <c r="W21" s="65">
        <f>IF(H21=재고내역!$F$9,출고요청서_raw!G21*1,IF(H21=재고내역!$F$10,출고요청서_raw!G21*2,IF(출고요청서_raw!H21=재고내역!$F$11,출고요청서_raw!G21*4,IF(출고요청서_raw!H21=재고내역!$F$12,출고요청서_raw!G21*6,IF(출고요청서_raw!H21=재고내역!$F$13,출고요청서_raw!G21*8)))))</f>
        <v>4</v>
      </c>
      <c r="X21" s="53"/>
      <c r="Y21" s="53"/>
      <c r="Z21" s="56">
        <f>W21*재고내역!$M$6</f>
        <v>30748</v>
      </c>
      <c r="AA21" s="56">
        <f t="shared" si="3"/>
        <v>4550</v>
      </c>
      <c r="AB21" s="56">
        <f t="shared" si="4"/>
        <v>6065.6363636363603</v>
      </c>
      <c r="AC21" s="376">
        <f t="shared" si="6"/>
        <v>0.14664175824175818</v>
      </c>
      <c r="AL21"/>
      <c r="AM21"/>
      <c r="AN21"/>
      <c r="AO21"/>
    </row>
    <row r="22" spans="1:41" ht="16.5">
      <c r="A22" s="423" t="s">
        <v>221</v>
      </c>
      <c r="B22" s="423" t="s">
        <v>222</v>
      </c>
      <c r="E22" s="423" t="s">
        <v>223</v>
      </c>
      <c r="F22" s="423" t="s">
        <v>224</v>
      </c>
      <c r="G22" s="60">
        <v>1</v>
      </c>
      <c r="H22" s="54" t="s">
        <v>73</v>
      </c>
      <c r="L22" s="97" t="s">
        <v>163</v>
      </c>
      <c r="N22" s="97" t="s">
        <v>225</v>
      </c>
      <c r="P22" s="57" t="s">
        <v>41</v>
      </c>
      <c r="Q22" s="61">
        <v>46058</v>
      </c>
      <c r="R22" s="55" t="s">
        <v>41</v>
      </c>
      <c r="S22" s="56">
        <v>45500</v>
      </c>
      <c r="T22" s="56" t="str">
        <f t="shared" si="9"/>
        <v>0</v>
      </c>
      <c r="U22" s="56">
        <v>45500</v>
      </c>
      <c r="V22" s="56">
        <f t="shared" si="10"/>
        <v>41363.63636363636</v>
      </c>
      <c r="W22" s="65">
        <f>IF(H22=재고내역!$F$9,출고요청서_raw!G22*1,IF(H22=재고내역!$F$10,출고요청서_raw!G22*2,IF(출고요청서_raw!H22=재고내역!$F$11,출고요청서_raw!G22*4,IF(출고요청서_raw!H22=재고내역!$F$12,출고요청서_raw!G22*6,IF(출고요청서_raw!H22=재고내역!$F$13,출고요청서_raw!G22*8)))))</f>
        <v>4</v>
      </c>
      <c r="X22" s="53"/>
      <c r="Y22" s="53"/>
      <c r="Z22" s="56">
        <f>W22*재고내역!$M$6</f>
        <v>30748</v>
      </c>
      <c r="AA22" s="56">
        <f t="shared" si="3"/>
        <v>4550</v>
      </c>
      <c r="AB22" s="56">
        <f t="shared" si="4"/>
        <v>6065.6363636363603</v>
      </c>
      <c r="AC22" s="376">
        <f t="shared" si="6"/>
        <v>0.14664175824175818</v>
      </c>
      <c r="AL22"/>
      <c r="AM22"/>
      <c r="AN22"/>
      <c r="AO22"/>
    </row>
    <row r="23" spans="1:41" ht="16.5">
      <c r="A23" s="423" t="s">
        <v>226</v>
      </c>
      <c r="B23" s="423" t="s">
        <v>227</v>
      </c>
      <c r="E23" s="423" t="s">
        <v>228</v>
      </c>
      <c r="F23" s="423" t="s">
        <v>229</v>
      </c>
      <c r="G23" s="60">
        <v>1</v>
      </c>
      <c r="H23" s="54" t="s">
        <v>73</v>
      </c>
      <c r="L23" s="97" t="s">
        <v>163</v>
      </c>
      <c r="N23" s="97" t="s">
        <v>230</v>
      </c>
      <c r="P23" s="57" t="s">
        <v>41</v>
      </c>
      <c r="Q23" s="61">
        <v>46058</v>
      </c>
      <c r="R23" s="55" t="s">
        <v>41</v>
      </c>
      <c r="S23" s="56">
        <v>45500</v>
      </c>
      <c r="T23" s="56" t="str">
        <f t="shared" si="9"/>
        <v>0</v>
      </c>
      <c r="U23" s="56">
        <v>45500</v>
      </c>
      <c r="V23" s="56">
        <f t="shared" si="10"/>
        <v>41363.63636363636</v>
      </c>
      <c r="W23" s="65">
        <f>IF(H23=재고내역!$F$9,출고요청서_raw!G23*1,IF(H23=재고내역!$F$10,출고요청서_raw!G23*2,IF(출고요청서_raw!H23=재고내역!$F$11,출고요청서_raw!G23*4,IF(출고요청서_raw!H23=재고내역!$F$12,출고요청서_raw!G23*6,IF(출고요청서_raw!H23=재고내역!$F$13,출고요청서_raw!G23*8)))))</f>
        <v>4</v>
      </c>
      <c r="X23" s="53"/>
      <c r="Y23" s="53"/>
      <c r="Z23" s="56">
        <f>W23*재고내역!$M$6</f>
        <v>30748</v>
      </c>
      <c r="AA23" s="56">
        <f t="shared" si="3"/>
        <v>4550</v>
      </c>
      <c r="AB23" s="56">
        <f t="shared" si="4"/>
        <v>6065.6363636363603</v>
      </c>
      <c r="AC23" s="376">
        <f t="shared" si="6"/>
        <v>0.14664175824175818</v>
      </c>
      <c r="AL23"/>
      <c r="AM23"/>
      <c r="AN23"/>
      <c r="AO23"/>
    </row>
    <row r="24" spans="1:41" ht="15.75" customHeight="1">
      <c r="A24" s="423" t="s">
        <v>231</v>
      </c>
      <c r="B24" s="423" t="s">
        <v>232</v>
      </c>
      <c r="E24" s="423" t="s">
        <v>233</v>
      </c>
      <c r="F24" s="423" t="s">
        <v>234</v>
      </c>
      <c r="G24" s="60">
        <v>1</v>
      </c>
      <c r="H24" s="54" t="s">
        <v>73</v>
      </c>
      <c r="L24" s="97" t="s">
        <v>163</v>
      </c>
      <c r="N24" s="97" t="s">
        <v>235</v>
      </c>
      <c r="P24" s="57" t="s">
        <v>41</v>
      </c>
      <c r="Q24" s="61">
        <v>46058</v>
      </c>
      <c r="R24" s="55" t="s">
        <v>41</v>
      </c>
      <c r="S24" s="56">
        <v>45500</v>
      </c>
      <c r="T24" s="56" t="str">
        <f t="shared" si="9"/>
        <v>0</v>
      </c>
      <c r="U24" s="56">
        <v>45500</v>
      </c>
      <c r="V24" s="56">
        <f t="shared" si="10"/>
        <v>41363.63636363636</v>
      </c>
      <c r="W24" s="65">
        <f>IF(H24=재고내역!$F$9,출고요청서_raw!G24*1,IF(H24=재고내역!$F$10,출고요청서_raw!G24*2,IF(출고요청서_raw!H24=재고내역!$F$11,출고요청서_raw!G24*4,IF(출고요청서_raw!H24=재고내역!$F$12,출고요청서_raw!G24*6,IF(출고요청서_raw!H24=재고내역!$F$13,출고요청서_raw!G24*8)))))</f>
        <v>4</v>
      </c>
      <c r="X24" s="53"/>
      <c r="Y24" s="53"/>
      <c r="Z24" s="56">
        <f>W24*재고내역!$M$6</f>
        <v>30748</v>
      </c>
      <c r="AA24" s="56">
        <f t="shared" si="3"/>
        <v>4550</v>
      </c>
      <c r="AB24" s="56">
        <f t="shared" si="4"/>
        <v>6065.6363636363603</v>
      </c>
      <c r="AC24" s="376">
        <f t="shared" si="6"/>
        <v>0.14664175824175818</v>
      </c>
    </row>
    <row r="25" spans="1:41" ht="15.75" customHeight="1">
      <c r="A25" s="423" t="s">
        <v>236</v>
      </c>
      <c r="B25" s="423" t="s">
        <v>237</v>
      </c>
      <c r="E25" s="423" t="s">
        <v>238</v>
      </c>
      <c r="F25" s="423" t="s">
        <v>239</v>
      </c>
      <c r="G25" s="370">
        <v>2</v>
      </c>
      <c r="H25" s="54" t="s">
        <v>73</v>
      </c>
      <c r="L25" s="97" t="s">
        <v>163</v>
      </c>
      <c r="N25" s="97" t="s">
        <v>240</v>
      </c>
      <c r="P25" s="57" t="s">
        <v>41</v>
      </c>
      <c r="Q25" s="61">
        <v>46058</v>
      </c>
      <c r="R25" s="55" t="s">
        <v>41</v>
      </c>
      <c r="S25" s="56">
        <v>45500</v>
      </c>
      <c r="T25" s="56" t="str">
        <f t="shared" si="9"/>
        <v>0</v>
      </c>
      <c r="U25" s="56">
        <v>91000</v>
      </c>
      <c r="V25" s="56">
        <f t="shared" si="10"/>
        <v>82727.272727272721</v>
      </c>
      <c r="W25" s="65">
        <f>IF(H25=재고내역!$F$9,출고요청서_raw!G25*1,IF(H25=재고내역!$F$10,출고요청서_raw!G25*2,IF(출고요청서_raw!H25=재고내역!$F$11,출고요청서_raw!G25*4,IF(출고요청서_raw!H25=재고내역!$F$12,출고요청서_raw!G25*6,IF(출고요청서_raw!H25=재고내역!$F$13,출고요청서_raw!G25*8)))))</f>
        <v>8</v>
      </c>
      <c r="X25" s="53"/>
      <c r="Y25" s="53"/>
      <c r="Z25" s="56">
        <f>W25*재고내역!$M$6</f>
        <v>61496</v>
      </c>
      <c r="AA25" s="56">
        <f t="shared" si="3"/>
        <v>4550</v>
      </c>
      <c r="AB25" s="56">
        <f t="shared" si="4"/>
        <v>16681.272727272721</v>
      </c>
      <c r="AC25" s="376">
        <f t="shared" si="6"/>
        <v>0.20164175824175817</v>
      </c>
    </row>
    <row r="26" spans="1:41" ht="15.75" customHeight="1">
      <c r="A26" s="423" t="s">
        <v>241</v>
      </c>
      <c r="B26" s="423" t="s">
        <v>242</v>
      </c>
      <c r="E26" s="423" t="s">
        <v>243</v>
      </c>
      <c r="F26" s="423" t="s">
        <v>244</v>
      </c>
      <c r="G26" s="60">
        <v>1</v>
      </c>
      <c r="H26" s="54" t="s">
        <v>73</v>
      </c>
      <c r="L26" s="97" t="s">
        <v>163</v>
      </c>
      <c r="N26" s="97" t="s">
        <v>245</v>
      </c>
      <c r="P26" s="57" t="s">
        <v>41</v>
      </c>
      <c r="Q26" s="61">
        <v>46058</v>
      </c>
      <c r="R26" s="55" t="s">
        <v>41</v>
      </c>
      <c r="S26" s="56">
        <v>45500</v>
      </c>
      <c r="T26" s="56" t="str">
        <f t="shared" si="9"/>
        <v>0</v>
      </c>
      <c r="U26" s="56">
        <v>45500</v>
      </c>
      <c r="V26" s="56">
        <f t="shared" si="10"/>
        <v>41363.63636363636</v>
      </c>
      <c r="W26" s="65">
        <f>IF(H26=재고내역!$F$9,출고요청서_raw!G26*1,IF(H26=재고내역!$F$10,출고요청서_raw!G26*2,IF(출고요청서_raw!H26=재고내역!$F$11,출고요청서_raw!G26*4,IF(출고요청서_raw!H26=재고내역!$F$12,출고요청서_raw!G26*6,IF(출고요청서_raw!H26=재고내역!$F$13,출고요청서_raw!G26*8)))))</f>
        <v>4</v>
      </c>
      <c r="X26" s="53"/>
      <c r="Y26" s="53"/>
      <c r="Z26" s="56">
        <f>W26*재고내역!$M$6</f>
        <v>30748</v>
      </c>
      <c r="AA26" s="56">
        <f t="shared" si="3"/>
        <v>4550</v>
      </c>
      <c r="AB26" s="56">
        <f t="shared" si="4"/>
        <v>6065.6363636363603</v>
      </c>
      <c r="AC26" s="376">
        <f t="shared" si="6"/>
        <v>0.14664175824175818</v>
      </c>
    </row>
    <row r="27" spans="1:41" ht="15.75" customHeight="1">
      <c r="A27" s="423" t="s">
        <v>246</v>
      </c>
      <c r="B27" s="423" t="s">
        <v>247</v>
      </c>
      <c r="E27" s="423" t="s">
        <v>248</v>
      </c>
      <c r="F27" s="423" t="s">
        <v>249</v>
      </c>
      <c r="G27" s="60">
        <v>1</v>
      </c>
      <c r="H27" s="54" t="s">
        <v>73</v>
      </c>
      <c r="L27" s="97" t="s">
        <v>163</v>
      </c>
      <c r="N27" s="97" t="s">
        <v>250</v>
      </c>
      <c r="P27" s="57" t="s">
        <v>41</v>
      </c>
      <c r="Q27" s="61">
        <v>46058</v>
      </c>
      <c r="R27" s="55" t="s">
        <v>41</v>
      </c>
      <c r="S27" s="56">
        <v>45500</v>
      </c>
      <c r="T27" s="56" t="str">
        <f t="shared" si="9"/>
        <v>0</v>
      </c>
      <c r="U27" s="56">
        <v>45500</v>
      </c>
      <c r="V27" s="56">
        <f t="shared" si="10"/>
        <v>41363.63636363636</v>
      </c>
      <c r="W27" s="65">
        <f>IF(H27=재고내역!$F$9,출고요청서_raw!G27*1,IF(H27=재고내역!$F$10,출고요청서_raw!G27*2,IF(출고요청서_raw!H27=재고내역!$F$11,출고요청서_raw!G27*4,IF(출고요청서_raw!H27=재고내역!$F$12,출고요청서_raw!G27*6,IF(출고요청서_raw!H27=재고내역!$F$13,출고요청서_raw!G27*8)))))</f>
        <v>4</v>
      </c>
      <c r="X27" s="53"/>
      <c r="Y27" s="53"/>
      <c r="Z27" s="56">
        <f>W27*재고내역!$M$6</f>
        <v>30748</v>
      </c>
      <c r="AA27" s="56">
        <f t="shared" si="3"/>
        <v>4550</v>
      </c>
      <c r="AB27" s="56">
        <f t="shared" si="4"/>
        <v>6065.6363636363603</v>
      </c>
      <c r="AC27" s="376">
        <f t="shared" si="6"/>
        <v>0.14664175824175818</v>
      </c>
    </row>
    <row r="28" spans="1:41" ht="15.75" customHeight="1">
      <c r="A28" s="423" t="s">
        <v>251</v>
      </c>
      <c r="B28" s="423" t="s">
        <v>252</v>
      </c>
      <c r="E28" s="423" t="s">
        <v>253</v>
      </c>
      <c r="F28" s="423" t="s">
        <v>254</v>
      </c>
      <c r="G28" s="60">
        <v>1</v>
      </c>
      <c r="H28" s="54" t="s">
        <v>73</v>
      </c>
      <c r="L28" s="97" t="s">
        <v>163</v>
      </c>
      <c r="N28" s="97" t="s">
        <v>255</v>
      </c>
      <c r="P28" s="57" t="s">
        <v>41</v>
      </c>
      <c r="Q28" s="61">
        <v>46058</v>
      </c>
      <c r="R28" s="55" t="s">
        <v>41</v>
      </c>
      <c r="S28" s="56">
        <v>45500</v>
      </c>
      <c r="T28" s="56" t="str">
        <f t="shared" si="9"/>
        <v>0</v>
      </c>
      <c r="U28" s="56">
        <v>45500</v>
      </c>
      <c r="V28" s="56">
        <f t="shared" si="10"/>
        <v>41363.63636363636</v>
      </c>
      <c r="W28" s="65">
        <f>IF(H28=재고내역!$F$9,출고요청서_raw!G28*1,IF(H28=재고내역!$F$10,출고요청서_raw!G28*2,IF(출고요청서_raw!H28=재고내역!$F$11,출고요청서_raw!G28*4,IF(출고요청서_raw!H28=재고내역!$F$12,출고요청서_raw!G28*6,IF(출고요청서_raw!H28=재고내역!$F$13,출고요청서_raw!G28*8)))))</f>
        <v>4</v>
      </c>
      <c r="X28" s="53"/>
      <c r="Y28" s="53"/>
      <c r="Z28" s="56">
        <f>W28*재고내역!$M$6</f>
        <v>30748</v>
      </c>
      <c r="AA28" s="56">
        <f t="shared" si="3"/>
        <v>4550</v>
      </c>
      <c r="AB28" s="56">
        <f t="shared" si="4"/>
        <v>6065.6363636363603</v>
      </c>
      <c r="AC28" s="376">
        <f t="shared" si="6"/>
        <v>0.14664175824175818</v>
      </c>
    </row>
    <row r="29" spans="1:41" ht="15.75" customHeight="1">
      <c r="A29" s="423" t="s">
        <v>256</v>
      </c>
      <c r="B29" s="423" t="s">
        <v>257</v>
      </c>
      <c r="E29" s="423" t="s">
        <v>258</v>
      </c>
      <c r="F29" s="423" t="s">
        <v>259</v>
      </c>
      <c r="G29" s="60">
        <v>1</v>
      </c>
      <c r="H29" s="54" t="s">
        <v>73</v>
      </c>
      <c r="L29" s="97" t="s">
        <v>163</v>
      </c>
      <c r="N29" s="97" t="s">
        <v>260</v>
      </c>
      <c r="P29" s="57" t="s">
        <v>41</v>
      </c>
      <c r="Q29" s="61">
        <v>46058</v>
      </c>
      <c r="R29" s="55" t="s">
        <v>41</v>
      </c>
      <c r="S29" s="56">
        <v>45500</v>
      </c>
      <c r="T29" s="56" t="str">
        <f t="shared" si="9"/>
        <v>0</v>
      </c>
      <c r="U29" s="56">
        <v>45500</v>
      </c>
      <c r="V29" s="56">
        <f t="shared" si="10"/>
        <v>41363.63636363636</v>
      </c>
      <c r="W29" s="65">
        <f>IF(H29=재고내역!$F$9,출고요청서_raw!G29*1,IF(H29=재고내역!$F$10,출고요청서_raw!G29*2,IF(출고요청서_raw!H29=재고내역!$F$11,출고요청서_raw!G29*4,IF(출고요청서_raw!H29=재고내역!$F$12,출고요청서_raw!G29*6,IF(출고요청서_raw!H29=재고내역!$F$13,출고요청서_raw!G29*8)))))</f>
        <v>4</v>
      </c>
      <c r="X29" s="53"/>
      <c r="Y29" s="53"/>
      <c r="Z29" s="56">
        <f>W29*재고내역!$M$6</f>
        <v>30748</v>
      </c>
      <c r="AA29" s="56">
        <f t="shared" si="3"/>
        <v>4550</v>
      </c>
      <c r="AB29" s="56">
        <f t="shared" si="4"/>
        <v>6065.6363636363603</v>
      </c>
      <c r="AC29" s="376">
        <f t="shared" si="6"/>
        <v>0.14664175824175818</v>
      </c>
    </row>
    <row r="30" spans="1:41" ht="15.75" customHeight="1">
      <c r="A30" s="423" t="s">
        <v>261</v>
      </c>
      <c r="B30" s="423" t="s">
        <v>262</v>
      </c>
      <c r="E30" s="423" t="s">
        <v>263</v>
      </c>
      <c r="F30" s="423" t="s">
        <v>264</v>
      </c>
      <c r="G30" s="60">
        <v>1</v>
      </c>
      <c r="H30" s="54" t="s">
        <v>73</v>
      </c>
      <c r="L30" s="97" t="s">
        <v>163</v>
      </c>
      <c r="N30" s="97" t="s">
        <v>265</v>
      </c>
      <c r="P30" s="57" t="s">
        <v>41</v>
      </c>
      <c r="Q30" s="61">
        <v>46058</v>
      </c>
      <c r="R30" s="55" t="s">
        <v>41</v>
      </c>
      <c r="S30" s="56">
        <v>45500</v>
      </c>
      <c r="T30" s="56" t="str">
        <f t="shared" si="9"/>
        <v>0</v>
      </c>
      <c r="U30" s="56">
        <v>45500</v>
      </c>
      <c r="V30" s="56">
        <f t="shared" si="10"/>
        <v>41363.63636363636</v>
      </c>
      <c r="W30" s="65">
        <f>IF(H30=재고내역!$F$9,출고요청서_raw!G30*1,IF(H30=재고내역!$F$10,출고요청서_raw!G30*2,IF(출고요청서_raw!H30=재고내역!$F$11,출고요청서_raw!G30*4,IF(출고요청서_raw!H30=재고내역!$F$12,출고요청서_raw!G30*6,IF(출고요청서_raw!H30=재고내역!$F$13,출고요청서_raw!G30*8)))))</f>
        <v>4</v>
      </c>
      <c r="X30" s="53"/>
      <c r="Y30" s="53"/>
      <c r="Z30" s="56">
        <f>W30*재고내역!$M$6</f>
        <v>30748</v>
      </c>
      <c r="AA30" s="56">
        <f t="shared" si="3"/>
        <v>4550</v>
      </c>
      <c r="AB30" s="56">
        <f t="shared" si="4"/>
        <v>6065.6363636363603</v>
      </c>
      <c r="AC30" s="376">
        <f t="shared" si="6"/>
        <v>0.14664175824175818</v>
      </c>
    </row>
    <row r="31" spans="1:41" ht="15.75" customHeight="1">
      <c r="A31" s="423" t="s">
        <v>266</v>
      </c>
      <c r="B31" s="423" t="s">
        <v>267</v>
      </c>
      <c r="E31" s="423" t="s">
        <v>268</v>
      </c>
      <c r="F31" s="423" t="s">
        <v>269</v>
      </c>
      <c r="G31" s="60">
        <v>1</v>
      </c>
      <c r="H31" s="54" t="s">
        <v>73</v>
      </c>
      <c r="L31" s="97" t="s">
        <v>163</v>
      </c>
      <c r="N31" s="97" t="s">
        <v>270</v>
      </c>
      <c r="P31" s="57" t="s">
        <v>41</v>
      </c>
      <c r="Q31" s="61">
        <v>46058</v>
      </c>
      <c r="R31" s="55" t="s">
        <v>41</v>
      </c>
      <c r="S31" s="56">
        <v>45500</v>
      </c>
      <c r="T31" s="56" t="str">
        <f t="shared" si="9"/>
        <v>0</v>
      </c>
      <c r="U31" s="56">
        <v>45500</v>
      </c>
      <c r="V31" s="56">
        <f t="shared" si="10"/>
        <v>41363.63636363636</v>
      </c>
      <c r="W31" s="65">
        <f>IF(H31=재고내역!$F$9,출고요청서_raw!G31*1,IF(H31=재고내역!$F$10,출고요청서_raw!G31*2,IF(출고요청서_raw!H31=재고내역!$F$11,출고요청서_raw!G31*4,IF(출고요청서_raw!H31=재고내역!$F$12,출고요청서_raw!G31*6,IF(출고요청서_raw!H31=재고내역!$F$13,출고요청서_raw!G31*8)))))</f>
        <v>4</v>
      </c>
      <c r="X31" s="53"/>
      <c r="Y31" s="53"/>
      <c r="Z31" s="56">
        <f>W31*재고내역!$M$6</f>
        <v>30748</v>
      </c>
      <c r="AA31" s="56">
        <f t="shared" si="3"/>
        <v>4550</v>
      </c>
      <c r="AB31" s="56">
        <f t="shared" si="4"/>
        <v>6065.6363636363603</v>
      </c>
      <c r="AC31" s="376">
        <f t="shared" si="6"/>
        <v>0.14664175824175818</v>
      </c>
    </row>
    <row r="32" spans="1:41" ht="15.75" customHeight="1">
      <c r="A32" s="423" t="s">
        <v>271</v>
      </c>
      <c r="B32" s="423" t="s">
        <v>272</v>
      </c>
      <c r="E32" s="423" t="s">
        <v>273</v>
      </c>
      <c r="F32" s="423" t="s">
        <v>274</v>
      </c>
      <c r="G32" s="60">
        <v>1</v>
      </c>
      <c r="H32" s="54" t="s">
        <v>73</v>
      </c>
      <c r="L32" s="97" t="s">
        <v>163</v>
      </c>
      <c r="N32" s="97" t="s">
        <v>275</v>
      </c>
      <c r="P32" s="57" t="s">
        <v>41</v>
      </c>
      <c r="Q32" s="61">
        <v>46058</v>
      </c>
      <c r="R32" s="55" t="s">
        <v>41</v>
      </c>
      <c r="S32" s="56">
        <v>45500</v>
      </c>
      <c r="T32" s="56" t="str">
        <f t="shared" si="9"/>
        <v>0</v>
      </c>
      <c r="U32" s="56">
        <v>45500</v>
      </c>
      <c r="V32" s="56">
        <f t="shared" si="10"/>
        <v>41363.63636363636</v>
      </c>
      <c r="W32" s="65">
        <f>IF(H32=재고내역!$F$9,출고요청서_raw!G32*1,IF(H32=재고내역!$F$10,출고요청서_raw!G32*2,IF(출고요청서_raw!H32=재고내역!$F$11,출고요청서_raw!G32*4,IF(출고요청서_raw!H32=재고내역!$F$12,출고요청서_raw!G32*6,IF(출고요청서_raw!H32=재고내역!$F$13,출고요청서_raw!G32*8)))))</f>
        <v>4</v>
      </c>
      <c r="X32" s="53"/>
      <c r="Y32" s="53"/>
      <c r="Z32" s="56">
        <f>W32*재고내역!$M$6</f>
        <v>30748</v>
      </c>
      <c r="AA32" s="56">
        <f t="shared" si="3"/>
        <v>4550</v>
      </c>
      <c r="AB32" s="56">
        <f t="shared" si="4"/>
        <v>6065.6363636363603</v>
      </c>
      <c r="AC32" s="376">
        <f t="shared" si="6"/>
        <v>0.14664175824175818</v>
      </c>
    </row>
    <row r="33" spans="1:29" ht="15.75" customHeight="1">
      <c r="A33" s="423" t="s">
        <v>276</v>
      </c>
      <c r="B33" s="423" t="s">
        <v>277</v>
      </c>
      <c r="E33" s="423" t="s">
        <v>278</v>
      </c>
      <c r="F33" s="423" t="s">
        <v>279</v>
      </c>
      <c r="G33" s="60">
        <v>1</v>
      </c>
      <c r="H33" s="54" t="s">
        <v>73</v>
      </c>
      <c r="L33" s="97" t="s">
        <v>163</v>
      </c>
      <c r="N33" s="97" t="s">
        <v>280</v>
      </c>
      <c r="P33" s="57" t="s">
        <v>41</v>
      </c>
      <c r="Q33" s="61">
        <v>46058</v>
      </c>
      <c r="R33" s="55" t="s">
        <v>41</v>
      </c>
      <c r="S33" s="56">
        <v>45500</v>
      </c>
      <c r="T33" s="56" t="str">
        <f t="shared" si="9"/>
        <v>0</v>
      </c>
      <c r="U33" s="56">
        <v>45500</v>
      </c>
      <c r="V33" s="56">
        <f t="shared" si="10"/>
        <v>41363.63636363636</v>
      </c>
      <c r="W33" s="65">
        <f>IF(H33=재고내역!$F$9,출고요청서_raw!G33*1,IF(H33=재고내역!$F$10,출고요청서_raw!G33*2,IF(출고요청서_raw!H33=재고내역!$F$11,출고요청서_raw!G33*4,IF(출고요청서_raw!H33=재고내역!$F$12,출고요청서_raw!G33*6,IF(출고요청서_raw!H33=재고내역!$F$13,출고요청서_raw!G33*8)))))</f>
        <v>4</v>
      </c>
      <c r="X33" s="53"/>
      <c r="Y33" s="53"/>
      <c r="Z33" s="56">
        <f>W33*재고내역!$M$6</f>
        <v>30748</v>
      </c>
      <c r="AA33" s="56">
        <f t="shared" si="3"/>
        <v>4550</v>
      </c>
      <c r="AB33" s="56">
        <f t="shared" si="4"/>
        <v>6065.6363636363603</v>
      </c>
      <c r="AC33" s="376">
        <f t="shared" si="6"/>
        <v>0.14664175824175818</v>
      </c>
    </row>
    <row r="34" spans="1:29" ht="15.75" customHeight="1">
      <c r="A34" s="423" t="s">
        <v>281</v>
      </c>
      <c r="B34" s="423" t="s">
        <v>282</v>
      </c>
      <c r="E34" s="423" t="s">
        <v>283</v>
      </c>
      <c r="F34" s="423" t="s">
        <v>284</v>
      </c>
      <c r="G34" s="60">
        <v>1</v>
      </c>
      <c r="H34" s="54" t="s">
        <v>73</v>
      </c>
      <c r="L34" s="97" t="s">
        <v>163</v>
      </c>
      <c r="N34" s="97" t="s">
        <v>285</v>
      </c>
      <c r="P34" s="57" t="s">
        <v>41</v>
      </c>
      <c r="Q34" s="61">
        <v>46058</v>
      </c>
      <c r="R34" s="55" t="s">
        <v>41</v>
      </c>
      <c r="S34" s="56">
        <v>45500</v>
      </c>
      <c r="T34" s="56" t="str">
        <f t="shared" si="9"/>
        <v>0</v>
      </c>
      <c r="U34" s="56">
        <v>45500</v>
      </c>
      <c r="V34" s="56">
        <f t="shared" si="10"/>
        <v>41363.63636363636</v>
      </c>
      <c r="W34" s="65">
        <f>IF(H34=재고내역!$F$9,출고요청서_raw!G34*1,IF(H34=재고내역!$F$10,출고요청서_raw!G34*2,IF(출고요청서_raw!H34=재고내역!$F$11,출고요청서_raw!G34*4,IF(출고요청서_raw!H34=재고내역!$F$12,출고요청서_raw!G34*6,IF(출고요청서_raw!H34=재고내역!$F$13,출고요청서_raw!G34*8)))))</f>
        <v>4</v>
      </c>
      <c r="X34" s="53"/>
      <c r="Y34" s="53"/>
      <c r="Z34" s="56">
        <f>W34*재고내역!$M$6</f>
        <v>30748</v>
      </c>
      <c r="AA34" s="56">
        <f t="shared" si="3"/>
        <v>4550</v>
      </c>
      <c r="AB34" s="56">
        <f t="shared" si="4"/>
        <v>6065.6363636363603</v>
      </c>
      <c r="AC34" s="376">
        <f t="shared" si="6"/>
        <v>0.14664175824175818</v>
      </c>
    </row>
    <row r="35" spans="1:29" ht="15.75" customHeight="1">
      <c r="A35" s="423" t="s">
        <v>286</v>
      </c>
      <c r="B35" s="423" t="s">
        <v>287</v>
      </c>
      <c r="E35" s="423" t="s">
        <v>288</v>
      </c>
      <c r="F35" s="423" t="s">
        <v>289</v>
      </c>
      <c r="G35" s="60">
        <v>1</v>
      </c>
      <c r="H35" s="54" t="s">
        <v>73</v>
      </c>
      <c r="L35" s="97" t="s">
        <v>163</v>
      </c>
      <c r="N35" s="97" t="s">
        <v>290</v>
      </c>
      <c r="P35" s="57" t="s">
        <v>41</v>
      </c>
      <c r="Q35" s="61">
        <v>46058</v>
      </c>
      <c r="R35" s="55" t="s">
        <v>41</v>
      </c>
      <c r="S35" s="56">
        <v>45500</v>
      </c>
      <c r="T35" s="56" t="str">
        <f t="shared" si="9"/>
        <v>0</v>
      </c>
      <c r="U35" s="56">
        <v>45500</v>
      </c>
      <c r="V35" s="56">
        <f t="shared" si="10"/>
        <v>41363.63636363636</v>
      </c>
      <c r="W35" s="65">
        <f>IF(H35=재고내역!$F$9,출고요청서_raw!G35*1,IF(H35=재고내역!$F$10,출고요청서_raw!G35*2,IF(출고요청서_raw!H35=재고내역!$F$11,출고요청서_raw!G35*4,IF(출고요청서_raw!H35=재고내역!$F$12,출고요청서_raw!G35*6,IF(출고요청서_raw!H35=재고내역!$F$13,출고요청서_raw!G35*8)))))</f>
        <v>4</v>
      </c>
      <c r="X35" s="53"/>
      <c r="Y35" s="53"/>
      <c r="Z35" s="56">
        <f>W35*재고내역!$M$6</f>
        <v>30748</v>
      </c>
      <c r="AA35" s="56">
        <f t="shared" si="3"/>
        <v>4550</v>
      </c>
      <c r="AB35" s="56">
        <f t="shared" si="4"/>
        <v>6065.6363636363603</v>
      </c>
      <c r="AC35" s="376">
        <f t="shared" si="6"/>
        <v>0.14664175824175818</v>
      </c>
    </row>
    <row r="36" spans="1:29" ht="15.75" customHeight="1">
      <c r="A36" s="423" t="s">
        <v>291</v>
      </c>
      <c r="B36" s="423" t="s">
        <v>292</v>
      </c>
      <c r="E36" s="423" t="s">
        <v>293</v>
      </c>
      <c r="F36" s="423" t="s">
        <v>294</v>
      </c>
      <c r="G36" s="370">
        <v>2</v>
      </c>
      <c r="H36" s="54" t="s">
        <v>73</v>
      </c>
      <c r="L36" s="97" t="s">
        <v>295</v>
      </c>
      <c r="N36" s="97" t="s">
        <v>296</v>
      </c>
      <c r="P36" s="57" t="s">
        <v>41</v>
      </c>
      <c r="Q36" s="61">
        <v>46058</v>
      </c>
      <c r="R36" s="55" t="s">
        <v>41</v>
      </c>
      <c r="S36" s="56">
        <v>45500</v>
      </c>
      <c r="T36" s="56" t="str">
        <f t="shared" si="9"/>
        <v>0</v>
      </c>
      <c r="U36" s="56">
        <v>91000</v>
      </c>
      <c r="V36" s="56">
        <f t="shared" si="10"/>
        <v>82727.272727272721</v>
      </c>
      <c r="W36" s="65">
        <f>IF(H36=재고내역!$F$9,출고요청서_raw!G36*1,IF(H36=재고내역!$F$10,출고요청서_raw!G36*2,IF(출고요청서_raw!H36=재고내역!$F$11,출고요청서_raw!G36*4,IF(출고요청서_raw!H36=재고내역!$F$12,출고요청서_raw!G36*6,IF(출고요청서_raw!H36=재고내역!$F$13,출고요청서_raw!G36*8)))))</f>
        <v>8</v>
      </c>
      <c r="X36" s="53"/>
      <c r="Y36" s="53"/>
      <c r="Z36" s="56">
        <f>W36*재고내역!$M$6</f>
        <v>61496</v>
      </c>
      <c r="AA36" s="56">
        <f t="shared" si="3"/>
        <v>4550</v>
      </c>
      <c r="AB36" s="56">
        <f t="shared" si="4"/>
        <v>16681.272727272721</v>
      </c>
      <c r="AC36" s="376">
        <f t="shared" si="6"/>
        <v>0.20164175824175817</v>
      </c>
    </row>
    <row r="37" spans="1:29" ht="15.75" customHeight="1">
      <c r="A37" s="423" t="s">
        <v>297</v>
      </c>
      <c r="B37" s="423" t="s">
        <v>298</v>
      </c>
      <c r="E37" s="423" t="s">
        <v>299</v>
      </c>
      <c r="F37" s="423" t="s">
        <v>300</v>
      </c>
      <c r="G37" s="60">
        <v>1</v>
      </c>
      <c r="H37" s="54" t="s">
        <v>73</v>
      </c>
      <c r="L37" s="97" t="s">
        <v>163</v>
      </c>
      <c r="N37" s="97" t="s">
        <v>301</v>
      </c>
      <c r="P37" s="57" t="s">
        <v>41</v>
      </c>
      <c r="Q37" s="61">
        <v>46058</v>
      </c>
      <c r="R37" s="55" t="s">
        <v>41</v>
      </c>
      <c r="S37" s="56">
        <v>45500</v>
      </c>
      <c r="T37" s="56" t="str">
        <f t="shared" si="9"/>
        <v>0</v>
      </c>
      <c r="U37" s="56">
        <v>45500</v>
      </c>
      <c r="V37" s="56">
        <f t="shared" si="10"/>
        <v>41363.63636363636</v>
      </c>
      <c r="W37" s="65">
        <f>IF(H37=재고내역!$F$9,출고요청서_raw!G37*1,IF(H37=재고내역!$F$10,출고요청서_raw!G37*2,IF(출고요청서_raw!H37=재고내역!$F$11,출고요청서_raw!G37*4,IF(출고요청서_raw!H37=재고내역!$F$12,출고요청서_raw!G37*6,IF(출고요청서_raw!H37=재고내역!$F$13,출고요청서_raw!G37*8)))))</f>
        <v>4</v>
      </c>
      <c r="X37" s="53"/>
      <c r="Y37" s="53"/>
      <c r="Z37" s="56">
        <f>W37*재고내역!$M$6</f>
        <v>30748</v>
      </c>
      <c r="AA37" s="56">
        <f t="shared" si="3"/>
        <v>4550</v>
      </c>
      <c r="AB37" s="56">
        <f t="shared" si="4"/>
        <v>6065.6363636363603</v>
      </c>
      <c r="AC37" s="376">
        <f t="shared" si="6"/>
        <v>0.14664175824175818</v>
      </c>
    </row>
    <row r="38" spans="1:29" ht="15.75" customHeight="1">
      <c r="A38" s="423" t="s">
        <v>302</v>
      </c>
      <c r="B38" s="423" t="s">
        <v>303</v>
      </c>
      <c r="E38" s="423" t="s">
        <v>304</v>
      </c>
      <c r="F38" s="423" t="s">
        <v>305</v>
      </c>
      <c r="G38" s="60">
        <v>3</v>
      </c>
      <c r="H38" s="54" t="s">
        <v>73</v>
      </c>
      <c r="L38" s="97" t="s">
        <v>306</v>
      </c>
      <c r="N38" s="97" t="s">
        <v>307</v>
      </c>
      <c r="P38" s="57" t="s">
        <v>41</v>
      </c>
      <c r="Q38" s="61">
        <v>46058</v>
      </c>
      <c r="R38" s="55" t="s">
        <v>41</v>
      </c>
      <c r="S38" s="56">
        <v>45500</v>
      </c>
      <c r="T38" s="56" t="str">
        <f t="shared" si="9"/>
        <v>0</v>
      </c>
      <c r="U38" s="56">
        <v>136500</v>
      </c>
      <c r="V38" s="56">
        <f t="shared" si="10"/>
        <v>124090.90909090907</v>
      </c>
      <c r="W38" s="65">
        <f>IF(H38=재고내역!$F$9,출고요청서_raw!G38*1,IF(H38=재고내역!$F$10,출고요청서_raw!G38*2,IF(출고요청서_raw!H38=재고내역!$F$11,출고요청서_raw!G38*4,IF(출고요청서_raw!H38=재고내역!$F$12,출고요청서_raw!G38*6,IF(출고요청서_raw!H38=재고내역!$F$13,출고요청서_raw!G38*8)))))</f>
        <v>12</v>
      </c>
      <c r="X38" s="53"/>
      <c r="Y38" s="53"/>
      <c r="Z38" s="56">
        <f>W38*재고내역!$M$6</f>
        <v>92244</v>
      </c>
      <c r="AA38" s="56">
        <f t="shared" si="3"/>
        <v>9100</v>
      </c>
      <c r="AB38" s="56">
        <f t="shared" si="4"/>
        <v>22746.909090909074</v>
      </c>
      <c r="AC38" s="376">
        <f t="shared" si="6"/>
        <v>0.18330842490842481</v>
      </c>
    </row>
    <row r="39" spans="1:29" ht="15.75" customHeight="1">
      <c r="A39" s="423" t="s">
        <v>308</v>
      </c>
      <c r="B39" s="423" t="s">
        <v>309</v>
      </c>
      <c r="E39" s="423" t="s">
        <v>310</v>
      </c>
      <c r="F39" s="423" t="s">
        <v>311</v>
      </c>
      <c r="G39" s="60">
        <v>1</v>
      </c>
      <c r="H39" s="54" t="s">
        <v>73</v>
      </c>
      <c r="L39" s="97" t="s">
        <v>312</v>
      </c>
      <c r="N39" s="97" t="s">
        <v>313</v>
      </c>
      <c r="P39" s="57" t="s">
        <v>41</v>
      </c>
      <c r="Q39" s="61">
        <v>46058</v>
      </c>
      <c r="R39" s="55" t="s">
        <v>41</v>
      </c>
      <c r="S39" s="56">
        <v>45500</v>
      </c>
      <c r="T39" s="56" t="str">
        <f t="shared" si="9"/>
        <v>0</v>
      </c>
      <c r="U39" s="56">
        <v>45500</v>
      </c>
      <c r="V39" s="56">
        <f t="shared" si="10"/>
        <v>41363.63636363636</v>
      </c>
      <c r="W39" s="65">
        <f>IF(H39=재고내역!$F$9,출고요청서_raw!G39*1,IF(H39=재고내역!$F$10,출고요청서_raw!G39*2,IF(출고요청서_raw!H39=재고내역!$F$11,출고요청서_raw!G39*4,IF(출고요청서_raw!H39=재고내역!$F$12,출고요청서_raw!G39*6,IF(출고요청서_raw!H39=재고내역!$F$13,출고요청서_raw!G39*8)))))</f>
        <v>4</v>
      </c>
      <c r="X39" s="53"/>
      <c r="Y39" s="53"/>
      <c r="Z39" s="56">
        <f>W39*재고내역!$M$6</f>
        <v>30748</v>
      </c>
      <c r="AA39" s="56">
        <f t="shared" si="3"/>
        <v>4550</v>
      </c>
      <c r="AB39" s="56">
        <f t="shared" si="4"/>
        <v>6065.6363636363603</v>
      </c>
      <c r="AC39" s="376">
        <f t="shared" si="6"/>
        <v>0.14664175824175818</v>
      </c>
    </row>
    <row r="40" spans="1:29" ht="15.75" customHeight="1">
      <c r="A40" s="423" t="s">
        <v>314</v>
      </c>
      <c r="B40" s="423" t="s">
        <v>315</v>
      </c>
      <c r="E40" s="423" t="s">
        <v>316</v>
      </c>
      <c r="F40" s="423" t="s">
        <v>317</v>
      </c>
      <c r="G40" s="60">
        <v>1</v>
      </c>
      <c r="H40" s="54" t="s">
        <v>73</v>
      </c>
      <c r="L40" s="97" t="s">
        <v>318</v>
      </c>
      <c r="N40" s="97" t="s">
        <v>319</v>
      </c>
      <c r="P40" s="57" t="s">
        <v>41</v>
      </c>
      <c r="Q40" s="61">
        <v>46058</v>
      </c>
      <c r="R40" s="55" t="s">
        <v>41</v>
      </c>
      <c r="S40" s="56">
        <v>45500</v>
      </c>
      <c r="T40" s="56" t="str">
        <f t="shared" si="9"/>
        <v>0</v>
      </c>
      <c r="U40" s="56">
        <v>45500</v>
      </c>
      <c r="V40" s="56">
        <f t="shared" si="10"/>
        <v>41363.63636363636</v>
      </c>
      <c r="W40" s="65">
        <f>IF(H40=재고내역!$F$9,출고요청서_raw!G40*1,IF(H40=재고내역!$F$10,출고요청서_raw!G40*2,IF(출고요청서_raw!H40=재고내역!$F$11,출고요청서_raw!G40*4,IF(출고요청서_raw!H40=재고내역!$F$12,출고요청서_raw!G40*6,IF(출고요청서_raw!H40=재고내역!$F$13,출고요청서_raw!G40*8)))))</f>
        <v>4</v>
      </c>
      <c r="X40" s="53"/>
      <c r="Y40" s="53"/>
      <c r="Z40" s="56">
        <f>W40*재고내역!$M$6</f>
        <v>30748</v>
      </c>
      <c r="AA40" s="56">
        <f t="shared" si="3"/>
        <v>4550</v>
      </c>
      <c r="AB40" s="56">
        <f t="shared" si="4"/>
        <v>6065.6363636363603</v>
      </c>
      <c r="AC40" s="376">
        <f t="shared" si="6"/>
        <v>0.14664175824175818</v>
      </c>
    </row>
    <row r="41" spans="1:29" ht="15.75" customHeight="1">
      <c r="A41" s="423" t="s">
        <v>320</v>
      </c>
      <c r="B41" s="423" t="s">
        <v>321</v>
      </c>
      <c r="E41" s="423" t="s">
        <v>322</v>
      </c>
      <c r="F41" s="423" t="s">
        <v>323</v>
      </c>
      <c r="G41" s="60">
        <v>1</v>
      </c>
      <c r="H41" s="54" t="s">
        <v>73</v>
      </c>
      <c r="L41" s="97" t="s">
        <v>163</v>
      </c>
      <c r="N41" s="97" t="s">
        <v>324</v>
      </c>
      <c r="P41" s="57" t="s">
        <v>41</v>
      </c>
      <c r="Q41" s="61">
        <v>46058</v>
      </c>
      <c r="R41" s="55" t="s">
        <v>41</v>
      </c>
      <c r="S41" s="56">
        <v>45500</v>
      </c>
      <c r="T41" s="56" t="str">
        <f t="shared" si="9"/>
        <v>0</v>
      </c>
      <c r="U41" s="56">
        <v>45500</v>
      </c>
      <c r="V41" s="56">
        <f t="shared" si="10"/>
        <v>41363.63636363636</v>
      </c>
      <c r="W41" s="65">
        <f>IF(H41=재고내역!$F$9,출고요청서_raw!G41*1,IF(H41=재고내역!$F$10,출고요청서_raw!G41*2,IF(출고요청서_raw!H41=재고내역!$F$11,출고요청서_raw!G41*4,IF(출고요청서_raw!H41=재고내역!$F$12,출고요청서_raw!G41*6,IF(출고요청서_raw!H41=재고내역!$F$13,출고요청서_raw!G41*8)))))</f>
        <v>4</v>
      </c>
      <c r="X41" s="53"/>
      <c r="Y41" s="53"/>
      <c r="Z41" s="56">
        <f>W41*재고내역!$M$6</f>
        <v>30748</v>
      </c>
      <c r="AA41" s="56">
        <f t="shared" si="3"/>
        <v>4550</v>
      </c>
      <c r="AB41" s="56">
        <f t="shared" si="4"/>
        <v>6065.6363636363603</v>
      </c>
      <c r="AC41" s="376">
        <f t="shared" si="6"/>
        <v>0.14664175824175818</v>
      </c>
    </row>
    <row r="42" spans="1:29" ht="15.75" customHeight="1">
      <c r="A42" s="423" t="s">
        <v>325</v>
      </c>
      <c r="B42" s="423" t="s">
        <v>326</v>
      </c>
      <c r="E42" s="424">
        <v>10318</v>
      </c>
      <c r="F42" s="423" t="s">
        <v>327</v>
      </c>
      <c r="G42" s="60">
        <v>1</v>
      </c>
      <c r="H42" s="54" t="s">
        <v>73</v>
      </c>
      <c r="L42" s="97" t="s">
        <v>163</v>
      </c>
      <c r="N42" s="97" t="s">
        <v>328</v>
      </c>
      <c r="P42" s="57" t="s">
        <v>41</v>
      </c>
      <c r="Q42" s="61">
        <v>46058</v>
      </c>
      <c r="R42" s="55" t="s">
        <v>41</v>
      </c>
      <c r="S42" s="56">
        <v>45500</v>
      </c>
      <c r="T42" s="56" t="str">
        <f t="shared" si="9"/>
        <v>0</v>
      </c>
      <c r="U42" s="56">
        <v>45500</v>
      </c>
      <c r="V42" s="56">
        <f t="shared" si="10"/>
        <v>41363.63636363636</v>
      </c>
      <c r="W42" s="65">
        <f>IF(H42=재고내역!$F$9,출고요청서_raw!G42*1,IF(H42=재고내역!$F$10,출고요청서_raw!G42*2,IF(출고요청서_raw!H42=재고내역!$F$11,출고요청서_raw!G42*4,IF(출고요청서_raw!H42=재고내역!$F$12,출고요청서_raw!G42*6,IF(출고요청서_raw!H42=재고내역!$F$13,출고요청서_raw!G42*8)))))</f>
        <v>4</v>
      </c>
      <c r="X42" s="53"/>
      <c r="Y42" s="53"/>
      <c r="Z42" s="56">
        <f>W42*재고내역!$M$6</f>
        <v>30748</v>
      </c>
      <c r="AA42" s="56">
        <f t="shared" si="3"/>
        <v>4550</v>
      </c>
      <c r="AB42" s="56">
        <f t="shared" si="4"/>
        <v>6065.6363636363603</v>
      </c>
      <c r="AC42" s="376">
        <f t="shared" si="6"/>
        <v>0.14664175824175818</v>
      </c>
    </row>
    <row r="43" spans="1:29" ht="15.75" customHeight="1">
      <c r="A43" s="423" t="s">
        <v>329</v>
      </c>
      <c r="B43" s="423" t="s">
        <v>330</v>
      </c>
      <c r="E43" s="423" t="s">
        <v>331</v>
      </c>
      <c r="F43" s="423" t="s">
        <v>332</v>
      </c>
      <c r="G43" s="60">
        <v>1</v>
      </c>
      <c r="H43" s="54" t="s">
        <v>73</v>
      </c>
      <c r="L43" s="97" t="s">
        <v>163</v>
      </c>
      <c r="N43" s="97" t="s">
        <v>333</v>
      </c>
      <c r="P43" s="57" t="s">
        <v>41</v>
      </c>
      <c r="Q43" s="61">
        <v>46058</v>
      </c>
      <c r="R43" s="55" t="s">
        <v>41</v>
      </c>
      <c r="S43" s="56">
        <v>45500</v>
      </c>
      <c r="T43" s="56" t="str">
        <f t="shared" ref="T43:T69" si="11">IF(R43="쿠팡",VLOOKUP(H43,$AF$7:$AG$10,2,0)*G43,"0")</f>
        <v>0</v>
      </c>
      <c r="U43" s="56">
        <v>45500</v>
      </c>
      <c r="V43" s="56">
        <f t="shared" si="10"/>
        <v>41363.63636363636</v>
      </c>
      <c r="W43" s="65">
        <f>IF(H43=재고내역!$F$9,출고요청서_raw!G43*1,IF(H43=재고내역!$F$10,출고요청서_raw!G43*2,IF(출고요청서_raw!H43=재고내역!$F$11,출고요청서_raw!G43*4,IF(출고요청서_raw!H43=재고내역!$F$12,출고요청서_raw!G43*6,IF(출고요청서_raw!H43=재고내역!$F$13,출고요청서_raw!G43*8)))))</f>
        <v>4</v>
      </c>
      <c r="X43" s="53"/>
      <c r="Y43" s="53"/>
      <c r="Z43" s="56">
        <f>W43*재고내역!$M$6</f>
        <v>30748</v>
      </c>
      <c r="AA43" s="56">
        <f t="shared" si="3"/>
        <v>4550</v>
      </c>
      <c r="AB43" s="56">
        <f t="shared" si="4"/>
        <v>6065.6363636363603</v>
      </c>
      <c r="AC43" s="376">
        <f t="shared" si="6"/>
        <v>0.14664175824175818</v>
      </c>
    </row>
    <row r="44" spans="1:29" ht="15.75" customHeight="1">
      <c r="A44" s="423" t="s">
        <v>334</v>
      </c>
      <c r="B44" s="423" t="s">
        <v>335</v>
      </c>
      <c r="E44" s="423" t="s">
        <v>336</v>
      </c>
      <c r="F44" s="423" t="s">
        <v>337</v>
      </c>
      <c r="G44" s="60">
        <v>1</v>
      </c>
      <c r="H44" s="54" t="s">
        <v>73</v>
      </c>
      <c r="L44" s="97" t="s">
        <v>163</v>
      </c>
      <c r="N44" s="97" t="s">
        <v>338</v>
      </c>
      <c r="P44" s="57" t="s">
        <v>41</v>
      </c>
      <c r="Q44" s="61">
        <v>46058</v>
      </c>
      <c r="R44" s="55" t="s">
        <v>41</v>
      </c>
      <c r="S44" s="56">
        <v>45500</v>
      </c>
      <c r="T44" s="56" t="str">
        <f t="shared" si="11"/>
        <v>0</v>
      </c>
      <c r="U44" s="56">
        <v>45500</v>
      </c>
      <c r="V44" s="56">
        <f t="shared" si="10"/>
        <v>41363.63636363636</v>
      </c>
      <c r="W44" s="65">
        <f>IF(H44=재고내역!$F$9,출고요청서_raw!G44*1,IF(H44=재고내역!$F$10,출고요청서_raw!G44*2,IF(출고요청서_raw!H44=재고내역!$F$11,출고요청서_raw!G44*4,IF(출고요청서_raw!H44=재고내역!$F$12,출고요청서_raw!G44*6,IF(출고요청서_raw!H44=재고내역!$F$13,출고요청서_raw!G44*8)))))</f>
        <v>4</v>
      </c>
      <c r="X44" s="53"/>
      <c r="Y44" s="53"/>
      <c r="Z44" s="56">
        <f>W44*재고내역!$M$6</f>
        <v>30748</v>
      </c>
      <c r="AA44" s="56">
        <f t="shared" si="3"/>
        <v>4550</v>
      </c>
      <c r="AB44" s="56">
        <f t="shared" si="4"/>
        <v>6065.6363636363603</v>
      </c>
      <c r="AC44" s="376">
        <f t="shared" si="6"/>
        <v>0.14664175824175818</v>
      </c>
    </row>
    <row r="45" spans="1:29" ht="15.75" customHeight="1">
      <c r="A45" s="423" t="s">
        <v>339</v>
      </c>
      <c r="B45" s="423" t="s">
        <v>340</v>
      </c>
      <c r="E45" s="423" t="s">
        <v>341</v>
      </c>
      <c r="F45" s="423" t="s">
        <v>342</v>
      </c>
      <c r="G45" s="60">
        <v>1</v>
      </c>
      <c r="H45" s="54" t="s">
        <v>73</v>
      </c>
      <c r="L45" s="97" t="s">
        <v>343</v>
      </c>
      <c r="N45" s="97" t="s">
        <v>344</v>
      </c>
      <c r="P45" s="57" t="s">
        <v>41</v>
      </c>
      <c r="Q45" s="61">
        <v>46058</v>
      </c>
      <c r="R45" s="55" t="s">
        <v>41</v>
      </c>
      <c r="S45" s="56">
        <v>45500</v>
      </c>
      <c r="T45" s="56" t="str">
        <f t="shared" si="11"/>
        <v>0</v>
      </c>
      <c r="U45" s="56">
        <v>45500</v>
      </c>
      <c r="V45" s="56">
        <f t="shared" si="10"/>
        <v>41363.63636363636</v>
      </c>
      <c r="W45" s="65">
        <f>IF(H45=재고내역!$F$9,출고요청서_raw!G45*1,IF(H45=재고내역!$F$10,출고요청서_raw!G45*2,IF(출고요청서_raw!H45=재고내역!$F$11,출고요청서_raw!G45*4,IF(출고요청서_raw!H45=재고내역!$F$12,출고요청서_raw!G45*6,IF(출고요청서_raw!H45=재고내역!$F$13,출고요청서_raw!G45*8)))))</f>
        <v>4</v>
      </c>
      <c r="X45" s="53"/>
      <c r="Y45" s="53"/>
      <c r="Z45" s="56">
        <f>W45*재고내역!$M$6</f>
        <v>30748</v>
      </c>
      <c r="AA45" s="56">
        <f t="shared" si="3"/>
        <v>4550</v>
      </c>
      <c r="AB45" s="56">
        <f t="shared" si="4"/>
        <v>6065.6363636363603</v>
      </c>
      <c r="AC45" s="376">
        <f t="shared" si="6"/>
        <v>0.14664175824175818</v>
      </c>
    </row>
    <row r="46" spans="1:29" ht="15.75" customHeight="1">
      <c r="A46" s="423" t="s">
        <v>345</v>
      </c>
      <c r="B46" s="423" t="s">
        <v>346</v>
      </c>
      <c r="E46" s="423" t="s">
        <v>288</v>
      </c>
      <c r="F46" s="423" t="s">
        <v>347</v>
      </c>
      <c r="G46" s="60">
        <v>1</v>
      </c>
      <c r="H46" s="54" t="s">
        <v>73</v>
      </c>
      <c r="L46" s="97" t="s">
        <v>163</v>
      </c>
      <c r="N46" s="97" t="s">
        <v>348</v>
      </c>
      <c r="P46" s="57" t="s">
        <v>41</v>
      </c>
      <c r="Q46" s="61">
        <v>46058</v>
      </c>
      <c r="R46" s="55" t="s">
        <v>41</v>
      </c>
      <c r="S46" s="56">
        <v>45500</v>
      </c>
      <c r="T46" s="56" t="str">
        <f t="shared" si="11"/>
        <v>0</v>
      </c>
      <c r="U46" s="56">
        <v>45500</v>
      </c>
      <c r="V46" s="56">
        <f t="shared" si="10"/>
        <v>41363.63636363636</v>
      </c>
      <c r="W46" s="65">
        <f>IF(H46=재고내역!$F$9,출고요청서_raw!G46*1,IF(H46=재고내역!$F$10,출고요청서_raw!G46*2,IF(출고요청서_raw!H46=재고내역!$F$11,출고요청서_raw!G46*4,IF(출고요청서_raw!H46=재고내역!$F$12,출고요청서_raw!G46*6,IF(출고요청서_raw!H46=재고내역!$F$13,출고요청서_raw!G46*8)))))</f>
        <v>4</v>
      </c>
      <c r="X46" s="53"/>
      <c r="Y46" s="53"/>
      <c r="Z46" s="56">
        <f>W46*재고내역!$M$6</f>
        <v>30748</v>
      </c>
      <c r="AA46" s="56">
        <f t="shared" si="3"/>
        <v>4550</v>
      </c>
      <c r="AB46" s="56">
        <f t="shared" si="4"/>
        <v>6065.6363636363603</v>
      </c>
      <c r="AC46" s="376">
        <f t="shared" si="6"/>
        <v>0.14664175824175818</v>
      </c>
    </row>
    <row r="47" spans="1:29" ht="15.75" customHeight="1">
      <c r="A47" s="423" t="s">
        <v>349</v>
      </c>
      <c r="B47" s="423" t="s">
        <v>350</v>
      </c>
      <c r="E47" s="423" t="s">
        <v>351</v>
      </c>
      <c r="F47" s="423" t="s">
        <v>352</v>
      </c>
      <c r="G47" s="60">
        <v>1</v>
      </c>
      <c r="H47" s="54" t="s">
        <v>73</v>
      </c>
      <c r="L47" s="97" t="s">
        <v>163</v>
      </c>
      <c r="N47" s="97" t="s">
        <v>353</v>
      </c>
      <c r="P47" s="57" t="s">
        <v>41</v>
      </c>
      <c r="Q47" s="61">
        <v>46058</v>
      </c>
      <c r="R47" s="55" t="s">
        <v>41</v>
      </c>
      <c r="S47" s="56">
        <v>45500</v>
      </c>
      <c r="T47" s="56" t="str">
        <f t="shared" si="11"/>
        <v>0</v>
      </c>
      <c r="U47" s="56">
        <v>45500</v>
      </c>
      <c r="V47" s="56">
        <f t="shared" si="10"/>
        <v>41363.63636363636</v>
      </c>
      <c r="W47" s="65">
        <f>IF(H47=재고내역!$F$9,출고요청서_raw!G47*1,IF(H47=재고내역!$F$10,출고요청서_raw!G47*2,IF(출고요청서_raw!H47=재고내역!$F$11,출고요청서_raw!G47*4,IF(출고요청서_raw!H47=재고내역!$F$12,출고요청서_raw!G47*6,IF(출고요청서_raw!H47=재고내역!$F$13,출고요청서_raw!G47*8)))))</f>
        <v>4</v>
      </c>
      <c r="X47" s="53"/>
      <c r="Y47" s="53"/>
      <c r="Z47" s="56">
        <f>W47*재고내역!$M$6</f>
        <v>30748</v>
      </c>
      <c r="AA47" s="56">
        <f t="shared" si="3"/>
        <v>4550</v>
      </c>
      <c r="AB47" s="56">
        <f t="shared" si="4"/>
        <v>6065.6363636363603</v>
      </c>
      <c r="AC47" s="376">
        <f t="shared" si="6"/>
        <v>0.14664175824175818</v>
      </c>
    </row>
    <row r="48" spans="1:29" ht="15.75" customHeight="1">
      <c r="A48" s="423" t="s">
        <v>354</v>
      </c>
      <c r="B48" s="423" t="s">
        <v>355</v>
      </c>
      <c r="E48" s="423" t="s">
        <v>356</v>
      </c>
      <c r="F48" s="423" t="s">
        <v>357</v>
      </c>
      <c r="G48" s="60">
        <v>1</v>
      </c>
      <c r="H48" s="54" t="s">
        <v>73</v>
      </c>
      <c r="L48" s="97" t="s">
        <v>163</v>
      </c>
      <c r="N48" s="97" t="s">
        <v>358</v>
      </c>
      <c r="P48" s="57" t="s">
        <v>41</v>
      </c>
      <c r="Q48" s="61">
        <v>46058</v>
      </c>
      <c r="R48" s="55" t="s">
        <v>41</v>
      </c>
      <c r="S48" s="56">
        <v>45500</v>
      </c>
      <c r="T48" s="56" t="str">
        <f t="shared" si="11"/>
        <v>0</v>
      </c>
      <c r="U48" s="56">
        <v>45500</v>
      </c>
      <c r="V48" s="56">
        <f t="shared" si="10"/>
        <v>41363.63636363636</v>
      </c>
      <c r="W48" s="65">
        <f>IF(H48=재고내역!$F$9,출고요청서_raw!G48*1,IF(H48=재고내역!$F$10,출고요청서_raw!G48*2,IF(출고요청서_raw!H48=재고내역!$F$11,출고요청서_raw!G48*4,IF(출고요청서_raw!H48=재고내역!$F$12,출고요청서_raw!G48*6,IF(출고요청서_raw!H48=재고내역!$F$13,출고요청서_raw!G48*8)))))</f>
        <v>4</v>
      </c>
      <c r="X48" s="53"/>
      <c r="Y48" s="53"/>
      <c r="Z48" s="56">
        <f>W48*재고내역!$M$6</f>
        <v>30748</v>
      </c>
      <c r="AA48" s="56">
        <f t="shared" si="3"/>
        <v>4550</v>
      </c>
      <c r="AB48" s="56">
        <f t="shared" si="4"/>
        <v>6065.6363636363603</v>
      </c>
      <c r="AC48" s="376">
        <f t="shared" si="6"/>
        <v>0.14664175824175818</v>
      </c>
    </row>
    <row r="49" spans="1:29" ht="15.75" customHeight="1">
      <c r="A49" s="423" t="s">
        <v>359</v>
      </c>
      <c r="B49" s="423" t="s">
        <v>360</v>
      </c>
      <c r="E49" s="423" t="s">
        <v>361</v>
      </c>
      <c r="F49" s="423" t="s">
        <v>362</v>
      </c>
      <c r="G49" s="370">
        <v>2</v>
      </c>
      <c r="H49" s="54" t="s">
        <v>73</v>
      </c>
      <c r="L49" s="97" t="s">
        <v>163</v>
      </c>
      <c r="N49" s="97" t="s">
        <v>363</v>
      </c>
      <c r="P49" s="57" t="s">
        <v>41</v>
      </c>
      <c r="Q49" s="61">
        <v>46058</v>
      </c>
      <c r="R49" s="55" t="s">
        <v>41</v>
      </c>
      <c r="S49" s="56">
        <v>45500</v>
      </c>
      <c r="T49" s="56" t="str">
        <f t="shared" si="11"/>
        <v>0</v>
      </c>
      <c r="U49" s="56">
        <v>91000</v>
      </c>
      <c r="V49" s="56">
        <f t="shared" si="10"/>
        <v>82727.272727272721</v>
      </c>
      <c r="W49" s="65">
        <f>IF(H49=재고내역!$F$9,출고요청서_raw!G49*1,IF(H49=재고내역!$F$10,출고요청서_raw!G49*2,IF(출고요청서_raw!H49=재고내역!$F$11,출고요청서_raw!G49*4,IF(출고요청서_raw!H49=재고내역!$F$12,출고요청서_raw!G49*6,IF(출고요청서_raw!H49=재고내역!$F$13,출고요청서_raw!G49*8)))))</f>
        <v>8</v>
      </c>
      <c r="X49" s="53"/>
      <c r="Y49" s="53"/>
      <c r="Z49" s="56">
        <f>W49*재고내역!$M$6</f>
        <v>61496</v>
      </c>
      <c r="AA49" s="56">
        <f t="shared" si="3"/>
        <v>4550</v>
      </c>
      <c r="AB49" s="56">
        <f t="shared" si="4"/>
        <v>16681.272727272721</v>
      </c>
      <c r="AC49" s="376">
        <f t="shared" si="6"/>
        <v>0.20164175824175817</v>
      </c>
    </row>
    <row r="50" spans="1:29" ht="15.75" customHeight="1">
      <c r="A50" s="423" t="s">
        <v>364</v>
      </c>
      <c r="B50" s="423" t="s">
        <v>365</v>
      </c>
      <c r="E50" s="423" t="s">
        <v>366</v>
      </c>
      <c r="F50" s="423" t="s">
        <v>367</v>
      </c>
      <c r="G50" s="60">
        <v>1</v>
      </c>
      <c r="H50" s="54" t="s">
        <v>73</v>
      </c>
      <c r="L50" s="97" t="s">
        <v>163</v>
      </c>
      <c r="N50" s="97" t="s">
        <v>368</v>
      </c>
      <c r="P50" s="57" t="s">
        <v>41</v>
      </c>
      <c r="Q50" s="61">
        <v>46058</v>
      </c>
      <c r="R50" s="55" t="s">
        <v>41</v>
      </c>
      <c r="S50" s="56">
        <v>45500</v>
      </c>
      <c r="T50" s="56" t="str">
        <f t="shared" si="11"/>
        <v>0</v>
      </c>
      <c r="U50" s="56">
        <v>45500</v>
      </c>
      <c r="V50" s="56">
        <f t="shared" si="10"/>
        <v>41363.63636363636</v>
      </c>
      <c r="W50" s="65">
        <f>IF(H50=재고내역!$F$9,출고요청서_raw!G50*1,IF(H50=재고내역!$F$10,출고요청서_raw!G50*2,IF(출고요청서_raw!H50=재고내역!$F$11,출고요청서_raw!G50*4,IF(출고요청서_raw!H50=재고내역!$F$12,출고요청서_raw!G50*6,IF(출고요청서_raw!H50=재고내역!$F$13,출고요청서_raw!G50*8)))))</f>
        <v>4</v>
      </c>
      <c r="X50" s="53"/>
      <c r="Y50" s="53"/>
      <c r="Z50" s="56">
        <f>W50*재고내역!$M$6</f>
        <v>30748</v>
      </c>
      <c r="AA50" s="56">
        <f t="shared" si="3"/>
        <v>4550</v>
      </c>
      <c r="AB50" s="56">
        <f t="shared" si="4"/>
        <v>6065.6363636363603</v>
      </c>
      <c r="AC50" s="376">
        <f t="shared" si="6"/>
        <v>0.14664175824175818</v>
      </c>
    </row>
    <row r="51" spans="1:29" ht="15.75" customHeight="1">
      <c r="A51" s="423" t="s">
        <v>369</v>
      </c>
      <c r="B51" s="423" t="s">
        <v>370</v>
      </c>
      <c r="E51" s="423" t="s">
        <v>371</v>
      </c>
      <c r="F51" s="423" t="s">
        <v>372</v>
      </c>
      <c r="G51" s="60">
        <v>1</v>
      </c>
      <c r="H51" s="54" t="s">
        <v>73</v>
      </c>
      <c r="L51" s="97" t="s">
        <v>163</v>
      </c>
      <c r="N51" s="97" t="s">
        <v>373</v>
      </c>
      <c r="P51" s="57" t="s">
        <v>41</v>
      </c>
      <c r="Q51" s="61">
        <v>46058</v>
      </c>
      <c r="R51" s="55" t="s">
        <v>41</v>
      </c>
      <c r="S51" s="56">
        <v>45500</v>
      </c>
      <c r="T51" s="56" t="str">
        <f t="shared" si="11"/>
        <v>0</v>
      </c>
      <c r="U51" s="56">
        <v>45500</v>
      </c>
      <c r="V51" s="56">
        <f t="shared" si="10"/>
        <v>41363.63636363636</v>
      </c>
      <c r="W51" s="65">
        <f>IF(H51=재고내역!$F$9,출고요청서_raw!G51*1,IF(H51=재고내역!$F$10,출고요청서_raw!G51*2,IF(출고요청서_raw!H51=재고내역!$F$11,출고요청서_raw!G51*4,IF(출고요청서_raw!H51=재고내역!$F$12,출고요청서_raw!G51*6,IF(출고요청서_raw!H51=재고내역!$F$13,출고요청서_raw!G51*8)))))</f>
        <v>4</v>
      </c>
      <c r="X51" s="53"/>
      <c r="Y51" s="53"/>
      <c r="Z51" s="56">
        <f>W51*재고내역!$M$6</f>
        <v>30748</v>
      </c>
      <c r="AA51" s="56">
        <f t="shared" si="3"/>
        <v>4550</v>
      </c>
      <c r="AB51" s="56">
        <f t="shared" si="4"/>
        <v>6065.6363636363603</v>
      </c>
      <c r="AC51" s="376">
        <f t="shared" si="6"/>
        <v>0.14664175824175818</v>
      </c>
    </row>
    <row r="52" spans="1:29" ht="15.75" customHeight="1">
      <c r="A52" s="423" t="s">
        <v>374</v>
      </c>
      <c r="B52" s="423" t="s">
        <v>375</v>
      </c>
      <c r="E52" s="423" t="s">
        <v>376</v>
      </c>
      <c r="F52" s="423" t="s">
        <v>377</v>
      </c>
      <c r="G52" s="60">
        <v>1</v>
      </c>
      <c r="H52" s="54" t="s">
        <v>73</v>
      </c>
      <c r="L52" s="97" t="s">
        <v>163</v>
      </c>
      <c r="N52" s="97" t="s">
        <v>378</v>
      </c>
      <c r="P52" s="57" t="s">
        <v>41</v>
      </c>
      <c r="Q52" s="61">
        <v>46058</v>
      </c>
      <c r="R52" s="55" t="s">
        <v>41</v>
      </c>
      <c r="S52" s="56">
        <v>45500</v>
      </c>
      <c r="T52" s="56" t="str">
        <f t="shared" si="11"/>
        <v>0</v>
      </c>
      <c r="U52" s="56">
        <v>45500</v>
      </c>
      <c r="V52" s="56">
        <f t="shared" si="10"/>
        <v>41363.63636363636</v>
      </c>
      <c r="W52" s="65">
        <f>IF(H52=재고내역!$F$9,출고요청서_raw!G52*1,IF(H52=재고내역!$F$10,출고요청서_raw!G52*2,IF(출고요청서_raw!H52=재고내역!$F$11,출고요청서_raw!G52*4,IF(출고요청서_raw!H52=재고내역!$F$12,출고요청서_raw!G52*6,IF(출고요청서_raw!H52=재고내역!$F$13,출고요청서_raw!G52*8)))))</f>
        <v>4</v>
      </c>
      <c r="X52" s="53"/>
      <c r="Y52" s="53"/>
      <c r="Z52" s="56">
        <f>W52*재고내역!$M$6</f>
        <v>30748</v>
      </c>
      <c r="AA52" s="56">
        <f t="shared" si="3"/>
        <v>4550</v>
      </c>
      <c r="AB52" s="56">
        <f t="shared" si="4"/>
        <v>6065.6363636363603</v>
      </c>
      <c r="AC52" s="376">
        <f t="shared" si="6"/>
        <v>0.14664175824175818</v>
      </c>
    </row>
    <row r="53" spans="1:29" ht="15.75" customHeight="1">
      <c r="A53" s="423" t="s">
        <v>379</v>
      </c>
      <c r="B53" s="423" t="s">
        <v>380</v>
      </c>
      <c r="E53" s="423" t="s">
        <v>273</v>
      </c>
      <c r="F53" s="423" t="s">
        <v>381</v>
      </c>
      <c r="G53" s="60">
        <v>1</v>
      </c>
      <c r="H53" s="54" t="s">
        <v>73</v>
      </c>
      <c r="L53" s="97" t="s">
        <v>163</v>
      </c>
      <c r="N53" s="97" t="s">
        <v>382</v>
      </c>
      <c r="P53" s="57" t="s">
        <v>41</v>
      </c>
      <c r="Q53" s="61">
        <v>46058</v>
      </c>
      <c r="R53" s="55" t="s">
        <v>41</v>
      </c>
      <c r="S53" s="56">
        <v>45500</v>
      </c>
      <c r="T53" s="56" t="str">
        <f t="shared" si="11"/>
        <v>0</v>
      </c>
      <c r="U53" s="56">
        <v>45500</v>
      </c>
      <c r="V53" s="56">
        <f t="shared" si="10"/>
        <v>41363.63636363636</v>
      </c>
      <c r="W53" s="65">
        <f>IF(H53=재고내역!$F$9,출고요청서_raw!G53*1,IF(H53=재고내역!$F$10,출고요청서_raw!G53*2,IF(출고요청서_raw!H53=재고내역!$F$11,출고요청서_raw!G53*4,IF(출고요청서_raw!H53=재고내역!$F$12,출고요청서_raw!G53*6,IF(출고요청서_raw!H53=재고내역!$F$13,출고요청서_raw!G53*8)))))</f>
        <v>4</v>
      </c>
      <c r="X53" s="53"/>
      <c r="Y53" s="53"/>
      <c r="Z53" s="56">
        <f>W53*재고내역!$M$6</f>
        <v>30748</v>
      </c>
      <c r="AA53" s="56">
        <f t="shared" si="3"/>
        <v>4550</v>
      </c>
      <c r="AB53" s="56">
        <f t="shared" si="4"/>
        <v>6065.6363636363603</v>
      </c>
      <c r="AC53" s="376">
        <f t="shared" si="6"/>
        <v>0.14664175824175818</v>
      </c>
    </row>
    <row r="54" spans="1:29" ht="15.75" customHeight="1">
      <c r="A54" s="423" t="s">
        <v>383</v>
      </c>
      <c r="B54" s="423" t="s">
        <v>384</v>
      </c>
      <c r="E54" s="423" t="s">
        <v>385</v>
      </c>
      <c r="F54" s="423" t="s">
        <v>386</v>
      </c>
      <c r="G54" s="60">
        <v>1</v>
      </c>
      <c r="H54" s="54" t="s">
        <v>73</v>
      </c>
      <c r="L54" s="97" t="s">
        <v>163</v>
      </c>
      <c r="N54" s="97" t="s">
        <v>387</v>
      </c>
      <c r="P54" s="57" t="s">
        <v>41</v>
      </c>
      <c r="Q54" s="61">
        <v>46058</v>
      </c>
      <c r="R54" s="55" t="s">
        <v>41</v>
      </c>
      <c r="S54" s="56">
        <v>45500</v>
      </c>
      <c r="T54" s="56" t="str">
        <f t="shared" si="11"/>
        <v>0</v>
      </c>
      <c r="U54" s="56">
        <v>45500</v>
      </c>
      <c r="V54" s="56">
        <f t="shared" si="10"/>
        <v>41363.63636363636</v>
      </c>
      <c r="W54" s="65">
        <f>IF(H54=재고내역!$F$9,출고요청서_raw!G54*1,IF(H54=재고내역!$F$10,출고요청서_raw!G54*2,IF(출고요청서_raw!H54=재고내역!$F$11,출고요청서_raw!G54*4,IF(출고요청서_raw!H54=재고내역!$F$12,출고요청서_raw!G54*6,IF(출고요청서_raw!H54=재고내역!$F$13,출고요청서_raw!G54*8)))))</f>
        <v>4</v>
      </c>
      <c r="X54" s="53"/>
      <c r="Y54" s="53"/>
      <c r="Z54" s="56">
        <f>W54*재고내역!$M$6</f>
        <v>30748</v>
      </c>
      <c r="AA54" s="56">
        <f t="shared" si="3"/>
        <v>4550</v>
      </c>
      <c r="AB54" s="56">
        <f t="shared" si="4"/>
        <v>6065.6363636363603</v>
      </c>
      <c r="AC54" s="376">
        <f t="shared" si="6"/>
        <v>0.14664175824175818</v>
      </c>
    </row>
    <row r="55" spans="1:29" ht="15.75" customHeight="1">
      <c r="A55" s="423" t="s">
        <v>388</v>
      </c>
      <c r="B55" s="423" t="s">
        <v>389</v>
      </c>
      <c r="E55" s="423" t="s">
        <v>390</v>
      </c>
      <c r="F55" s="423" t="s">
        <v>391</v>
      </c>
      <c r="G55" s="60">
        <v>1</v>
      </c>
      <c r="H55" s="54" t="s">
        <v>73</v>
      </c>
      <c r="L55" s="97" t="s">
        <v>163</v>
      </c>
      <c r="N55" s="97" t="s">
        <v>392</v>
      </c>
      <c r="P55" s="57" t="s">
        <v>41</v>
      </c>
      <c r="Q55" s="61">
        <v>46058</v>
      </c>
      <c r="R55" s="55" t="s">
        <v>41</v>
      </c>
      <c r="S55" s="56">
        <v>45500</v>
      </c>
      <c r="T55" s="56" t="str">
        <f t="shared" si="11"/>
        <v>0</v>
      </c>
      <c r="U55" s="56">
        <v>45500</v>
      </c>
      <c r="V55" s="56">
        <f t="shared" si="10"/>
        <v>41363.63636363636</v>
      </c>
      <c r="W55" s="65">
        <f>IF(H55=재고내역!$F$9,출고요청서_raw!G55*1,IF(H55=재고내역!$F$10,출고요청서_raw!G55*2,IF(출고요청서_raw!H55=재고내역!$F$11,출고요청서_raw!G55*4,IF(출고요청서_raw!H55=재고내역!$F$12,출고요청서_raw!G55*6,IF(출고요청서_raw!H55=재고내역!$F$13,출고요청서_raw!G55*8)))))</f>
        <v>4</v>
      </c>
      <c r="X55" s="53"/>
      <c r="Y55" s="53"/>
      <c r="Z55" s="56">
        <f>W55*재고내역!$M$6</f>
        <v>30748</v>
      </c>
      <c r="AA55" s="56">
        <f t="shared" si="3"/>
        <v>4550</v>
      </c>
      <c r="AB55" s="56">
        <f t="shared" si="4"/>
        <v>6065.6363636363603</v>
      </c>
      <c r="AC55" s="376">
        <f t="shared" si="6"/>
        <v>0.14664175824175818</v>
      </c>
    </row>
    <row r="56" spans="1:29" ht="15.75" customHeight="1">
      <c r="A56" s="423" t="s">
        <v>393</v>
      </c>
      <c r="B56" s="423" t="s">
        <v>394</v>
      </c>
      <c r="E56" s="423" t="s">
        <v>395</v>
      </c>
      <c r="F56" s="423" t="s">
        <v>396</v>
      </c>
      <c r="G56" s="60">
        <v>1</v>
      </c>
      <c r="H56" s="54" t="s">
        <v>73</v>
      </c>
      <c r="L56" s="97" t="s">
        <v>163</v>
      </c>
      <c r="N56" s="97" t="s">
        <v>397</v>
      </c>
      <c r="P56" s="57" t="s">
        <v>41</v>
      </c>
      <c r="Q56" s="61">
        <v>46058</v>
      </c>
      <c r="R56" s="55" t="s">
        <v>41</v>
      </c>
      <c r="S56" s="56">
        <v>45500</v>
      </c>
      <c r="T56" s="56" t="str">
        <f t="shared" si="11"/>
        <v>0</v>
      </c>
      <c r="U56" s="56">
        <v>45500</v>
      </c>
      <c r="V56" s="56">
        <f t="shared" si="10"/>
        <v>41363.63636363636</v>
      </c>
      <c r="W56" s="65">
        <f>IF(H56=재고내역!$F$9,출고요청서_raw!G56*1,IF(H56=재고내역!$F$10,출고요청서_raw!G56*2,IF(출고요청서_raw!H56=재고내역!$F$11,출고요청서_raw!G56*4,IF(출고요청서_raw!H56=재고내역!$F$12,출고요청서_raw!G56*6,IF(출고요청서_raw!H56=재고내역!$F$13,출고요청서_raw!G56*8)))))</f>
        <v>4</v>
      </c>
      <c r="X56" s="53"/>
      <c r="Y56" s="53"/>
      <c r="Z56" s="56">
        <f>W56*재고내역!$M$6</f>
        <v>30748</v>
      </c>
      <c r="AA56" s="56">
        <f t="shared" si="3"/>
        <v>4550</v>
      </c>
      <c r="AB56" s="56">
        <f t="shared" si="4"/>
        <v>6065.6363636363603</v>
      </c>
      <c r="AC56" s="376">
        <f t="shared" si="6"/>
        <v>0.14664175824175818</v>
      </c>
    </row>
    <row r="57" spans="1:29" ht="15.75" customHeight="1">
      <c r="A57" s="423" t="s">
        <v>398</v>
      </c>
      <c r="B57" s="423" t="s">
        <v>399</v>
      </c>
      <c r="E57" s="423" t="s">
        <v>400</v>
      </c>
      <c r="F57" s="423" t="s">
        <v>401</v>
      </c>
      <c r="G57" s="60">
        <v>1</v>
      </c>
      <c r="H57" s="54" t="s">
        <v>73</v>
      </c>
      <c r="L57" s="97" t="s">
        <v>163</v>
      </c>
      <c r="N57" s="97" t="s">
        <v>402</v>
      </c>
      <c r="P57" s="57" t="s">
        <v>41</v>
      </c>
      <c r="Q57" s="61">
        <v>46058</v>
      </c>
      <c r="R57" s="55" t="s">
        <v>41</v>
      </c>
      <c r="S57" s="56">
        <v>45500</v>
      </c>
      <c r="T57" s="56" t="str">
        <f t="shared" si="11"/>
        <v>0</v>
      </c>
      <c r="U57" s="56">
        <v>45500</v>
      </c>
      <c r="V57" s="56">
        <f t="shared" si="10"/>
        <v>41363.63636363636</v>
      </c>
      <c r="W57" s="65">
        <f>IF(H57=재고내역!$F$9,출고요청서_raw!G57*1,IF(H57=재고내역!$F$10,출고요청서_raw!G57*2,IF(출고요청서_raw!H57=재고내역!$F$11,출고요청서_raw!G57*4,IF(출고요청서_raw!H57=재고내역!$F$12,출고요청서_raw!G57*6,IF(출고요청서_raw!H57=재고내역!$F$13,출고요청서_raw!G57*8)))))</f>
        <v>4</v>
      </c>
      <c r="X57" s="53"/>
      <c r="Y57" s="53"/>
      <c r="Z57" s="56">
        <f>W57*재고내역!$M$6</f>
        <v>30748</v>
      </c>
      <c r="AA57" s="56">
        <f t="shared" si="3"/>
        <v>4550</v>
      </c>
      <c r="AB57" s="56">
        <f t="shared" si="4"/>
        <v>6065.6363636363603</v>
      </c>
      <c r="AC57" s="376">
        <f t="shared" si="6"/>
        <v>0.14664175824175818</v>
      </c>
    </row>
    <row r="58" spans="1:29" ht="15.75" customHeight="1">
      <c r="A58" s="423" t="s">
        <v>403</v>
      </c>
      <c r="B58" s="423" t="s">
        <v>404</v>
      </c>
      <c r="E58" s="423" t="s">
        <v>405</v>
      </c>
      <c r="F58" s="423" t="s">
        <v>406</v>
      </c>
      <c r="G58" s="60">
        <v>1</v>
      </c>
      <c r="H58" s="54" t="s">
        <v>73</v>
      </c>
      <c r="L58" s="97" t="s">
        <v>203</v>
      </c>
      <c r="N58" s="97" t="s">
        <v>407</v>
      </c>
      <c r="P58" s="57" t="s">
        <v>41</v>
      </c>
      <c r="Q58" s="61">
        <v>46058</v>
      </c>
      <c r="R58" s="55" t="s">
        <v>41</v>
      </c>
      <c r="S58" s="56">
        <v>45500</v>
      </c>
      <c r="T58" s="56" t="str">
        <f t="shared" si="11"/>
        <v>0</v>
      </c>
      <c r="U58" s="56">
        <v>45500</v>
      </c>
      <c r="V58" s="56">
        <f t="shared" si="10"/>
        <v>41363.63636363636</v>
      </c>
      <c r="W58" s="65">
        <f>IF(H58=재고내역!$F$9,출고요청서_raw!G58*1,IF(H58=재고내역!$F$10,출고요청서_raw!G58*2,IF(출고요청서_raw!H58=재고내역!$F$11,출고요청서_raw!G58*4,IF(출고요청서_raw!H58=재고내역!$F$12,출고요청서_raw!G58*6,IF(출고요청서_raw!H58=재고내역!$F$13,출고요청서_raw!G58*8)))))</f>
        <v>4</v>
      </c>
      <c r="X58" s="53"/>
      <c r="Y58" s="53"/>
      <c r="Z58" s="56">
        <f>W58*재고내역!$M$6</f>
        <v>30748</v>
      </c>
      <c r="AA58" s="56">
        <f t="shared" si="3"/>
        <v>4550</v>
      </c>
      <c r="AB58" s="56">
        <f t="shared" si="4"/>
        <v>6065.6363636363603</v>
      </c>
      <c r="AC58" s="376">
        <f t="shared" si="6"/>
        <v>0.14664175824175818</v>
      </c>
    </row>
    <row r="59" spans="1:29" ht="15.75" customHeight="1">
      <c r="A59" s="423" t="s">
        <v>408</v>
      </c>
      <c r="B59" s="423" t="s">
        <v>409</v>
      </c>
      <c r="E59" s="423" t="s">
        <v>410</v>
      </c>
      <c r="F59" s="423" t="s">
        <v>411</v>
      </c>
      <c r="G59" s="60">
        <v>1</v>
      </c>
      <c r="H59" s="54" t="s">
        <v>73</v>
      </c>
      <c r="L59" s="97" t="s">
        <v>163</v>
      </c>
      <c r="N59" s="97" t="s">
        <v>412</v>
      </c>
      <c r="P59" s="57" t="s">
        <v>41</v>
      </c>
      <c r="Q59" s="61">
        <v>46058</v>
      </c>
      <c r="R59" s="55" t="s">
        <v>41</v>
      </c>
      <c r="S59" s="56">
        <v>45500</v>
      </c>
      <c r="T59" s="56" t="str">
        <f t="shared" si="11"/>
        <v>0</v>
      </c>
      <c r="U59" s="56">
        <v>45500</v>
      </c>
      <c r="V59" s="56">
        <f t="shared" si="10"/>
        <v>41363.63636363636</v>
      </c>
      <c r="W59" s="65">
        <f>IF(H59=재고내역!$F$9,출고요청서_raw!G59*1,IF(H59=재고내역!$F$10,출고요청서_raw!G59*2,IF(출고요청서_raw!H59=재고내역!$F$11,출고요청서_raw!G59*4,IF(출고요청서_raw!H59=재고내역!$F$12,출고요청서_raw!G59*6,IF(출고요청서_raw!H59=재고내역!$F$13,출고요청서_raw!G59*8)))))</f>
        <v>4</v>
      </c>
      <c r="X59" s="53"/>
      <c r="Y59" s="53"/>
      <c r="Z59" s="56">
        <f>W59*재고내역!$M$6</f>
        <v>30748</v>
      </c>
      <c r="AA59" s="56">
        <f t="shared" si="3"/>
        <v>4550</v>
      </c>
      <c r="AB59" s="56">
        <f t="shared" si="4"/>
        <v>6065.6363636363603</v>
      </c>
      <c r="AC59" s="376">
        <f t="shared" si="6"/>
        <v>0.14664175824175818</v>
      </c>
    </row>
    <row r="60" spans="1:29" ht="15.75" customHeight="1">
      <c r="A60" s="423" t="s">
        <v>413</v>
      </c>
      <c r="B60" s="423" t="s">
        <v>414</v>
      </c>
      <c r="E60" s="423" t="s">
        <v>415</v>
      </c>
      <c r="F60" s="423" t="s">
        <v>416</v>
      </c>
      <c r="G60" s="60">
        <v>1</v>
      </c>
      <c r="H60" s="54" t="s">
        <v>73</v>
      </c>
      <c r="L60" s="97" t="s">
        <v>417</v>
      </c>
      <c r="N60" s="97" t="s">
        <v>418</v>
      </c>
      <c r="P60" s="57" t="s">
        <v>41</v>
      </c>
      <c r="Q60" s="61">
        <v>46058</v>
      </c>
      <c r="R60" s="55" t="s">
        <v>41</v>
      </c>
      <c r="S60" s="56">
        <v>45500</v>
      </c>
      <c r="T60" s="56" t="str">
        <f t="shared" si="11"/>
        <v>0</v>
      </c>
      <c r="U60" s="56">
        <v>45500</v>
      </c>
      <c r="V60" s="56">
        <f t="shared" si="10"/>
        <v>41363.63636363636</v>
      </c>
      <c r="W60" s="65">
        <f>IF(H60=재고내역!$F$9,출고요청서_raw!G60*1,IF(H60=재고내역!$F$10,출고요청서_raw!G60*2,IF(출고요청서_raw!H60=재고내역!$F$11,출고요청서_raw!G60*4,IF(출고요청서_raw!H60=재고내역!$F$12,출고요청서_raw!G60*6,IF(출고요청서_raw!H60=재고내역!$F$13,출고요청서_raw!G60*8)))))</f>
        <v>4</v>
      </c>
      <c r="X60" s="53"/>
      <c r="Y60" s="53"/>
      <c r="Z60" s="56">
        <f>W60*재고내역!$M$6</f>
        <v>30748</v>
      </c>
      <c r="AA60" s="56">
        <f t="shared" si="3"/>
        <v>4550</v>
      </c>
      <c r="AB60" s="56">
        <f t="shared" si="4"/>
        <v>6065.6363636363603</v>
      </c>
      <c r="AC60" s="376">
        <f t="shared" si="6"/>
        <v>0.14664175824175818</v>
      </c>
    </row>
    <row r="61" spans="1:29" ht="15.75" customHeight="1">
      <c r="A61" s="423" t="s">
        <v>419</v>
      </c>
      <c r="B61" s="423" t="s">
        <v>420</v>
      </c>
      <c r="E61" s="423" t="s">
        <v>421</v>
      </c>
      <c r="F61" s="423" t="s">
        <v>422</v>
      </c>
      <c r="G61" s="370">
        <v>2</v>
      </c>
      <c r="H61" s="54" t="s">
        <v>73</v>
      </c>
      <c r="L61" s="97" t="s">
        <v>163</v>
      </c>
      <c r="N61" s="97" t="s">
        <v>423</v>
      </c>
      <c r="P61" s="57" t="s">
        <v>41</v>
      </c>
      <c r="Q61" s="61">
        <v>46058</v>
      </c>
      <c r="R61" s="55" t="s">
        <v>41</v>
      </c>
      <c r="S61" s="56">
        <v>45500</v>
      </c>
      <c r="T61" s="56" t="str">
        <f t="shared" si="11"/>
        <v>0</v>
      </c>
      <c r="U61" s="56">
        <v>91000</v>
      </c>
      <c r="V61" s="56">
        <f t="shared" si="10"/>
        <v>82727.272727272721</v>
      </c>
      <c r="W61" s="65">
        <f>IF(H61=재고내역!$F$9,출고요청서_raw!G61*1,IF(H61=재고내역!$F$10,출고요청서_raw!G61*2,IF(출고요청서_raw!H61=재고내역!$F$11,출고요청서_raw!G61*4,IF(출고요청서_raw!H61=재고내역!$F$12,출고요청서_raw!G61*6,IF(출고요청서_raw!H61=재고내역!$F$13,출고요청서_raw!G61*8)))))</f>
        <v>8</v>
      </c>
      <c r="X61" s="53"/>
      <c r="Y61" s="53"/>
      <c r="Z61" s="56">
        <f>W61*재고내역!$M$6</f>
        <v>61496</v>
      </c>
      <c r="AA61" s="56">
        <f t="shared" si="3"/>
        <v>4550</v>
      </c>
      <c r="AB61" s="56">
        <f t="shared" si="4"/>
        <v>16681.272727272721</v>
      </c>
      <c r="AC61" s="376">
        <f t="shared" si="6"/>
        <v>0.20164175824175817</v>
      </c>
    </row>
    <row r="62" spans="1:29" ht="15.75" customHeight="1">
      <c r="A62" s="423" t="s">
        <v>424</v>
      </c>
      <c r="B62" s="423" t="s">
        <v>425</v>
      </c>
      <c r="E62" s="423" t="s">
        <v>426</v>
      </c>
      <c r="F62" s="423" t="s">
        <v>427</v>
      </c>
      <c r="G62" s="60">
        <v>1</v>
      </c>
      <c r="H62" s="54" t="s">
        <v>73</v>
      </c>
      <c r="L62" s="97" t="s">
        <v>163</v>
      </c>
      <c r="N62" s="97" t="s">
        <v>428</v>
      </c>
      <c r="P62" s="57" t="s">
        <v>41</v>
      </c>
      <c r="Q62" s="61">
        <v>46058</v>
      </c>
      <c r="R62" s="55" t="s">
        <v>41</v>
      </c>
      <c r="S62" s="56">
        <v>45500</v>
      </c>
      <c r="T62" s="56" t="str">
        <f t="shared" si="11"/>
        <v>0</v>
      </c>
      <c r="U62" s="56">
        <v>45500</v>
      </c>
      <c r="V62" s="56">
        <f t="shared" si="10"/>
        <v>41363.63636363636</v>
      </c>
      <c r="W62" s="65">
        <f>IF(H62=재고내역!$F$9,출고요청서_raw!G62*1,IF(H62=재고내역!$F$10,출고요청서_raw!G62*2,IF(출고요청서_raw!H62=재고내역!$F$11,출고요청서_raw!G62*4,IF(출고요청서_raw!H62=재고내역!$F$12,출고요청서_raw!G62*6,IF(출고요청서_raw!H62=재고내역!$F$13,출고요청서_raw!G62*8)))))</f>
        <v>4</v>
      </c>
      <c r="X62" s="53"/>
      <c r="Y62" s="53"/>
      <c r="Z62" s="56">
        <f>W62*재고내역!$M$6</f>
        <v>30748</v>
      </c>
      <c r="AA62" s="56">
        <f t="shared" si="3"/>
        <v>4550</v>
      </c>
      <c r="AB62" s="56">
        <f t="shared" si="4"/>
        <v>6065.6363636363603</v>
      </c>
      <c r="AC62" s="376">
        <f t="shared" si="6"/>
        <v>0.14664175824175818</v>
      </c>
    </row>
    <row r="63" spans="1:29" ht="15.75" customHeight="1">
      <c r="A63" s="423" t="s">
        <v>429</v>
      </c>
      <c r="B63" s="423" t="s">
        <v>430</v>
      </c>
      <c r="E63" s="423" t="s">
        <v>431</v>
      </c>
      <c r="F63" s="423" t="s">
        <v>432</v>
      </c>
      <c r="G63" s="60">
        <v>1</v>
      </c>
      <c r="H63" s="54" t="s">
        <v>73</v>
      </c>
      <c r="L63" s="97" t="s">
        <v>163</v>
      </c>
      <c r="N63" s="97" t="s">
        <v>433</v>
      </c>
      <c r="P63" s="57" t="s">
        <v>41</v>
      </c>
      <c r="Q63" s="61">
        <v>46058</v>
      </c>
      <c r="R63" s="55" t="s">
        <v>41</v>
      </c>
      <c r="S63" s="56">
        <v>45500</v>
      </c>
      <c r="T63" s="56" t="str">
        <f t="shared" si="11"/>
        <v>0</v>
      </c>
      <c r="U63" s="56">
        <v>45500</v>
      </c>
      <c r="V63" s="56">
        <f t="shared" si="10"/>
        <v>41363.63636363636</v>
      </c>
      <c r="W63" s="65">
        <f>IF(H63=재고내역!$F$9,출고요청서_raw!G63*1,IF(H63=재고내역!$F$10,출고요청서_raw!G63*2,IF(출고요청서_raw!H63=재고내역!$F$11,출고요청서_raw!G63*4,IF(출고요청서_raw!H63=재고내역!$F$12,출고요청서_raw!G63*6,IF(출고요청서_raw!H63=재고내역!$F$13,출고요청서_raw!G63*8)))))</f>
        <v>4</v>
      </c>
      <c r="X63" s="53"/>
      <c r="Y63" s="53"/>
      <c r="Z63" s="56">
        <f>W63*재고내역!$M$6</f>
        <v>30748</v>
      </c>
      <c r="AA63" s="56">
        <f t="shared" si="3"/>
        <v>4550</v>
      </c>
      <c r="AB63" s="56">
        <f t="shared" si="4"/>
        <v>6065.6363636363603</v>
      </c>
      <c r="AC63" s="376">
        <f t="shared" si="6"/>
        <v>0.14664175824175818</v>
      </c>
    </row>
    <row r="64" spans="1:29" ht="15.75" customHeight="1">
      <c r="A64" s="423" t="s">
        <v>434</v>
      </c>
      <c r="B64" s="423" t="s">
        <v>435</v>
      </c>
      <c r="E64" s="423" t="s">
        <v>436</v>
      </c>
      <c r="F64" s="423" t="s">
        <v>437</v>
      </c>
      <c r="G64" s="60">
        <v>1</v>
      </c>
      <c r="H64" s="54" t="s">
        <v>73</v>
      </c>
      <c r="L64" s="97" t="s">
        <v>163</v>
      </c>
      <c r="N64" s="97" t="s">
        <v>438</v>
      </c>
      <c r="P64" s="57" t="s">
        <v>41</v>
      </c>
      <c r="Q64" s="61">
        <v>46058</v>
      </c>
      <c r="R64" s="55" t="s">
        <v>41</v>
      </c>
      <c r="S64" s="56">
        <v>45500</v>
      </c>
      <c r="T64" s="56" t="str">
        <f t="shared" si="11"/>
        <v>0</v>
      </c>
      <c r="U64" s="56">
        <v>45500</v>
      </c>
      <c r="V64" s="56">
        <f t="shared" si="10"/>
        <v>41363.63636363636</v>
      </c>
      <c r="W64" s="65">
        <f>IF(H64=재고내역!$F$9,출고요청서_raw!G64*1,IF(H64=재고내역!$F$10,출고요청서_raw!G64*2,IF(출고요청서_raw!H64=재고내역!$F$11,출고요청서_raw!G64*4,IF(출고요청서_raw!H64=재고내역!$F$12,출고요청서_raw!G64*6,IF(출고요청서_raw!H64=재고내역!$F$13,출고요청서_raw!G64*8)))))</f>
        <v>4</v>
      </c>
      <c r="X64" s="53"/>
      <c r="Y64" s="53"/>
      <c r="Z64" s="56">
        <f>W64*재고내역!$M$6</f>
        <v>30748</v>
      </c>
      <c r="AA64" s="56">
        <f t="shared" si="3"/>
        <v>4550</v>
      </c>
      <c r="AB64" s="56">
        <f t="shared" si="4"/>
        <v>6065.6363636363603</v>
      </c>
      <c r="AC64" s="376">
        <f t="shared" si="6"/>
        <v>0.14664175824175818</v>
      </c>
    </row>
    <row r="65" spans="1:29" ht="15.75" customHeight="1">
      <c r="A65" s="423" t="s">
        <v>439</v>
      </c>
      <c r="B65" s="423" t="s">
        <v>440</v>
      </c>
      <c r="E65" s="423" t="s">
        <v>441</v>
      </c>
      <c r="F65" s="423" t="s">
        <v>442</v>
      </c>
      <c r="G65" s="60">
        <v>1</v>
      </c>
      <c r="H65" s="54" t="s">
        <v>73</v>
      </c>
      <c r="L65" s="97" t="s">
        <v>163</v>
      </c>
      <c r="N65" s="97" t="s">
        <v>443</v>
      </c>
      <c r="P65" s="57" t="s">
        <v>41</v>
      </c>
      <c r="Q65" s="61">
        <v>46058</v>
      </c>
      <c r="R65" s="55" t="s">
        <v>41</v>
      </c>
      <c r="S65" s="56">
        <v>45500</v>
      </c>
      <c r="T65" s="56" t="str">
        <f t="shared" si="11"/>
        <v>0</v>
      </c>
      <c r="U65" s="56">
        <v>45500</v>
      </c>
      <c r="V65" s="56">
        <f t="shared" si="10"/>
        <v>41363.63636363636</v>
      </c>
      <c r="W65" s="65">
        <f>IF(H65=재고내역!$F$9,출고요청서_raw!G65*1,IF(H65=재고내역!$F$10,출고요청서_raw!G65*2,IF(출고요청서_raw!H65=재고내역!$F$11,출고요청서_raw!G65*4,IF(출고요청서_raw!H65=재고내역!$F$12,출고요청서_raw!G65*6,IF(출고요청서_raw!H65=재고내역!$F$13,출고요청서_raw!G65*8)))))</f>
        <v>4</v>
      </c>
      <c r="X65" s="53"/>
      <c r="Y65" s="53"/>
      <c r="Z65" s="56">
        <f>W65*재고내역!$M$6</f>
        <v>30748</v>
      </c>
      <c r="AA65" s="56">
        <f t="shared" si="3"/>
        <v>4550</v>
      </c>
      <c r="AB65" s="56">
        <f t="shared" si="4"/>
        <v>6065.6363636363603</v>
      </c>
      <c r="AC65" s="376">
        <f t="shared" si="6"/>
        <v>0.14664175824175818</v>
      </c>
    </row>
    <row r="66" spans="1:29" ht="15.75" customHeight="1">
      <c r="A66" s="423" t="s">
        <v>444</v>
      </c>
      <c r="B66" s="423" t="s">
        <v>445</v>
      </c>
      <c r="E66" s="423" t="s">
        <v>446</v>
      </c>
      <c r="F66" s="423" t="s">
        <v>447</v>
      </c>
      <c r="G66" s="60">
        <v>1</v>
      </c>
      <c r="H66" s="54" t="s">
        <v>73</v>
      </c>
      <c r="L66" s="97" t="s">
        <v>448</v>
      </c>
      <c r="N66" s="97" t="s">
        <v>449</v>
      </c>
      <c r="P66" s="57" t="s">
        <v>41</v>
      </c>
      <c r="Q66" s="61">
        <v>46058</v>
      </c>
      <c r="R66" s="55" t="s">
        <v>41</v>
      </c>
      <c r="S66" s="56">
        <v>45500</v>
      </c>
      <c r="T66" s="56" t="str">
        <f t="shared" si="11"/>
        <v>0</v>
      </c>
      <c r="U66" s="56">
        <v>45500</v>
      </c>
      <c r="V66" s="56">
        <f t="shared" si="10"/>
        <v>41363.63636363636</v>
      </c>
      <c r="W66" s="65">
        <f>IF(H66=재고내역!$F$9,출고요청서_raw!G66*1,IF(H66=재고내역!$F$10,출고요청서_raw!G66*2,IF(출고요청서_raw!H66=재고내역!$F$11,출고요청서_raw!G66*4,IF(출고요청서_raw!H66=재고내역!$F$12,출고요청서_raw!G66*6,IF(출고요청서_raw!H66=재고내역!$F$13,출고요청서_raw!G66*8)))))</f>
        <v>4</v>
      </c>
      <c r="X66" s="53"/>
      <c r="Y66" s="53"/>
      <c r="Z66" s="56">
        <f>W66*재고내역!$M$6</f>
        <v>30748</v>
      </c>
      <c r="AA66" s="56">
        <f t="shared" si="3"/>
        <v>4550</v>
      </c>
      <c r="AB66" s="56">
        <f t="shared" si="4"/>
        <v>6065.6363636363603</v>
      </c>
      <c r="AC66" s="376">
        <f t="shared" si="6"/>
        <v>0.14664175824175818</v>
      </c>
    </row>
    <row r="67" spans="1:29" ht="15.75" customHeight="1">
      <c r="A67" s="423" t="s">
        <v>450</v>
      </c>
      <c r="B67" s="423" t="s">
        <v>451</v>
      </c>
      <c r="E67" s="423" t="s">
        <v>452</v>
      </c>
      <c r="F67" s="423" t="s">
        <v>453</v>
      </c>
      <c r="G67" s="60">
        <v>1</v>
      </c>
      <c r="H67" s="54" t="s">
        <v>73</v>
      </c>
      <c r="L67" s="97" t="s">
        <v>163</v>
      </c>
      <c r="N67" s="97" t="s">
        <v>454</v>
      </c>
      <c r="P67" s="57" t="s">
        <v>41</v>
      </c>
      <c r="Q67" s="61">
        <v>46058</v>
      </c>
      <c r="R67" s="55" t="s">
        <v>41</v>
      </c>
      <c r="S67" s="56">
        <v>45500</v>
      </c>
      <c r="T67" s="56" t="str">
        <f t="shared" si="11"/>
        <v>0</v>
      </c>
      <c r="U67" s="56">
        <v>45500</v>
      </c>
      <c r="V67" s="56">
        <f t="shared" si="10"/>
        <v>41363.63636363636</v>
      </c>
      <c r="W67" s="65">
        <f>IF(H67=재고내역!$F$9,출고요청서_raw!G67*1,IF(H67=재고내역!$F$10,출고요청서_raw!G67*2,IF(출고요청서_raw!H67=재고내역!$F$11,출고요청서_raw!G67*4,IF(출고요청서_raw!H67=재고내역!$F$12,출고요청서_raw!G67*6,IF(출고요청서_raw!H67=재고내역!$F$13,출고요청서_raw!G67*8)))))</f>
        <v>4</v>
      </c>
      <c r="X67" s="53"/>
      <c r="Y67" s="53"/>
      <c r="Z67" s="56">
        <f>W67*재고내역!$M$6</f>
        <v>30748</v>
      </c>
      <c r="AA67" s="56">
        <f t="shared" si="3"/>
        <v>4550</v>
      </c>
      <c r="AB67" s="56">
        <f t="shared" si="4"/>
        <v>6065.6363636363603</v>
      </c>
      <c r="AC67" s="376">
        <f t="shared" si="6"/>
        <v>0.14664175824175818</v>
      </c>
    </row>
    <row r="68" spans="1:29" ht="15.75" customHeight="1">
      <c r="A68" s="423" t="s">
        <v>455</v>
      </c>
      <c r="B68" s="423" t="s">
        <v>456</v>
      </c>
      <c r="E68" s="423" t="s">
        <v>457</v>
      </c>
      <c r="F68" s="423" t="s">
        <v>458</v>
      </c>
      <c r="G68" s="60">
        <v>1</v>
      </c>
      <c r="H68" s="54" t="s">
        <v>73</v>
      </c>
      <c r="L68" s="97" t="s">
        <v>163</v>
      </c>
      <c r="N68" s="97" t="s">
        <v>459</v>
      </c>
      <c r="P68" s="57" t="s">
        <v>41</v>
      </c>
      <c r="Q68" s="61">
        <v>46058</v>
      </c>
      <c r="R68" s="55" t="s">
        <v>41</v>
      </c>
      <c r="S68" s="56">
        <v>45500</v>
      </c>
      <c r="T68" s="56" t="str">
        <f t="shared" si="11"/>
        <v>0</v>
      </c>
      <c r="U68" s="56">
        <v>45500</v>
      </c>
      <c r="V68" s="56">
        <f t="shared" si="10"/>
        <v>41363.63636363636</v>
      </c>
      <c r="W68" s="65">
        <f>IF(H68=재고내역!$F$9,출고요청서_raw!G68*1,IF(H68=재고내역!$F$10,출고요청서_raw!G68*2,IF(출고요청서_raw!H68=재고내역!$F$11,출고요청서_raw!G68*4,IF(출고요청서_raw!H68=재고내역!$F$12,출고요청서_raw!G68*6,IF(출고요청서_raw!H68=재고내역!$F$13,출고요청서_raw!G68*8)))))</f>
        <v>4</v>
      </c>
      <c r="X68" s="53"/>
      <c r="Y68" s="53"/>
      <c r="Z68" s="56">
        <f>W68*재고내역!$M$6</f>
        <v>30748</v>
      </c>
      <c r="AA68" s="56">
        <f t="shared" si="3"/>
        <v>4550</v>
      </c>
      <c r="AB68" s="56">
        <f t="shared" si="4"/>
        <v>6065.6363636363603</v>
      </c>
      <c r="AC68" s="376">
        <f t="shared" si="6"/>
        <v>0.14664175824175818</v>
      </c>
    </row>
    <row r="69" spans="1:29" ht="15.75" customHeight="1">
      <c r="A69" s="423" t="s">
        <v>460</v>
      </c>
      <c r="B69" s="423" t="s">
        <v>461</v>
      </c>
      <c r="E69" s="423" t="s">
        <v>462</v>
      </c>
      <c r="F69" s="423" t="s">
        <v>463</v>
      </c>
      <c r="G69" s="60">
        <v>1</v>
      </c>
      <c r="H69" s="54" t="s">
        <v>73</v>
      </c>
      <c r="L69" s="97" t="s">
        <v>163</v>
      </c>
      <c r="N69" s="97" t="s">
        <v>464</v>
      </c>
      <c r="P69" s="57" t="s">
        <v>41</v>
      </c>
      <c r="Q69" s="61">
        <v>46058</v>
      </c>
      <c r="R69" s="55" t="s">
        <v>41</v>
      </c>
      <c r="S69" s="56">
        <v>45500</v>
      </c>
      <c r="T69" s="56" t="str">
        <f t="shared" si="11"/>
        <v>0</v>
      </c>
      <c r="U69" s="56">
        <v>45500</v>
      </c>
      <c r="V69" s="56">
        <f t="shared" si="10"/>
        <v>41363.63636363636</v>
      </c>
      <c r="W69" s="65">
        <f>IF(H69=재고내역!$F$9,출고요청서_raw!G69*1,IF(H69=재고내역!$F$10,출고요청서_raw!G69*2,IF(출고요청서_raw!H69=재고내역!$F$11,출고요청서_raw!G69*4,IF(출고요청서_raw!H69=재고내역!$F$12,출고요청서_raw!G69*6,IF(출고요청서_raw!H69=재고내역!$F$13,출고요청서_raw!G69*8)))))</f>
        <v>4</v>
      </c>
      <c r="X69" s="53"/>
      <c r="Y69" s="53"/>
      <c r="Z69" s="56">
        <f>W69*재고내역!$M$6</f>
        <v>30748</v>
      </c>
      <c r="AA69" s="56">
        <f t="shared" ref="AA69:AA132" si="12">IF(W69&gt;8,4550*2,4550)</f>
        <v>4550</v>
      </c>
      <c r="AB69" s="56">
        <f t="shared" si="4"/>
        <v>6065.6363636363603</v>
      </c>
      <c r="AC69" s="376">
        <f t="shared" si="6"/>
        <v>0.14664175824175818</v>
      </c>
    </row>
    <row r="70" spans="1:29" ht="15.75" customHeight="1">
      <c r="A70" s="423" t="s">
        <v>465</v>
      </c>
      <c r="B70" s="423" t="s">
        <v>466</v>
      </c>
      <c r="E70" s="423" t="s">
        <v>467</v>
      </c>
      <c r="F70" s="423" t="s">
        <v>468</v>
      </c>
      <c r="G70" s="60">
        <v>1</v>
      </c>
      <c r="H70" s="54" t="s">
        <v>73</v>
      </c>
      <c r="L70" s="97" t="s">
        <v>469</v>
      </c>
      <c r="N70" s="97" t="s">
        <v>470</v>
      </c>
      <c r="P70" s="57" t="s">
        <v>41</v>
      </c>
      <c r="Q70" s="61">
        <v>46058</v>
      </c>
      <c r="R70" s="55" t="s">
        <v>41</v>
      </c>
      <c r="S70" s="56">
        <v>45500</v>
      </c>
      <c r="T70" s="56" t="str">
        <f t="shared" ref="T70:T133" si="13">IF(R70="쿠팡",VLOOKUP(H70,$AF$7:$AG$10,2,0)*G70,"0")</f>
        <v>0</v>
      </c>
      <c r="U70" s="56">
        <v>45500</v>
      </c>
      <c r="V70" s="56">
        <f t="shared" si="10"/>
        <v>41363.63636363636</v>
      </c>
      <c r="W70" s="65">
        <f>IF(H70=재고내역!$F$9,출고요청서_raw!G70*1,IF(H70=재고내역!$F$10,출고요청서_raw!G70*2,IF(출고요청서_raw!H70=재고내역!$F$11,출고요청서_raw!G70*4,IF(출고요청서_raw!H70=재고내역!$F$12,출고요청서_raw!G70*6,IF(출고요청서_raw!H70=재고내역!$F$13,출고요청서_raw!G70*8)))))</f>
        <v>4</v>
      </c>
      <c r="X70" s="53"/>
      <c r="Y70" s="53"/>
      <c r="Z70" s="56">
        <f>W70*재고내역!$M$6</f>
        <v>30748</v>
      </c>
      <c r="AA70" s="56">
        <f t="shared" si="12"/>
        <v>4550</v>
      </c>
      <c r="AB70" s="56">
        <f t="shared" ref="AB70:AB133" si="14">V70-Z70-AA70-Y70</f>
        <v>6065.6363636363603</v>
      </c>
      <c r="AC70" s="376">
        <f t="shared" ref="AC70:AC133" si="15">AB70/V70</f>
        <v>0.14664175824175818</v>
      </c>
    </row>
    <row r="71" spans="1:29" ht="15.75" customHeight="1">
      <c r="A71" s="423" t="s">
        <v>471</v>
      </c>
      <c r="B71" s="423" t="s">
        <v>472</v>
      </c>
      <c r="E71" s="423" t="s">
        <v>473</v>
      </c>
      <c r="F71" s="423" t="s">
        <v>474</v>
      </c>
      <c r="G71" s="60">
        <v>1</v>
      </c>
      <c r="H71" s="54" t="s">
        <v>73</v>
      </c>
      <c r="L71" s="97" t="s">
        <v>163</v>
      </c>
      <c r="N71" s="97" t="s">
        <v>475</v>
      </c>
      <c r="P71" s="57" t="s">
        <v>41</v>
      </c>
      <c r="Q71" s="61">
        <v>46058</v>
      </c>
      <c r="R71" s="55" t="s">
        <v>41</v>
      </c>
      <c r="S71" s="56">
        <v>45500</v>
      </c>
      <c r="T71" s="56" t="str">
        <f t="shared" si="13"/>
        <v>0</v>
      </c>
      <c r="U71" s="56">
        <v>45500</v>
      </c>
      <c r="V71" s="56">
        <f t="shared" si="10"/>
        <v>41363.63636363636</v>
      </c>
      <c r="W71" s="65">
        <f>IF(H71=재고내역!$F$9,출고요청서_raw!G71*1,IF(H71=재고내역!$F$10,출고요청서_raw!G71*2,IF(출고요청서_raw!H71=재고내역!$F$11,출고요청서_raw!G71*4,IF(출고요청서_raw!H71=재고내역!$F$12,출고요청서_raw!G71*6,IF(출고요청서_raw!H71=재고내역!$F$13,출고요청서_raw!G71*8)))))</f>
        <v>4</v>
      </c>
      <c r="X71" s="53"/>
      <c r="Y71" s="53"/>
      <c r="Z71" s="56">
        <f>W71*재고내역!$M$6</f>
        <v>30748</v>
      </c>
      <c r="AA71" s="56">
        <f t="shared" si="12"/>
        <v>4550</v>
      </c>
      <c r="AB71" s="56">
        <f t="shared" si="14"/>
        <v>6065.6363636363603</v>
      </c>
      <c r="AC71" s="376">
        <f t="shared" si="15"/>
        <v>0.14664175824175818</v>
      </c>
    </row>
    <row r="72" spans="1:29" ht="15.75" customHeight="1">
      <c r="A72" s="423" t="s">
        <v>476</v>
      </c>
      <c r="B72" s="423" t="s">
        <v>477</v>
      </c>
      <c r="E72" s="423" t="s">
        <v>478</v>
      </c>
      <c r="F72" s="423" t="s">
        <v>479</v>
      </c>
      <c r="G72" s="60">
        <v>1</v>
      </c>
      <c r="H72" s="54" t="s">
        <v>73</v>
      </c>
      <c r="L72" s="97" t="s">
        <v>163</v>
      </c>
      <c r="N72" s="97" t="s">
        <v>480</v>
      </c>
      <c r="P72" s="57" t="s">
        <v>41</v>
      </c>
      <c r="Q72" s="61">
        <v>46058</v>
      </c>
      <c r="R72" s="55" t="s">
        <v>41</v>
      </c>
      <c r="S72" s="56">
        <v>45500</v>
      </c>
      <c r="T72" s="56" t="str">
        <f t="shared" si="13"/>
        <v>0</v>
      </c>
      <c r="U72" s="56">
        <v>45500</v>
      </c>
      <c r="V72" s="56">
        <f t="shared" si="10"/>
        <v>41363.63636363636</v>
      </c>
      <c r="W72" s="65">
        <f>IF(H72=재고내역!$F$9,출고요청서_raw!G72*1,IF(H72=재고내역!$F$10,출고요청서_raw!G72*2,IF(출고요청서_raw!H72=재고내역!$F$11,출고요청서_raw!G72*4,IF(출고요청서_raw!H72=재고내역!$F$12,출고요청서_raw!G72*6,IF(출고요청서_raw!H72=재고내역!$F$13,출고요청서_raw!G72*8)))))</f>
        <v>4</v>
      </c>
      <c r="X72" s="53"/>
      <c r="Y72" s="53"/>
      <c r="Z72" s="56">
        <f>W72*재고내역!$M$6</f>
        <v>30748</v>
      </c>
      <c r="AA72" s="56">
        <f t="shared" si="12"/>
        <v>4550</v>
      </c>
      <c r="AB72" s="56">
        <f t="shared" si="14"/>
        <v>6065.6363636363603</v>
      </c>
      <c r="AC72" s="376">
        <f t="shared" si="15"/>
        <v>0.14664175824175818</v>
      </c>
    </row>
    <row r="73" spans="1:29" ht="15.75" customHeight="1">
      <c r="A73" s="423" t="s">
        <v>481</v>
      </c>
      <c r="B73" s="423" t="s">
        <v>482</v>
      </c>
      <c r="E73" s="423" t="s">
        <v>483</v>
      </c>
      <c r="F73" s="423" t="s">
        <v>484</v>
      </c>
      <c r="G73" s="60">
        <v>1</v>
      </c>
      <c r="H73" s="54" t="s">
        <v>73</v>
      </c>
      <c r="L73" s="97" t="s">
        <v>163</v>
      </c>
      <c r="N73" s="97" t="s">
        <v>485</v>
      </c>
      <c r="P73" s="57" t="s">
        <v>41</v>
      </c>
      <c r="Q73" s="61">
        <v>46058</v>
      </c>
      <c r="R73" s="55" t="s">
        <v>41</v>
      </c>
      <c r="S73" s="56">
        <v>45500</v>
      </c>
      <c r="T73" s="56" t="str">
        <f t="shared" si="13"/>
        <v>0</v>
      </c>
      <c r="U73" s="56">
        <v>45500</v>
      </c>
      <c r="V73" s="56">
        <f t="shared" si="10"/>
        <v>41363.63636363636</v>
      </c>
      <c r="W73" s="65">
        <f>IF(H73=재고내역!$F$9,출고요청서_raw!G73*1,IF(H73=재고내역!$F$10,출고요청서_raw!G73*2,IF(출고요청서_raw!H73=재고내역!$F$11,출고요청서_raw!G73*4,IF(출고요청서_raw!H73=재고내역!$F$12,출고요청서_raw!G73*6,IF(출고요청서_raw!H73=재고내역!$F$13,출고요청서_raw!G73*8)))))</f>
        <v>4</v>
      </c>
      <c r="X73" s="53"/>
      <c r="Y73" s="53"/>
      <c r="Z73" s="56">
        <f>W73*재고내역!$M$6</f>
        <v>30748</v>
      </c>
      <c r="AA73" s="56">
        <f t="shared" si="12"/>
        <v>4550</v>
      </c>
      <c r="AB73" s="56">
        <f t="shared" si="14"/>
        <v>6065.6363636363603</v>
      </c>
      <c r="AC73" s="376">
        <f t="shared" si="15"/>
        <v>0.14664175824175818</v>
      </c>
    </row>
    <row r="74" spans="1:29" ht="15.75" customHeight="1">
      <c r="A74" s="423" t="s">
        <v>486</v>
      </c>
      <c r="B74" s="423" t="s">
        <v>487</v>
      </c>
      <c r="E74" s="423" t="s">
        <v>488</v>
      </c>
      <c r="F74" s="423" t="s">
        <v>489</v>
      </c>
      <c r="G74" s="60">
        <v>1</v>
      </c>
      <c r="H74" s="54" t="s">
        <v>73</v>
      </c>
      <c r="L74" s="97" t="s">
        <v>163</v>
      </c>
      <c r="N74" s="97" t="s">
        <v>490</v>
      </c>
      <c r="P74" s="57" t="s">
        <v>41</v>
      </c>
      <c r="Q74" s="61">
        <v>46058</v>
      </c>
      <c r="R74" s="55" t="s">
        <v>41</v>
      </c>
      <c r="S74" s="56">
        <v>45500</v>
      </c>
      <c r="T74" s="56" t="str">
        <f t="shared" si="13"/>
        <v>0</v>
      </c>
      <c r="U74" s="56">
        <v>45500</v>
      </c>
      <c r="V74" s="56">
        <f t="shared" si="10"/>
        <v>41363.63636363636</v>
      </c>
      <c r="W74" s="65">
        <f>IF(H74=재고내역!$F$9,출고요청서_raw!G74*1,IF(H74=재고내역!$F$10,출고요청서_raw!G74*2,IF(출고요청서_raw!H74=재고내역!$F$11,출고요청서_raw!G74*4,IF(출고요청서_raw!H74=재고내역!$F$12,출고요청서_raw!G74*6,IF(출고요청서_raw!H74=재고내역!$F$13,출고요청서_raw!G74*8)))))</f>
        <v>4</v>
      </c>
      <c r="X74" s="53"/>
      <c r="Y74" s="53"/>
      <c r="Z74" s="56">
        <f>W74*재고내역!$M$6</f>
        <v>30748</v>
      </c>
      <c r="AA74" s="56">
        <f t="shared" si="12"/>
        <v>4550</v>
      </c>
      <c r="AB74" s="56">
        <f t="shared" si="14"/>
        <v>6065.6363636363603</v>
      </c>
      <c r="AC74" s="376">
        <f t="shared" si="15"/>
        <v>0.14664175824175818</v>
      </c>
    </row>
    <row r="75" spans="1:29" ht="15.75" customHeight="1">
      <c r="A75" s="423" t="s">
        <v>491</v>
      </c>
      <c r="B75" s="423" t="s">
        <v>492</v>
      </c>
      <c r="E75" s="423" t="s">
        <v>493</v>
      </c>
      <c r="F75" s="423" t="s">
        <v>494</v>
      </c>
      <c r="G75" s="60">
        <v>1</v>
      </c>
      <c r="H75" s="54" t="s">
        <v>73</v>
      </c>
      <c r="L75" s="97" t="s">
        <v>495</v>
      </c>
      <c r="N75" s="97" t="s">
        <v>496</v>
      </c>
      <c r="P75" s="57" t="s">
        <v>41</v>
      </c>
      <c r="Q75" s="61">
        <v>46058</v>
      </c>
      <c r="R75" s="55" t="s">
        <v>41</v>
      </c>
      <c r="S75" s="56">
        <v>45500</v>
      </c>
      <c r="T75" s="56" t="str">
        <f t="shared" si="13"/>
        <v>0</v>
      </c>
      <c r="U75" s="56">
        <v>45500</v>
      </c>
      <c r="V75" s="56">
        <f t="shared" si="10"/>
        <v>41363.63636363636</v>
      </c>
      <c r="W75" s="65">
        <f>IF(H75=재고내역!$F$9,출고요청서_raw!G75*1,IF(H75=재고내역!$F$10,출고요청서_raw!G75*2,IF(출고요청서_raw!H75=재고내역!$F$11,출고요청서_raw!G75*4,IF(출고요청서_raw!H75=재고내역!$F$12,출고요청서_raw!G75*6,IF(출고요청서_raw!H75=재고내역!$F$13,출고요청서_raw!G75*8)))))</f>
        <v>4</v>
      </c>
      <c r="X75" s="53"/>
      <c r="Y75" s="53"/>
      <c r="Z75" s="56">
        <f>W75*재고내역!$M$6</f>
        <v>30748</v>
      </c>
      <c r="AA75" s="56">
        <f t="shared" si="12"/>
        <v>4550</v>
      </c>
      <c r="AB75" s="56">
        <f t="shared" si="14"/>
        <v>6065.6363636363603</v>
      </c>
      <c r="AC75" s="376">
        <f t="shared" si="15"/>
        <v>0.14664175824175818</v>
      </c>
    </row>
    <row r="76" spans="1:29" ht="15.75" customHeight="1">
      <c r="A76" s="423" t="s">
        <v>497</v>
      </c>
      <c r="B76" s="423" t="s">
        <v>498</v>
      </c>
      <c r="E76" s="423" t="s">
        <v>499</v>
      </c>
      <c r="F76" s="423" t="s">
        <v>500</v>
      </c>
      <c r="G76" s="60">
        <v>1</v>
      </c>
      <c r="H76" s="54" t="s">
        <v>73</v>
      </c>
      <c r="L76" s="97" t="s">
        <v>163</v>
      </c>
      <c r="N76" s="97" t="s">
        <v>501</v>
      </c>
      <c r="P76" s="57" t="s">
        <v>41</v>
      </c>
      <c r="Q76" s="61">
        <v>46058</v>
      </c>
      <c r="R76" s="55" t="s">
        <v>41</v>
      </c>
      <c r="S76" s="56">
        <v>45500</v>
      </c>
      <c r="T76" s="56" t="str">
        <f t="shared" si="13"/>
        <v>0</v>
      </c>
      <c r="U76" s="56">
        <v>45500</v>
      </c>
      <c r="V76" s="56">
        <f t="shared" ref="V76:V139" si="16">U76/1.1</f>
        <v>41363.63636363636</v>
      </c>
      <c r="W76" s="65">
        <f>IF(H76=재고내역!$F$9,출고요청서_raw!G76*1,IF(H76=재고내역!$F$10,출고요청서_raw!G76*2,IF(출고요청서_raw!H76=재고내역!$F$11,출고요청서_raw!G76*4,IF(출고요청서_raw!H76=재고내역!$F$12,출고요청서_raw!G76*6,IF(출고요청서_raw!H76=재고내역!$F$13,출고요청서_raw!G76*8)))))</f>
        <v>4</v>
      </c>
      <c r="X76" s="53"/>
      <c r="Y76" s="53"/>
      <c r="Z76" s="56">
        <f>W76*재고내역!$M$6</f>
        <v>30748</v>
      </c>
      <c r="AA76" s="56">
        <f t="shared" si="12"/>
        <v>4550</v>
      </c>
      <c r="AB76" s="56">
        <f t="shared" si="14"/>
        <v>6065.6363636363603</v>
      </c>
      <c r="AC76" s="376">
        <f t="shared" si="15"/>
        <v>0.14664175824175818</v>
      </c>
    </row>
    <row r="77" spans="1:29" ht="15.75" customHeight="1">
      <c r="A77" s="423" t="s">
        <v>502</v>
      </c>
      <c r="B77" s="423" t="s">
        <v>503</v>
      </c>
      <c r="E77" s="423" t="s">
        <v>504</v>
      </c>
      <c r="F77" s="423" t="s">
        <v>505</v>
      </c>
      <c r="G77" s="60">
        <v>1</v>
      </c>
      <c r="H77" s="54" t="s">
        <v>73</v>
      </c>
      <c r="L77" s="97" t="s">
        <v>163</v>
      </c>
      <c r="N77" s="97" t="s">
        <v>506</v>
      </c>
      <c r="P77" s="57" t="s">
        <v>41</v>
      </c>
      <c r="Q77" s="61">
        <v>46058</v>
      </c>
      <c r="R77" s="55" t="s">
        <v>41</v>
      </c>
      <c r="S77" s="56">
        <v>45500</v>
      </c>
      <c r="T77" s="56" t="str">
        <f t="shared" si="13"/>
        <v>0</v>
      </c>
      <c r="U77" s="56">
        <v>45500</v>
      </c>
      <c r="V77" s="56">
        <f t="shared" si="16"/>
        <v>41363.63636363636</v>
      </c>
      <c r="W77" s="65">
        <f>IF(H77=재고내역!$F$9,출고요청서_raw!G77*1,IF(H77=재고내역!$F$10,출고요청서_raw!G77*2,IF(출고요청서_raw!H77=재고내역!$F$11,출고요청서_raw!G77*4,IF(출고요청서_raw!H77=재고내역!$F$12,출고요청서_raw!G77*6,IF(출고요청서_raw!H77=재고내역!$F$13,출고요청서_raw!G77*8)))))</f>
        <v>4</v>
      </c>
      <c r="X77" s="53"/>
      <c r="Y77" s="53"/>
      <c r="Z77" s="56">
        <f>W77*재고내역!$M$6</f>
        <v>30748</v>
      </c>
      <c r="AA77" s="56">
        <f t="shared" si="12"/>
        <v>4550</v>
      </c>
      <c r="AB77" s="56">
        <f t="shared" si="14"/>
        <v>6065.6363636363603</v>
      </c>
      <c r="AC77" s="376">
        <f t="shared" si="15"/>
        <v>0.14664175824175818</v>
      </c>
    </row>
    <row r="78" spans="1:29" ht="15.75" customHeight="1">
      <c r="A78" s="423" t="s">
        <v>507</v>
      </c>
      <c r="B78" s="423" t="s">
        <v>508</v>
      </c>
      <c r="E78" s="423" t="s">
        <v>509</v>
      </c>
      <c r="F78" s="423" t="s">
        <v>510</v>
      </c>
      <c r="G78" s="60">
        <v>1</v>
      </c>
      <c r="H78" s="54" t="s">
        <v>73</v>
      </c>
      <c r="L78" s="97" t="s">
        <v>163</v>
      </c>
      <c r="N78" s="97" t="s">
        <v>511</v>
      </c>
      <c r="P78" s="57" t="s">
        <v>41</v>
      </c>
      <c r="Q78" s="61">
        <v>46058</v>
      </c>
      <c r="R78" s="55" t="s">
        <v>41</v>
      </c>
      <c r="S78" s="56">
        <v>45500</v>
      </c>
      <c r="T78" s="56" t="str">
        <f t="shared" si="13"/>
        <v>0</v>
      </c>
      <c r="U78" s="56">
        <v>45500</v>
      </c>
      <c r="V78" s="56">
        <f t="shared" si="16"/>
        <v>41363.63636363636</v>
      </c>
      <c r="W78" s="65">
        <f>IF(H78=재고내역!$F$9,출고요청서_raw!G78*1,IF(H78=재고내역!$F$10,출고요청서_raw!G78*2,IF(출고요청서_raw!H78=재고내역!$F$11,출고요청서_raw!G78*4,IF(출고요청서_raw!H78=재고내역!$F$12,출고요청서_raw!G78*6,IF(출고요청서_raw!H78=재고내역!$F$13,출고요청서_raw!G78*8)))))</f>
        <v>4</v>
      </c>
      <c r="X78" s="53"/>
      <c r="Y78" s="53"/>
      <c r="Z78" s="56">
        <f>W78*재고내역!$M$6</f>
        <v>30748</v>
      </c>
      <c r="AA78" s="56">
        <f t="shared" si="12"/>
        <v>4550</v>
      </c>
      <c r="AB78" s="56">
        <f t="shared" si="14"/>
        <v>6065.6363636363603</v>
      </c>
      <c r="AC78" s="376">
        <f t="shared" si="15"/>
        <v>0.14664175824175818</v>
      </c>
    </row>
    <row r="79" spans="1:29" ht="15.75" customHeight="1">
      <c r="A79" s="423" t="s">
        <v>512</v>
      </c>
      <c r="B79" s="423" t="s">
        <v>513</v>
      </c>
      <c r="E79" s="423" t="s">
        <v>514</v>
      </c>
      <c r="F79" s="423" t="s">
        <v>515</v>
      </c>
      <c r="G79" s="60">
        <v>1</v>
      </c>
      <c r="H79" s="54" t="s">
        <v>73</v>
      </c>
      <c r="L79" s="97" t="s">
        <v>163</v>
      </c>
      <c r="N79" s="97" t="s">
        <v>516</v>
      </c>
      <c r="P79" s="57" t="s">
        <v>41</v>
      </c>
      <c r="Q79" s="61">
        <v>46058</v>
      </c>
      <c r="R79" s="55" t="s">
        <v>41</v>
      </c>
      <c r="S79" s="56">
        <v>45500</v>
      </c>
      <c r="T79" s="56" t="str">
        <f t="shared" si="13"/>
        <v>0</v>
      </c>
      <c r="U79" s="56">
        <v>45500</v>
      </c>
      <c r="V79" s="56">
        <f t="shared" si="16"/>
        <v>41363.63636363636</v>
      </c>
      <c r="W79" s="65">
        <f>IF(H79=재고내역!$F$9,출고요청서_raw!G79*1,IF(H79=재고내역!$F$10,출고요청서_raw!G79*2,IF(출고요청서_raw!H79=재고내역!$F$11,출고요청서_raw!G79*4,IF(출고요청서_raw!H79=재고내역!$F$12,출고요청서_raw!G79*6,IF(출고요청서_raw!H79=재고내역!$F$13,출고요청서_raw!G79*8)))))</f>
        <v>4</v>
      </c>
      <c r="X79" s="53"/>
      <c r="Y79" s="53"/>
      <c r="Z79" s="56">
        <f>W79*재고내역!$M$6</f>
        <v>30748</v>
      </c>
      <c r="AA79" s="56">
        <f t="shared" si="12"/>
        <v>4550</v>
      </c>
      <c r="AB79" s="56">
        <f t="shared" si="14"/>
        <v>6065.6363636363603</v>
      </c>
      <c r="AC79" s="376">
        <f t="shared" si="15"/>
        <v>0.14664175824175818</v>
      </c>
    </row>
    <row r="80" spans="1:29" ht="15.75" customHeight="1">
      <c r="A80" s="423" t="s">
        <v>517</v>
      </c>
      <c r="B80" s="423" t="s">
        <v>518</v>
      </c>
      <c r="E80" s="423" t="s">
        <v>519</v>
      </c>
      <c r="F80" s="423" t="s">
        <v>520</v>
      </c>
      <c r="G80" s="60">
        <v>1</v>
      </c>
      <c r="H80" s="54" t="s">
        <v>73</v>
      </c>
      <c r="L80" s="97" t="s">
        <v>521</v>
      </c>
      <c r="N80" s="97" t="s">
        <v>522</v>
      </c>
      <c r="P80" s="57" t="s">
        <v>41</v>
      </c>
      <c r="Q80" s="61">
        <v>46058</v>
      </c>
      <c r="R80" s="55" t="s">
        <v>41</v>
      </c>
      <c r="S80" s="56">
        <v>45500</v>
      </c>
      <c r="T80" s="56" t="str">
        <f t="shared" si="13"/>
        <v>0</v>
      </c>
      <c r="U80" s="56">
        <v>45500</v>
      </c>
      <c r="V80" s="56">
        <f t="shared" si="16"/>
        <v>41363.63636363636</v>
      </c>
      <c r="W80" s="65">
        <f>IF(H80=재고내역!$F$9,출고요청서_raw!G80*1,IF(H80=재고내역!$F$10,출고요청서_raw!G80*2,IF(출고요청서_raw!H80=재고내역!$F$11,출고요청서_raw!G80*4,IF(출고요청서_raw!H80=재고내역!$F$12,출고요청서_raw!G80*6,IF(출고요청서_raw!H80=재고내역!$F$13,출고요청서_raw!G80*8)))))</f>
        <v>4</v>
      </c>
      <c r="X80" s="53"/>
      <c r="Y80" s="53"/>
      <c r="Z80" s="56">
        <f>W80*재고내역!$M$6</f>
        <v>30748</v>
      </c>
      <c r="AA80" s="56">
        <f t="shared" si="12"/>
        <v>4550</v>
      </c>
      <c r="AB80" s="56">
        <f t="shared" si="14"/>
        <v>6065.6363636363603</v>
      </c>
      <c r="AC80" s="376">
        <f t="shared" si="15"/>
        <v>0.14664175824175818</v>
      </c>
    </row>
    <row r="81" spans="1:29" ht="15.75" customHeight="1">
      <c r="A81" s="423" t="s">
        <v>502</v>
      </c>
      <c r="B81" s="423" t="s">
        <v>503</v>
      </c>
      <c r="E81" s="423" t="s">
        <v>523</v>
      </c>
      <c r="F81" s="423" t="s">
        <v>524</v>
      </c>
      <c r="G81" s="60">
        <v>1</v>
      </c>
      <c r="H81" s="54" t="s">
        <v>73</v>
      </c>
      <c r="L81" s="97" t="s">
        <v>163</v>
      </c>
      <c r="N81" s="97" t="s">
        <v>525</v>
      </c>
      <c r="P81" s="57" t="s">
        <v>41</v>
      </c>
      <c r="Q81" s="61">
        <v>46058</v>
      </c>
      <c r="R81" s="55" t="s">
        <v>41</v>
      </c>
      <c r="S81" s="56">
        <v>45500</v>
      </c>
      <c r="T81" s="56" t="str">
        <f t="shared" si="13"/>
        <v>0</v>
      </c>
      <c r="U81" s="56">
        <v>45500</v>
      </c>
      <c r="V81" s="56">
        <f t="shared" si="16"/>
        <v>41363.63636363636</v>
      </c>
      <c r="W81" s="65">
        <f>IF(H81=재고내역!$F$9,출고요청서_raw!G81*1,IF(H81=재고내역!$F$10,출고요청서_raw!G81*2,IF(출고요청서_raw!H81=재고내역!$F$11,출고요청서_raw!G81*4,IF(출고요청서_raw!H81=재고내역!$F$12,출고요청서_raw!G81*6,IF(출고요청서_raw!H81=재고내역!$F$13,출고요청서_raw!G81*8)))))</f>
        <v>4</v>
      </c>
      <c r="X81" s="53"/>
      <c r="Y81" s="53"/>
      <c r="Z81" s="56">
        <f>W81*재고내역!$M$6</f>
        <v>30748</v>
      </c>
      <c r="AA81" s="56">
        <f t="shared" si="12"/>
        <v>4550</v>
      </c>
      <c r="AB81" s="56">
        <f t="shared" si="14"/>
        <v>6065.6363636363603</v>
      </c>
      <c r="AC81" s="376">
        <f t="shared" si="15"/>
        <v>0.14664175824175818</v>
      </c>
    </row>
    <row r="82" spans="1:29" ht="15.75" customHeight="1">
      <c r="A82" s="423" t="s">
        <v>526</v>
      </c>
      <c r="B82" s="423" t="s">
        <v>527</v>
      </c>
      <c r="E82" s="423" t="s">
        <v>528</v>
      </c>
      <c r="F82" s="423" t="s">
        <v>529</v>
      </c>
      <c r="G82" s="60">
        <v>1</v>
      </c>
      <c r="H82" s="54" t="s">
        <v>73</v>
      </c>
      <c r="L82" s="97" t="s">
        <v>163</v>
      </c>
      <c r="N82" s="97" t="s">
        <v>530</v>
      </c>
      <c r="P82" s="57" t="s">
        <v>41</v>
      </c>
      <c r="Q82" s="61">
        <v>46058</v>
      </c>
      <c r="R82" s="55" t="s">
        <v>41</v>
      </c>
      <c r="S82" s="56">
        <v>45500</v>
      </c>
      <c r="T82" s="56" t="str">
        <f t="shared" si="13"/>
        <v>0</v>
      </c>
      <c r="U82" s="56">
        <v>45500</v>
      </c>
      <c r="V82" s="56">
        <f t="shared" si="16"/>
        <v>41363.63636363636</v>
      </c>
      <c r="W82" s="65">
        <f>IF(H82=재고내역!$F$9,출고요청서_raw!G82*1,IF(H82=재고내역!$F$10,출고요청서_raw!G82*2,IF(출고요청서_raw!H82=재고내역!$F$11,출고요청서_raw!G82*4,IF(출고요청서_raw!H82=재고내역!$F$12,출고요청서_raw!G82*6,IF(출고요청서_raw!H82=재고내역!$F$13,출고요청서_raw!G82*8)))))</f>
        <v>4</v>
      </c>
      <c r="X82" s="53"/>
      <c r="Y82" s="53"/>
      <c r="Z82" s="56">
        <f>W82*재고내역!$M$6</f>
        <v>30748</v>
      </c>
      <c r="AA82" s="56">
        <f t="shared" si="12"/>
        <v>4550</v>
      </c>
      <c r="AB82" s="56">
        <f t="shared" si="14"/>
        <v>6065.6363636363603</v>
      </c>
      <c r="AC82" s="376">
        <f t="shared" si="15"/>
        <v>0.14664175824175818</v>
      </c>
    </row>
    <row r="83" spans="1:29" ht="15.75" customHeight="1">
      <c r="A83" s="423" t="s">
        <v>531</v>
      </c>
      <c r="B83" s="423" t="s">
        <v>532</v>
      </c>
      <c r="E83" s="423" t="s">
        <v>533</v>
      </c>
      <c r="F83" s="423" t="s">
        <v>534</v>
      </c>
      <c r="G83" s="60">
        <v>1</v>
      </c>
      <c r="H83" s="54" t="s">
        <v>73</v>
      </c>
      <c r="L83" s="97" t="s">
        <v>535</v>
      </c>
      <c r="N83" s="97" t="s">
        <v>536</v>
      </c>
      <c r="P83" s="57" t="s">
        <v>41</v>
      </c>
      <c r="Q83" s="61">
        <v>46058</v>
      </c>
      <c r="R83" s="55" t="s">
        <v>41</v>
      </c>
      <c r="S83" s="56">
        <v>45500</v>
      </c>
      <c r="T83" s="56" t="str">
        <f t="shared" si="13"/>
        <v>0</v>
      </c>
      <c r="U83" s="56">
        <v>45500</v>
      </c>
      <c r="V83" s="56">
        <f t="shared" si="16"/>
        <v>41363.63636363636</v>
      </c>
      <c r="W83" s="65">
        <f>IF(H83=재고내역!$F$9,출고요청서_raw!G83*1,IF(H83=재고내역!$F$10,출고요청서_raw!G83*2,IF(출고요청서_raw!H83=재고내역!$F$11,출고요청서_raw!G83*4,IF(출고요청서_raw!H83=재고내역!$F$12,출고요청서_raw!G83*6,IF(출고요청서_raw!H83=재고내역!$F$13,출고요청서_raw!G83*8)))))</f>
        <v>4</v>
      </c>
      <c r="X83" s="53"/>
      <c r="Y83" s="53"/>
      <c r="Z83" s="56">
        <f>W83*재고내역!$M$6</f>
        <v>30748</v>
      </c>
      <c r="AA83" s="56">
        <f t="shared" si="12"/>
        <v>4550</v>
      </c>
      <c r="AB83" s="56">
        <f t="shared" si="14"/>
        <v>6065.6363636363603</v>
      </c>
      <c r="AC83" s="376">
        <f t="shared" si="15"/>
        <v>0.14664175824175818</v>
      </c>
    </row>
    <row r="84" spans="1:29" ht="15.75" customHeight="1">
      <c r="A84" s="423" t="s">
        <v>537</v>
      </c>
      <c r="B84" s="423" t="s">
        <v>538</v>
      </c>
      <c r="E84" s="423" t="s">
        <v>539</v>
      </c>
      <c r="F84" s="423" t="s">
        <v>540</v>
      </c>
      <c r="G84" s="60">
        <v>1</v>
      </c>
      <c r="H84" s="54" t="s">
        <v>73</v>
      </c>
      <c r="L84" s="97" t="s">
        <v>163</v>
      </c>
      <c r="N84" s="97" t="s">
        <v>541</v>
      </c>
      <c r="P84" s="57" t="s">
        <v>41</v>
      </c>
      <c r="Q84" s="61">
        <v>46058</v>
      </c>
      <c r="R84" s="55" t="s">
        <v>41</v>
      </c>
      <c r="S84" s="56">
        <v>45500</v>
      </c>
      <c r="T84" s="56" t="str">
        <f t="shared" si="13"/>
        <v>0</v>
      </c>
      <c r="U84" s="56">
        <v>45500</v>
      </c>
      <c r="V84" s="56">
        <f t="shared" si="16"/>
        <v>41363.63636363636</v>
      </c>
      <c r="W84" s="65">
        <f>IF(H84=재고내역!$F$9,출고요청서_raw!G84*1,IF(H84=재고내역!$F$10,출고요청서_raw!G84*2,IF(출고요청서_raw!H84=재고내역!$F$11,출고요청서_raw!G84*4,IF(출고요청서_raw!H84=재고내역!$F$12,출고요청서_raw!G84*6,IF(출고요청서_raw!H84=재고내역!$F$13,출고요청서_raw!G84*8)))))</f>
        <v>4</v>
      </c>
      <c r="X84" s="53"/>
      <c r="Y84" s="53"/>
      <c r="Z84" s="56">
        <f>W84*재고내역!$M$6</f>
        <v>30748</v>
      </c>
      <c r="AA84" s="56">
        <f t="shared" si="12"/>
        <v>4550</v>
      </c>
      <c r="AB84" s="56">
        <f t="shared" si="14"/>
        <v>6065.6363636363603</v>
      </c>
      <c r="AC84" s="376">
        <f t="shared" si="15"/>
        <v>0.14664175824175818</v>
      </c>
    </row>
    <row r="85" spans="1:29" ht="15.75" customHeight="1">
      <c r="A85" s="423" t="s">
        <v>542</v>
      </c>
      <c r="B85" s="423" t="s">
        <v>543</v>
      </c>
      <c r="E85" s="423" t="s">
        <v>544</v>
      </c>
      <c r="F85" s="423" t="s">
        <v>545</v>
      </c>
      <c r="G85" s="60">
        <v>1</v>
      </c>
      <c r="H85" s="54" t="s">
        <v>73</v>
      </c>
      <c r="L85" s="97" t="s">
        <v>163</v>
      </c>
      <c r="N85" s="97" t="s">
        <v>546</v>
      </c>
      <c r="P85" s="57" t="s">
        <v>41</v>
      </c>
      <c r="Q85" s="61">
        <v>46058</v>
      </c>
      <c r="R85" s="55" t="s">
        <v>41</v>
      </c>
      <c r="S85" s="56">
        <v>45500</v>
      </c>
      <c r="T85" s="56" t="str">
        <f t="shared" si="13"/>
        <v>0</v>
      </c>
      <c r="U85" s="56">
        <v>45500</v>
      </c>
      <c r="V85" s="56">
        <f t="shared" si="16"/>
        <v>41363.63636363636</v>
      </c>
      <c r="W85" s="65">
        <f>IF(H85=재고내역!$F$9,출고요청서_raw!G85*1,IF(H85=재고내역!$F$10,출고요청서_raw!G85*2,IF(출고요청서_raw!H85=재고내역!$F$11,출고요청서_raw!G85*4,IF(출고요청서_raw!H85=재고내역!$F$12,출고요청서_raw!G85*6,IF(출고요청서_raw!H85=재고내역!$F$13,출고요청서_raw!G85*8)))))</f>
        <v>4</v>
      </c>
      <c r="X85" s="53"/>
      <c r="Y85" s="53"/>
      <c r="Z85" s="56">
        <f>W85*재고내역!$M$6</f>
        <v>30748</v>
      </c>
      <c r="AA85" s="56">
        <f t="shared" si="12"/>
        <v>4550</v>
      </c>
      <c r="AB85" s="56">
        <f t="shared" si="14"/>
        <v>6065.6363636363603</v>
      </c>
      <c r="AC85" s="376">
        <f t="shared" si="15"/>
        <v>0.14664175824175818</v>
      </c>
    </row>
    <row r="86" spans="1:29" ht="15.75" customHeight="1">
      <c r="A86" s="423" t="s">
        <v>547</v>
      </c>
      <c r="B86" s="423" t="s">
        <v>548</v>
      </c>
      <c r="E86" s="423" t="s">
        <v>549</v>
      </c>
      <c r="F86" s="423" t="s">
        <v>550</v>
      </c>
      <c r="G86" s="60">
        <v>1</v>
      </c>
      <c r="H86" s="54" t="s">
        <v>73</v>
      </c>
      <c r="L86" s="97" t="s">
        <v>163</v>
      </c>
      <c r="N86" s="97" t="s">
        <v>551</v>
      </c>
      <c r="P86" s="57" t="s">
        <v>41</v>
      </c>
      <c r="Q86" s="61">
        <v>46058</v>
      </c>
      <c r="R86" s="55" t="s">
        <v>41</v>
      </c>
      <c r="S86" s="56">
        <v>45500</v>
      </c>
      <c r="T86" s="56" t="str">
        <f t="shared" si="13"/>
        <v>0</v>
      </c>
      <c r="U86" s="56">
        <v>45500</v>
      </c>
      <c r="V86" s="56">
        <f t="shared" si="16"/>
        <v>41363.63636363636</v>
      </c>
      <c r="W86" s="65">
        <f>IF(H86=재고내역!$F$9,출고요청서_raw!G86*1,IF(H86=재고내역!$F$10,출고요청서_raw!G86*2,IF(출고요청서_raw!H86=재고내역!$F$11,출고요청서_raw!G86*4,IF(출고요청서_raw!H86=재고내역!$F$12,출고요청서_raw!G86*6,IF(출고요청서_raw!H86=재고내역!$F$13,출고요청서_raw!G86*8)))))</f>
        <v>4</v>
      </c>
      <c r="X86" s="53"/>
      <c r="Y86" s="53"/>
      <c r="Z86" s="56">
        <f>W86*재고내역!$M$6</f>
        <v>30748</v>
      </c>
      <c r="AA86" s="56">
        <f t="shared" si="12"/>
        <v>4550</v>
      </c>
      <c r="AB86" s="56">
        <f t="shared" si="14"/>
        <v>6065.6363636363603</v>
      </c>
      <c r="AC86" s="376">
        <f t="shared" si="15"/>
        <v>0.14664175824175818</v>
      </c>
    </row>
    <row r="87" spans="1:29" ht="15.75" customHeight="1">
      <c r="A87" s="423" t="s">
        <v>552</v>
      </c>
      <c r="B87" s="423" t="s">
        <v>553</v>
      </c>
      <c r="E87" s="423" t="s">
        <v>554</v>
      </c>
      <c r="F87" s="423" t="s">
        <v>555</v>
      </c>
      <c r="G87" s="60">
        <v>1</v>
      </c>
      <c r="H87" s="54" t="s">
        <v>73</v>
      </c>
      <c r="L87" s="97" t="s">
        <v>163</v>
      </c>
      <c r="N87" s="97" t="s">
        <v>556</v>
      </c>
      <c r="P87" s="57" t="s">
        <v>41</v>
      </c>
      <c r="Q87" s="61">
        <v>46058</v>
      </c>
      <c r="R87" s="55" t="s">
        <v>41</v>
      </c>
      <c r="S87" s="56">
        <v>45500</v>
      </c>
      <c r="T87" s="56" t="str">
        <f t="shared" si="13"/>
        <v>0</v>
      </c>
      <c r="U87" s="56">
        <v>45500</v>
      </c>
      <c r="V87" s="56">
        <f t="shared" si="16"/>
        <v>41363.63636363636</v>
      </c>
      <c r="W87" s="65">
        <f>IF(H87=재고내역!$F$9,출고요청서_raw!G87*1,IF(H87=재고내역!$F$10,출고요청서_raw!G87*2,IF(출고요청서_raw!H87=재고내역!$F$11,출고요청서_raw!G87*4,IF(출고요청서_raw!H87=재고내역!$F$12,출고요청서_raw!G87*6,IF(출고요청서_raw!H87=재고내역!$F$13,출고요청서_raw!G87*8)))))</f>
        <v>4</v>
      </c>
      <c r="X87" s="53"/>
      <c r="Y87" s="53"/>
      <c r="Z87" s="56">
        <f>W87*재고내역!$M$6</f>
        <v>30748</v>
      </c>
      <c r="AA87" s="56">
        <f t="shared" si="12"/>
        <v>4550</v>
      </c>
      <c r="AB87" s="56">
        <f t="shared" si="14"/>
        <v>6065.6363636363603</v>
      </c>
      <c r="AC87" s="376">
        <f t="shared" si="15"/>
        <v>0.14664175824175818</v>
      </c>
    </row>
    <row r="88" spans="1:29" ht="15.75" customHeight="1">
      <c r="A88" s="423" t="s">
        <v>557</v>
      </c>
      <c r="B88" s="423" t="s">
        <v>558</v>
      </c>
      <c r="E88" s="423" t="s">
        <v>559</v>
      </c>
      <c r="F88" s="423" t="s">
        <v>560</v>
      </c>
      <c r="G88" s="60">
        <v>1</v>
      </c>
      <c r="H88" s="54" t="s">
        <v>73</v>
      </c>
      <c r="L88" s="97" t="s">
        <v>163</v>
      </c>
      <c r="N88" s="97" t="s">
        <v>561</v>
      </c>
      <c r="P88" s="57" t="s">
        <v>41</v>
      </c>
      <c r="Q88" s="61">
        <v>46058</v>
      </c>
      <c r="R88" s="55" t="s">
        <v>41</v>
      </c>
      <c r="S88" s="56">
        <v>45500</v>
      </c>
      <c r="T88" s="56" t="str">
        <f t="shared" si="13"/>
        <v>0</v>
      </c>
      <c r="U88" s="56">
        <v>45500</v>
      </c>
      <c r="V88" s="56">
        <f t="shared" si="16"/>
        <v>41363.63636363636</v>
      </c>
      <c r="W88" s="65">
        <f>IF(H88=재고내역!$F$9,출고요청서_raw!G88*1,IF(H88=재고내역!$F$10,출고요청서_raw!G88*2,IF(출고요청서_raw!H88=재고내역!$F$11,출고요청서_raw!G88*4,IF(출고요청서_raw!H88=재고내역!$F$12,출고요청서_raw!G88*6,IF(출고요청서_raw!H88=재고내역!$F$13,출고요청서_raw!G88*8)))))</f>
        <v>4</v>
      </c>
      <c r="X88" s="53"/>
      <c r="Y88" s="53"/>
      <c r="Z88" s="56">
        <f>W88*재고내역!$M$6</f>
        <v>30748</v>
      </c>
      <c r="AA88" s="56">
        <f t="shared" si="12"/>
        <v>4550</v>
      </c>
      <c r="AB88" s="56">
        <f t="shared" si="14"/>
        <v>6065.6363636363603</v>
      </c>
      <c r="AC88" s="376">
        <f t="shared" si="15"/>
        <v>0.14664175824175818</v>
      </c>
    </row>
    <row r="89" spans="1:29" ht="15.75" customHeight="1">
      <c r="A89" s="423" t="s">
        <v>562</v>
      </c>
      <c r="B89" s="423" t="s">
        <v>563</v>
      </c>
      <c r="E89" s="423" t="s">
        <v>564</v>
      </c>
      <c r="F89" s="423" t="s">
        <v>565</v>
      </c>
      <c r="G89" s="370">
        <v>2</v>
      </c>
      <c r="H89" s="54" t="s">
        <v>73</v>
      </c>
      <c r="L89" s="97" t="s">
        <v>163</v>
      </c>
      <c r="N89" s="97" t="s">
        <v>566</v>
      </c>
      <c r="P89" s="57" t="s">
        <v>41</v>
      </c>
      <c r="Q89" s="61">
        <v>46058</v>
      </c>
      <c r="R89" s="55" t="s">
        <v>41</v>
      </c>
      <c r="S89" s="56">
        <v>45500</v>
      </c>
      <c r="T89" s="56" t="str">
        <f t="shared" si="13"/>
        <v>0</v>
      </c>
      <c r="U89" s="56">
        <v>91000</v>
      </c>
      <c r="V89" s="56">
        <f t="shared" si="16"/>
        <v>82727.272727272721</v>
      </c>
      <c r="W89" s="65">
        <f>IF(H89=재고내역!$F$9,출고요청서_raw!G89*1,IF(H89=재고내역!$F$10,출고요청서_raw!G89*2,IF(출고요청서_raw!H89=재고내역!$F$11,출고요청서_raw!G89*4,IF(출고요청서_raw!H89=재고내역!$F$12,출고요청서_raw!G89*6,IF(출고요청서_raw!H89=재고내역!$F$13,출고요청서_raw!G89*8)))))</f>
        <v>8</v>
      </c>
      <c r="X89" s="53"/>
      <c r="Y89" s="53"/>
      <c r="Z89" s="56">
        <f>W89*재고내역!$M$6</f>
        <v>61496</v>
      </c>
      <c r="AA89" s="56">
        <f t="shared" si="12"/>
        <v>4550</v>
      </c>
      <c r="AB89" s="56">
        <f t="shared" si="14"/>
        <v>16681.272727272721</v>
      </c>
      <c r="AC89" s="376">
        <f t="shared" si="15"/>
        <v>0.20164175824175817</v>
      </c>
    </row>
    <row r="90" spans="1:29" ht="15.75" customHeight="1">
      <c r="A90" s="423" t="s">
        <v>567</v>
      </c>
      <c r="B90" s="423" t="s">
        <v>568</v>
      </c>
      <c r="E90" s="423" t="s">
        <v>569</v>
      </c>
      <c r="F90" s="423" t="s">
        <v>570</v>
      </c>
      <c r="G90" s="60">
        <v>1</v>
      </c>
      <c r="H90" s="54" t="s">
        <v>73</v>
      </c>
      <c r="L90" s="97" t="s">
        <v>163</v>
      </c>
      <c r="N90" s="97" t="s">
        <v>571</v>
      </c>
      <c r="P90" s="57" t="s">
        <v>41</v>
      </c>
      <c r="Q90" s="61">
        <v>46058</v>
      </c>
      <c r="R90" s="55" t="s">
        <v>41</v>
      </c>
      <c r="S90" s="56">
        <v>45500</v>
      </c>
      <c r="T90" s="56" t="str">
        <f t="shared" si="13"/>
        <v>0</v>
      </c>
      <c r="U90" s="56">
        <v>45500</v>
      </c>
      <c r="V90" s="56">
        <f t="shared" si="16"/>
        <v>41363.63636363636</v>
      </c>
      <c r="W90" s="65">
        <f>IF(H90=재고내역!$F$9,출고요청서_raw!G90*1,IF(H90=재고내역!$F$10,출고요청서_raw!G90*2,IF(출고요청서_raw!H90=재고내역!$F$11,출고요청서_raw!G90*4,IF(출고요청서_raw!H90=재고내역!$F$12,출고요청서_raw!G90*6,IF(출고요청서_raw!H90=재고내역!$F$13,출고요청서_raw!G90*8)))))</f>
        <v>4</v>
      </c>
      <c r="X90" s="53"/>
      <c r="Y90" s="53"/>
      <c r="Z90" s="56">
        <f>W90*재고내역!$M$6</f>
        <v>30748</v>
      </c>
      <c r="AA90" s="56">
        <f t="shared" si="12"/>
        <v>4550</v>
      </c>
      <c r="AB90" s="56">
        <f t="shared" si="14"/>
        <v>6065.6363636363603</v>
      </c>
      <c r="AC90" s="376">
        <f t="shared" si="15"/>
        <v>0.14664175824175818</v>
      </c>
    </row>
    <row r="91" spans="1:29" ht="15.75" customHeight="1">
      <c r="A91" s="423" t="s">
        <v>572</v>
      </c>
      <c r="B91" s="423" t="s">
        <v>573</v>
      </c>
      <c r="E91" s="423" t="s">
        <v>574</v>
      </c>
      <c r="F91" s="423" t="s">
        <v>575</v>
      </c>
      <c r="G91" s="60">
        <v>1</v>
      </c>
      <c r="H91" s="54" t="s">
        <v>73</v>
      </c>
      <c r="L91" s="97" t="s">
        <v>163</v>
      </c>
      <c r="N91" s="97" t="s">
        <v>576</v>
      </c>
      <c r="P91" s="57" t="s">
        <v>41</v>
      </c>
      <c r="Q91" s="61">
        <v>46058</v>
      </c>
      <c r="R91" s="55" t="s">
        <v>41</v>
      </c>
      <c r="S91" s="56">
        <v>45500</v>
      </c>
      <c r="T91" s="56" t="str">
        <f t="shared" si="13"/>
        <v>0</v>
      </c>
      <c r="U91" s="56">
        <v>45500</v>
      </c>
      <c r="V91" s="56">
        <f t="shared" si="16"/>
        <v>41363.63636363636</v>
      </c>
      <c r="W91" s="65">
        <f>IF(H91=재고내역!$F$9,출고요청서_raw!G91*1,IF(H91=재고내역!$F$10,출고요청서_raw!G91*2,IF(출고요청서_raw!H91=재고내역!$F$11,출고요청서_raw!G91*4,IF(출고요청서_raw!H91=재고내역!$F$12,출고요청서_raw!G91*6,IF(출고요청서_raw!H91=재고내역!$F$13,출고요청서_raw!G91*8)))))</f>
        <v>4</v>
      </c>
      <c r="X91" s="53"/>
      <c r="Y91" s="53"/>
      <c r="Z91" s="56">
        <f>W91*재고내역!$M$6</f>
        <v>30748</v>
      </c>
      <c r="AA91" s="56">
        <f t="shared" si="12"/>
        <v>4550</v>
      </c>
      <c r="AB91" s="56">
        <f t="shared" si="14"/>
        <v>6065.6363636363603</v>
      </c>
      <c r="AC91" s="376">
        <f t="shared" si="15"/>
        <v>0.14664175824175818</v>
      </c>
    </row>
    <row r="92" spans="1:29" ht="15.75" customHeight="1">
      <c r="A92" s="423" t="s">
        <v>577</v>
      </c>
      <c r="B92" s="423" t="s">
        <v>578</v>
      </c>
      <c r="E92" s="423" t="s">
        <v>579</v>
      </c>
      <c r="F92" s="423" t="s">
        <v>580</v>
      </c>
      <c r="G92" s="60">
        <v>1</v>
      </c>
      <c r="H92" s="54" t="s">
        <v>73</v>
      </c>
      <c r="L92" s="97" t="s">
        <v>163</v>
      </c>
      <c r="N92" s="97" t="s">
        <v>581</v>
      </c>
      <c r="P92" s="57" t="s">
        <v>41</v>
      </c>
      <c r="Q92" s="61">
        <v>46058</v>
      </c>
      <c r="R92" s="55" t="s">
        <v>41</v>
      </c>
      <c r="S92" s="56">
        <v>45500</v>
      </c>
      <c r="T92" s="56" t="str">
        <f t="shared" si="13"/>
        <v>0</v>
      </c>
      <c r="U92" s="56">
        <v>45500</v>
      </c>
      <c r="V92" s="56">
        <f t="shared" si="16"/>
        <v>41363.63636363636</v>
      </c>
      <c r="W92" s="65">
        <f>IF(H92=재고내역!$F$9,출고요청서_raw!G92*1,IF(H92=재고내역!$F$10,출고요청서_raw!G92*2,IF(출고요청서_raw!H92=재고내역!$F$11,출고요청서_raw!G92*4,IF(출고요청서_raw!H92=재고내역!$F$12,출고요청서_raw!G92*6,IF(출고요청서_raw!H92=재고내역!$F$13,출고요청서_raw!G92*8)))))</f>
        <v>4</v>
      </c>
      <c r="X92" s="53"/>
      <c r="Y92" s="53"/>
      <c r="Z92" s="56">
        <f>W92*재고내역!$M$6</f>
        <v>30748</v>
      </c>
      <c r="AA92" s="56">
        <f t="shared" si="12"/>
        <v>4550</v>
      </c>
      <c r="AB92" s="56">
        <f t="shared" si="14"/>
        <v>6065.6363636363603</v>
      </c>
      <c r="AC92" s="376">
        <f t="shared" si="15"/>
        <v>0.14664175824175818</v>
      </c>
    </row>
    <row r="93" spans="1:29" ht="15.75" customHeight="1">
      <c r="A93" s="423" t="s">
        <v>582</v>
      </c>
      <c r="B93" s="423" t="s">
        <v>583</v>
      </c>
      <c r="E93" s="423" t="s">
        <v>584</v>
      </c>
      <c r="F93" s="423" t="s">
        <v>585</v>
      </c>
      <c r="G93" s="60">
        <v>1</v>
      </c>
      <c r="H93" s="54" t="s">
        <v>73</v>
      </c>
      <c r="L93" s="97" t="s">
        <v>163</v>
      </c>
      <c r="N93" s="97" t="s">
        <v>586</v>
      </c>
      <c r="P93" s="57" t="s">
        <v>41</v>
      </c>
      <c r="Q93" s="61">
        <v>46058</v>
      </c>
      <c r="R93" s="55" t="s">
        <v>41</v>
      </c>
      <c r="S93" s="56">
        <v>45500</v>
      </c>
      <c r="T93" s="56" t="str">
        <f t="shared" si="13"/>
        <v>0</v>
      </c>
      <c r="U93" s="56">
        <v>45500</v>
      </c>
      <c r="V93" s="56">
        <f t="shared" si="16"/>
        <v>41363.63636363636</v>
      </c>
      <c r="W93" s="65">
        <f>IF(H93=재고내역!$F$9,출고요청서_raw!G93*1,IF(H93=재고내역!$F$10,출고요청서_raw!G93*2,IF(출고요청서_raw!H93=재고내역!$F$11,출고요청서_raw!G93*4,IF(출고요청서_raw!H93=재고내역!$F$12,출고요청서_raw!G93*6,IF(출고요청서_raw!H93=재고내역!$F$13,출고요청서_raw!G93*8)))))</f>
        <v>4</v>
      </c>
      <c r="X93" s="53"/>
      <c r="Y93" s="53"/>
      <c r="Z93" s="56">
        <f>W93*재고내역!$M$6</f>
        <v>30748</v>
      </c>
      <c r="AA93" s="56">
        <f t="shared" si="12"/>
        <v>4550</v>
      </c>
      <c r="AB93" s="56">
        <f t="shared" si="14"/>
        <v>6065.6363636363603</v>
      </c>
      <c r="AC93" s="376">
        <f t="shared" si="15"/>
        <v>0.14664175824175818</v>
      </c>
    </row>
    <row r="94" spans="1:29" ht="15.75" customHeight="1">
      <c r="A94" s="423" t="s">
        <v>587</v>
      </c>
      <c r="B94" s="423" t="s">
        <v>588</v>
      </c>
      <c r="E94" s="423" t="s">
        <v>589</v>
      </c>
      <c r="F94" s="423" t="s">
        <v>590</v>
      </c>
      <c r="G94" s="60">
        <v>1</v>
      </c>
      <c r="H94" s="54" t="s">
        <v>73</v>
      </c>
      <c r="L94" s="97" t="s">
        <v>591</v>
      </c>
      <c r="N94" s="97" t="s">
        <v>592</v>
      </c>
      <c r="P94" s="57" t="s">
        <v>41</v>
      </c>
      <c r="Q94" s="61">
        <v>46058</v>
      </c>
      <c r="R94" s="55" t="s">
        <v>41</v>
      </c>
      <c r="S94" s="56">
        <v>45500</v>
      </c>
      <c r="T94" s="56" t="str">
        <f t="shared" si="13"/>
        <v>0</v>
      </c>
      <c r="U94" s="56">
        <v>45500</v>
      </c>
      <c r="V94" s="56">
        <f t="shared" si="16"/>
        <v>41363.63636363636</v>
      </c>
      <c r="W94" s="65">
        <f>IF(H94=재고내역!$F$9,출고요청서_raw!G94*1,IF(H94=재고내역!$F$10,출고요청서_raw!G94*2,IF(출고요청서_raw!H94=재고내역!$F$11,출고요청서_raw!G94*4,IF(출고요청서_raw!H94=재고내역!$F$12,출고요청서_raw!G94*6,IF(출고요청서_raw!H94=재고내역!$F$13,출고요청서_raw!G94*8)))))</f>
        <v>4</v>
      </c>
      <c r="X94" s="53"/>
      <c r="Y94" s="53"/>
      <c r="Z94" s="56">
        <f>W94*재고내역!$M$6</f>
        <v>30748</v>
      </c>
      <c r="AA94" s="56">
        <f t="shared" si="12"/>
        <v>4550</v>
      </c>
      <c r="AB94" s="56">
        <f t="shared" si="14"/>
        <v>6065.6363636363603</v>
      </c>
      <c r="AC94" s="376">
        <f t="shared" si="15"/>
        <v>0.14664175824175818</v>
      </c>
    </row>
    <row r="95" spans="1:29" ht="15.75" customHeight="1">
      <c r="A95" s="423" t="s">
        <v>593</v>
      </c>
      <c r="B95" s="423" t="s">
        <v>594</v>
      </c>
      <c r="E95" s="423" t="s">
        <v>595</v>
      </c>
      <c r="F95" s="423" t="s">
        <v>596</v>
      </c>
      <c r="G95" s="60">
        <v>1</v>
      </c>
      <c r="H95" s="54" t="s">
        <v>73</v>
      </c>
      <c r="L95" s="97" t="s">
        <v>597</v>
      </c>
      <c r="N95" s="97" t="s">
        <v>598</v>
      </c>
      <c r="P95" s="57" t="s">
        <v>41</v>
      </c>
      <c r="Q95" s="61">
        <v>46058</v>
      </c>
      <c r="R95" s="55" t="s">
        <v>41</v>
      </c>
      <c r="S95" s="56">
        <v>45500</v>
      </c>
      <c r="T95" s="56" t="str">
        <f t="shared" si="13"/>
        <v>0</v>
      </c>
      <c r="U95" s="56">
        <v>45500</v>
      </c>
      <c r="V95" s="56">
        <f t="shared" si="16"/>
        <v>41363.63636363636</v>
      </c>
      <c r="W95" s="65">
        <f>IF(H95=재고내역!$F$9,출고요청서_raw!G95*1,IF(H95=재고내역!$F$10,출고요청서_raw!G95*2,IF(출고요청서_raw!H95=재고내역!$F$11,출고요청서_raw!G95*4,IF(출고요청서_raw!H95=재고내역!$F$12,출고요청서_raw!G95*6,IF(출고요청서_raw!H95=재고내역!$F$13,출고요청서_raw!G95*8)))))</f>
        <v>4</v>
      </c>
      <c r="X95" s="53"/>
      <c r="Y95" s="53"/>
      <c r="Z95" s="56">
        <f>W95*재고내역!$M$6</f>
        <v>30748</v>
      </c>
      <c r="AA95" s="56">
        <f t="shared" si="12"/>
        <v>4550</v>
      </c>
      <c r="AB95" s="56">
        <f t="shared" si="14"/>
        <v>6065.6363636363603</v>
      </c>
      <c r="AC95" s="376">
        <f t="shared" si="15"/>
        <v>0.14664175824175818</v>
      </c>
    </row>
    <row r="96" spans="1:29" ht="15.75" customHeight="1">
      <c r="A96" s="423" t="s">
        <v>599</v>
      </c>
      <c r="B96" s="423" t="s">
        <v>600</v>
      </c>
      <c r="E96" s="423" t="s">
        <v>601</v>
      </c>
      <c r="F96" s="423" t="s">
        <v>602</v>
      </c>
      <c r="G96" s="60">
        <v>1</v>
      </c>
      <c r="H96" s="54" t="s">
        <v>73</v>
      </c>
      <c r="L96" s="97" t="s">
        <v>163</v>
      </c>
      <c r="N96" s="97" t="s">
        <v>603</v>
      </c>
      <c r="P96" s="57" t="s">
        <v>41</v>
      </c>
      <c r="Q96" s="61">
        <v>46058</v>
      </c>
      <c r="R96" s="55" t="s">
        <v>41</v>
      </c>
      <c r="S96" s="56">
        <v>45500</v>
      </c>
      <c r="T96" s="56" t="str">
        <f t="shared" si="13"/>
        <v>0</v>
      </c>
      <c r="U96" s="56">
        <v>45500</v>
      </c>
      <c r="V96" s="56">
        <f t="shared" si="16"/>
        <v>41363.63636363636</v>
      </c>
      <c r="W96" s="65">
        <f>IF(H96=재고내역!$F$9,출고요청서_raw!G96*1,IF(H96=재고내역!$F$10,출고요청서_raw!G96*2,IF(출고요청서_raw!H96=재고내역!$F$11,출고요청서_raw!G96*4,IF(출고요청서_raw!H96=재고내역!$F$12,출고요청서_raw!G96*6,IF(출고요청서_raw!H96=재고내역!$F$13,출고요청서_raw!G96*8)))))</f>
        <v>4</v>
      </c>
      <c r="X96" s="53"/>
      <c r="Y96" s="53"/>
      <c r="Z96" s="56">
        <f>W96*재고내역!$M$6</f>
        <v>30748</v>
      </c>
      <c r="AA96" s="56">
        <f t="shared" si="12"/>
        <v>4550</v>
      </c>
      <c r="AB96" s="56">
        <f t="shared" si="14"/>
        <v>6065.6363636363603</v>
      </c>
      <c r="AC96" s="376">
        <f t="shared" si="15"/>
        <v>0.14664175824175818</v>
      </c>
    </row>
    <row r="97" spans="1:29" ht="15.75" customHeight="1">
      <c r="A97" s="423" t="s">
        <v>604</v>
      </c>
      <c r="B97" s="423" t="s">
        <v>605</v>
      </c>
      <c r="E97" s="423" t="s">
        <v>606</v>
      </c>
      <c r="F97" s="423" t="s">
        <v>607</v>
      </c>
      <c r="G97" s="60">
        <v>1</v>
      </c>
      <c r="H97" s="54" t="s">
        <v>73</v>
      </c>
      <c r="L97" s="97" t="s">
        <v>608</v>
      </c>
      <c r="N97" s="97" t="s">
        <v>609</v>
      </c>
      <c r="P97" s="57" t="s">
        <v>41</v>
      </c>
      <c r="Q97" s="61">
        <v>46058</v>
      </c>
      <c r="R97" s="55" t="s">
        <v>41</v>
      </c>
      <c r="S97" s="56">
        <v>45500</v>
      </c>
      <c r="T97" s="56" t="str">
        <f t="shared" si="13"/>
        <v>0</v>
      </c>
      <c r="U97" s="56">
        <v>45500</v>
      </c>
      <c r="V97" s="56">
        <f t="shared" si="16"/>
        <v>41363.63636363636</v>
      </c>
      <c r="W97" s="65">
        <f>IF(H97=재고내역!$F$9,출고요청서_raw!G97*1,IF(H97=재고내역!$F$10,출고요청서_raw!G97*2,IF(출고요청서_raw!H97=재고내역!$F$11,출고요청서_raw!G97*4,IF(출고요청서_raw!H97=재고내역!$F$12,출고요청서_raw!G97*6,IF(출고요청서_raw!H97=재고내역!$F$13,출고요청서_raw!G97*8)))))</f>
        <v>4</v>
      </c>
      <c r="X97" s="53"/>
      <c r="Y97" s="53"/>
      <c r="Z97" s="56">
        <f>W97*재고내역!$M$6</f>
        <v>30748</v>
      </c>
      <c r="AA97" s="56">
        <f t="shared" si="12"/>
        <v>4550</v>
      </c>
      <c r="AB97" s="56">
        <f t="shared" si="14"/>
        <v>6065.6363636363603</v>
      </c>
      <c r="AC97" s="376">
        <f t="shared" si="15"/>
        <v>0.14664175824175818</v>
      </c>
    </row>
    <row r="98" spans="1:29" ht="15.75" customHeight="1">
      <c r="A98" s="423" t="s">
        <v>610</v>
      </c>
      <c r="B98" s="423" t="s">
        <v>611</v>
      </c>
      <c r="E98" s="423" t="s">
        <v>612</v>
      </c>
      <c r="F98" s="423" t="s">
        <v>613</v>
      </c>
      <c r="G98" s="60">
        <v>1</v>
      </c>
      <c r="H98" s="54" t="s">
        <v>73</v>
      </c>
      <c r="L98" s="97" t="s">
        <v>614</v>
      </c>
      <c r="N98" s="97" t="s">
        <v>615</v>
      </c>
      <c r="P98" s="57" t="s">
        <v>41</v>
      </c>
      <c r="Q98" s="61">
        <v>46058</v>
      </c>
      <c r="R98" s="55" t="s">
        <v>41</v>
      </c>
      <c r="S98" s="56">
        <v>45500</v>
      </c>
      <c r="T98" s="56" t="str">
        <f t="shared" si="13"/>
        <v>0</v>
      </c>
      <c r="U98" s="56">
        <v>45500</v>
      </c>
      <c r="V98" s="56">
        <f t="shared" si="16"/>
        <v>41363.63636363636</v>
      </c>
      <c r="W98" s="65">
        <f>IF(H98=재고내역!$F$9,출고요청서_raw!G98*1,IF(H98=재고내역!$F$10,출고요청서_raw!G98*2,IF(출고요청서_raw!H98=재고내역!$F$11,출고요청서_raw!G98*4,IF(출고요청서_raw!H98=재고내역!$F$12,출고요청서_raw!G98*6,IF(출고요청서_raw!H98=재고내역!$F$13,출고요청서_raw!G98*8)))))</f>
        <v>4</v>
      </c>
      <c r="X98" s="53"/>
      <c r="Y98" s="53"/>
      <c r="Z98" s="56">
        <f>W98*재고내역!$M$6</f>
        <v>30748</v>
      </c>
      <c r="AA98" s="56">
        <f t="shared" si="12"/>
        <v>4550</v>
      </c>
      <c r="AB98" s="56">
        <f t="shared" si="14"/>
        <v>6065.6363636363603</v>
      </c>
      <c r="AC98" s="376">
        <f t="shared" si="15"/>
        <v>0.14664175824175818</v>
      </c>
    </row>
    <row r="99" spans="1:29" ht="15.75" customHeight="1">
      <c r="A99" s="423" t="s">
        <v>616</v>
      </c>
      <c r="B99" s="423" t="s">
        <v>617</v>
      </c>
      <c r="E99" s="423" t="s">
        <v>618</v>
      </c>
      <c r="F99" s="423" t="s">
        <v>619</v>
      </c>
      <c r="G99" s="60">
        <v>1</v>
      </c>
      <c r="H99" s="54" t="s">
        <v>73</v>
      </c>
      <c r="L99" s="97" t="s">
        <v>620</v>
      </c>
      <c r="N99" s="97" t="s">
        <v>621</v>
      </c>
      <c r="P99" s="57" t="s">
        <v>41</v>
      </c>
      <c r="Q99" s="61">
        <v>46058</v>
      </c>
      <c r="R99" s="55" t="s">
        <v>41</v>
      </c>
      <c r="S99" s="56">
        <v>45500</v>
      </c>
      <c r="T99" s="56" t="str">
        <f t="shared" si="13"/>
        <v>0</v>
      </c>
      <c r="U99" s="56">
        <v>45500</v>
      </c>
      <c r="V99" s="56">
        <f t="shared" si="16"/>
        <v>41363.63636363636</v>
      </c>
      <c r="W99" s="65">
        <f>IF(H99=재고내역!$F$9,출고요청서_raw!G99*1,IF(H99=재고내역!$F$10,출고요청서_raw!G99*2,IF(출고요청서_raw!H99=재고내역!$F$11,출고요청서_raw!G99*4,IF(출고요청서_raw!H99=재고내역!$F$12,출고요청서_raw!G99*6,IF(출고요청서_raw!H99=재고내역!$F$13,출고요청서_raw!G99*8)))))</f>
        <v>4</v>
      </c>
      <c r="X99" s="53"/>
      <c r="Y99" s="53"/>
      <c r="Z99" s="56">
        <f>W99*재고내역!$M$6</f>
        <v>30748</v>
      </c>
      <c r="AA99" s="56">
        <f t="shared" si="12"/>
        <v>4550</v>
      </c>
      <c r="AB99" s="56">
        <f t="shared" si="14"/>
        <v>6065.6363636363603</v>
      </c>
      <c r="AC99" s="376">
        <f t="shared" si="15"/>
        <v>0.14664175824175818</v>
      </c>
    </row>
    <row r="100" spans="1:29" ht="15.75" customHeight="1">
      <c r="A100" s="423" t="s">
        <v>622</v>
      </c>
      <c r="B100" s="423" t="s">
        <v>623</v>
      </c>
      <c r="E100" s="423" t="s">
        <v>624</v>
      </c>
      <c r="F100" s="423" t="s">
        <v>625</v>
      </c>
      <c r="G100" s="60">
        <v>1</v>
      </c>
      <c r="H100" s="54" t="s">
        <v>73</v>
      </c>
      <c r="L100" s="97" t="s">
        <v>163</v>
      </c>
      <c r="N100" s="97" t="s">
        <v>626</v>
      </c>
      <c r="P100" s="57" t="s">
        <v>41</v>
      </c>
      <c r="Q100" s="61">
        <v>46058</v>
      </c>
      <c r="R100" s="55" t="s">
        <v>41</v>
      </c>
      <c r="S100" s="56">
        <v>45500</v>
      </c>
      <c r="T100" s="56" t="str">
        <f t="shared" si="13"/>
        <v>0</v>
      </c>
      <c r="U100" s="56">
        <v>45500</v>
      </c>
      <c r="V100" s="56">
        <f t="shared" si="16"/>
        <v>41363.63636363636</v>
      </c>
      <c r="W100" s="65">
        <f>IF(H100=재고내역!$F$9,출고요청서_raw!G100*1,IF(H100=재고내역!$F$10,출고요청서_raw!G100*2,IF(출고요청서_raw!H100=재고내역!$F$11,출고요청서_raw!G100*4,IF(출고요청서_raw!H100=재고내역!$F$12,출고요청서_raw!G100*6,IF(출고요청서_raw!H100=재고내역!$F$13,출고요청서_raw!G100*8)))))</f>
        <v>4</v>
      </c>
      <c r="X100" s="53"/>
      <c r="Y100" s="53"/>
      <c r="Z100" s="56">
        <f>W100*재고내역!$M$6</f>
        <v>30748</v>
      </c>
      <c r="AA100" s="56">
        <f t="shared" si="12"/>
        <v>4550</v>
      </c>
      <c r="AB100" s="56">
        <f t="shared" si="14"/>
        <v>6065.6363636363603</v>
      </c>
      <c r="AC100" s="376">
        <f t="shared" si="15"/>
        <v>0.14664175824175818</v>
      </c>
    </row>
    <row r="101" spans="1:29" ht="15.75" customHeight="1">
      <c r="A101" s="423" t="s">
        <v>627</v>
      </c>
      <c r="B101" s="423" t="s">
        <v>628</v>
      </c>
      <c r="E101" s="423" t="s">
        <v>629</v>
      </c>
      <c r="F101" s="423" t="s">
        <v>630</v>
      </c>
      <c r="G101" s="60">
        <v>1</v>
      </c>
      <c r="H101" s="54" t="s">
        <v>73</v>
      </c>
      <c r="L101" s="97" t="s">
        <v>163</v>
      </c>
      <c r="N101" s="97" t="s">
        <v>631</v>
      </c>
      <c r="P101" s="57" t="s">
        <v>41</v>
      </c>
      <c r="Q101" s="61">
        <v>46058</v>
      </c>
      <c r="R101" s="55" t="s">
        <v>41</v>
      </c>
      <c r="S101" s="56">
        <v>45500</v>
      </c>
      <c r="T101" s="56" t="str">
        <f t="shared" si="13"/>
        <v>0</v>
      </c>
      <c r="U101" s="56">
        <v>45500</v>
      </c>
      <c r="V101" s="56">
        <f t="shared" si="16"/>
        <v>41363.63636363636</v>
      </c>
      <c r="W101" s="65">
        <f>IF(H101=재고내역!$F$9,출고요청서_raw!G101*1,IF(H101=재고내역!$F$10,출고요청서_raw!G101*2,IF(출고요청서_raw!H101=재고내역!$F$11,출고요청서_raw!G101*4,IF(출고요청서_raw!H101=재고내역!$F$12,출고요청서_raw!G101*6,IF(출고요청서_raw!H101=재고내역!$F$13,출고요청서_raw!G101*8)))))</f>
        <v>4</v>
      </c>
      <c r="X101" s="53"/>
      <c r="Y101" s="53"/>
      <c r="Z101" s="56">
        <f>W101*재고내역!$M$6</f>
        <v>30748</v>
      </c>
      <c r="AA101" s="56">
        <f t="shared" si="12"/>
        <v>4550</v>
      </c>
      <c r="AB101" s="56">
        <f t="shared" si="14"/>
        <v>6065.6363636363603</v>
      </c>
      <c r="AC101" s="376">
        <f t="shared" si="15"/>
        <v>0.14664175824175818</v>
      </c>
    </row>
    <row r="102" spans="1:29" ht="15.75" customHeight="1">
      <c r="A102" s="423" t="s">
        <v>632</v>
      </c>
      <c r="B102" s="423" t="s">
        <v>633</v>
      </c>
      <c r="E102" s="423" t="s">
        <v>634</v>
      </c>
      <c r="F102" s="423" t="s">
        <v>635</v>
      </c>
      <c r="G102" s="60">
        <v>1</v>
      </c>
      <c r="H102" s="54" t="s">
        <v>73</v>
      </c>
      <c r="L102" s="97" t="s">
        <v>163</v>
      </c>
      <c r="N102" s="97" t="s">
        <v>636</v>
      </c>
      <c r="P102" s="57" t="s">
        <v>41</v>
      </c>
      <c r="Q102" s="61">
        <v>46058</v>
      </c>
      <c r="R102" s="55" t="s">
        <v>41</v>
      </c>
      <c r="S102" s="56">
        <v>45500</v>
      </c>
      <c r="T102" s="56" t="str">
        <f t="shared" si="13"/>
        <v>0</v>
      </c>
      <c r="U102" s="56">
        <v>45500</v>
      </c>
      <c r="V102" s="56">
        <f t="shared" si="16"/>
        <v>41363.63636363636</v>
      </c>
      <c r="W102" s="65">
        <f>IF(H102=재고내역!$F$9,출고요청서_raw!G102*1,IF(H102=재고내역!$F$10,출고요청서_raw!G102*2,IF(출고요청서_raw!H102=재고내역!$F$11,출고요청서_raw!G102*4,IF(출고요청서_raw!H102=재고내역!$F$12,출고요청서_raw!G102*6,IF(출고요청서_raw!H102=재고내역!$F$13,출고요청서_raw!G102*8)))))</f>
        <v>4</v>
      </c>
      <c r="X102" s="53"/>
      <c r="Y102" s="53"/>
      <c r="Z102" s="56">
        <f>W102*재고내역!$M$6</f>
        <v>30748</v>
      </c>
      <c r="AA102" s="56">
        <f t="shared" si="12"/>
        <v>4550</v>
      </c>
      <c r="AB102" s="56">
        <f t="shared" si="14"/>
        <v>6065.6363636363603</v>
      </c>
      <c r="AC102" s="376">
        <f t="shared" si="15"/>
        <v>0.14664175824175818</v>
      </c>
    </row>
    <row r="103" spans="1:29" ht="15.75" customHeight="1">
      <c r="A103" s="423" t="s">
        <v>637</v>
      </c>
      <c r="B103" s="423" t="s">
        <v>638</v>
      </c>
      <c r="E103" s="423" t="s">
        <v>639</v>
      </c>
      <c r="F103" s="423" t="s">
        <v>640</v>
      </c>
      <c r="G103" s="60">
        <v>1</v>
      </c>
      <c r="H103" s="54" t="s">
        <v>73</v>
      </c>
      <c r="L103" s="97" t="s">
        <v>163</v>
      </c>
      <c r="N103" s="97" t="s">
        <v>641</v>
      </c>
      <c r="P103" s="57" t="s">
        <v>41</v>
      </c>
      <c r="Q103" s="61">
        <v>46058</v>
      </c>
      <c r="R103" s="55" t="s">
        <v>41</v>
      </c>
      <c r="S103" s="56">
        <v>45500</v>
      </c>
      <c r="T103" s="56" t="str">
        <f t="shared" si="13"/>
        <v>0</v>
      </c>
      <c r="U103" s="56">
        <v>45500</v>
      </c>
      <c r="V103" s="56">
        <f t="shared" si="16"/>
        <v>41363.63636363636</v>
      </c>
      <c r="W103" s="65">
        <f>IF(H103=재고내역!$F$9,출고요청서_raw!G103*1,IF(H103=재고내역!$F$10,출고요청서_raw!G103*2,IF(출고요청서_raw!H103=재고내역!$F$11,출고요청서_raw!G103*4,IF(출고요청서_raw!H103=재고내역!$F$12,출고요청서_raw!G103*6,IF(출고요청서_raw!H103=재고내역!$F$13,출고요청서_raw!G103*8)))))</f>
        <v>4</v>
      </c>
      <c r="X103" s="53"/>
      <c r="Y103" s="53"/>
      <c r="Z103" s="56">
        <f>W103*재고내역!$M$6</f>
        <v>30748</v>
      </c>
      <c r="AA103" s="56">
        <f t="shared" si="12"/>
        <v>4550</v>
      </c>
      <c r="AB103" s="56">
        <f t="shared" si="14"/>
        <v>6065.6363636363603</v>
      </c>
      <c r="AC103" s="376">
        <f t="shared" si="15"/>
        <v>0.14664175824175818</v>
      </c>
    </row>
    <row r="104" spans="1:29" ht="15.75" customHeight="1">
      <c r="A104" s="423" t="s">
        <v>642</v>
      </c>
      <c r="B104" s="423" t="s">
        <v>643</v>
      </c>
      <c r="E104" s="423" t="s">
        <v>644</v>
      </c>
      <c r="F104" s="423" t="s">
        <v>645</v>
      </c>
      <c r="G104" s="60">
        <v>1</v>
      </c>
      <c r="H104" s="54" t="s">
        <v>73</v>
      </c>
      <c r="L104" s="97" t="s">
        <v>163</v>
      </c>
      <c r="N104" s="97" t="s">
        <v>646</v>
      </c>
      <c r="P104" s="57" t="s">
        <v>41</v>
      </c>
      <c r="Q104" s="61">
        <v>46058</v>
      </c>
      <c r="R104" s="55" t="s">
        <v>41</v>
      </c>
      <c r="S104" s="56">
        <v>45500</v>
      </c>
      <c r="T104" s="56" t="str">
        <f t="shared" si="13"/>
        <v>0</v>
      </c>
      <c r="U104" s="56">
        <v>45500</v>
      </c>
      <c r="V104" s="56">
        <f t="shared" si="16"/>
        <v>41363.63636363636</v>
      </c>
      <c r="W104" s="65">
        <f>IF(H104=재고내역!$F$9,출고요청서_raw!G104*1,IF(H104=재고내역!$F$10,출고요청서_raw!G104*2,IF(출고요청서_raw!H104=재고내역!$F$11,출고요청서_raw!G104*4,IF(출고요청서_raw!H104=재고내역!$F$12,출고요청서_raw!G104*6,IF(출고요청서_raw!H104=재고내역!$F$13,출고요청서_raw!G104*8)))))</f>
        <v>4</v>
      </c>
      <c r="X104" s="53"/>
      <c r="Y104" s="53"/>
      <c r="Z104" s="56">
        <f>W104*재고내역!$M$6</f>
        <v>30748</v>
      </c>
      <c r="AA104" s="56">
        <f t="shared" si="12"/>
        <v>4550</v>
      </c>
      <c r="AB104" s="56">
        <f t="shared" si="14"/>
        <v>6065.6363636363603</v>
      </c>
      <c r="AC104" s="376">
        <f t="shared" si="15"/>
        <v>0.14664175824175818</v>
      </c>
    </row>
    <row r="105" spans="1:29" ht="15.75" customHeight="1">
      <c r="A105" s="423" t="s">
        <v>647</v>
      </c>
      <c r="B105" s="423" t="s">
        <v>648</v>
      </c>
      <c r="E105" s="423" t="s">
        <v>649</v>
      </c>
      <c r="F105" s="423" t="s">
        <v>650</v>
      </c>
      <c r="G105" s="60">
        <v>1</v>
      </c>
      <c r="H105" s="54" t="s">
        <v>73</v>
      </c>
      <c r="L105" s="97" t="s">
        <v>163</v>
      </c>
      <c r="N105" s="97" t="s">
        <v>651</v>
      </c>
      <c r="P105" s="57" t="s">
        <v>41</v>
      </c>
      <c r="Q105" s="61">
        <v>46058</v>
      </c>
      <c r="R105" s="55" t="s">
        <v>41</v>
      </c>
      <c r="S105" s="56">
        <v>45500</v>
      </c>
      <c r="T105" s="56" t="str">
        <f t="shared" si="13"/>
        <v>0</v>
      </c>
      <c r="U105" s="56">
        <v>45500</v>
      </c>
      <c r="V105" s="56">
        <f t="shared" si="16"/>
        <v>41363.63636363636</v>
      </c>
      <c r="W105" s="65">
        <f>IF(H105=재고내역!$F$9,출고요청서_raw!G105*1,IF(H105=재고내역!$F$10,출고요청서_raw!G105*2,IF(출고요청서_raw!H105=재고내역!$F$11,출고요청서_raw!G105*4,IF(출고요청서_raw!H105=재고내역!$F$12,출고요청서_raw!G105*6,IF(출고요청서_raw!H105=재고내역!$F$13,출고요청서_raw!G105*8)))))</f>
        <v>4</v>
      </c>
      <c r="X105" s="53"/>
      <c r="Y105" s="53"/>
      <c r="Z105" s="56">
        <f>W105*재고내역!$M$6</f>
        <v>30748</v>
      </c>
      <c r="AA105" s="56">
        <f t="shared" si="12"/>
        <v>4550</v>
      </c>
      <c r="AB105" s="56">
        <f t="shared" si="14"/>
        <v>6065.6363636363603</v>
      </c>
      <c r="AC105" s="376">
        <f t="shared" si="15"/>
        <v>0.14664175824175818</v>
      </c>
    </row>
    <row r="106" spans="1:29" ht="15.75" customHeight="1">
      <c r="A106" s="423" t="s">
        <v>652</v>
      </c>
      <c r="B106" s="423" t="s">
        <v>653</v>
      </c>
      <c r="E106" s="423" t="s">
        <v>654</v>
      </c>
      <c r="F106" s="423" t="s">
        <v>655</v>
      </c>
      <c r="G106" s="60">
        <v>1</v>
      </c>
      <c r="H106" s="54" t="s">
        <v>73</v>
      </c>
      <c r="L106" s="97" t="s">
        <v>656</v>
      </c>
      <c r="N106" s="97" t="s">
        <v>657</v>
      </c>
      <c r="P106" s="57" t="s">
        <v>41</v>
      </c>
      <c r="Q106" s="61">
        <v>46058</v>
      </c>
      <c r="R106" s="55" t="s">
        <v>41</v>
      </c>
      <c r="S106" s="56">
        <v>45500</v>
      </c>
      <c r="T106" s="56" t="str">
        <f t="shared" si="13"/>
        <v>0</v>
      </c>
      <c r="U106" s="56">
        <v>45500</v>
      </c>
      <c r="V106" s="56">
        <f t="shared" si="16"/>
        <v>41363.63636363636</v>
      </c>
      <c r="W106" s="65">
        <f>IF(H106=재고내역!$F$9,출고요청서_raw!G106*1,IF(H106=재고내역!$F$10,출고요청서_raw!G106*2,IF(출고요청서_raw!H106=재고내역!$F$11,출고요청서_raw!G106*4,IF(출고요청서_raw!H106=재고내역!$F$12,출고요청서_raw!G106*6,IF(출고요청서_raw!H106=재고내역!$F$13,출고요청서_raw!G106*8)))))</f>
        <v>4</v>
      </c>
      <c r="X106" s="53"/>
      <c r="Y106" s="53"/>
      <c r="Z106" s="56">
        <f>W106*재고내역!$M$6</f>
        <v>30748</v>
      </c>
      <c r="AA106" s="56">
        <f t="shared" si="12"/>
        <v>4550</v>
      </c>
      <c r="AB106" s="56">
        <f t="shared" si="14"/>
        <v>6065.6363636363603</v>
      </c>
      <c r="AC106" s="376">
        <f t="shared" si="15"/>
        <v>0.14664175824175818</v>
      </c>
    </row>
    <row r="107" spans="1:29" ht="15.75" customHeight="1">
      <c r="A107" s="423" t="s">
        <v>658</v>
      </c>
      <c r="B107" s="423" t="s">
        <v>659</v>
      </c>
      <c r="E107" s="423" t="s">
        <v>660</v>
      </c>
      <c r="F107" s="423" t="s">
        <v>661</v>
      </c>
      <c r="G107" s="60">
        <v>1</v>
      </c>
      <c r="H107" s="54" t="s">
        <v>73</v>
      </c>
      <c r="L107" s="97" t="s">
        <v>163</v>
      </c>
      <c r="N107" s="97" t="s">
        <v>662</v>
      </c>
      <c r="P107" s="57" t="s">
        <v>41</v>
      </c>
      <c r="Q107" s="61">
        <v>46058</v>
      </c>
      <c r="R107" s="55" t="s">
        <v>41</v>
      </c>
      <c r="S107" s="56">
        <v>45500</v>
      </c>
      <c r="T107" s="56" t="str">
        <f t="shared" si="13"/>
        <v>0</v>
      </c>
      <c r="U107" s="56">
        <v>45500</v>
      </c>
      <c r="V107" s="56">
        <f t="shared" si="16"/>
        <v>41363.63636363636</v>
      </c>
      <c r="W107" s="65">
        <f>IF(H107=재고내역!$F$9,출고요청서_raw!G107*1,IF(H107=재고내역!$F$10,출고요청서_raw!G107*2,IF(출고요청서_raw!H107=재고내역!$F$11,출고요청서_raw!G107*4,IF(출고요청서_raw!H107=재고내역!$F$12,출고요청서_raw!G107*6,IF(출고요청서_raw!H107=재고내역!$F$13,출고요청서_raw!G107*8)))))</f>
        <v>4</v>
      </c>
      <c r="X107" s="53"/>
      <c r="Y107" s="53"/>
      <c r="Z107" s="56">
        <f>W107*재고내역!$M$6</f>
        <v>30748</v>
      </c>
      <c r="AA107" s="56">
        <f t="shared" si="12"/>
        <v>4550</v>
      </c>
      <c r="AB107" s="56">
        <f t="shared" si="14"/>
        <v>6065.6363636363603</v>
      </c>
      <c r="AC107" s="376">
        <f t="shared" si="15"/>
        <v>0.14664175824175818</v>
      </c>
    </row>
    <row r="108" spans="1:29" ht="15.75" customHeight="1">
      <c r="A108" s="423" t="s">
        <v>663</v>
      </c>
      <c r="B108" s="423" t="s">
        <v>664</v>
      </c>
      <c r="E108" s="423" t="s">
        <v>665</v>
      </c>
      <c r="F108" s="423" t="s">
        <v>666</v>
      </c>
      <c r="G108" s="60">
        <v>1</v>
      </c>
      <c r="H108" s="54" t="s">
        <v>73</v>
      </c>
      <c r="L108" s="97" t="s">
        <v>163</v>
      </c>
      <c r="N108" s="97" t="s">
        <v>667</v>
      </c>
      <c r="P108" s="57" t="s">
        <v>41</v>
      </c>
      <c r="Q108" s="61">
        <v>46058</v>
      </c>
      <c r="R108" s="55" t="s">
        <v>41</v>
      </c>
      <c r="S108" s="56">
        <v>45500</v>
      </c>
      <c r="T108" s="56" t="str">
        <f t="shared" si="13"/>
        <v>0</v>
      </c>
      <c r="U108" s="56">
        <v>45500</v>
      </c>
      <c r="V108" s="56">
        <f t="shared" si="16"/>
        <v>41363.63636363636</v>
      </c>
      <c r="W108" s="65">
        <f>IF(H108=재고내역!$F$9,출고요청서_raw!G108*1,IF(H108=재고내역!$F$10,출고요청서_raw!G108*2,IF(출고요청서_raw!H108=재고내역!$F$11,출고요청서_raw!G108*4,IF(출고요청서_raw!H108=재고내역!$F$12,출고요청서_raw!G108*6,IF(출고요청서_raw!H108=재고내역!$F$13,출고요청서_raw!G108*8)))))</f>
        <v>4</v>
      </c>
      <c r="X108" s="53"/>
      <c r="Y108" s="53"/>
      <c r="Z108" s="56">
        <f>W108*재고내역!$M$6</f>
        <v>30748</v>
      </c>
      <c r="AA108" s="56">
        <f t="shared" si="12"/>
        <v>4550</v>
      </c>
      <c r="AB108" s="56">
        <f t="shared" si="14"/>
        <v>6065.6363636363603</v>
      </c>
      <c r="AC108" s="376">
        <f t="shared" si="15"/>
        <v>0.14664175824175818</v>
      </c>
    </row>
    <row r="109" spans="1:29" ht="15.75" customHeight="1">
      <c r="A109" s="423" t="s">
        <v>668</v>
      </c>
      <c r="B109" s="423" t="s">
        <v>669</v>
      </c>
      <c r="E109" s="423" t="s">
        <v>670</v>
      </c>
      <c r="F109" s="423" t="s">
        <v>671</v>
      </c>
      <c r="G109" s="60">
        <v>1</v>
      </c>
      <c r="H109" s="54" t="s">
        <v>73</v>
      </c>
      <c r="L109" s="97" t="s">
        <v>163</v>
      </c>
      <c r="N109" s="97" t="s">
        <v>672</v>
      </c>
      <c r="P109" s="57" t="s">
        <v>41</v>
      </c>
      <c r="Q109" s="61">
        <v>46058</v>
      </c>
      <c r="R109" s="55" t="s">
        <v>41</v>
      </c>
      <c r="S109" s="56">
        <v>45500</v>
      </c>
      <c r="T109" s="56" t="str">
        <f t="shared" si="13"/>
        <v>0</v>
      </c>
      <c r="U109" s="56">
        <v>45500</v>
      </c>
      <c r="V109" s="56">
        <f t="shared" si="16"/>
        <v>41363.63636363636</v>
      </c>
      <c r="W109" s="65">
        <f>IF(H109=재고내역!$F$9,출고요청서_raw!G109*1,IF(H109=재고내역!$F$10,출고요청서_raw!G109*2,IF(출고요청서_raw!H109=재고내역!$F$11,출고요청서_raw!G109*4,IF(출고요청서_raw!H109=재고내역!$F$12,출고요청서_raw!G109*6,IF(출고요청서_raw!H109=재고내역!$F$13,출고요청서_raw!G109*8)))))</f>
        <v>4</v>
      </c>
      <c r="X109" s="53"/>
      <c r="Y109" s="53"/>
      <c r="Z109" s="56">
        <f>W109*재고내역!$M$6</f>
        <v>30748</v>
      </c>
      <c r="AA109" s="56">
        <f t="shared" si="12"/>
        <v>4550</v>
      </c>
      <c r="AB109" s="56">
        <f t="shared" si="14"/>
        <v>6065.6363636363603</v>
      </c>
      <c r="AC109" s="376">
        <f t="shared" si="15"/>
        <v>0.14664175824175818</v>
      </c>
    </row>
    <row r="110" spans="1:29" ht="15.75" customHeight="1">
      <c r="A110" s="423" t="s">
        <v>673</v>
      </c>
      <c r="B110" s="423" t="s">
        <v>674</v>
      </c>
      <c r="E110" s="423" t="s">
        <v>675</v>
      </c>
      <c r="F110" s="423" t="s">
        <v>676</v>
      </c>
      <c r="G110" s="60">
        <v>1</v>
      </c>
      <c r="H110" s="54" t="s">
        <v>73</v>
      </c>
      <c r="L110" s="97" t="s">
        <v>677</v>
      </c>
      <c r="N110" s="97" t="s">
        <v>678</v>
      </c>
      <c r="P110" s="57" t="s">
        <v>41</v>
      </c>
      <c r="Q110" s="61">
        <v>46058</v>
      </c>
      <c r="R110" s="55" t="s">
        <v>41</v>
      </c>
      <c r="S110" s="56">
        <v>45500</v>
      </c>
      <c r="T110" s="56" t="str">
        <f t="shared" si="13"/>
        <v>0</v>
      </c>
      <c r="U110" s="56">
        <v>45500</v>
      </c>
      <c r="V110" s="56">
        <f t="shared" si="16"/>
        <v>41363.63636363636</v>
      </c>
      <c r="W110" s="65">
        <f>IF(H110=재고내역!$F$9,출고요청서_raw!G110*1,IF(H110=재고내역!$F$10,출고요청서_raw!G110*2,IF(출고요청서_raw!H110=재고내역!$F$11,출고요청서_raw!G110*4,IF(출고요청서_raw!H110=재고내역!$F$12,출고요청서_raw!G110*6,IF(출고요청서_raw!H110=재고내역!$F$13,출고요청서_raw!G110*8)))))</f>
        <v>4</v>
      </c>
      <c r="X110" s="53"/>
      <c r="Y110" s="53"/>
      <c r="Z110" s="56">
        <f>W110*재고내역!$M$6</f>
        <v>30748</v>
      </c>
      <c r="AA110" s="56">
        <f t="shared" si="12"/>
        <v>4550</v>
      </c>
      <c r="AB110" s="56">
        <f t="shared" si="14"/>
        <v>6065.6363636363603</v>
      </c>
      <c r="AC110" s="376">
        <f t="shared" si="15"/>
        <v>0.14664175824175818</v>
      </c>
    </row>
    <row r="111" spans="1:29" ht="15.75" customHeight="1">
      <c r="A111" s="423" t="s">
        <v>679</v>
      </c>
      <c r="B111" s="423" t="s">
        <v>680</v>
      </c>
      <c r="E111" s="423" t="s">
        <v>681</v>
      </c>
      <c r="F111" s="423" t="s">
        <v>682</v>
      </c>
      <c r="G111" s="60">
        <v>1</v>
      </c>
      <c r="H111" s="54" t="s">
        <v>73</v>
      </c>
      <c r="L111" s="97" t="s">
        <v>683</v>
      </c>
      <c r="N111" s="97" t="s">
        <v>684</v>
      </c>
      <c r="P111" s="57" t="s">
        <v>41</v>
      </c>
      <c r="Q111" s="61">
        <v>46058</v>
      </c>
      <c r="R111" s="55" t="s">
        <v>41</v>
      </c>
      <c r="S111" s="56">
        <v>45500</v>
      </c>
      <c r="T111" s="56" t="str">
        <f t="shared" si="13"/>
        <v>0</v>
      </c>
      <c r="U111" s="56">
        <v>45500</v>
      </c>
      <c r="V111" s="56">
        <f t="shared" si="16"/>
        <v>41363.63636363636</v>
      </c>
      <c r="W111" s="65">
        <f>IF(H111=재고내역!$F$9,출고요청서_raw!G111*1,IF(H111=재고내역!$F$10,출고요청서_raw!G111*2,IF(출고요청서_raw!H111=재고내역!$F$11,출고요청서_raw!G111*4,IF(출고요청서_raw!H111=재고내역!$F$12,출고요청서_raw!G111*6,IF(출고요청서_raw!H111=재고내역!$F$13,출고요청서_raw!G111*8)))))</f>
        <v>4</v>
      </c>
      <c r="X111" s="53"/>
      <c r="Y111" s="53"/>
      <c r="Z111" s="56">
        <f>W111*재고내역!$M$6</f>
        <v>30748</v>
      </c>
      <c r="AA111" s="56">
        <f t="shared" si="12"/>
        <v>4550</v>
      </c>
      <c r="AB111" s="56">
        <f t="shared" si="14"/>
        <v>6065.6363636363603</v>
      </c>
      <c r="AC111" s="376">
        <f t="shared" si="15"/>
        <v>0.14664175824175818</v>
      </c>
    </row>
    <row r="112" spans="1:29" ht="15.75" customHeight="1">
      <c r="A112" s="423" t="s">
        <v>685</v>
      </c>
      <c r="B112" s="423" t="s">
        <v>686</v>
      </c>
      <c r="E112" s="423" t="s">
        <v>687</v>
      </c>
      <c r="F112" s="423" t="s">
        <v>688</v>
      </c>
      <c r="G112" s="60">
        <v>1</v>
      </c>
      <c r="H112" s="54" t="s">
        <v>73</v>
      </c>
      <c r="L112" s="97" t="s">
        <v>689</v>
      </c>
      <c r="N112" s="97" t="s">
        <v>690</v>
      </c>
      <c r="P112" s="57" t="s">
        <v>41</v>
      </c>
      <c r="Q112" s="61">
        <v>46058</v>
      </c>
      <c r="R112" s="55" t="s">
        <v>41</v>
      </c>
      <c r="S112" s="56">
        <v>45500</v>
      </c>
      <c r="T112" s="56" t="str">
        <f t="shared" si="13"/>
        <v>0</v>
      </c>
      <c r="U112" s="56">
        <v>45500</v>
      </c>
      <c r="V112" s="56">
        <f t="shared" si="16"/>
        <v>41363.63636363636</v>
      </c>
      <c r="W112" s="65">
        <f>IF(H112=재고내역!$F$9,출고요청서_raw!G112*1,IF(H112=재고내역!$F$10,출고요청서_raw!G112*2,IF(출고요청서_raw!H112=재고내역!$F$11,출고요청서_raw!G112*4,IF(출고요청서_raw!H112=재고내역!$F$12,출고요청서_raw!G112*6,IF(출고요청서_raw!H112=재고내역!$F$13,출고요청서_raw!G112*8)))))</f>
        <v>4</v>
      </c>
      <c r="X112" s="53"/>
      <c r="Y112" s="53"/>
      <c r="Z112" s="56">
        <f>W112*재고내역!$M$6</f>
        <v>30748</v>
      </c>
      <c r="AA112" s="56">
        <f t="shared" si="12"/>
        <v>4550</v>
      </c>
      <c r="AB112" s="56">
        <f t="shared" si="14"/>
        <v>6065.6363636363603</v>
      </c>
      <c r="AC112" s="376">
        <f t="shared" si="15"/>
        <v>0.14664175824175818</v>
      </c>
    </row>
    <row r="113" spans="1:29" ht="15.75" customHeight="1">
      <c r="A113" s="423" t="s">
        <v>691</v>
      </c>
      <c r="B113" s="423" t="s">
        <v>692</v>
      </c>
      <c r="E113" s="423" t="s">
        <v>693</v>
      </c>
      <c r="F113" s="423" t="s">
        <v>694</v>
      </c>
      <c r="G113" s="60">
        <v>1</v>
      </c>
      <c r="H113" s="54" t="s">
        <v>73</v>
      </c>
      <c r="L113" s="97" t="s">
        <v>695</v>
      </c>
      <c r="N113" s="97" t="s">
        <v>696</v>
      </c>
      <c r="P113" s="57" t="s">
        <v>41</v>
      </c>
      <c r="Q113" s="61">
        <v>46058</v>
      </c>
      <c r="R113" s="55" t="s">
        <v>41</v>
      </c>
      <c r="S113" s="56">
        <v>45500</v>
      </c>
      <c r="T113" s="56" t="str">
        <f t="shared" si="13"/>
        <v>0</v>
      </c>
      <c r="U113" s="56">
        <v>45500</v>
      </c>
      <c r="V113" s="56">
        <f t="shared" si="16"/>
        <v>41363.63636363636</v>
      </c>
      <c r="W113" s="65">
        <f>IF(H113=재고내역!$F$9,출고요청서_raw!G113*1,IF(H113=재고내역!$F$10,출고요청서_raw!G113*2,IF(출고요청서_raw!H113=재고내역!$F$11,출고요청서_raw!G113*4,IF(출고요청서_raw!H113=재고내역!$F$12,출고요청서_raw!G113*6,IF(출고요청서_raw!H113=재고내역!$F$13,출고요청서_raw!G113*8)))))</f>
        <v>4</v>
      </c>
      <c r="X113" s="53"/>
      <c r="Y113" s="53"/>
      <c r="Z113" s="56">
        <f>W113*재고내역!$M$6</f>
        <v>30748</v>
      </c>
      <c r="AA113" s="56">
        <f t="shared" si="12"/>
        <v>4550</v>
      </c>
      <c r="AB113" s="56">
        <f t="shared" si="14"/>
        <v>6065.6363636363603</v>
      </c>
      <c r="AC113" s="376">
        <f t="shared" si="15"/>
        <v>0.14664175824175818</v>
      </c>
    </row>
    <row r="114" spans="1:29" ht="15.75" customHeight="1">
      <c r="A114" s="423" t="s">
        <v>697</v>
      </c>
      <c r="B114" s="423" t="s">
        <v>698</v>
      </c>
      <c r="E114" s="423" t="s">
        <v>699</v>
      </c>
      <c r="F114" s="423" t="s">
        <v>700</v>
      </c>
      <c r="G114" s="60">
        <v>1</v>
      </c>
      <c r="H114" s="54" t="s">
        <v>73</v>
      </c>
      <c r="L114" s="97" t="s">
        <v>163</v>
      </c>
      <c r="N114" s="97" t="s">
        <v>701</v>
      </c>
      <c r="P114" s="57" t="s">
        <v>41</v>
      </c>
      <c r="Q114" s="61">
        <v>46058</v>
      </c>
      <c r="R114" s="55" t="s">
        <v>41</v>
      </c>
      <c r="S114" s="56">
        <v>45500</v>
      </c>
      <c r="T114" s="56" t="str">
        <f t="shared" si="13"/>
        <v>0</v>
      </c>
      <c r="U114" s="56">
        <v>45500</v>
      </c>
      <c r="V114" s="56">
        <f t="shared" si="16"/>
        <v>41363.63636363636</v>
      </c>
      <c r="W114" s="65">
        <f>IF(H114=재고내역!$F$9,출고요청서_raw!G114*1,IF(H114=재고내역!$F$10,출고요청서_raw!G114*2,IF(출고요청서_raw!H114=재고내역!$F$11,출고요청서_raw!G114*4,IF(출고요청서_raw!H114=재고내역!$F$12,출고요청서_raw!G114*6,IF(출고요청서_raw!H114=재고내역!$F$13,출고요청서_raw!G114*8)))))</f>
        <v>4</v>
      </c>
      <c r="X114" s="53"/>
      <c r="Y114" s="53"/>
      <c r="Z114" s="56">
        <f>W114*재고내역!$M$6</f>
        <v>30748</v>
      </c>
      <c r="AA114" s="56">
        <f t="shared" si="12"/>
        <v>4550</v>
      </c>
      <c r="AB114" s="56">
        <f t="shared" si="14"/>
        <v>6065.6363636363603</v>
      </c>
      <c r="AC114" s="376">
        <f t="shared" si="15"/>
        <v>0.14664175824175818</v>
      </c>
    </row>
    <row r="115" spans="1:29" ht="15.75" customHeight="1">
      <c r="A115" s="423" t="s">
        <v>702</v>
      </c>
      <c r="B115" s="423" t="s">
        <v>703</v>
      </c>
      <c r="E115" s="423" t="s">
        <v>704</v>
      </c>
      <c r="F115" s="423" t="s">
        <v>705</v>
      </c>
      <c r="G115" s="370">
        <v>2</v>
      </c>
      <c r="H115" s="54" t="s">
        <v>73</v>
      </c>
      <c r="L115" s="97" t="s">
        <v>706</v>
      </c>
      <c r="N115" s="97" t="s">
        <v>707</v>
      </c>
      <c r="P115" s="57" t="s">
        <v>41</v>
      </c>
      <c r="Q115" s="61">
        <v>46058</v>
      </c>
      <c r="R115" s="55" t="s">
        <v>41</v>
      </c>
      <c r="S115" s="56">
        <v>45500</v>
      </c>
      <c r="T115" s="56" t="str">
        <f t="shared" si="13"/>
        <v>0</v>
      </c>
      <c r="U115" s="56">
        <v>91000</v>
      </c>
      <c r="V115" s="56">
        <f t="shared" si="16"/>
        <v>82727.272727272721</v>
      </c>
      <c r="W115" s="65">
        <f>IF(H115=재고내역!$F$9,출고요청서_raw!G115*1,IF(H115=재고내역!$F$10,출고요청서_raw!G115*2,IF(출고요청서_raw!H115=재고내역!$F$11,출고요청서_raw!G115*4,IF(출고요청서_raw!H115=재고내역!$F$12,출고요청서_raw!G115*6,IF(출고요청서_raw!H115=재고내역!$F$13,출고요청서_raw!G115*8)))))</f>
        <v>8</v>
      </c>
      <c r="X115" s="53"/>
      <c r="Y115" s="53"/>
      <c r="Z115" s="56">
        <f>W115*재고내역!$M$6</f>
        <v>61496</v>
      </c>
      <c r="AA115" s="56">
        <f t="shared" si="12"/>
        <v>4550</v>
      </c>
      <c r="AB115" s="56">
        <f t="shared" si="14"/>
        <v>16681.272727272721</v>
      </c>
      <c r="AC115" s="376">
        <f t="shared" si="15"/>
        <v>0.20164175824175817</v>
      </c>
    </row>
    <row r="116" spans="1:29" ht="15.75" customHeight="1">
      <c r="A116" s="423" t="s">
        <v>708</v>
      </c>
      <c r="B116" s="423" t="s">
        <v>709</v>
      </c>
      <c r="E116" s="423" t="s">
        <v>710</v>
      </c>
      <c r="F116" s="423" t="s">
        <v>711</v>
      </c>
      <c r="G116" s="60">
        <v>1</v>
      </c>
      <c r="H116" s="54" t="s">
        <v>73</v>
      </c>
      <c r="L116" s="97" t="s">
        <v>163</v>
      </c>
      <c r="N116" s="97" t="s">
        <v>712</v>
      </c>
      <c r="P116" s="57" t="s">
        <v>41</v>
      </c>
      <c r="Q116" s="61">
        <v>46058</v>
      </c>
      <c r="R116" s="55" t="s">
        <v>41</v>
      </c>
      <c r="S116" s="56">
        <v>45500</v>
      </c>
      <c r="T116" s="56" t="str">
        <f t="shared" si="13"/>
        <v>0</v>
      </c>
      <c r="U116" s="56">
        <v>45500</v>
      </c>
      <c r="V116" s="56">
        <f t="shared" si="16"/>
        <v>41363.63636363636</v>
      </c>
      <c r="W116" s="65">
        <f>IF(H116=재고내역!$F$9,출고요청서_raw!G116*1,IF(H116=재고내역!$F$10,출고요청서_raw!G116*2,IF(출고요청서_raw!H116=재고내역!$F$11,출고요청서_raw!G116*4,IF(출고요청서_raw!H116=재고내역!$F$12,출고요청서_raw!G116*6,IF(출고요청서_raw!H116=재고내역!$F$13,출고요청서_raw!G116*8)))))</f>
        <v>4</v>
      </c>
      <c r="X116" s="53"/>
      <c r="Y116" s="53"/>
      <c r="Z116" s="56">
        <f>W116*재고내역!$M$6</f>
        <v>30748</v>
      </c>
      <c r="AA116" s="56">
        <f t="shared" si="12"/>
        <v>4550</v>
      </c>
      <c r="AB116" s="56">
        <f t="shared" si="14"/>
        <v>6065.6363636363603</v>
      </c>
      <c r="AC116" s="376">
        <f t="shared" si="15"/>
        <v>0.14664175824175818</v>
      </c>
    </row>
    <row r="117" spans="1:29" ht="15.75" customHeight="1">
      <c r="A117" s="423" t="s">
        <v>713</v>
      </c>
      <c r="B117" s="423" t="s">
        <v>714</v>
      </c>
      <c r="E117" s="423" t="s">
        <v>715</v>
      </c>
      <c r="F117" s="423" t="s">
        <v>716</v>
      </c>
      <c r="G117" s="60">
        <v>1</v>
      </c>
      <c r="H117" s="54" t="s">
        <v>73</v>
      </c>
      <c r="L117" s="97" t="s">
        <v>163</v>
      </c>
      <c r="N117" s="97" t="s">
        <v>717</v>
      </c>
      <c r="P117" s="57" t="s">
        <v>41</v>
      </c>
      <c r="Q117" s="61">
        <v>46058</v>
      </c>
      <c r="R117" s="55" t="s">
        <v>41</v>
      </c>
      <c r="S117" s="56">
        <v>45500</v>
      </c>
      <c r="T117" s="56" t="str">
        <f t="shared" si="13"/>
        <v>0</v>
      </c>
      <c r="U117" s="56">
        <v>45500</v>
      </c>
      <c r="V117" s="56">
        <f t="shared" si="16"/>
        <v>41363.63636363636</v>
      </c>
      <c r="W117" s="65">
        <f>IF(H117=재고내역!$F$9,출고요청서_raw!G117*1,IF(H117=재고내역!$F$10,출고요청서_raw!G117*2,IF(출고요청서_raw!H117=재고내역!$F$11,출고요청서_raw!G117*4,IF(출고요청서_raw!H117=재고내역!$F$12,출고요청서_raw!G117*6,IF(출고요청서_raw!H117=재고내역!$F$13,출고요청서_raw!G117*8)))))</f>
        <v>4</v>
      </c>
      <c r="X117" s="53"/>
      <c r="Y117" s="53"/>
      <c r="Z117" s="56">
        <f>W117*재고내역!$M$6</f>
        <v>30748</v>
      </c>
      <c r="AA117" s="56">
        <f t="shared" si="12"/>
        <v>4550</v>
      </c>
      <c r="AB117" s="56">
        <f t="shared" si="14"/>
        <v>6065.6363636363603</v>
      </c>
      <c r="AC117" s="376">
        <f t="shared" si="15"/>
        <v>0.14664175824175818</v>
      </c>
    </row>
    <row r="118" spans="1:29" ht="15.75" customHeight="1">
      <c r="A118" s="423" t="s">
        <v>718</v>
      </c>
      <c r="B118" s="423" t="s">
        <v>719</v>
      </c>
      <c r="E118" s="423" t="s">
        <v>720</v>
      </c>
      <c r="F118" s="423" t="s">
        <v>721</v>
      </c>
      <c r="G118" s="370">
        <v>2</v>
      </c>
      <c r="H118" s="54" t="s">
        <v>73</v>
      </c>
      <c r="L118" s="97" t="s">
        <v>163</v>
      </c>
      <c r="N118" s="97" t="s">
        <v>722</v>
      </c>
      <c r="P118" s="57" t="s">
        <v>41</v>
      </c>
      <c r="Q118" s="61">
        <v>46058</v>
      </c>
      <c r="R118" s="55" t="s">
        <v>41</v>
      </c>
      <c r="S118" s="56">
        <v>45500</v>
      </c>
      <c r="T118" s="56" t="str">
        <f t="shared" si="13"/>
        <v>0</v>
      </c>
      <c r="U118" s="56">
        <v>91000</v>
      </c>
      <c r="V118" s="56">
        <f t="shared" si="16"/>
        <v>82727.272727272721</v>
      </c>
      <c r="W118" s="65">
        <f>IF(H118=재고내역!$F$9,출고요청서_raw!G118*1,IF(H118=재고내역!$F$10,출고요청서_raw!G118*2,IF(출고요청서_raw!H118=재고내역!$F$11,출고요청서_raw!G118*4,IF(출고요청서_raw!H118=재고내역!$F$12,출고요청서_raw!G118*6,IF(출고요청서_raw!H118=재고내역!$F$13,출고요청서_raw!G118*8)))))</f>
        <v>8</v>
      </c>
      <c r="X118" s="53"/>
      <c r="Y118" s="53"/>
      <c r="Z118" s="56">
        <f>W118*재고내역!$M$6</f>
        <v>61496</v>
      </c>
      <c r="AA118" s="56">
        <f t="shared" si="12"/>
        <v>4550</v>
      </c>
      <c r="AB118" s="56">
        <f t="shared" si="14"/>
        <v>16681.272727272721</v>
      </c>
      <c r="AC118" s="376">
        <f t="shared" si="15"/>
        <v>0.20164175824175817</v>
      </c>
    </row>
    <row r="119" spans="1:29" ht="15.75" customHeight="1">
      <c r="A119" s="423" t="s">
        <v>723</v>
      </c>
      <c r="B119" s="423" t="s">
        <v>724</v>
      </c>
      <c r="E119" s="423" t="s">
        <v>725</v>
      </c>
      <c r="F119" s="423" t="s">
        <v>726</v>
      </c>
      <c r="G119" s="60">
        <v>1</v>
      </c>
      <c r="H119" s="54" t="s">
        <v>73</v>
      </c>
      <c r="L119" s="97" t="s">
        <v>163</v>
      </c>
      <c r="N119" s="97" t="s">
        <v>727</v>
      </c>
      <c r="P119" s="57" t="s">
        <v>41</v>
      </c>
      <c r="Q119" s="61">
        <v>46058</v>
      </c>
      <c r="R119" s="55" t="s">
        <v>41</v>
      </c>
      <c r="S119" s="56">
        <v>45500</v>
      </c>
      <c r="T119" s="56" t="str">
        <f t="shared" si="13"/>
        <v>0</v>
      </c>
      <c r="U119" s="56">
        <v>45500</v>
      </c>
      <c r="V119" s="56">
        <f t="shared" si="16"/>
        <v>41363.63636363636</v>
      </c>
      <c r="W119" s="65">
        <f>IF(H119=재고내역!$F$9,출고요청서_raw!G119*1,IF(H119=재고내역!$F$10,출고요청서_raw!G119*2,IF(출고요청서_raw!H119=재고내역!$F$11,출고요청서_raw!G119*4,IF(출고요청서_raw!H119=재고내역!$F$12,출고요청서_raw!G119*6,IF(출고요청서_raw!H119=재고내역!$F$13,출고요청서_raw!G119*8)))))</f>
        <v>4</v>
      </c>
      <c r="X119" s="53"/>
      <c r="Y119" s="53"/>
      <c r="Z119" s="56">
        <f>W119*재고내역!$M$6</f>
        <v>30748</v>
      </c>
      <c r="AA119" s="56">
        <f t="shared" si="12"/>
        <v>4550</v>
      </c>
      <c r="AB119" s="56">
        <f t="shared" si="14"/>
        <v>6065.6363636363603</v>
      </c>
      <c r="AC119" s="376">
        <f t="shared" si="15"/>
        <v>0.14664175824175818</v>
      </c>
    </row>
    <row r="120" spans="1:29" ht="15.75" customHeight="1">
      <c r="A120" s="423" t="s">
        <v>728</v>
      </c>
      <c r="B120" s="423" t="s">
        <v>729</v>
      </c>
      <c r="E120" s="423" t="s">
        <v>730</v>
      </c>
      <c r="F120" s="423" t="s">
        <v>731</v>
      </c>
      <c r="G120" s="60">
        <v>1</v>
      </c>
      <c r="H120" s="54" t="s">
        <v>73</v>
      </c>
      <c r="L120" s="97" t="s">
        <v>163</v>
      </c>
      <c r="N120" s="97" t="s">
        <v>732</v>
      </c>
      <c r="P120" s="57" t="s">
        <v>41</v>
      </c>
      <c r="Q120" s="61">
        <v>46058</v>
      </c>
      <c r="R120" s="55" t="s">
        <v>41</v>
      </c>
      <c r="S120" s="56">
        <v>45500</v>
      </c>
      <c r="T120" s="56" t="str">
        <f t="shared" si="13"/>
        <v>0</v>
      </c>
      <c r="U120" s="56">
        <v>45500</v>
      </c>
      <c r="V120" s="56">
        <f t="shared" si="16"/>
        <v>41363.63636363636</v>
      </c>
      <c r="W120" s="65">
        <f>IF(H120=재고내역!$F$9,출고요청서_raw!G120*1,IF(H120=재고내역!$F$10,출고요청서_raw!G120*2,IF(출고요청서_raw!H120=재고내역!$F$11,출고요청서_raw!G120*4,IF(출고요청서_raw!H120=재고내역!$F$12,출고요청서_raw!G120*6,IF(출고요청서_raw!H120=재고내역!$F$13,출고요청서_raw!G120*8)))))</f>
        <v>4</v>
      </c>
      <c r="X120" s="53"/>
      <c r="Y120" s="53"/>
      <c r="Z120" s="56">
        <f>W120*재고내역!$M$6</f>
        <v>30748</v>
      </c>
      <c r="AA120" s="56">
        <f t="shared" si="12"/>
        <v>4550</v>
      </c>
      <c r="AB120" s="56">
        <f t="shared" si="14"/>
        <v>6065.6363636363603</v>
      </c>
      <c r="AC120" s="376">
        <f t="shared" si="15"/>
        <v>0.14664175824175818</v>
      </c>
    </row>
    <row r="121" spans="1:29" ht="15.75" customHeight="1">
      <c r="A121" s="423" t="s">
        <v>733</v>
      </c>
      <c r="B121" s="423" t="s">
        <v>734</v>
      </c>
      <c r="E121" s="423" t="s">
        <v>699</v>
      </c>
      <c r="F121" s="423" t="s">
        <v>735</v>
      </c>
      <c r="G121" s="60">
        <v>1</v>
      </c>
      <c r="H121" s="54" t="s">
        <v>73</v>
      </c>
      <c r="L121" s="97" t="s">
        <v>163</v>
      </c>
      <c r="N121" s="97" t="s">
        <v>736</v>
      </c>
      <c r="P121" s="57" t="s">
        <v>41</v>
      </c>
      <c r="Q121" s="61">
        <v>46058</v>
      </c>
      <c r="R121" s="55" t="s">
        <v>41</v>
      </c>
      <c r="S121" s="56">
        <v>45500</v>
      </c>
      <c r="T121" s="56" t="str">
        <f t="shared" si="13"/>
        <v>0</v>
      </c>
      <c r="U121" s="56">
        <v>45500</v>
      </c>
      <c r="V121" s="56">
        <f t="shared" si="16"/>
        <v>41363.63636363636</v>
      </c>
      <c r="W121" s="65">
        <f>IF(H121=재고내역!$F$9,출고요청서_raw!G121*1,IF(H121=재고내역!$F$10,출고요청서_raw!G121*2,IF(출고요청서_raw!H121=재고내역!$F$11,출고요청서_raw!G121*4,IF(출고요청서_raw!H121=재고내역!$F$12,출고요청서_raw!G121*6,IF(출고요청서_raw!H121=재고내역!$F$13,출고요청서_raw!G121*8)))))</f>
        <v>4</v>
      </c>
      <c r="X121" s="53"/>
      <c r="Y121" s="53"/>
      <c r="Z121" s="56">
        <f>W121*재고내역!$M$6</f>
        <v>30748</v>
      </c>
      <c r="AA121" s="56">
        <f t="shared" si="12"/>
        <v>4550</v>
      </c>
      <c r="AB121" s="56">
        <f t="shared" si="14"/>
        <v>6065.6363636363603</v>
      </c>
      <c r="AC121" s="376">
        <f t="shared" si="15"/>
        <v>0.14664175824175818</v>
      </c>
    </row>
    <row r="122" spans="1:29" ht="15.75" customHeight="1">
      <c r="A122" s="423" t="s">
        <v>737</v>
      </c>
      <c r="B122" s="423" t="s">
        <v>738</v>
      </c>
      <c r="E122" s="423" t="s">
        <v>739</v>
      </c>
      <c r="F122" s="423" t="s">
        <v>740</v>
      </c>
      <c r="G122" s="60">
        <v>1</v>
      </c>
      <c r="H122" s="54" t="s">
        <v>73</v>
      </c>
      <c r="L122" s="97" t="s">
        <v>741</v>
      </c>
      <c r="N122" s="97" t="s">
        <v>742</v>
      </c>
      <c r="P122" s="57" t="s">
        <v>41</v>
      </c>
      <c r="Q122" s="61">
        <v>46058</v>
      </c>
      <c r="R122" s="55" t="s">
        <v>41</v>
      </c>
      <c r="S122" s="56">
        <v>45500</v>
      </c>
      <c r="T122" s="56" t="str">
        <f t="shared" si="13"/>
        <v>0</v>
      </c>
      <c r="U122" s="56">
        <v>45500</v>
      </c>
      <c r="V122" s="56">
        <f t="shared" si="16"/>
        <v>41363.63636363636</v>
      </c>
      <c r="W122" s="65">
        <f>IF(H122=재고내역!$F$9,출고요청서_raw!G122*1,IF(H122=재고내역!$F$10,출고요청서_raw!G122*2,IF(출고요청서_raw!H122=재고내역!$F$11,출고요청서_raw!G122*4,IF(출고요청서_raw!H122=재고내역!$F$12,출고요청서_raw!G122*6,IF(출고요청서_raw!H122=재고내역!$F$13,출고요청서_raw!G122*8)))))</f>
        <v>4</v>
      </c>
      <c r="X122" s="53"/>
      <c r="Y122" s="53"/>
      <c r="Z122" s="56">
        <f>W122*재고내역!$M$6</f>
        <v>30748</v>
      </c>
      <c r="AA122" s="56">
        <f t="shared" si="12"/>
        <v>4550</v>
      </c>
      <c r="AB122" s="56">
        <f t="shared" si="14"/>
        <v>6065.6363636363603</v>
      </c>
      <c r="AC122" s="376">
        <f t="shared" si="15"/>
        <v>0.14664175824175818</v>
      </c>
    </row>
    <row r="123" spans="1:29" ht="15.75" customHeight="1">
      <c r="A123" s="423" t="s">
        <v>743</v>
      </c>
      <c r="B123" s="423" t="s">
        <v>744</v>
      </c>
      <c r="E123" s="423" t="s">
        <v>745</v>
      </c>
      <c r="F123" s="423" t="s">
        <v>746</v>
      </c>
      <c r="G123" s="60">
        <v>1</v>
      </c>
      <c r="H123" s="54" t="s">
        <v>73</v>
      </c>
      <c r="L123" s="97" t="s">
        <v>163</v>
      </c>
      <c r="N123" s="97" t="s">
        <v>747</v>
      </c>
      <c r="P123" s="57" t="s">
        <v>41</v>
      </c>
      <c r="Q123" s="61">
        <v>46058</v>
      </c>
      <c r="R123" s="55" t="s">
        <v>41</v>
      </c>
      <c r="S123" s="56">
        <v>45500</v>
      </c>
      <c r="T123" s="56" t="str">
        <f t="shared" si="13"/>
        <v>0</v>
      </c>
      <c r="U123" s="56">
        <v>45500</v>
      </c>
      <c r="V123" s="56">
        <f t="shared" si="16"/>
        <v>41363.63636363636</v>
      </c>
      <c r="W123" s="65">
        <f>IF(H123=재고내역!$F$9,출고요청서_raw!G123*1,IF(H123=재고내역!$F$10,출고요청서_raw!G123*2,IF(출고요청서_raw!H123=재고내역!$F$11,출고요청서_raw!G123*4,IF(출고요청서_raw!H123=재고내역!$F$12,출고요청서_raw!G123*6,IF(출고요청서_raw!H123=재고내역!$F$13,출고요청서_raw!G123*8)))))</f>
        <v>4</v>
      </c>
      <c r="X123" s="53"/>
      <c r="Y123" s="53"/>
      <c r="Z123" s="56">
        <f>W123*재고내역!$M$6</f>
        <v>30748</v>
      </c>
      <c r="AA123" s="56">
        <f t="shared" si="12"/>
        <v>4550</v>
      </c>
      <c r="AB123" s="56">
        <f t="shared" si="14"/>
        <v>6065.6363636363603</v>
      </c>
      <c r="AC123" s="376">
        <f t="shared" si="15"/>
        <v>0.14664175824175818</v>
      </c>
    </row>
    <row r="124" spans="1:29" ht="15.75" customHeight="1">
      <c r="A124" s="423" t="s">
        <v>748</v>
      </c>
      <c r="B124" s="423" t="s">
        <v>749</v>
      </c>
      <c r="E124" s="423" t="s">
        <v>750</v>
      </c>
      <c r="F124" s="423" t="s">
        <v>751</v>
      </c>
      <c r="G124" s="370">
        <v>2</v>
      </c>
      <c r="H124" s="54" t="s">
        <v>73</v>
      </c>
      <c r="L124" s="97" t="s">
        <v>163</v>
      </c>
      <c r="N124" s="97" t="s">
        <v>752</v>
      </c>
      <c r="P124" s="57" t="s">
        <v>41</v>
      </c>
      <c r="Q124" s="61">
        <v>46058</v>
      </c>
      <c r="R124" s="55" t="s">
        <v>41</v>
      </c>
      <c r="S124" s="56">
        <v>45500</v>
      </c>
      <c r="T124" s="56" t="str">
        <f t="shared" si="13"/>
        <v>0</v>
      </c>
      <c r="U124" s="56">
        <v>91000</v>
      </c>
      <c r="V124" s="56">
        <f t="shared" si="16"/>
        <v>82727.272727272721</v>
      </c>
      <c r="W124" s="65">
        <f>IF(H124=재고내역!$F$9,출고요청서_raw!G124*1,IF(H124=재고내역!$F$10,출고요청서_raw!G124*2,IF(출고요청서_raw!H124=재고내역!$F$11,출고요청서_raw!G124*4,IF(출고요청서_raw!H124=재고내역!$F$12,출고요청서_raw!G124*6,IF(출고요청서_raw!H124=재고내역!$F$13,출고요청서_raw!G124*8)))))</f>
        <v>8</v>
      </c>
      <c r="X124" s="53"/>
      <c r="Y124" s="53"/>
      <c r="Z124" s="56">
        <f>W124*재고내역!$M$6</f>
        <v>61496</v>
      </c>
      <c r="AA124" s="56">
        <f t="shared" si="12"/>
        <v>4550</v>
      </c>
      <c r="AB124" s="56">
        <f t="shared" si="14"/>
        <v>16681.272727272721</v>
      </c>
      <c r="AC124" s="376">
        <f t="shared" si="15"/>
        <v>0.20164175824175817</v>
      </c>
    </row>
    <row r="125" spans="1:29" ht="15.75" customHeight="1">
      <c r="A125" s="423" t="s">
        <v>753</v>
      </c>
      <c r="B125" s="423" t="s">
        <v>754</v>
      </c>
      <c r="E125" s="423" t="s">
        <v>755</v>
      </c>
      <c r="F125" s="423" t="s">
        <v>756</v>
      </c>
      <c r="G125" s="370">
        <v>2</v>
      </c>
      <c r="H125" s="54" t="s">
        <v>73</v>
      </c>
      <c r="L125" s="97" t="s">
        <v>163</v>
      </c>
      <c r="N125" s="97" t="s">
        <v>757</v>
      </c>
      <c r="P125" s="57" t="s">
        <v>41</v>
      </c>
      <c r="Q125" s="61">
        <v>46058</v>
      </c>
      <c r="R125" s="55" t="s">
        <v>41</v>
      </c>
      <c r="S125" s="56">
        <v>45500</v>
      </c>
      <c r="T125" s="56" t="str">
        <f t="shared" si="13"/>
        <v>0</v>
      </c>
      <c r="U125" s="56">
        <v>91000</v>
      </c>
      <c r="V125" s="56">
        <f t="shared" si="16"/>
        <v>82727.272727272721</v>
      </c>
      <c r="W125" s="65">
        <f>IF(H125=재고내역!$F$9,출고요청서_raw!G125*1,IF(H125=재고내역!$F$10,출고요청서_raw!G125*2,IF(출고요청서_raw!H125=재고내역!$F$11,출고요청서_raw!G125*4,IF(출고요청서_raw!H125=재고내역!$F$12,출고요청서_raw!G125*6,IF(출고요청서_raw!H125=재고내역!$F$13,출고요청서_raw!G125*8)))))</f>
        <v>8</v>
      </c>
      <c r="X125" s="53"/>
      <c r="Y125" s="53"/>
      <c r="Z125" s="56">
        <f>W125*재고내역!$M$6</f>
        <v>61496</v>
      </c>
      <c r="AA125" s="56">
        <f t="shared" si="12"/>
        <v>4550</v>
      </c>
      <c r="AB125" s="56">
        <f t="shared" si="14"/>
        <v>16681.272727272721</v>
      </c>
      <c r="AC125" s="376">
        <f t="shared" si="15"/>
        <v>0.20164175824175817</v>
      </c>
    </row>
    <row r="126" spans="1:29" ht="15.75" customHeight="1">
      <c r="A126" s="423" t="s">
        <v>758</v>
      </c>
      <c r="B126" s="423" t="s">
        <v>759</v>
      </c>
      <c r="E126" s="423" t="s">
        <v>760</v>
      </c>
      <c r="F126" s="423" t="s">
        <v>761</v>
      </c>
      <c r="G126" s="60">
        <v>1</v>
      </c>
      <c r="H126" s="54" t="s">
        <v>73</v>
      </c>
      <c r="L126" s="97" t="s">
        <v>163</v>
      </c>
      <c r="N126" s="97" t="s">
        <v>762</v>
      </c>
      <c r="P126" s="57" t="s">
        <v>41</v>
      </c>
      <c r="Q126" s="61">
        <v>46058</v>
      </c>
      <c r="R126" s="55" t="s">
        <v>41</v>
      </c>
      <c r="S126" s="56">
        <v>45500</v>
      </c>
      <c r="T126" s="56" t="str">
        <f t="shared" si="13"/>
        <v>0</v>
      </c>
      <c r="U126" s="56">
        <v>45500</v>
      </c>
      <c r="V126" s="56">
        <f t="shared" si="16"/>
        <v>41363.63636363636</v>
      </c>
      <c r="W126" s="65">
        <f>IF(H126=재고내역!$F$9,출고요청서_raw!G126*1,IF(H126=재고내역!$F$10,출고요청서_raw!G126*2,IF(출고요청서_raw!H126=재고내역!$F$11,출고요청서_raw!G126*4,IF(출고요청서_raw!H126=재고내역!$F$12,출고요청서_raw!G126*6,IF(출고요청서_raw!H126=재고내역!$F$13,출고요청서_raw!G126*8)))))</f>
        <v>4</v>
      </c>
      <c r="X126" s="53"/>
      <c r="Y126" s="53"/>
      <c r="Z126" s="56">
        <f>W126*재고내역!$M$6</f>
        <v>30748</v>
      </c>
      <c r="AA126" s="56">
        <f t="shared" si="12"/>
        <v>4550</v>
      </c>
      <c r="AB126" s="56">
        <f t="shared" si="14"/>
        <v>6065.6363636363603</v>
      </c>
      <c r="AC126" s="376">
        <f t="shared" si="15"/>
        <v>0.14664175824175818</v>
      </c>
    </row>
    <row r="127" spans="1:29" ht="15.75" customHeight="1">
      <c r="A127" s="423" t="s">
        <v>763</v>
      </c>
      <c r="B127" s="423" t="s">
        <v>764</v>
      </c>
      <c r="E127" s="423" t="s">
        <v>765</v>
      </c>
      <c r="F127" s="423" t="s">
        <v>766</v>
      </c>
      <c r="G127" s="60">
        <v>1</v>
      </c>
      <c r="H127" s="54" t="s">
        <v>73</v>
      </c>
      <c r="L127" s="97" t="s">
        <v>163</v>
      </c>
      <c r="N127" s="97" t="s">
        <v>767</v>
      </c>
      <c r="P127" s="57" t="s">
        <v>41</v>
      </c>
      <c r="Q127" s="61">
        <v>46058</v>
      </c>
      <c r="R127" s="55" t="s">
        <v>41</v>
      </c>
      <c r="S127" s="56">
        <v>45500</v>
      </c>
      <c r="T127" s="56" t="str">
        <f t="shared" si="13"/>
        <v>0</v>
      </c>
      <c r="U127" s="56">
        <v>45500</v>
      </c>
      <c r="V127" s="56">
        <f t="shared" si="16"/>
        <v>41363.63636363636</v>
      </c>
      <c r="W127" s="65">
        <f>IF(H127=재고내역!$F$9,출고요청서_raw!G127*1,IF(H127=재고내역!$F$10,출고요청서_raw!G127*2,IF(출고요청서_raw!H127=재고내역!$F$11,출고요청서_raw!G127*4,IF(출고요청서_raw!H127=재고내역!$F$12,출고요청서_raw!G127*6,IF(출고요청서_raw!H127=재고내역!$F$13,출고요청서_raw!G127*8)))))</f>
        <v>4</v>
      </c>
      <c r="X127" s="53"/>
      <c r="Y127" s="53"/>
      <c r="Z127" s="56">
        <f>W127*재고내역!$M$6</f>
        <v>30748</v>
      </c>
      <c r="AA127" s="56">
        <f t="shared" si="12"/>
        <v>4550</v>
      </c>
      <c r="AB127" s="56">
        <f t="shared" si="14"/>
        <v>6065.6363636363603</v>
      </c>
      <c r="AC127" s="376">
        <f t="shared" si="15"/>
        <v>0.14664175824175818</v>
      </c>
    </row>
    <row r="128" spans="1:29" ht="15.75" customHeight="1">
      <c r="A128" s="423" t="s">
        <v>768</v>
      </c>
      <c r="B128" s="423" t="s">
        <v>769</v>
      </c>
      <c r="E128" s="423" t="s">
        <v>770</v>
      </c>
      <c r="F128" s="423" t="s">
        <v>771</v>
      </c>
      <c r="G128" s="60">
        <v>1</v>
      </c>
      <c r="H128" s="54" t="s">
        <v>73</v>
      </c>
      <c r="L128" s="97" t="s">
        <v>163</v>
      </c>
      <c r="N128" s="97" t="s">
        <v>772</v>
      </c>
      <c r="P128" s="57" t="s">
        <v>41</v>
      </c>
      <c r="Q128" s="61">
        <v>46058</v>
      </c>
      <c r="R128" s="55" t="s">
        <v>41</v>
      </c>
      <c r="S128" s="56">
        <v>45500</v>
      </c>
      <c r="T128" s="56" t="str">
        <f t="shared" si="13"/>
        <v>0</v>
      </c>
      <c r="U128" s="56">
        <v>45500</v>
      </c>
      <c r="V128" s="56">
        <f t="shared" si="16"/>
        <v>41363.63636363636</v>
      </c>
      <c r="W128" s="65">
        <f>IF(H128=재고내역!$F$9,출고요청서_raw!G128*1,IF(H128=재고내역!$F$10,출고요청서_raw!G128*2,IF(출고요청서_raw!H128=재고내역!$F$11,출고요청서_raw!G128*4,IF(출고요청서_raw!H128=재고내역!$F$12,출고요청서_raw!G128*6,IF(출고요청서_raw!H128=재고내역!$F$13,출고요청서_raw!G128*8)))))</f>
        <v>4</v>
      </c>
      <c r="X128" s="53"/>
      <c r="Y128" s="53"/>
      <c r="Z128" s="56">
        <f>W128*재고내역!$M$6</f>
        <v>30748</v>
      </c>
      <c r="AA128" s="56">
        <f t="shared" si="12"/>
        <v>4550</v>
      </c>
      <c r="AB128" s="56">
        <f t="shared" si="14"/>
        <v>6065.6363636363603</v>
      </c>
      <c r="AC128" s="376">
        <f t="shared" si="15"/>
        <v>0.14664175824175818</v>
      </c>
    </row>
    <row r="129" spans="1:29" ht="15.75" customHeight="1">
      <c r="A129" s="423" t="s">
        <v>773</v>
      </c>
      <c r="B129" s="423" t="s">
        <v>774</v>
      </c>
      <c r="E129" s="423" t="s">
        <v>775</v>
      </c>
      <c r="F129" s="423" t="s">
        <v>776</v>
      </c>
      <c r="G129" s="60">
        <v>1</v>
      </c>
      <c r="H129" s="54" t="s">
        <v>73</v>
      </c>
      <c r="L129" s="97" t="s">
        <v>777</v>
      </c>
      <c r="N129" s="97" t="s">
        <v>778</v>
      </c>
      <c r="P129" s="57" t="s">
        <v>41</v>
      </c>
      <c r="Q129" s="61">
        <v>46058</v>
      </c>
      <c r="R129" s="55" t="s">
        <v>41</v>
      </c>
      <c r="S129" s="56">
        <v>45500</v>
      </c>
      <c r="T129" s="56" t="str">
        <f t="shared" si="13"/>
        <v>0</v>
      </c>
      <c r="U129" s="56">
        <v>45500</v>
      </c>
      <c r="V129" s="56">
        <f t="shared" si="16"/>
        <v>41363.63636363636</v>
      </c>
      <c r="W129" s="65">
        <f>IF(H129=재고내역!$F$9,출고요청서_raw!G129*1,IF(H129=재고내역!$F$10,출고요청서_raw!G129*2,IF(출고요청서_raw!H129=재고내역!$F$11,출고요청서_raw!G129*4,IF(출고요청서_raw!H129=재고내역!$F$12,출고요청서_raw!G129*6,IF(출고요청서_raw!H129=재고내역!$F$13,출고요청서_raw!G129*8)))))</f>
        <v>4</v>
      </c>
      <c r="X129" s="53"/>
      <c r="Y129" s="53"/>
      <c r="Z129" s="56">
        <f>W129*재고내역!$M$6</f>
        <v>30748</v>
      </c>
      <c r="AA129" s="56">
        <f t="shared" si="12"/>
        <v>4550</v>
      </c>
      <c r="AB129" s="56">
        <f t="shared" si="14"/>
        <v>6065.6363636363603</v>
      </c>
      <c r="AC129" s="376">
        <f t="shared" si="15"/>
        <v>0.14664175824175818</v>
      </c>
    </row>
    <row r="130" spans="1:29" ht="15.75" customHeight="1">
      <c r="A130" s="423" t="s">
        <v>779</v>
      </c>
      <c r="B130" s="423" t="s">
        <v>780</v>
      </c>
      <c r="E130" s="423" t="s">
        <v>781</v>
      </c>
      <c r="F130" s="423" t="s">
        <v>782</v>
      </c>
      <c r="G130" s="60">
        <v>1</v>
      </c>
      <c r="H130" s="54" t="s">
        <v>73</v>
      </c>
      <c r="L130" s="97" t="s">
        <v>163</v>
      </c>
      <c r="N130" s="97" t="s">
        <v>783</v>
      </c>
      <c r="P130" s="57" t="s">
        <v>41</v>
      </c>
      <c r="Q130" s="61">
        <v>46058</v>
      </c>
      <c r="R130" s="55" t="s">
        <v>41</v>
      </c>
      <c r="S130" s="56">
        <v>45500</v>
      </c>
      <c r="T130" s="56" t="str">
        <f t="shared" si="13"/>
        <v>0</v>
      </c>
      <c r="U130" s="56">
        <v>45500</v>
      </c>
      <c r="V130" s="56">
        <f t="shared" si="16"/>
        <v>41363.63636363636</v>
      </c>
      <c r="W130" s="65">
        <f>IF(H130=재고내역!$F$9,출고요청서_raw!G130*1,IF(H130=재고내역!$F$10,출고요청서_raw!G130*2,IF(출고요청서_raw!H130=재고내역!$F$11,출고요청서_raw!G130*4,IF(출고요청서_raw!H130=재고내역!$F$12,출고요청서_raw!G130*6,IF(출고요청서_raw!H130=재고내역!$F$13,출고요청서_raw!G130*8)))))</f>
        <v>4</v>
      </c>
      <c r="X130" s="53"/>
      <c r="Y130" s="53"/>
      <c r="Z130" s="56">
        <f>W130*재고내역!$M$6</f>
        <v>30748</v>
      </c>
      <c r="AA130" s="56">
        <f t="shared" si="12"/>
        <v>4550</v>
      </c>
      <c r="AB130" s="56">
        <f t="shared" si="14"/>
        <v>6065.6363636363603</v>
      </c>
      <c r="AC130" s="376">
        <f t="shared" si="15"/>
        <v>0.14664175824175818</v>
      </c>
    </row>
    <row r="131" spans="1:29" ht="15.75" customHeight="1">
      <c r="A131" s="423" t="s">
        <v>784</v>
      </c>
      <c r="B131" s="423" t="s">
        <v>785</v>
      </c>
      <c r="E131" s="423" t="s">
        <v>786</v>
      </c>
      <c r="F131" s="423" t="s">
        <v>787</v>
      </c>
      <c r="G131" s="60">
        <v>1</v>
      </c>
      <c r="H131" s="54" t="s">
        <v>73</v>
      </c>
      <c r="L131" s="97" t="s">
        <v>163</v>
      </c>
      <c r="N131" s="97" t="s">
        <v>788</v>
      </c>
      <c r="P131" s="57" t="s">
        <v>41</v>
      </c>
      <c r="Q131" s="61">
        <v>46058</v>
      </c>
      <c r="R131" s="55" t="s">
        <v>41</v>
      </c>
      <c r="S131" s="56">
        <v>45500</v>
      </c>
      <c r="T131" s="56" t="str">
        <f t="shared" si="13"/>
        <v>0</v>
      </c>
      <c r="U131" s="56">
        <v>45500</v>
      </c>
      <c r="V131" s="56">
        <f t="shared" si="16"/>
        <v>41363.63636363636</v>
      </c>
      <c r="W131" s="65">
        <f>IF(H131=재고내역!$F$9,출고요청서_raw!G131*1,IF(H131=재고내역!$F$10,출고요청서_raw!G131*2,IF(출고요청서_raw!H131=재고내역!$F$11,출고요청서_raw!G131*4,IF(출고요청서_raw!H131=재고내역!$F$12,출고요청서_raw!G131*6,IF(출고요청서_raw!H131=재고내역!$F$13,출고요청서_raw!G131*8)))))</f>
        <v>4</v>
      </c>
      <c r="X131" s="53"/>
      <c r="Y131" s="53"/>
      <c r="Z131" s="56">
        <f>W131*재고내역!$M$6</f>
        <v>30748</v>
      </c>
      <c r="AA131" s="56">
        <f t="shared" si="12"/>
        <v>4550</v>
      </c>
      <c r="AB131" s="56">
        <f t="shared" si="14"/>
        <v>6065.6363636363603</v>
      </c>
      <c r="AC131" s="376">
        <f t="shared" si="15"/>
        <v>0.14664175824175818</v>
      </c>
    </row>
    <row r="132" spans="1:29" ht="15.75" customHeight="1">
      <c r="A132" s="423" t="s">
        <v>789</v>
      </c>
      <c r="B132" s="423" t="s">
        <v>790</v>
      </c>
      <c r="E132" s="423" t="s">
        <v>791</v>
      </c>
      <c r="F132" s="423" t="s">
        <v>792</v>
      </c>
      <c r="G132" s="60">
        <v>1</v>
      </c>
      <c r="H132" s="54" t="s">
        <v>73</v>
      </c>
      <c r="L132" s="97" t="s">
        <v>683</v>
      </c>
      <c r="N132" s="97" t="s">
        <v>793</v>
      </c>
      <c r="P132" s="57" t="s">
        <v>41</v>
      </c>
      <c r="Q132" s="61">
        <v>46058</v>
      </c>
      <c r="R132" s="55" t="s">
        <v>41</v>
      </c>
      <c r="S132" s="56">
        <v>45500</v>
      </c>
      <c r="T132" s="56" t="str">
        <f t="shared" si="13"/>
        <v>0</v>
      </c>
      <c r="U132" s="56">
        <v>45500</v>
      </c>
      <c r="V132" s="56">
        <f t="shared" si="16"/>
        <v>41363.63636363636</v>
      </c>
      <c r="W132" s="65">
        <f>IF(H132=재고내역!$F$9,출고요청서_raw!G132*1,IF(H132=재고내역!$F$10,출고요청서_raw!G132*2,IF(출고요청서_raw!H132=재고내역!$F$11,출고요청서_raw!G132*4,IF(출고요청서_raw!H132=재고내역!$F$12,출고요청서_raw!G132*6,IF(출고요청서_raw!H132=재고내역!$F$13,출고요청서_raw!G132*8)))))</f>
        <v>4</v>
      </c>
      <c r="X132" s="53"/>
      <c r="Y132" s="53"/>
      <c r="Z132" s="56">
        <f>W132*재고내역!$M$6</f>
        <v>30748</v>
      </c>
      <c r="AA132" s="56">
        <f t="shared" si="12"/>
        <v>4550</v>
      </c>
      <c r="AB132" s="56">
        <f t="shared" si="14"/>
        <v>6065.6363636363603</v>
      </c>
      <c r="AC132" s="376">
        <f t="shared" si="15"/>
        <v>0.14664175824175818</v>
      </c>
    </row>
    <row r="133" spans="1:29" ht="15.75" customHeight="1">
      <c r="A133" s="423" t="s">
        <v>794</v>
      </c>
      <c r="B133" s="423" t="s">
        <v>795</v>
      </c>
      <c r="E133" s="423" t="s">
        <v>796</v>
      </c>
      <c r="F133" s="423" t="s">
        <v>797</v>
      </c>
      <c r="G133" s="60">
        <v>1</v>
      </c>
      <c r="H133" s="54" t="s">
        <v>73</v>
      </c>
      <c r="L133" s="97" t="s">
        <v>163</v>
      </c>
      <c r="N133" s="97" t="s">
        <v>798</v>
      </c>
      <c r="P133" s="57" t="s">
        <v>41</v>
      </c>
      <c r="Q133" s="61">
        <v>46058</v>
      </c>
      <c r="R133" s="55" t="s">
        <v>41</v>
      </c>
      <c r="S133" s="56">
        <v>45500</v>
      </c>
      <c r="T133" s="56" t="str">
        <f t="shared" si="13"/>
        <v>0</v>
      </c>
      <c r="U133" s="56">
        <v>45500</v>
      </c>
      <c r="V133" s="56">
        <f t="shared" si="16"/>
        <v>41363.63636363636</v>
      </c>
      <c r="W133" s="65">
        <f>IF(H133=재고내역!$F$9,출고요청서_raw!G133*1,IF(H133=재고내역!$F$10,출고요청서_raw!G133*2,IF(출고요청서_raw!H133=재고내역!$F$11,출고요청서_raw!G133*4,IF(출고요청서_raw!H133=재고내역!$F$12,출고요청서_raw!G133*6,IF(출고요청서_raw!H133=재고내역!$F$13,출고요청서_raw!G133*8)))))</f>
        <v>4</v>
      </c>
      <c r="X133" s="53"/>
      <c r="Y133" s="53"/>
      <c r="Z133" s="56">
        <f>W133*재고내역!$M$6</f>
        <v>30748</v>
      </c>
      <c r="AA133" s="56">
        <f t="shared" ref="AA133:AA196" si="17">IF(W133&gt;8,4550*2,4550)</f>
        <v>4550</v>
      </c>
      <c r="AB133" s="56">
        <f t="shared" si="14"/>
        <v>6065.6363636363603</v>
      </c>
      <c r="AC133" s="376">
        <f t="shared" si="15"/>
        <v>0.14664175824175818</v>
      </c>
    </row>
    <row r="134" spans="1:29" ht="15.75" customHeight="1">
      <c r="A134" s="423" t="s">
        <v>799</v>
      </c>
      <c r="B134" s="423" t="s">
        <v>800</v>
      </c>
      <c r="E134" s="423" t="s">
        <v>801</v>
      </c>
      <c r="F134" s="423" t="s">
        <v>802</v>
      </c>
      <c r="G134" s="60">
        <v>1</v>
      </c>
      <c r="H134" s="54" t="s">
        <v>73</v>
      </c>
      <c r="L134" s="97" t="s">
        <v>163</v>
      </c>
      <c r="N134" s="97" t="s">
        <v>803</v>
      </c>
      <c r="P134" s="57" t="s">
        <v>41</v>
      </c>
      <c r="Q134" s="61">
        <v>46058</v>
      </c>
      <c r="R134" s="55" t="s">
        <v>41</v>
      </c>
      <c r="S134" s="56">
        <v>45500</v>
      </c>
      <c r="T134" s="56" t="str">
        <f t="shared" ref="T134:T197" si="18">IF(R134="쿠팡",VLOOKUP(H134,$AF$7:$AG$10,2,0)*G134,"0")</f>
        <v>0</v>
      </c>
      <c r="U134" s="56">
        <v>45500</v>
      </c>
      <c r="V134" s="56">
        <f t="shared" si="16"/>
        <v>41363.63636363636</v>
      </c>
      <c r="W134" s="65">
        <f>IF(H134=재고내역!$F$9,출고요청서_raw!G134*1,IF(H134=재고내역!$F$10,출고요청서_raw!G134*2,IF(출고요청서_raw!H134=재고내역!$F$11,출고요청서_raw!G134*4,IF(출고요청서_raw!H134=재고내역!$F$12,출고요청서_raw!G134*6,IF(출고요청서_raw!H134=재고내역!$F$13,출고요청서_raw!G134*8)))))</f>
        <v>4</v>
      </c>
      <c r="X134" s="53"/>
      <c r="Y134" s="53"/>
      <c r="Z134" s="56">
        <f>W134*재고내역!$M$6</f>
        <v>30748</v>
      </c>
      <c r="AA134" s="56">
        <f t="shared" si="17"/>
        <v>4550</v>
      </c>
      <c r="AB134" s="56">
        <f t="shared" ref="AB134:AB197" si="19">V134-Z134-AA134-Y134</f>
        <v>6065.6363636363603</v>
      </c>
      <c r="AC134" s="376">
        <f t="shared" ref="AC134:AC197" si="20">AB134/V134</f>
        <v>0.14664175824175818</v>
      </c>
    </row>
    <row r="135" spans="1:29" ht="15.75" customHeight="1">
      <c r="A135" s="423" t="s">
        <v>804</v>
      </c>
      <c r="B135" s="423" t="s">
        <v>805</v>
      </c>
      <c r="E135" s="423" t="s">
        <v>462</v>
      </c>
      <c r="F135" s="423" t="s">
        <v>806</v>
      </c>
      <c r="G135" s="60">
        <v>1</v>
      </c>
      <c r="H135" s="54" t="s">
        <v>73</v>
      </c>
      <c r="L135" s="97" t="s">
        <v>163</v>
      </c>
      <c r="N135" s="97" t="s">
        <v>807</v>
      </c>
      <c r="P135" s="57" t="s">
        <v>41</v>
      </c>
      <c r="Q135" s="61">
        <v>46058</v>
      </c>
      <c r="R135" s="55" t="s">
        <v>41</v>
      </c>
      <c r="S135" s="56">
        <v>45500</v>
      </c>
      <c r="T135" s="56" t="str">
        <f t="shared" si="18"/>
        <v>0</v>
      </c>
      <c r="U135" s="56">
        <v>45500</v>
      </c>
      <c r="V135" s="56">
        <f t="shared" si="16"/>
        <v>41363.63636363636</v>
      </c>
      <c r="W135" s="65">
        <f>IF(H135=재고내역!$F$9,출고요청서_raw!G135*1,IF(H135=재고내역!$F$10,출고요청서_raw!G135*2,IF(출고요청서_raw!H135=재고내역!$F$11,출고요청서_raw!G135*4,IF(출고요청서_raw!H135=재고내역!$F$12,출고요청서_raw!G135*6,IF(출고요청서_raw!H135=재고내역!$F$13,출고요청서_raw!G135*8)))))</f>
        <v>4</v>
      </c>
      <c r="X135" s="53"/>
      <c r="Y135" s="53"/>
      <c r="Z135" s="56">
        <f>W135*재고내역!$M$6</f>
        <v>30748</v>
      </c>
      <c r="AA135" s="56">
        <f t="shared" si="17"/>
        <v>4550</v>
      </c>
      <c r="AB135" s="56">
        <f t="shared" si="19"/>
        <v>6065.6363636363603</v>
      </c>
      <c r="AC135" s="376">
        <f t="shared" si="20"/>
        <v>0.14664175824175818</v>
      </c>
    </row>
    <row r="136" spans="1:29" ht="15.75" customHeight="1">
      <c r="A136" s="423" t="s">
        <v>808</v>
      </c>
      <c r="B136" s="423" t="s">
        <v>809</v>
      </c>
      <c r="E136" s="423" t="s">
        <v>810</v>
      </c>
      <c r="F136" s="423" t="s">
        <v>811</v>
      </c>
      <c r="G136" s="370">
        <v>2</v>
      </c>
      <c r="H136" s="54" t="s">
        <v>73</v>
      </c>
      <c r="L136" s="97" t="s">
        <v>163</v>
      </c>
      <c r="N136" s="97" t="s">
        <v>812</v>
      </c>
      <c r="P136" s="57" t="s">
        <v>41</v>
      </c>
      <c r="Q136" s="61">
        <v>46058</v>
      </c>
      <c r="R136" s="55" t="s">
        <v>41</v>
      </c>
      <c r="S136" s="56">
        <v>45500</v>
      </c>
      <c r="T136" s="56" t="str">
        <f t="shared" si="18"/>
        <v>0</v>
      </c>
      <c r="U136" s="56">
        <v>91000</v>
      </c>
      <c r="V136" s="56">
        <f t="shared" si="16"/>
        <v>82727.272727272721</v>
      </c>
      <c r="W136" s="65">
        <f>IF(H136=재고내역!$F$9,출고요청서_raw!G136*1,IF(H136=재고내역!$F$10,출고요청서_raw!G136*2,IF(출고요청서_raw!H136=재고내역!$F$11,출고요청서_raw!G136*4,IF(출고요청서_raw!H136=재고내역!$F$12,출고요청서_raw!G136*6,IF(출고요청서_raw!H136=재고내역!$F$13,출고요청서_raw!G136*8)))))</f>
        <v>8</v>
      </c>
      <c r="X136" s="53"/>
      <c r="Y136" s="53"/>
      <c r="Z136" s="56">
        <f>W136*재고내역!$M$6</f>
        <v>61496</v>
      </c>
      <c r="AA136" s="56">
        <f t="shared" si="17"/>
        <v>4550</v>
      </c>
      <c r="AB136" s="56">
        <f t="shared" si="19"/>
        <v>16681.272727272721</v>
      </c>
      <c r="AC136" s="376">
        <f t="shared" si="20"/>
        <v>0.20164175824175817</v>
      </c>
    </row>
    <row r="137" spans="1:29" ht="15.75" customHeight="1">
      <c r="A137" s="423" t="s">
        <v>813</v>
      </c>
      <c r="B137" s="423" t="s">
        <v>814</v>
      </c>
      <c r="E137" s="423" t="s">
        <v>815</v>
      </c>
      <c r="F137" s="423" t="s">
        <v>816</v>
      </c>
      <c r="G137" s="60">
        <v>1</v>
      </c>
      <c r="H137" s="54" t="s">
        <v>73</v>
      </c>
      <c r="L137" s="97" t="s">
        <v>817</v>
      </c>
      <c r="N137" s="97" t="s">
        <v>818</v>
      </c>
      <c r="P137" s="57" t="s">
        <v>41</v>
      </c>
      <c r="Q137" s="61">
        <v>46058</v>
      </c>
      <c r="R137" s="55" t="s">
        <v>41</v>
      </c>
      <c r="S137" s="56">
        <v>45500</v>
      </c>
      <c r="T137" s="56" t="str">
        <f t="shared" si="18"/>
        <v>0</v>
      </c>
      <c r="U137" s="56">
        <v>45500</v>
      </c>
      <c r="V137" s="56">
        <f t="shared" si="16"/>
        <v>41363.63636363636</v>
      </c>
      <c r="W137" s="65">
        <f>IF(H137=재고내역!$F$9,출고요청서_raw!G137*1,IF(H137=재고내역!$F$10,출고요청서_raw!G137*2,IF(출고요청서_raw!H137=재고내역!$F$11,출고요청서_raw!G137*4,IF(출고요청서_raw!H137=재고내역!$F$12,출고요청서_raw!G137*6,IF(출고요청서_raw!H137=재고내역!$F$13,출고요청서_raw!G137*8)))))</f>
        <v>4</v>
      </c>
      <c r="X137" s="53"/>
      <c r="Y137" s="53"/>
      <c r="Z137" s="56">
        <f>W137*재고내역!$M$6</f>
        <v>30748</v>
      </c>
      <c r="AA137" s="56">
        <f t="shared" si="17"/>
        <v>4550</v>
      </c>
      <c r="AB137" s="56">
        <f t="shared" si="19"/>
        <v>6065.6363636363603</v>
      </c>
      <c r="AC137" s="376">
        <f t="shared" si="20"/>
        <v>0.14664175824175818</v>
      </c>
    </row>
    <row r="138" spans="1:29" ht="15.75" customHeight="1">
      <c r="A138" s="423" t="s">
        <v>819</v>
      </c>
      <c r="B138" s="423" t="s">
        <v>820</v>
      </c>
      <c r="E138" s="423" t="s">
        <v>821</v>
      </c>
      <c r="F138" s="423" t="s">
        <v>822</v>
      </c>
      <c r="G138" s="60">
        <v>1</v>
      </c>
      <c r="H138" s="54" t="s">
        <v>73</v>
      </c>
      <c r="L138" s="97" t="s">
        <v>823</v>
      </c>
      <c r="N138" s="97" t="s">
        <v>824</v>
      </c>
      <c r="P138" s="57" t="s">
        <v>41</v>
      </c>
      <c r="Q138" s="61">
        <v>46058</v>
      </c>
      <c r="R138" s="55" t="s">
        <v>41</v>
      </c>
      <c r="S138" s="56">
        <v>45500</v>
      </c>
      <c r="T138" s="56" t="str">
        <f t="shared" si="18"/>
        <v>0</v>
      </c>
      <c r="U138" s="56">
        <v>45500</v>
      </c>
      <c r="V138" s="56">
        <f t="shared" si="16"/>
        <v>41363.63636363636</v>
      </c>
      <c r="W138" s="65">
        <f>IF(H138=재고내역!$F$9,출고요청서_raw!G138*1,IF(H138=재고내역!$F$10,출고요청서_raw!G138*2,IF(출고요청서_raw!H138=재고내역!$F$11,출고요청서_raw!G138*4,IF(출고요청서_raw!H138=재고내역!$F$12,출고요청서_raw!G138*6,IF(출고요청서_raw!H138=재고내역!$F$13,출고요청서_raw!G138*8)))))</f>
        <v>4</v>
      </c>
      <c r="X138" s="53"/>
      <c r="Y138" s="53"/>
      <c r="Z138" s="56">
        <f>W138*재고내역!$M$6</f>
        <v>30748</v>
      </c>
      <c r="AA138" s="56">
        <f t="shared" si="17"/>
        <v>4550</v>
      </c>
      <c r="AB138" s="56">
        <f t="shared" si="19"/>
        <v>6065.6363636363603</v>
      </c>
      <c r="AC138" s="376">
        <f t="shared" si="20"/>
        <v>0.14664175824175818</v>
      </c>
    </row>
    <row r="139" spans="1:29" ht="15.75" customHeight="1">
      <c r="A139" s="423" t="s">
        <v>825</v>
      </c>
      <c r="B139" s="423" t="s">
        <v>826</v>
      </c>
      <c r="E139" s="423" t="s">
        <v>827</v>
      </c>
      <c r="F139" s="423" t="s">
        <v>828</v>
      </c>
      <c r="G139" s="60">
        <v>1</v>
      </c>
      <c r="H139" s="54" t="s">
        <v>73</v>
      </c>
      <c r="L139" s="97" t="s">
        <v>163</v>
      </c>
      <c r="N139" s="97" t="s">
        <v>829</v>
      </c>
      <c r="P139" s="57" t="s">
        <v>41</v>
      </c>
      <c r="Q139" s="61">
        <v>46058</v>
      </c>
      <c r="R139" s="55" t="s">
        <v>41</v>
      </c>
      <c r="S139" s="56">
        <v>45500</v>
      </c>
      <c r="T139" s="56" t="str">
        <f t="shared" si="18"/>
        <v>0</v>
      </c>
      <c r="U139" s="56">
        <v>45500</v>
      </c>
      <c r="V139" s="56">
        <f t="shared" si="16"/>
        <v>41363.63636363636</v>
      </c>
      <c r="W139" s="65">
        <f>IF(H139=재고내역!$F$9,출고요청서_raw!G139*1,IF(H139=재고내역!$F$10,출고요청서_raw!G139*2,IF(출고요청서_raw!H139=재고내역!$F$11,출고요청서_raw!G139*4,IF(출고요청서_raw!H139=재고내역!$F$12,출고요청서_raw!G139*6,IF(출고요청서_raw!H139=재고내역!$F$13,출고요청서_raw!G139*8)))))</f>
        <v>4</v>
      </c>
      <c r="X139" s="53"/>
      <c r="Y139" s="53"/>
      <c r="Z139" s="56">
        <f>W139*재고내역!$M$6</f>
        <v>30748</v>
      </c>
      <c r="AA139" s="56">
        <f t="shared" si="17"/>
        <v>4550</v>
      </c>
      <c r="AB139" s="56">
        <f t="shared" si="19"/>
        <v>6065.6363636363603</v>
      </c>
      <c r="AC139" s="376">
        <f t="shared" si="20"/>
        <v>0.14664175824175818</v>
      </c>
    </row>
    <row r="140" spans="1:29" ht="15.75" customHeight="1">
      <c r="A140" s="423" t="s">
        <v>830</v>
      </c>
      <c r="B140" s="423" t="s">
        <v>831</v>
      </c>
      <c r="E140" s="423" t="s">
        <v>832</v>
      </c>
      <c r="F140" s="423" t="s">
        <v>833</v>
      </c>
      <c r="G140" s="60">
        <v>1</v>
      </c>
      <c r="H140" s="54" t="s">
        <v>73</v>
      </c>
      <c r="L140" s="97" t="s">
        <v>163</v>
      </c>
      <c r="N140" s="97" t="s">
        <v>834</v>
      </c>
      <c r="P140" s="57" t="s">
        <v>41</v>
      </c>
      <c r="Q140" s="61">
        <v>46058</v>
      </c>
      <c r="R140" s="55" t="s">
        <v>41</v>
      </c>
      <c r="S140" s="56">
        <v>45500</v>
      </c>
      <c r="T140" s="56" t="str">
        <f t="shared" si="18"/>
        <v>0</v>
      </c>
      <c r="U140" s="56">
        <v>45500</v>
      </c>
      <c r="V140" s="56">
        <f t="shared" ref="V140:V203" si="21">U140/1.1</f>
        <v>41363.63636363636</v>
      </c>
      <c r="W140" s="65">
        <f>IF(H140=재고내역!$F$9,출고요청서_raw!G140*1,IF(H140=재고내역!$F$10,출고요청서_raw!G140*2,IF(출고요청서_raw!H140=재고내역!$F$11,출고요청서_raw!G140*4,IF(출고요청서_raw!H140=재고내역!$F$12,출고요청서_raw!G140*6,IF(출고요청서_raw!H140=재고내역!$F$13,출고요청서_raw!G140*8)))))</f>
        <v>4</v>
      </c>
      <c r="X140" s="53"/>
      <c r="Y140" s="53"/>
      <c r="Z140" s="56">
        <f>W140*재고내역!$M$6</f>
        <v>30748</v>
      </c>
      <c r="AA140" s="56">
        <f t="shared" si="17"/>
        <v>4550</v>
      </c>
      <c r="AB140" s="56">
        <f t="shared" si="19"/>
        <v>6065.6363636363603</v>
      </c>
      <c r="AC140" s="376">
        <f t="shared" si="20"/>
        <v>0.14664175824175818</v>
      </c>
    </row>
    <row r="141" spans="1:29" ht="15.75" customHeight="1">
      <c r="A141" s="423" t="s">
        <v>835</v>
      </c>
      <c r="B141" s="423" t="s">
        <v>836</v>
      </c>
      <c r="E141" s="423" t="s">
        <v>837</v>
      </c>
      <c r="F141" s="423" t="s">
        <v>838</v>
      </c>
      <c r="G141" s="60">
        <v>1</v>
      </c>
      <c r="H141" s="54" t="s">
        <v>73</v>
      </c>
      <c r="L141" s="97" t="s">
        <v>839</v>
      </c>
      <c r="N141" s="97" t="s">
        <v>840</v>
      </c>
      <c r="P141" s="57" t="s">
        <v>41</v>
      </c>
      <c r="Q141" s="61">
        <v>46058</v>
      </c>
      <c r="R141" s="55" t="s">
        <v>41</v>
      </c>
      <c r="S141" s="56">
        <v>45500</v>
      </c>
      <c r="T141" s="56" t="str">
        <f t="shared" si="18"/>
        <v>0</v>
      </c>
      <c r="U141" s="56">
        <v>45500</v>
      </c>
      <c r="V141" s="56">
        <f t="shared" si="21"/>
        <v>41363.63636363636</v>
      </c>
      <c r="W141" s="65">
        <f>IF(H141=재고내역!$F$9,출고요청서_raw!G141*1,IF(H141=재고내역!$F$10,출고요청서_raw!G141*2,IF(출고요청서_raw!H141=재고내역!$F$11,출고요청서_raw!G141*4,IF(출고요청서_raw!H141=재고내역!$F$12,출고요청서_raw!G141*6,IF(출고요청서_raw!H141=재고내역!$F$13,출고요청서_raw!G141*8)))))</f>
        <v>4</v>
      </c>
      <c r="X141" s="53"/>
      <c r="Y141" s="53"/>
      <c r="Z141" s="56">
        <f>W141*재고내역!$M$6</f>
        <v>30748</v>
      </c>
      <c r="AA141" s="56">
        <f t="shared" si="17"/>
        <v>4550</v>
      </c>
      <c r="AB141" s="56">
        <f t="shared" si="19"/>
        <v>6065.6363636363603</v>
      </c>
      <c r="AC141" s="376">
        <f t="shared" si="20"/>
        <v>0.14664175824175818</v>
      </c>
    </row>
    <row r="142" spans="1:29" ht="15.75" customHeight="1">
      <c r="A142" s="423" t="s">
        <v>841</v>
      </c>
      <c r="B142" s="423" t="s">
        <v>842</v>
      </c>
      <c r="E142" s="423" t="s">
        <v>843</v>
      </c>
      <c r="F142" s="423" t="s">
        <v>844</v>
      </c>
      <c r="G142" s="60">
        <v>1</v>
      </c>
      <c r="H142" s="54" t="s">
        <v>73</v>
      </c>
      <c r="L142" s="97" t="s">
        <v>163</v>
      </c>
      <c r="N142" s="97" t="s">
        <v>845</v>
      </c>
      <c r="P142" s="57" t="s">
        <v>41</v>
      </c>
      <c r="Q142" s="61">
        <v>46058</v>
      </c>
      <c r="R142" s="55" t="s">
        <v>41</v>
      </c>
      <c r="S142" s="56">
        <v>45500</v>
      </c>
      <c r="T142" s="56" t="str">
        <f t="shared" si="18"/>
        <v>0</v>
      </c>
      <c r="U142" s="56">
        <v>45500</v>
      </c>
      <c r="V142" s="56">
        <f t="shared" si="21"/>
        <v>41363.63636363636</v>
      </c>
      <c r="W142" s="65">
        <f>IF(H142=재고내역!$F$9,출고요청서_raw!G142*1,IF(H142=재고내역!$F$10,출고요청서_raw!G142*2,IF(출고요청서_raw!H142=재고내역!$F$11,출고요청서_raw!G142*4,IF(출고요청서_raw!H142=재고내역!$F$12,출고요청서_raw!G142*6,IF(출고요청서_raw!H142=재고내역!$F$13,출고요청서_raw!G142*8)))))</f>
        <v>4</v>
      </c>
      <c r="X142" s="53"/>
      <c r="Y142" s="53"/>
      <c r="Z142" s="56">
        <f>W142*재고내역!$M$6</f>
        <v>30748</v>
      </c>
      <c r="AA142" s="56">
        <f t="shared" si="17"/>
        <v>4550</v>
      </c>
      <c r="AB142" s="56">
        <f t="shared" si="19"/>
        <v>6065.6363636363603</v>
      </c>
      <c r="AC142" s="376">
        <f t="shared" si="20"/>
        <v>0.14664175824175818</v>
      </c>
    </row>
    <row r="143" spans="1:29" ht="15.75" customHeight="1">
      <c r="A143" s="423" t="s">
        <v>846</v>
      </c>
      <c r="B143" s="423" t="s">
        <v>847</v>
      </c>
      <c r="E143" s="423" t="s">
        <v>848</v>
      </c>
      <c r="F143" s="423" t="s">
        <v>849</v>
      </c>
      <c r="G143" s="370">
        <v>2</v>
      </c>
      <c r="H143" s="54" t="s">
        <v>73</v>
      </c>
      <c r="L143" s="97" t="s">
        <v>163</v>
      </c>
      <c r="N143" s="97" t="s">
        <v>850</v>
      </c>
      <c r="P143" s="57" t="s">
        <v>41</v>
      </c>
      <c r="Q143" s="61">
        <v>46058</v>
      </c>
      <c r="R143" s="55" t="s">
        <v>41</v>
      </c>
      <c r="S143" s="56">
        <v>45500</v>
      </c>
      <c r="T143" s="56" t="str">
        <f t="shared" si="18"/>
        <v>0</v>
      </c>
      <c r="U143" s="56">
        <v>91000</v>
      </c>
      <c r="V143" s="56">
        <f t="shared" si="21"/>
        <v>82727.272727272721</v>
      </c>
      <c r="W143" s="65">
        <f>IF(H143=재고내역!$F$9,출고요청서_raw!G143*1,IF(H143=재고내역!$F$10,출고요청서_raw!G143*2,IF(출고요청서_raw!H143=재고내역!$F$11,출고요청서_raw!G143*4,IF(출고요청서_raw!H143=재고내역!$F$12,출고요청서_raw!G143*6,IF(출고요청서_raw!H143=재고내역!$F$13,출고요청서_raw!G143*8)))))</f>
        <v>8</v>
      </c>
      <c r="X143" s="53"/>
      <c r="Y143" s="53"/>
      <c r="Z143" s="56">
        <f>W143*재고내역!$M$6</f>
        <v>61496</v>
      </c>
      <c r="AA143" s="56">
        <f t="shared" si="17"/>
        <v>4550</v>
      </c>
      <c r="AB143" s="56">
        <f t="shared" si="19"/>
        <v>16681.272727272721</v>
      </c>
      <c r="AC143" s="376">
        <f t="shared" si="20"/>
        <v>0.20164175824175817</v>
      </c>
    </row>
    <row r="144" spans="1:29" ht="15.75" customHeight="1">
      <c r="A144" s="423" t="s">
        <v>851</v>
      </c>
      <c r="B144" s="423" t="s">
        <v>852</v>
      </c>
      <c r="E144" s="423" t="s">
        <v>853</v>
      </c>
      <c r="F144" s="423" t="s">
        <v>854</v>
      </c>
      <c r="G144" s="370">
        <v>4</v>
      </c>
      <c r="H144" s="54" t="s">
        <v>73</v>
      </c>
      <c r="L144" s="97" t="s">
        <v>163</v>
      </c>
      <c r="N144" s="97" t="s">
        <v>855</v>
      </c>
      <c r="P144" s="57" t="s">
        <v>41</v>
      </c>
      <c r="Q144" s="61">
        <v>46058</v>
      </c>
      <c r="R144" s="55" t="s">
        <v>41</v>
      </c>
      <c r="S144" s="56">
        <v>45500</v>
      </c>
      <c r="T144" s="56" t="str">
        <f t="shared" si="18"/>
        <v>0</v>
      </c>
      <c r="U144" s="56">
        <v>182000</v>
      </c>
      <c r="V144" s="56">
        <f t="shared" si="21"/>
        <v>165454.54545454544</v>
      </c>
      <c r="W144" s="65">
        <f>IF(H144=재고내역!$F$9,출고요청서_raw!G144*1,IF(H144=재고내역!$F$10,출고요청서_raw!G144*2,IF(출고요청서_raw!H144=재고내역!$F$11,출고요청서_raw!G144*4,IF(출고요청서_raw!H144=재고내역!$F$12,출고요청서_raw!G144*6,IF(출고요청서_raw!H144=재고내역!$F$13,출고요청서_raw!G144*8)))))</f>
        <v>16</v>
      </c>
      <c r="X144" s="53"/>
      <c r="Y144" s="53"/>
      <c r="Z144" s="56">
        <f>W144*재고내역!$M$6</f>
        <v>122992</v>
      </c>
      <c r="AA144" s="56">
        <f t="shared" si="17"/>
        <v>9100</v>
      </c>
      <c r="AB144" s="56">
        <f t="shared" si="19"/>
        <v>33362.545454545441</v>
      </c>
      <c r="AC144" s="376">
        <f t="shared" si="20"/>
        <v>0.20164175824175817</v>
      </c>
    </row>
    <row r="145" spans="1:29" ht="15.75" customHeight="1">
      <c r="A145" s="423" t="s">
        <v>856</v>
      </c>
      <c r="B145" s="423" t="s">
        <v>857</v>
      </c>
      <c r="E145" s="423" t="s">
        <v>858</v>
      </c>
      <c r="F145" s="423" t="s">
        <v>859</v>
      </c>
      <c r="G145" s="60">
        <v>3</v>
      </c>
      <c r="H145" s="54" t="s">
        <v>73</v>
      </c>
      <c r="L145" s="97" t="s">
        <v>163</v>
      </c>
      <c r="N145" s="97" t="s">
        <v>860</v>
      </c>
      <c r="P145" s="57" t="s">
        <v>41</v>
      </c>
      <c r="Q145" s="61">
        <v>46058</v>
      </c>
      <c r="R145" s="55" t="s">
        <v>41</v>
      </c>
      <c r="S145" s="56">
        <v>45500</v>
      </c>
      <c r="T145" s="56" t="str">
        <f t="shared" si="18"/>
        <v>0</v>
      </c>
      <c r="U145" s="56">
        <v>136500</v>
      </c>
      <c r="V145" s="56">
        <f t="shared" si="21"/>
        <v>124090.90909090907</v>
      </c>
      <c r="W145" s="65">
        <f>IF(H145=재고내역!$F$9,출고요청서_raw!G145*1,IF(H145=재고내역!$F$10,출고요청서_raw!G145*2,IF(출고요청서_raw!H145=재고내역!$F$11,출고요청서_raw!G145*4,IF(출고요청서_raw!H145=재고내역!$F$12,출고요청서_raw!G145*6,IF(출고요청서_raw!H145=재고내역!$F$13,출고요청서_raw!G145*8)))))</f>
        <v>12</v>
      </c>
      <c r="X145" s="53"/>
      <c r="Y145" s="53"/>
      <c r="Z145" s="56">
        <f>W145*재고내역!$M$6</f>
        <v>92244</v>
      </c>
      <c r="AA145" s="56">
        <f t="shared" si="17"/>
        <v>9100</v>
      </c>
      <c r="AB145" s="56">
        <f t="shared" si="19"/>
        <v>22746.909090909074</v>
      </c>
      <c r="AC145" s="376">
        <f t="shared" si="20"/>
        <v>0.18330842490842481</v>
      </c>
    </row>
    <row r="146" spans="1:29" ht="15.75" customHeight="1">
      <c r="A146" s="423" t="s">
        <v>861</v>
      </c>
      <c r="B146" s="423" t="s">
        <v>862</v>
      </c>
      <c r="E146" s="423" t="s">
        <v>863</v>
      </c>
      <c r="F146" s="423" t="s">
        <v>864</v>
      </c>
      <c r="G146" s="60">
        <v>1</v>
      </c>
      <c r="H146" s="54" t="s">
        <v>73</v>
      </c>
      <c r="L146" s="97" t="s">
        <v>163</v>
      </c>
      <c r="N146" s="97" t="s">
        <v>865</v>
      </c>
      <c r="P146" s="57" t="s">
        <v>41</v>
      </c>
      <c r="Q146" s="61">
        <v>46058</v>
      </c>
      <c r="R146" s="55" t="s">
        <v>41</v>
      </c>
      <c r="S146" s="56">
        <v>45500</v>
      </c>
      <c r="T146" s="56" t="str">
        <f t="shared" si="18"/>
        <v>0</v>
      </c>
      <c r="U146" s="56">
        <v>45500</v>
      </c>
      <c r="V146" s="56">
        <f t="shared" si="21"/>
        <v>41363.63636363636</v>
      </c>
      <c r="W146" s="65">
        <f>IF(H146=재고내역!$F$9,출고요청서_raw!G146*1,IF(H146=재고내역!$F$10,출고요청서_raw!G146*2,IF(출고요청서_raw!H146=재고내역!$F$11,출고요청서_raw!G146*4,IF(출고요청서_raw!H146=재고내역!$F$12,출고요청서_raw!G146*6,IF(출고요청서_raw!H146=재고내역!$F$13,출고요청서_raw!G146*8)))))</f>
        <v>4</v>
      </c>
      <c r="X146" s="53"/>
      <c r="Y146" s="53"/>
      <c r="Z146" s="56">
        <f>W146*재고내역!$M$6</f>
        <v>30748</v>
      </c>
      <c r="AA146" s="56">
        <f t="shared" si="17"/>
        <v>4550</v>
      </c>
      <c r="AB146" s="56">
        <f t="shared" si="19"/>
        <v>6065.6363636363603</v>
      </c>
      <c r="AC146" s="376">
        <f t="shared" si="20"/>
        <v>0.14664175824175818</v>
      </c>
    </row>
    <row r="147" spans="1:29" ht="15.75" customHeight="1">
      <c r="A147" s="423" t="s">
        <v>866</v>
      </c>
      <c r="B147" s="423" t="s">
        <v>867</v>
      </c>
      <c r="E147" s="423" t="s">
        <v>868</v>
      </c>
      <c r="F147" s="423" t="s">
        <v>869</v>
      </c>
      <c r="G147" s="60">
        <v>1</v>
      </c>
      <c r="H147" s="54" t="s">
        <v>73</v>
      </c>
      <c r="L147" s="97" t="s">
        <v>163</v>
      </c>
      <c r="N147" s="97" t="s">
        <v>870</v>
      </c>
      <c r="P147" s="57" t="s">
        <v>41</v>
      </c>
      <c r="Q147" s="61">
        <v>46058</v>
      </c>
      <c r="R147" s="55" t="s">
        <v>41</v>
      </c>
      <c r="S147" s="56">
        <v>45500</v>
      </c>
      <c r="T147" s="56" t="str">
        <f t="shared" si="18"/>
        <v>0</v>
      </c>
      <c r="U147" s="56">
        <v>45500</v>
      </c>
      <c r="V147" s="56">
        <f t="shared" si="21"/>
        <v>41363.63636363636</v>
      </c>
      <c r="W147" s="65">
        <f>IF(H147=재고내역!$F$9,출고요청서_raw!G147*1,IF(H147=재고내역!$F$10,출고요청서_raw!G147*2,IF(출고요청서_raw!H147=재고내역!$F$11,출고요청서_raw!G147*4,IF(출고요청서_raw!H147=재고내역!$F$12,출고요청서_raw!G147*6,IF(출고요청서_raw!H147=재고내역!$F$13,출고요청서_raw!G147*8)))))</f>
        <v>4</v>
      </c>
      <c r="X147" s="53"/>
      <c r="Y147" s="53"/>
      <c r="Z147" s="56">
        <f>W147*재고내역!$M$6</f>
        <v>30748</v>
      </c>
      <c r="AA147" s="56">
        <f t="shared" si="17"/>
        <v>4550</v>
      </c>
      <c r="AB147" s="56">
        <f t="shared" si="19"/>
        <v>6065.6363636363603</v>
      </c>
      <c r="AC147" s="376">
        <f t="shared" si="20"/>
        <v>0.14664175824175818</v>
      </c>
    </row>
    <row r="148" spans="1:29" ht="15.75" customHeight="1">
      <c r="A148" s="423" t="s">
        <v>871</v>
      </c>
      <c r="B148" s="423" t="s">
        <v>872</v>
      </c>
      <c r="E148" s="423" t="s">
        <v>873</v>
      </c>
      <c r="F148" s="423" t="s">
        <v>874</v>
      </c>
      <c r="G148" s="60">
        <v>1</v>
      </c>
      <c r="H148" s="54" t="s">
        <v>73</v>
      </c>
      <c r="L148" s="97" t="s">
        <v>163</v>
      </c>
      <c r="N148" s="97" t="s">
        <v>875</v>
      </c>
      <c r="P148" s="57" t="s">
        <v>41</v>
      </c>
      <c r="Q148" s="61">
        <v>46058</v>
      </c>
      <c r="R148" s="55" t="s">
        <v>41</v>
      </c>
      <c r="S148" s="56">
        <v>45500</v>
      </c>
      <c r="T148" s="56" t="str">
        <f t="shared" si="18"/>
        <v>0</v>
      </c>
      <c r="U148" s="56">
        <v>45500</v>
      </c>
      <c r="V148" s="56">
        <f t="shared" si="21"/>
        <v>41363.63636363636</v>
      </c>
      <c r="W148" s="65">
        <f>IF(H148=재고내역!$F$9,출고요청서_raw!G148*1,IF(H148=재고내역!$F$10,출고요청서_raw!G148*2,IF(출고요청서_raw!H148=재고내역!$F$11,출고요청서_raw!G148*4,IF(출고요청서_raw!H148=재고내역!$F$12,출고요청서_raw!G148*6,IF(출고요청서_raw!H148=재고내역!$F$13,출고요청서_raw!G148*8)))))</f>
        <v>4</v>
      </c>
      <c r="X148" s="53"/>
      <c r="Y148" s="53"/>
      <c r="Z148" s="56">
        <f>W148*재고내역!$M$6</f>
        <v>30748</v>
      </c>
      <c r="AA148" s="56">
        <f t="shared" si="17"/>
        <v>4550</v>
      </c>
      <c r="AB148" s="56">
        <f t="shared" si="19"/>
        <v>6065.6363636363603</v>
      </c>
      <c r="AC148" s="376">
        <f t="shared" si="20"/>
        <v>0.14664175824175818</v>
      </c>
    </row>
    <row r="149" spans="1:29" ht="15.75" customHeight="1">
      <c r="A149" s="423" t="s">
        <v>876</v>
      </c>
      <c r="B149" s="423" t="s">
        <v>877</v>
      </c>
      <c r="E149" s="423" t="s">
        <v>878</v>
      </c>
      <c r="F149" s="423" t="s">
        <v>879</v>
      </c>
      <c r="G149" s="60">
        <v>1</v>
      </c>
      <c r="H149" s="54" t="s">
        <v>73</v>
      </c>
      <c r="L149" s="97" t="s">
        <v>163</v>
      </c>
      <c r="N149" s="97" t="s">
        <v>880</v>
      </c>
      <c r="P149" s="57" t="s">
        <v>41</v>
      </c>
      <c r="Q149" s="61">
        <v>46058</v>
      </c>
      <c r="R149" s="55" t="s">
        <v>41</v>
      </c>
      <c r="S149" s="56">
        <v>45500</v>
      </c>
      <c r="T149" s="56" t="str">
        <f t="shared" si="18"/>
        <v>0</v>
      </c>
      <c r="U149" s="56">
        <v>45500</v>
      </c>
      <c r="V149" s="56">
        <f t="shared" si="21"/>
        <v>41363.63636363636</v>
      </c>
      <c r="W149" s="65">
        <f>IF(H149=재고내역!$F$9,출고요청서_raw!G149*1,IF(H149=재고내역!$F$10,출고요청서_raw!G149*2,IF(출고요청서_raw!H149=재고내역!$F$11,출고요청서_raw!G149*4,IF(출고요청서_raw!H149=재고내역!$F$12,출고요청서_raw!G149*6,IF(출고요청서_raw!H149=재고내역!$F$13,출고요청서_raw!G149*8)))))</f>
        <v>4</v>
      </c>
      <c r="X149" s="53"/>
      <c r="Y149" s="53"/>
      <c r="Z149" s="56">
        <f>W149*재고내역!$M$6</f>
        <v>30748</v>
      </c>
      <c r="AA149" s="56">
        <f t="shared" si="17"/>
        <v>4550</v>
      </c>
      <c r="AB149" s="56">
        <f t="shared" si="19"/>
        <v>6065.6363636363603</v>
      </c>
      <c r="AC149" s="376">
        <f t="shared" si="20"/>
        <v>0.14664175824175818</v>
      </c>
    </row>
    <row r="150" spans="1:29" ht="15.75" customHeight="1">
      <c r="A150" s="423" t="s">
        <v>881</v>
      </c>
      <c r="B150" s="423" t="s">
        <v>882</v>
      </c>
      <c r="E150" s="423" t="s">
        <v>883</v>
      </c>
      <c r="F150" s="423" t="s">
        <v>884</v>
      </c>
      <c r="G150" s="60">
        <v>1</v>
      </c>
      <c r="H150" s="54" t="s">
        <v>73</v>
      </c>
      <c r="L150" s="97" t="s">
        <v>163</v>
      </c>
      <c r="N150" s="97" t="s">
        <v>885</v>
      </c>
      <c r="P150" s="57" t="s">
        <v>41</v>
      </c>
      <c r="Q150" s="61">
        <v>46058</v>
      </c>
      <c r="R150" s="55" t="s">
        <v>41</v>
      </c>
      <c r="S150" s="56">
        <v>45500</v>
      </c>
      <c r="T150" s="56" t="str">
        <f t="shared" si="18"/>
        <v>0</v>
      </c>
      <c r="U150" s="56">
        <v>45500</v>
      </c>
      <c r="V150" s="56">
        <f t="shared" si="21"/>
        <v>41363.63636363636</v>
      </c>
      <c r="W150" s="65">
        <f>IF(H150=재고내역!$F$9,출고요청서_raw!G150*1,IF(H150=재고내역!$F$10,출고요청서_raw!G150*2,IF(출고요청서_raw!H150=재고내역!$F$11,출고요청서_raw!G150*4,IF(출고요청서_raw!H150=재고내역!$F$12,출고요청서_raw!G150*6,IF(출고요청서_raw!H150=재고내역!$F$13,출고요청서_raw!G150*8)))))</f>
        <v>4</v>
      </c>
      <c r="X150" s="53"/>
      <c r="Y150" s="53"/>
      <c r="Z150" s="56">
        <f>W150*재고내역!$M$6</f>
        <v>30748</v>
      </c>
      <c r="AA150" s="56">
        <f t="shared" si="17"/>
        <v>4550</v>
      </c>
      <c r="AB150" s="56">
        <f t="shared" si="19"/>
        <v>6065.6363636363603</v>
      </c>
      <c r="AC150" s="376">
        <f t="shared" si="20"/>
        <v>0.14664175824175818</v>
      </c>
    </row>
    <row r="151" spans="1:29" ht="15.75" customHeight="1">
      <c r="A151" s="423" t="s">
        <v>886</v>
      </c>
      <c r="B151" s="423" t="s">
        <v>887</v>
      </c>
      <c r="E151" s="423" t="s">
        <v>888</v>
      </c>
      <c r="F151" s="423" t="s">
        <v>889</v>
      </c>
      <c r="G151" s="60">
        <v>1</v>
      </c>
      <c r="H151" s="54" t="s">
        <v>73</v>
      </c>
      <c r="L151" s="97" t="s">
        <v>163</v>
      </c>
      <c r="N151" s="97" t="s">
        <v>890</v>
      </c>
      <c r="P151" s="57" t="s">
        <v>41</v>
      </c>
      <c r="Q151" s="61">
        <v>46058</v>
      </c>
      <c r="R151" s="55" t="s">
        <v>41</v>
      </c>
      <c r="S151" s="56">
        <v>45500</v>
      </c>
      <c r="T151" s="56" t="str">
        <f t="shared" si="18"/>
        <v>0</v>
      </c>
      <c r="U151" s="56">
        <v>45500</v>
      </c>
      <c r="V151" s="56">
        <f t="shared" si="21"/>
        <v>41363.63636363636</v>
      </c>
      <c r="W151" s="65">
        <f>IF(H151=재고내역!$F$9,출고요청서_raw!G151*1,IF(H151=재고내역!$F$10,출고요청서_raw!G151*2,IF(출고요청서_raw!H151=재고내역!$F$11,출고요청서_raw!G151*4,IF(출고요청서_raw!H151=재고내역!$F$12,출고요청서_raw!G151*6,IF(출고요청서_raw!H151=재고내역!$F$13,출고요청서_raw!G151*8)))))</f>
        <v>4</v>
      </c>
      <c r="X151" s="53"/>
      <c r="Y151" s="53"/>
      <c r="Z151" s="56">
        <f>W151*재고내역!$M$6</f>
        <v>30748</v>
      </c>
      <c r="AA151" s="56">
        <f t="shared" si="17"/>
        <v>4550</v>
      </c>
      <c r="AB151" s="56">
        <f t="shared" si="19"/>
        <v>6065.6363636363603</v>
      </c>
      <c r="AC151" s="376">
        <f t="shared" si="20"/>
        <v>0.14664175824175818</v>
      </c>
    </row>
    <row r="152" spans="1:29" ht="15.75" customHeight="1">
      <c r="A152" s="423" t="s">
        <v>891</v>
      </c>
      <c r="B152" s="423" t="s">
        <v>892</v>
      </c>
      <c r="E152" s="423" t="s">
        <v>893</v>
      </c>
      <c r="F152" s="423" t="s">
        <v>894</v>
      </c>
      <c r="G152" s="60">
        <v>1</v>
      </c>
      <c r="H152" s="54" t="s">
        <v>73</v>
      </c>
      <c r="L152" s="97" t="s">
        <v>163</v>
      </c>
      <c r="N152" s="97" t="s">
        <v>895</v>
      </c>
      <c r="P152" s="57" t="s">
        <v>41</v>
      </c>
      <c r="Q152" s="61">
        <v>46058</v>
      </c>
      <c r="R152" s="55" t="s">
        <v>41</v>
      </c>
      <c r="S152" s="56">
        <v>45500</v>
      </c>
      <c r="T152" s="56" t="str">
        <f t="shared" si="18"/>
        <v>0</v>
      </c>
      <c r="U152" s="56">
        <v>45500</v>
      </c>
      <c r="V152" s="56">
        <f t="shared" si="21"/>
        <v>41363.63636363636</v>
      </c>
      <c r="W152" s="65">
        <f>IF(H152=재고내역!$F$9,출고요청서_raw!G152*1,IF(H152=재고내역!$F$10,출고요청서_raw!G152*2,IF(출고요청서_raw!H152=재고내역!$F$11,출고요청서_raw!G152*4,IF(출고요청서_raw!H152=재고내역!$F$12,출고요청서_raw!G152*6,IF(출고요청서_raw!H152=재고내역!$F$13,출고요청서_raw!G152*8)))))</f>
        <v>4</v>
      </c>
      <c r="X152" s="53"/>
      <c r="Y152" s="53"/>
      <c r="Z152" s="56">
        <f>W152*재고내역!$M$6</f>
        <v>30748</v>
      </c>
      <c r="AA152" s="56">
        <f t="shared" si="17"/>
        <v>4550</v>
      </c>
      <c r="AB152" s="56">
        <f t="shared" si="19"/>
        <v>6065.6363636363603</v>
      </c>
      <c r="AC152" s="376">
        <f t="shared" si="20"/>
        <v>0.14664175824175818</v>
      </c>
    </row>
    <row r="153" spans="1:29" ht="15.75" customHeight="1">
      <c r="A153" s="423" t="s">
        <v>896</v>
      </c>
      <c r="B153" s="423" t="s">
        <v>897</v>
      </c>
      <c r="E153" s="423" t="s">
        <v>898</v>
      </c>
      <c r="F153" s="423" t="s">
        <v>899</v>
      </c>
      <c r="G153" s="60">
        <v>1</v>
      </c>
      <c r="H153" s="54" t="s">
        <v>73</v>
      </c>
      <c r="L153" s="97" t="s">
        <v>163</v>
      </c>
      <c r="N153" s="97" t="s">
        <v>900</v>
      </c>
      <c r="P153" s="57" t="s">
        <v>41</v>
      </c>
      <c r="Q153" s="61">
        <v>46058</v>
      </c>
      <c r="R153" s="55" t="s">
        <v>41</v>
      </c>
      <c r="S153" s="56">
        <v>45500</v>
      </c>
      <c r="T153" s="56" t="str">
        <f t="shared" si="18"/>
        <v>0</v>
      </c>
      <c r="U153" s="56">
        <v>45500</v>
      </c>
      <c r="V153" s="56">
        <f t="shared" si="21"/>
        <v>41363.63636363636</v>
      </c>
      <c r="W153" s="65">
        <f>IF(H153=재고내역!$F$9,출고요청서_raw!G153*1,IF(H153=재고내역!$F$10,출고요청서_raw!G153*2,IF(출고요청서_raw!H153=재고내역!$F$11,출고요청서_raw!G153*4,IF(출고요청서_raw!H153=재고내역!$F$12,출고요청서_raw!G153*6,IF(출고요청서_raw!H153=재고내역!$F$13,출고요청서_raw!G153*8)))))</f>
        <v>4</v>
      </c>
      <c r="X153" s="53"/>
      <c r="Y153" s="53"/>
      <c r="Z153" s="56">
        <f>W153*재고내역!$M$6</f>
        <v>30748</v>
      </c>
      <c r="AA153" s="56">
        <f t="shared" si="17"/>
        <v>4550</v>
      </c>
      <c r="AB153" s="56">
        <f t="shared" si="19"/>
        <v>6065.6363636363603</v>
      </c>
      <c r="AC153" s="376">
        <f t="shared" si="20"/>
        <v>0.14664175824175818</v>
      </c>
    </row>
    <row r="154" spans="1:29" ht="15.75" customHeight="1">
      <c r="A154" s="423" t="s">
        <v>901</v>
      </c>
      <c r="B154" s="423" t="s">
        <v>902</v>
      </c>
      <c r="E154" s="423" t="s">
        <v>903</v>
      </c>
      <c r="F154" s="423" t="s">
        <v>904</v>
      </c>
      <c r="G154" s="370">
        <v>2</v>
      </c>
      <c r="H154" s="54" t="s">
        <v>73</v>
      </c>
      <c r="L154" s="97" t="s">
        <v>163</v>
      </c>
      <c r="N154" s="97" t="s">
        <v>905</v>
      </c>
      <c r="P154" s="57" t="s">
        <v>41</v>
      </c>
      <c r="Q154" s="61">
        <v>46058</v>
      </c>
      <c r="R154" s="55" t="s">
        <v>41</v>
      </c>
      <c r="S154" s="56">
        <v>45500</v>
      </c>
      <c r="T154" s="56" t="str">
        <f t="shared" si="18"/>
        <v>0</v>
      </c>
      <c r="U154" s="56">
        <v>91000</v>
      </c>
      <c r="V154" s="56">
        <f t="shared" si="21"/>
        <v>82727.272727272721</v>
      </c>
      <c r="W154" s="65">
        <f>IF(H154=재고내역!$F$9,출고요청서_raw!G154*1,IF(H154=재고내역!$F$10,출고요청서_raw!G154*2,IF(출고요청서_raw!H154=재고내역!$F$11,출고요청서_raw!G154*4,IF(출고요청서_raw!H154=재고내역!$F$12,출고요청서_raw!G154*6,IF(출고요청서_raw!H154=재고내역!$F$13,출고요청서_raw!G154*8)))))</f>
        <v>8</v>
      </c>
      <c r="X154" s="53"/>
      <c r="Y154" s="53"/>
      <c r="Z154" s="56">
        <f>W154*재고내역!$M$6</f>
        <v>61496</v>
      </c>
      <c r="AA154" s="56">
        <f t="shared" si="17"/>
        <v>4550</v>
      </c>
      <c r="AB154" s="56">
        <f t="shared" si="19"/>
        <v>16681.272727272721</v>
      </c>
      <c r="AC154" s="376">
        <f t="shared" si="20"/>
        <v>0.20164175824175817</v>
      </c>
    </row>
    <row r="155" spans="1:29" ht="15.75" customHeight="1">
      <c r="A155" s="423" t="s">
        <v>906</v>
      </c>
      <c r="B155" s="423" t="s">
        <v>907</v>
      </c>
      <c r="E155" s="423" t="s">
        <v>908</v>
      </c>
      <c r="F155" s="423" t="s">
        <v>909</v>
      </c>
      <c r="G155" s="60">
        <v>1</v>
      </c>
      <c r="H155" s="54" t="s">
        <v>73</v>
      </c>
      <c r="L155" s="97" t="s">
        <v>163</v>
      </c>
      <c r="N155" s="97" t="s">
        <v>910</v>
      </c>
      <c r="P155" s="57" t="s">
        <v>41</v>
      </c>
      <c r="Q155" s="61">
        <v>46058</v>
      </c>
      <c r="R155" s="55" t="s">
        <v>41</v>
      </c>
      <c r="S155" s="56">
        <v>45500</v>
      </c>
      <c r="T155" s="56" t="str">
        <f t="shared" si="18"/>
        <v>0</v>
      </c>
      <c r="U155" s="56">
        <v>45500</v>
      </c>
      <c r="V155" s="56">
        <f t="shared" si="21"/>
        <v>41363.63636363636</v>
      </c>
      <c r="W155" s="65">
        <f>IF(H155=재고내역!$F$9,출고요청서_raw!G155*1,IF(H155=재고내역!$F$10,출고요청서_raw!G155*2,IF(출고요청서_raw!H155=재고내역!$F$11,출고요청서_raw!G155*4,IF(출고요청서_raw!H155=재고내역!$F$12,출고요청서_raw!G155*6,IF(출고요청서_raw!H155=재고내역!$F$13,출고요청서_raw!G155*8)))))</f>
        <v>4</v>
      </c>
      <c r="X155" s="53"/>
      <c r="Y155" s="53"/>
      <c r="Z155" s="56">
        <f>W155*재고내역!$M$6</f>
        <v>30748</v>
      </c>
      <c r="AA155" s="56">
        <f t="shared" si="17"/>
        <v>4550</v>
      </c>
      <c r="AB155" s="56">
        <f t="shared" si="19"/>
        <v>6065.6363636363603</v>
      </c>
      <c r="AC155" s="376">
        <f t="shared" si="20"/>
        <v>0.14664175824175818</v>
      </c>
    </row>
    <row r="156" spans="1:29" ht="15.75" customHeight="1">
      <c r="A156" s="423" t="s">
        <v>911</v>
      </c>
      <c r="B156" s="423" t="s">
        <v>912</v>
      </c>
      <c r="E156" s="423" t="s">
        <v>913</v>
      </c>
      <c r="F156" s="423" t="s">
        <v>914</v>
      </c>
      <c r="G156" s="60">
        <v>1</v>
      </c>
      <c r="H156" s="54" t="s">
        <v>73</v>
      </c>
      <c r="L156" s="97" t="s">
        <v>163</v>
      </c>
      <c r="N156" s="97" t="s">
        <v>915</v>
      </c>
      <c r="P156" s="57" t="s">
        <v>41</v>
      </c>
      <c r="Q156" s="61">
        <v>46058</v>
      </c>
      <c r="R156" s="55" t="s">
        <v>41</v>
      </c>
      <c r="S156" s="56">
        <v>45500</v>
      </c>
      <c r="T156" s="56" t="str">
        <f t="shared" si="18"/>
        <v>0</v>
      </c>
      <c r="U156" s="56">
        <v>45500</v>
      </c>
      <c r="V156" s="56">
        <f t="shared" si="21"/>
        <v>41363.63636363636</v>
      </c>
      <c r="W156" s="65">
        <f>IF(H156=재고내역!$F$9,출고요청서_raw!G156*1,IF(H156=재고내역!$F$10,출고요청서_raw!G156*2,IF(출고요청서_raw!H156=재고내역!$F$11,출고요청서_raw!G156*4,IF(출고요청서_raw!H156=재고내역!$F$12,출고요청서_raw!G156*6,IF(출고요청서_raw!H156=재고내역!$F$13,출고요청서_raw!G156*8)))))</f>
        <v>4</v>
      </c>
      <c r="X156" s="53"/>
      <c r="Y156" s="53"/>
      <c r="Z156" s="56">
        <f>W156*재고내역!$M$6</f>
        <v>30748</v>
      </c>
      <c r="AA156" s="56">
        <f t="shared" si="17"/>
        <v>4550</v>
      </c>
      <c r="AB156" s="56">
        <f t="shared" si="19"/>
        <v>6065.6363636363603</v>
      </c>
      <c r="AC156" s="376">
        <f t="shared" si="20"/>
        <v>0.14664175824175818</v>
      </c>
    </row>
    <row r="157" spans="1:29" ht="15.75" customHeight="1">
      <c r="A157" s="423" t="s">
        <v>916</v>
      </c>
      <c r="B157" s="423" t="s">
        <v>917</v>
      </c>
      <c r="E157" s="423" t="s">
        <v>918</v>
      </c>
      <c r="F157" s="423" t="s">
        <v>919</v>
      </c>
      <c r="G157" s="60">
        <v>1</v>
      </c>
      <c r="H157" s="54" t="s">
        <v>73</v>
      </c>
      <c r="L157" s="97" t="s">
        <v>163</v>
      </c>
      <c r="N157" s="97" t="s">
        <v>920</v>
      </c>
      <c r="P157" s="57" t="s">
        <v>41</v>
      </c>
      <c r="Q157" s="61">
        <v>46058</v>
      </c>
      <c r="R157" s="55" t="s">
        <v>41</v>
      </c>
      <c r="S157" s="56">
        <v>45500</v>
      </c>
      <c r="T157" s="56" t="str">
        <f t="shared" si="18"/>
        <v>0</v>
      </c>
      <c r="U157" s="56">
        <v>45500</v>
      </c>
      <c r="V157" s="56">
        <f t="shared" si="21"/>
        <v>41363.63636363636</v>
      </c>
      <c r="W157" s="65">
        <f>IF(H157=재고내역!$F$9,출고요청서_raw!G157*1,IF(H157=재고내역!$F$10,출고요청서_raw!G157*2,IF(출고요청서_raw!H157=재고내역!$F$11,출고요청서_raw!G157*4,IF(출고요청서_raw!H157=재고내역!$F$12,출고요청서_raw!G157*6,IF(출고요청서_raw!H157=재고내역!$F$13,출고요청서_raw!G157*8)))))</f>
        <v>4</v>
      </c>
      <c r="X157" s="53"/>
      <c r="Y157" s="53"/>
      <c r="Z157" s="56">
        <f>W157*재고내역!$M$6</f>
        <v>30748</v>
      </c>
      <c r="AA157" s="56">
        <f t="shared" si="17"/>
        <v>4550</v>
      </c>
      <c r="AB157" s="56">
        <f t="shared" si="19"/>
        <v>6065.6363636363603</v>
      </c>
      <c r="AC157" s="376">
        <f t="shared" si="20"/>
        <v>0.14664175824175818</v>
      </c>
    </row>
    <row r="158" spans="1:29" ht="15.75" customHeight="1">
      <c r="A158" s="423" t="s">
        <v>921</v>
      </c>
      <c r="B158" s="423" t="s">
        <v>922</v>
      </c>
      <c r="E158" s="423" t="s">
        <v>923</v>
      </c>
      <c r="F158" s="423" t="s">
        <v>924</v>
      </c>
      <c r="G158" s="60">
        <v>1</v>
      </c>
      <c r="H158" s="54" t="s">
        <v>73</v>
      </c>
      <c r="L158" s="97" t="s">
        <v>163</v>
      </c>
      <c r="N158" s="97" t="s">
        <v>925</v>
      </c>
      <c r="P158" s="57" t="s">
        <v>41</v>
      </c>
      <c r="Q158" s="61">
        <v>46058</v>
      </c>
      <c r="R158" s="55" t="s">
        <v>41</v>
      </c>
      <c r="S158" s="56">
        <v>45500</v>
      </c>
      <c r="T158" s="56" t="str">
        <f t="shared" si="18"/>
        <v>0</v>
      </c>
      <c r="U158" s="56">
        <v>45500</v>
      </c>
      <c r="V158" s="56">
        <f t="shared" si="21"/>
        <v>41363.63636363636</v>
      </c>
      <c r="W158" s="65">
        <f>IF(H158=재고내역!$F$9,출고요청서_raw!G158*1,IF(H158=재고내역!$F$10,출고요청서_raw!G158*2,IF(출고요청서_raw!H158=재고내역!$F$11,출고요청서_raw!G158*4,IF(출고요청서_raw!H158=재고내역!$F$12,출고요청서_raw!G158*6,IF(출고요청서_raw!H158=재고내역!$F$13,출고요청서_raw!G158*8)))))</f>
        <v>4</v>
      </c>
      <c r="X158" s="53"/>
      <c r="Y158" s="53"/>
      <c r="Z158" s="56">
        <f>W158*재고내역!$M$6</f>
        <v>30748</v>
      </c>
      <c r="AA158" s="56">
        <f t="shared" si="17"/>
        <v>4550</v>
      </c>
      <c r="AB158" s="56">
        <f t="shared" si="19"/>
        <v>6065.6363636363603</v>
      </c>
      <c r="AC158" s="376">
        <f t="shared" si="20"/>
        <v>0.14664175824175818</v>
      </c>
    </row>
    <row r="159" spans="1:29" ht="15.75" customHeight="1">
      <c r="A159" s="423" t="s">
        <v>926</v>
      </c>
      <c r="B159" s="423" t="s">
        <v>927</v>
      </c>
      <c r="E159" s="423" t="s">
        <v>928</v>
      </c>
      <c r="F159" s="423" t="s">
        <v>929</v>
      </c>
      <c r="G159" s="60">
        <v>1</v>
      </c>
      <c r="H159" s="54" t="s">
        <v>73</v>
      </c>
      <c r="L159" s="97" t="s">
        <v>163</v>
      </c>
      <c r="N159" s="97" t="s">
        <v>930</v>
      </c>
      <c r="P159" s="57" t="s">
        <v>41</v>
      </c>
      <c r="Q159" s="61">
        <v>46058</v>
      </c>
      <c r="R159" s="55" t="s">
        <v>41</v>
      </c>
      <c r="S159" s="56">
        <v>45500</v>
      </c>
      <c r="T159" s="56" t="str">
        <f t="shared" si="18"/>
        <v>0</v>
      </c>
      <c r="U159" s="56">
        <v>45500</v>
      </c>
      <c r="V159" s="56">
        <f t="shared" si="21"/>
        <v>41363.63636363636</v>
      </c>
      <c r="W159" s="65">
        <f>IF(H159=재고내역!$F$9,출고요청서_raw!G159*1,IF(H159=재고내역!$F$10,출고요청서_raw!G159*2,IF(출고요청서_raw!H159=재고내역!$F$11,출고요청서_raw!G159*4,IF(출고요청서_raw!H159=재고내역!$F$12,출고요청서_raw!G159*6,IF(출고요청서_raw!H159=재고내역!$F$13,출고요청서_raw!G159*8)))))</f>
        <v>4</v>
      </c>
      <c r="X159" s="53"/>
      <c r="Y159" s="53"/>
      <c r="Z159" s="56">
        <f>W159*재고내역!$M$6</f>
        <v>30748</v>
      </c>
      <c r="AA159" s="56">
        <f t="shared" si="17"/>
        <v>4550</v>
      </c>
      <c r="AB159" s="56">
        <f t="shared" si="19"/>
        <v>6065.6363636363603</v>
      </c>
      <c r="AC159" s="376">
        <f t="shared" si="20"/>
        <v>0.14664175824175818</v>
      </c>
    </row>
    <row r="160" spans="1:29" ht="15.75" customHeight="1">
      <c r="A160" s="423" t="s">
        <v>931</v>
      </c>
      <c r="B160" s="423" t="s">
        <v>932</v>
      </c>
      <c r="E160" s="423" t="s">
        <v>933</v>
      </c>
      <c r="F160" s="423" t="s">
        <v>934</v>
      </c>
      <c r="G160" s="60">
        <v>1</v>
      </c>
      <c r="H160" s="54" t="s">
        <v>73</v>
      </c>
      <c r="L160" s="97" t="s">
        <v>163</v>
      </c>
      <c r="N160" s="97" t="s">
        <v>935</v>
      </c>
      <c r="P160" s="57" t="s">
        <v>41</v>
      </c>
      <c r="Q160" s="61">
        <v>46058</v>
      </c>
      <c r="R160" s="55" t="s">
        <v>41</v>
      </c>
      <c r="S160" s="56">
        <v>45500</v>
      </c>
      <c r="T160" s="56" t="str">
        <f t="shared" si="18"/>
        <v>0</v>
      </c>
      <c r="U160" s="56">
        <v>45500</v>
      </c>
      <c r="V160" s="56">
        <f t="shared" si="21"/>
        <v>41363.63636363636</v>
      </c>
      <c r="W160" s="65">
        <f>IF(H160=재고내역!$F$9,출고요청서_raw!G160*1,IF(H160=재고내역!$F$10,출고요청서_raw!G160*2,IF(출고요청서_raw!H160=재고내역!$F$11,출고요청서_raw!G160*4,IF(출고요청서_raw!H160=재고내역!$F$12,출고요청서_raw!G160*6,IF(출고요청서_raw!H160=재고내역!$F$13,출고요청서_raw!G160*8)))))</f>
        <v>4</v>
      </c>
      <c r="X160" s="53"/>
      <c r="Y160" s="53"/>
      <c r="Z160" s="56">
        <f>W160*재고내역!$M$6</f>
        <v>30748</v>
      </c>
      <c r="AA160" s="56">
        <f t="shared" si="17"/>
        <v>4550</v>
      </c>
      <c r="AB160" s="56">
        <f t="shared" si="19"/>
        <v>6065.6363636363603</v>
      </c>
      <c r="AC160" s="376">
        <f t="shared" si="20"/>
        <v>0.14664175824175818</v>
      </c>
    </row>
    <row r="161" spans="1:29" ht="15.75" customHeight="1">
      <c r="A161" s="423" t="s">
        <v>936</v>
      </c>
      <c r="B161" s="423" t="s">
        <v>937</v>
      </c>
      <c r="E161" s="423" t="s">
        <v>938</v>
      </c>
      <c r="F161" s="423" t="s">
        <v>939</v>
      </c>
      <c r="G161" s="60">
        <v>1</v>
      </c>
      <c r="H161" s="54" t="s">
        <v>73</v>
      </c>
      <c r="L161" s="97" t="s">
        <v>448</v>
      </c>
      <c r="N161" s="97" t="s">
        <v>940</v>
      </c>
      <c r="P161" s="57" t="s">
        <v>41</v>
      </c>
      <c r="Q161" s="61">
        <v>46058</v>
      </c>
      <c r="R161" s="55" t="s">
        <v>41</v>
      </c>
      <c r="S161" s="56">
        <v>45500</v>
      </c>
      <c r="T161" s="56" t="str">
        <f t="shared" si="18"/>
        <v>0</v>
      </c>
      <c r="U161" s="56">
        <v>45500</v>
      </c>
      <c r="V161" s="56">
        <f t="shared" si="21"/>
        <v>41363.63636363636</v>
      </c>
      <c r="W161" s="65">
        <f>IF(H161=재고내역!$F$9,출고요청서_raw!G161*1,IF(H161=재고내역!$F$10,출고요청서_raw!G161*2,IF(출고요청서_raw!H161=재고내역!$F$11,출고요청서_raw!G161*4,IF(출고요청서_raw!H161=재고내역!$F$12,출고요청서_raw!G161*6,IF(출고요청서_raw!H161=재고내역!$F$13,출고요청서_raw!G161*8)))))</f>
        <v>4</v>
      </c>
      <c r="X161" s="53"/>
      <c r="Y161" s="53"/>
      <c r="Z161" s="56">
        <f>W161*재고내역!$M$6</f>
        <v>30748</v>
      </c>
      <c r="AA161" s="56">
        <f t="shared" si="17"/>
        <v>4550</v>
      </c>
      <c r="AB161" s="56">
        <f t="shared" si="19"/>
        <v>6065.6363636363603</v>
      </c>
      <c r="AC161" s="376">
        <f t="shared" si="20"/>
        <v>0.14664175824175818</v>
      </c>
    </row>
    <row r="162" spans="1:29" ht="15.75" customHeight="1">
      <c r="A162" s="423" t="s">
        <v>941</v>
      </c>
      <c r="B162" s="423" t="s">
        <v>942</v>
      </c>
      <c r="E162" s="423" t="s">
        <v>943</v>
      </c>
      <c r="F162" s="423" t="s">
        <v>944</v>
      </c>
      <c r="G162" s="60">
        <v>1</v>
      </c>
      <c r="H162" s="54" t="s">
        <v>73</v>
      </c>
      <c r="L162" s="97" t="s">
        <v>163</v>
      </c>
      <c r="N162" s="97" t="s">
        <v>945</v>
      </c>
      <c r="P162" s="57" t="s">
        <v>41</v>
      </c>
      <c r="Q162" s="61">
        <v>46058</v>
      </c>
      <c r="R162" s="55" t="s">
        <v>41</v>
      </c>
      <c r="S162" s="56">
        <v>45500</v>
      </c>
      <c r="T162" s="56" t="str">
        <f t="shared" si="18"/>
        <v>0</v>
      </c>
      <c r="U162" s="56">
        <v>45500</v>
      </c>
      <c r="V162" s="56">
        <f t="shared" si="21"/>
        <v>41363.63636363636</v>
      </c>
      <c r="W162" s="65">
        <f>IF(H162=재고내역!$F$9,출고요청서_raw!G162*1,IF(H162=재고내역!$F$10,출고요청서_raw!G162*2,IF(출고요청서_raw!H162=재고내역!$F$11,출고요청서_raw!G162*4,IF(출고요청서_raw!H162=재고내역!$F$12,출고요청서_raw!G162*6,IF(출고요청서_raw!H162=재고내역!$F$13,출고요청서_raw!G162*8)))))</f>
        <v>4</v>
      </c>
      <c r="X162" s="53"/>
      <c r="Y162" s="53"/>
      <c r="Z162" s="56">
        <f>W162*재고내역!$M$6</f>
        <v>30748</v>
      </c>
      <c r="AA162" s="56">
        <f t="shared" si="17"/>
        <v>4550</v>
      </c>
      <c r="AB162" s="56">
        <f t="shared" si="19"/>
        <v>6065.6363636363603</v>
      </c>
      <c r="AC162" s="376">
        <f t="shared" si="20"/>
        <v>0.14664175824175818</v>
      </c>
    </row>
    <row r="163" spans="1:29" ht="15.75" customHeight="1">
      <c r="A163" s="423" t="s">
        <v>946</v>
      </c>
      <c r="B163" s="423" t="s">
        <v>947</v>
      </c>
      <c r="E163" s="423" t="s">
        <v>948</v>
      </c>
      <c r="F163" s="423" t="s">
        <v>949</v>
      </c>
      <c r="G163" s="60">
        <v>1</v>
      </c>
      <c r="H163" s="54" t="s">
        <v>73</v>
      </c>
      <c r="L163" s="97" t="s">
        <v>163</v>
      </c>
      <c r="N163" s="97" t="s">
        <v>950</v>
      </c>
      <c r="P163" s="57" t="s">
        <v>41</v>
      </c>
      <c r="Q163" s="61">
        <v>46058</v>
      </c>
      <c r="R163" s="55" t="s">
        <v>41</v>
      </c>
      <c r="S163" s="56">
        <v>45500</v>
      </c>
      <c r="T163" s="56" t="str">
        <f t="shared" si="18"/>
        <v>0</v>
      </c>
      <c r="U163" s="56">
        <v>45500</v>
      </c>
      <c r="V163" s="56">
        <f t="shared" si="21"/>
        <v>41363.63636363636</v>
      </c>
      <c r="W163" s="65">
        <f>IF(H163=재고내역!$F$9,출고요청서_raw!G163*1,IF(H163=재고내역!$F$10,출고요청서_raw!G163*2,IF(출고요청서_raw!H163=재고내역!$F$11,출고요청서_raw!G163*4,IF(출고요청서_raw!H163=재고내역!$F$12,출고요청서_raw!G163*6,IF(출고요청서_raw!H163=재고내역!$F$13,출고요청서_raw!G163*8)))))</f>
        <v>4</v>
      </c>
      <c r="X163" s="53"/>
      <c r="Y163" s="53"/>
      <c r="Z163" s="56">
        <f>W163*재고내역!$M$6</f>
        <v>30748</v>
      </c>
      <c r="AA163" s="56">
        <f t="shared" si="17"/>
        <v>4550</v>
      </c>
      <c r="AB163" s="56">
        <f t="shared" si="19"/>
        <v>6065.6363636363603</v>
      </c>
      <c r="AC163" s="376">
        <f t="shared" si="20"/>
        <v>0.14664175824175818</v>
      </c>
    </row>
    <row r="164" spans="1:29" ht="15.75" customHeight="1">
      <c r="A164" s="423" t="s">
        <v>951</v>
      </c>
      <c r="B164" s="423" t="s">
        <v>952</v>
      </c>
      <c r="E164" s="423" t="s">
        <v>953</v>
      </c>
      <c r="F164" s="423" t="s">
        <v>954</v>
      </c>
      <c r="G164" s="60">
        <v>1</v>
      </c>
      <c r="H164" s="54" t="s">
        <v>73</v>
      </c>
      <c r="L164" s="97" t="s">
        <v>163</v>
      </c>
      <c r="N164" s="97" t="s">
        <v>955</v>
      </c>
      <c r="P164" s="57" t="s">
        <v>41</v>
      </c>
      <c r="Q164" s="61">
        <v>46058</v>
      </c>
      <c r="R164" s="55" t="s">
        <v>41</v>
      </c>
      <c r="S164" s="56">
        <v>45500</v>
      </c>
      <c r="T164" s="56" t="str">
        <f t="shared" si="18"/>
        <v>0</v>
      </c>
      <c r="U164" s="56">
        <v>45500</v>
      </c>
      <c r="V164" s="56">
        <f t="shared" si="21"/>
        <v>41363.63636363636</v>
      </c>
      <c r="W164" s="65">
        <f>IF(H164=재고내역!$F$9,출고요청서_raw!G164*1,IF(H164=재고내역!$F$10,출고요청서_raw!G164*2,IF(출고요청서_raw!H164=재고내역!$F$11,출고요청서_raw!G164*4,IF(출고요청서_raw!H164=재고내역!$F$12,출고요청서_raw!G164*6,IF(출고요청서_raw!H164=재고내역!$F$13,출고요청서_raw!G164*8)))))</f>
        <v>4</v>
      </c>
      <c r="X164" s="53"/>
      <c r="Y164" s="53"/>
      <c r="Z164" s="56">
        <f>W164*재고내역!$M$6</f>
        <v>30748</v>
      </c>
      <c r="AA164" s="56">
        <f t="shared" si="17"/>
        <v>4550</v>
      </c>
      <c r="AB164" s="56">
        <f t="shared" si="19"/>
        <v>6065.6363636363603</v>
      </c>
      <c r="AC164" s="376">
        <f t="shared" si="20"/>
        <v>0.14664175824175818</v>
      </c>
    </row>
    <row r="165" spans="1:29" ht="15.75" customHeight="1">
      <c r="A165" s="423" t="s">
        <v>956</v>
      </c>
      <c r="B165" s="423" t="s">
        <v>957</v>
      </c>
      <c r="E165" s="423" t="s">
        <v>958</v>
      </c>
      <c r="F165" s="423" t="s">
        <v>959</v>
      </c>
      <c r="G165" s="60">
        <v>1</v>
      </c>
      <c r="H165" s="54" t="s">
        <v>73</v>
      </c>
      <c r="L165" s="97" t="s">
        <v>163</v>
      </c>
      <c r="N165" s="97" t="s">
        <v>960</v>
      </c>
      <c r="P165" s="57" t="s">
        <v>41</v>
      </c>
      <c r="Q165" s="61">
        <v>46058</v>
      </c>
      <c r="R165" s="55" t="s">
        <v>41</v>
      </c>
      <c r="S165" s="56">
        <v>45500</v>
      </c>
      <c r="T165" s="56" t="str">
        <f t="shared" si="18"/>
        <v>0</v>
      </c>
      <c r="U165" s="56">
        <v>45500</v>
      </c>
      <c r="V165" s="56">
        <f t="shared" si="21"/>
        <v>41363.63636363636</v>
      </c>
      <c r="W165" s="65">
        <f>IF(H165=재고내역!$F$9,출고요청서_raw!G165*1,IF(H165=재고내역!$F$10,출고요청서_raw!G165*2,IF(출고요청서_raw!H165=재고내역!$F$11,출고요청서_raw!G165*4,IF(출고요청서_raw!H165=재고내역!$F$12,출고요청서_raw!G165*6,IF(출고요청서_raw!H165=재고내역!$F$13,출고요청서_raw!G165*8)))))</f>
        <v>4</v>
      </c>
      <c r="X165" s="53"/>
      <c r="Y165" s="53"/>
      <c r="Z165" s="56">
        <f>W165*재고내역!$M$6</f>
        <v>30748</v>
      </c>
      <c r="AA165" s="56">
        <f t="shared" si="17"/>
        <v>4550</v>
      </c>
      <c r="AB165" s="56">
        <f t="shared" si="19"/>
        <v>6065.6363636363603</v>
      </c>
      <c r="AC165" s="376">
        <f t="shared" si="20"/>
        <v>0.14664175824175818</v>
      </c>
    </row>
    <row r="166" spans="1:29" ht="15.75" customHeight="1">
      <c r="A166" s="423" t="s">
        <v>961</v>
      </c>
      <c r="B166" s="423" t="s">
        <v>962</v>
      </c>
      <c r="E166" s="423" t="s">
        <v>963</v>
      </c>
      <c r="F166" s="423" t="s">
        <v>964</v>
      </c>
      <c r="G166" s="60">
        <v>1</v>
      </c>
      <c r="H166" s="54" t="s">
        <v>73</v>
      </c>
      <c r="L166" s="97" t="s">
        <v>163</v>
      </c>
      <c r="N166" s="97" t="s">
        <v>965</v>
      </c>
      <c r="P166" s="57" t="s">
        <v>41</v>
      </c>
      <c r="Q166" s="61">
        <v>46058</v>
      </c>
      <c r="R166" s="55" t="s">
        <v>41</v>
      </c>
      <c r="S166" s="56">
        <v>45500</v>
      </c>
      <c r="T166" s="56" t="str">
        <f t="shared" si="18"/>
        <v>0</v>
      </c>
      <c r="U166" s="56">
        <v>45500</v>
      </c>
      <c r="V166" s="56">
        <f t="shared" si="21"/>
        <v>41363.63636363636</v>
      </c>
      <c r="W166" s="65">
        <f>IF(H166=재고내역!$F$9,출고요청서_raw!G166*1,IF(H166=재고내역!$F$10,출고요청서_raw!G166*2,IF(출고요청서_raw!H166=재고내역!$F$11,출고요청서_raw!G166*4,IF(출고요청서_raw!H166=재고내역!$F$12,출고요청서_raw!G166*6,IF(출고요청서_raw!H166=재고내역!$F$13,출고요청서_raw!G166*8)))))</f>
        <v>4</v>
      </c>
      <c r="X166" s="53"/>
      <c r="Y166" s="53"/>
      <c r="Z166" s="56">
        <f>W166*재고내역!$M$6</f>
        <v>30748</v>
      </c>
      <c r="AA166" s="56">
        <f t="shared" si="17"/>
        <v>4550</v>
      </c>
      <c r="AB166" s="56">
        <f t="shared" si="19"/>
        <v>6065.6363636363603</v>
      </c>
      <c r="AC166" s="376">
        <f t="shared" si="20"/>
        <v>0.14664175824175818</v>
      </c>
    </row>
    <row r="167" spans="1:29" ht="15.75" customHeight="1">
      <c r="A167" s="423" t="s">
        <v>966</v>
      </c>
      <c r="B167" s="423" t="s">
        <v>967</v>
      </c>
      <c r="E167" s="423" t="s">
        <v>968</v>
      </c>
      <c r="F167" s="423" t="s">
        <v>969</v>
      </c>
      <c r="G167" s="60">
        <v>1</v>
      </c>
      <c r="H167" s="54" t="s">
        <v>73</v>
      </c>
      <c r="L167" s="97" t="s">
        <v>163</v>
      </c>
      <c r="N167" s="97" t="s">
        <v>970</v>
      </c>
      <c r="P167" s="57" t="s">
        <v>41</v>
      </c>
      <c r="Q167" s="61">
        <v>46058</v>
      </c>
      <c r="R167" s="55" t="s">
        <v>41</v>
      </c>
      <c r="S167" s="56">
        <v>45500</v>
      </c>
      <c r="T167" s="56" t="str">
        <f t="shared" si="18"/>
        <v>0</v>
      </c>
      <c r="U167" s="56">
        <v>45500</v>
      </c>
      <c r="V167" s="56">
        <f t="shared" si="21"/>
        <v>41363.63636363636</v>
      </c>
      <c r="W167" s="65">
        <f>IF(H167=재고내역!$F$9,출고요청서_raw!G167*1,IF(H167=재고내역!$F$10,출고요청서_raw!G167*2,IF(출고요청서_raw!H167=재고내역!$F$11,출고요청서_raw!G167*4,IF(출고요청서_raw!H167=재고내역!$F$12,출고요청서_raw!G167*6,IF(출고요청서_raw!H167=재고내역!$F$13,출고요청서_raw!G167*8)))))</f>
        <v>4</v>
      </c>
      <c r="X167" s="53"/>
      <c r="Y167" s="53"/>
      <c r="Z167" s="56">
        <f>W167*재고내역!$M$6</f>
        <v>30748</v>
      </c>
      <c r="AA167" s="56">
        <f t="shared" si="17"/>
        <v>4550</v>
      </c>
      <c r="AB167" s="56">
        <f t="shared" si="19"/>
        <v>6065.6363636363603</v>
      </c>
      <c r="AC167" s="376">
        <f t="shared" si="20"/>
        <v>0.14664175824175818</v>
      </c>
    </row>
    <row r="168" spans="1:29" ht="15.75" customHeight="1">
      <c r="A168" s="423" t="s">
        <v>971</v>
      </c>
      <c r="B168" s="423" t="s">
        <v>972</v>
      </c>
      <c r="E168" s="423" t="s">
        <v>973</v>
      </c>
      <c r="F168" s="423" t="s">
        <v>974</v>
      </c>
      <c r="G168" s="60">
        <v>1</v>
      </c>
      <c r="H168" s="54" t="s">
        <v>73</v>
      </c>
      <c r="L168" s="97" t="s">
        <v>163</v>
      </c>
      <c r="N168" s="97" t="s">
        <v>975</v>
      </c>
      <c r="P168" s="57" t="s">
        <v>41</v>
      </c>
      <c r="Q168" s="61">
        <v>46058</v>
      </c>
      <c r="R168" s="55" t="s">
        <v>41</v>
      </c>
      <c r="S168" s="56">
        <v>45500</v>
      </c>
      <c r="T168" s="56" t="str">
        <f t="shared" si="18"/>
        <v>0</v>
      </c>
      <c r="U168" s="56">
        <v>45500</v>
      </c>
      <c r="V168" s="56">
        <f t="shared" si="21"/>
        <v>41363.63636363636</v>
      </c>
      <c r="W168" s="65">
        <f>IF(H168=재고내역!$F$9,출고요청서_raw!G168*1,IF(H168=재고내역!$F$10,출고요청서_raw!G168*2,IF(출고요청서_raw!H168=재고내역!$F$11,출고요청서_raw!G168*4,IF(출고요청서_raw!H168=재고내역!$F$12,출고요청서_raw!G168*6,IF(출고요청서_raw!H168=재고내역!$F$13,출고요청서_raw!G168*8)))))</f>
        <v>4</v>
      </c>
      <c r="X168" s="53"/>
      <c r="Y168" s="53"/>
      <c r="Z168" s="56">
        <f>W168*재고내역!$M$6</f>
        <v>30748</v>
      </c>
      <c r="AA168" s="56">
        <f t="shared" si="17"/>
        <v>4550</v>
      </c>
      <c r="AB168" s="56">
        <f t="shared" si="19"/>
        <v>6065.6363636363603</v>
      </c>
      <c r="AC168" s="376">
        <f t="shared" si="20"/>
        <v>0.14664175824175818</v>
      </c>
    </row>
    <row r="169" spans="1:29" ht="15.75" customHeight="1">
      <c r="A169" s="423" t="s">
        <v>976</v>
      </c>
      <c r="B169" s="423" t="s">
        <v>977</v>
      </c>
      <c r="E169" s="423" t="s">
        <v>978</v>
      </c>
      <c r="F169" s="423" t="s">
        <v>979</v>
      </c>
      <c r="G169" s="60">
        <v>1</v>
      </c>
      <c r="H169" s="54" t="s">
        <v>73</v>
      </c>
      <c r="L169" s="97" t="s">
        <v>163</v>
      </c>
      <c r="N169" s="97" t="s">
        <v>980</v>
      </c>
      <c r="P169" s="57" t="s">
        <v>41</v>
      </c>
      <c r="Q169" s="61">
        <v>46058</v>
      </c>
      <c r="R169" s="55" t="s">
        <v>41</v>
      </c>
      <c r="S169" s="56">
        <v>45500</v>
      </c>
      <c r="T169" s="56" t="str">
        <f t="shared" si="18"/>
        <v>0</v>
      </c>
      <c r="U169" s="56">
        <v>45500</v>
      </c>
      <c r="V169" s="56">
        <f t="shared" si="21"/>
        <v>41363.63636363636</v>
      </c>
      <c r="W169" s="65">
        <f>IF(H169=재고내역!$F$9,출고요청서_raw!G169*1,IF(H169=재고내역!$F$10,출고요청서_raw!G169*2,IF(출고요청서_raw!H169=재고내역!$F$11,출고요청서_raw!G169*4,IF(출고요청서_raw!H169=재고내역!$F$12,출고요청서_raw!G169*6,IF(출고요청서_raw!H169=재고내역!$F$13,출고요청서_raw!G169*8)))))</f>
        <v>4</v>
      </c>
      <c r="X169" s="53"/>
      <c r="Y169" s="53"/>
      <c r="Z169" s="56">
        <f>W169*재고내역!$M$6</f>
        <v>30748</v>
      </c>
      <c r="AA169" s="56">
        <f t="shared" si="17"/>
        <v>4550</v>
      </c>
      <c r="AB169" s="56">
        <f t="shared" si="19"/>
        <v>6065.6363636363603</v>
      </c>
      <c r="AC169" s="376">
        <f t="shared" si="20"/>
        <v>0.14664175824175818</v>
      </c>
    </row>
    <row r="170" spans="1:29" ht="15.75" customHeight="1">
      <c r="A170" s="423" t="s">
        <v>728</v>
      </c>
      <c r="B170" s="423" t="s">
        <v>981</v>
      </c>
      <c r="E170" s="423" t="s">
        <v>982</v>
      </c>
      <c r="F170" s="423" t="s">
        <v>983</v>
      </c>
      <c r="G170" s="60">
        <v>1</v>
      </c>
      <c r="H170" s="54" t="s">
        <v>73</v>
      </c>
      <c r="L170" s="97" t="s">
        <v>163</v>
      </c>
      <c r="N170" s="97" t="s">
        <v>984</v>
      </c>
      <c r="P170" s="57" t="s">
        <v>41</v>
      </c>
      <c r="Q170" s="61">
        <v>46058</v>
      </c>
      <c r="R170" s="55" t="s">
        <v>41</v>
      </c>
      <c r="S170" s="56">
        <v>45500</v>
      </c>
      <c r="T170" s="56" t="str">
        <f t="shared" si="18"/>
        <v>0</v>
      </c>
      <c r="U170" s="56">
        <v>45500</v>
      </c>
      <c r="V170" s="56">
        <f t="shared" si="21"/>
        <v>41363.63636363636</v>
      </c>
      <c r="W170" s="65">
        <f>IF(H170=재고내역!$F$9,출고요청서_raw!G170*1,IF(H170=재고내역!$F$10,출고요청서_raw!G170*2,IF(출고요청서_raw!H170=재고내역!$F$11,출고요청서_raw!G170*4,IF(출고요청서_raw!H170=재고내역!$F$12,출고요청서_raw!G170*6,IF(출고요청서_raw!H170=재고내역!$F$13,출고요청서_raw!G170*8)))))</f>
        <v>4</v>
      </c>
      <c r="X170" s="53"/>
      <c r="Y170" s="53"/>
      <c r="Z170" s="56">
        <f>W170*재고내역!$M$6</f>
        <v>30748</v>
      </c>
      <c r="AA170" s="56">
        <f t="shared" si="17"/>
        <v>4550</v>
      </c>
      <c r="AB170" s="56">
        <f t="shared" si="19"/>
        <v>6065.6363636363603</v>
      </c>
      <c r="AC170" s="376">
        <f t="shared" si="20"/>
        <v>0.14664175824175818</v>
      </c>
    </row>
    <row r="171" spans="1:29" ht="15.75" customHeight="1">
      <c r="A171" s="423" t="s">
        <v>985</v>
      </c>
      <c r="B171" s="423" t="s">
        <v>986</v>
      </c>
      <c r="E171" s="423" t="s">
        <v>987</v>
      </c>
      <c r="F171" s="423" t="s">
        <v>988</v>
      </c>
      <c r="G171" s="370">
        <v>2</v>
      </c>
      <c r="H171" s="54" t="s">
        <v>73</v>
      </c>
      <c r="L171" s="97" t="s">
        <v>163</v>
      </c>
      <c r="N171" s="97" t="s">
        <v>989</v>
      </c>
      <c r="P171" s="57" t="s">
        <v>41</v>
      </c>
      <c r="Q171" s="61">
        <v>46058</v>
      </c>
      <c r="R171" s="55" t="s">
        <v>41</v>
      </c>
      <c r="S171" s="56">
        <v>45500</v>
      </c>
      <c r="T171" s="56" t="str">
        <f t="shared" si="18"/>
        <v>0</v>
      </c>
      <c r="U171" s="56">
        <v>91000</v>
      </c>
      <c r="V171" s="56">
        <f t="shared" si="21"/>
        <v>82727.272727272721</v>
      </c>
      <c r="W171" s="65">
        <f>IF(H171=재고내역!$F$9,출고요청서_raw!G171*1,IF(H171=재고내역!$F$10,출고요청서_raw!G171*2,IF(출고요청서_raw!H171=재고내역!$F$11,출고요청서_raw!G171*4,IF(출고요청서_raw!H171=재고내역!$F$12,출고요청서_raw!G171*6,IF(출고요청서_raw!H171=재고내역!$F$13,출고요청서_raw!G171*8)))))</f>
        <v>8</v>
      </c>
      <c r="X171" s="53"/>
      <c r="Y171" s="53"/>
      <c r="Z171" s="56">
        <f>W171*재고내역!$M$6</f>
        <v>61496</v>
      </c>
      <c r="AA171" s="56">
        <f t="shared" si="17"/>
        <v>4550</v>
      </c>
      <c r="AB171" s="56">
        <f t="shared" si="19"/>
        <v>16681.272727272721</v>
      </c>
      <c r="AC171" s="376">
        <f t="shared" si="20"/>
        <v>0.20164175824175817</v>
      </c>
    </row>
    <row r="172" spans="1:29" ht="15.75" customHeight="1">
      <c r="A172" s="423" t="s">
        <v>990</v>
      </c>
      <c r="B172" s="423" t="s">
        <v>991</v>
      </c>
      <c r="E172" s="423" t="s">
        <v>992</v>
      </c>
      <c r="F172" s="423" t="s">
        <v>993</v>
      </c>
      <c r="G172" s="60">
        <v>1</v>
      </c>
      <c r="H172" s="54" t="s">
        <v>73</v>
      </c>
      <c r="L172" s="97" t="s">
        <v>163</v>
      </c>
      <c r="N172" s="97" t="s">
        <v>994</v>
      </c>
      <c r="P172" s="57" t="s">
        <v>41</v>
      </c>
      <c r="Q172" s="61">
        <v>46058</v>
      </c>
      <c r="R172" s="55" t="s">
        <v>41</v>
      </c>
      <c r="S172" s="56">
        <v>45500</v>
      </c>
      <c r="T172" s="56" t="str">
        <f t="shared" si="18"/>
        <v>0</v>
      </c>
      <c r="U172" s="56">
        <v>45500</v>
      </c>
      <c r="V172" s="56">
        <f t="shared" si="21"/>
        <v>41363.63636363636</v>
      </c>
      <c r="W172" s="65">
        <f>IF(H172=재고내역!$F$9,출고요청서_raw!G172*1,IF(H172=재고내역!$F$10,출고요청서_raw!G172*2,IF(출고요청서_raw!H172=재고내역!$F$11,출고요청서_raw!G172*4,IF(출고요청서_raw!H172=재고내역!$F$12,출고요청서_raw!G172*6,IF(출고요청서_raw!H172=재고내역!$F$13,출고요청서_raw!G172*8)))))</f>
        <v>4</v>
      </c>
      <c r="X172" s="53"/>
      <c r="Y172" s="53"/>
      <c r="Z172" s="56">
        <f>W172*재고내역!$M$6</f>
        <v>30748</v>
      </c>
      <c r="AA172" s="56">
        <f t="shared" si="17"/>
        <v>4550</v>
      </c>
      <c r="AB172" s="56">
        <f t="shared" si="19"/>
        <v>6065.6363636363603</v>
      </c>
      <c r="AC172" s="376">
        <f t="shared" si="20"/>
        <v>0.14664175824175818</v>
      </c>
    </row>
    <row r="173" spans="1:29" ht="15.75" customHeight="1">
      <c r="A173" s="423" t="s">
        <v>995</v>
      </c>
      <c r="B173" s="423" t="s">
        <v>996</v>
      </c>
      <c r="E173" s="423" t="s">
        <v>997</v>
      </c>
      <c r="F173" s="423" t="s">
        <v>998</v>
      </c>
      <c r="G173" s="60">
        <v>1</v>
      </c>
      <c r="H173" s="54" t="s">
        <v>73</v>
      </c>
      <c r="L173" s="97" t="s">
        <v>163</v>
      </c>
      <c r="N173" s="97" t="s">
        <v>999</v>
      </c>
      <c r="P173" s="57" t="s">
        <v>41</v>
      </c>
      <c r="Q173" s="61">
        <v>46058</v>
      </c>
      <c r="R173" s="55" t="s">
        <v>41</v>
      </c>
      <c r="S173" s="56">
        <v>45500</v>
      </c>
      <c r="T173" s="56" t="str">
        <f t="shared" si="18"/>
        <v>0</v>
      </c>
      <c r="U173" s="56">
        <v>45500</v>
      </c>
      <c r="V173" s="56">
        <f t="shared" si="21"/>
        <v>41363.63636363636</v>
      </c>
      <c r="W173" s="65">
        <f>IF(H173=재고내역!$F$9,출고요청서_raw!G173*1,IF(H173=재고내역!$F$10,출고요청서_raw!G173*2,IF(출고요청서_raw!H173=재고내역!$F$11,출고요청서_raw!G173*4,IF(출고요청서_raw!H173=재고내역!$F$12,출고요청서_raw!G173*6,IF(출고요청서_raw!H173=재고내역!$F$13,출고요청서_raw!G173*8)))))</f>
        <v>4</v>
      </c>
      <c r="X173" s="53"/>
      <c r="Y173" s="53"/>
      <c r="Z173" s="56">
        <f>W173*재고내역!$M$6</f>
        <v>30748</v>
      </c>
      <c r="AA173" s="56">
        <f t="shared" si="17"/>
        <v>4550</v>
      </c>
      <c r="AB173" s="56">
        <f t="shared" si="19"/>
        <v>6065.6363636363603</v>
      </c>
      <c r="AC173" s="376">
        <f t="shared" si="20"/>
        <v>0.14664175824175818</v>
      </c>
    </row>
    <row r="174" spans="1:29" ht="15.75" customHeight="1">
      <c r="A174" s="423" t="s">
        <v>1000</v>
      </c>
      <c r="B174" s="423" t="s">
        <v>1001</v>
      </c>
      <c r="E174" s="423" t="s">
        <v>1002</v>
      </c>
      <c r="F174" s="423" t="s">
        <v>1003</v>
      </c>
      <c r="G174" s="370">
        <v>2</v>
      </c>
      <c r="H174" s="54" t="s">
        <v>73</v>
      </c>
      <c r="L174" s="97" t="s">
        <v>1004</v>
      </c>
      <c r="N174" s="97" t="s">
        <v>1005</v>
      </c>
      <c r="P174" s="57" t="s">
        <v>41</v>
      </c>
      <c r="Q174" s="61">
        <v>46058</v>
      </c>
      <c r="R174" s="55" t="s">
        <v>41</v>
      </c>
      <c r="S174" s="56">
        <v>45500</v>
      </c>
      <c r="T174" s="56" t="str">
        <f t="shared" si="18"/>
        <v>0</v>
      </c>
      <c r="U174" s="56">
        <v>91000</v>
      </c>
      <c r="V174" s="56">
        <f t="shared" si="21"/>
        <v>82727.272727272721</v>
      </c>
      <c r="W174" s="65">
        <f>IF(H174=재고내역!$F$9,출고요청서_raw!G174*1,IF(H174=재고내역!$F$10,출고요청서_raw!G174*2,IF(출고요청서_raw!H174=재고내역!$F$11,출고요청서_raw!G174*4,IF(출고요청서_raw!H174=재고내역!$F$12,출고요청서_raw!G174*6,IF(출고요청서_raw!H174=재고내역!$F$13,출고요청서_raw!G174*8)))))</f>
        <v>8</v>
      </c>
      <c r="X174" s="53"/>
      <c r="Y174" s="53"/>
      <c r="Z174" s="56">
        <f>W174*재고내역!$M$6</f>
        <v>61496</v>
      </c>
      <c r="AA174" s="56">
        <f t="shared" si="17"/>
        <v>4550</v>
      </c>
      <c r="AB174" s="56">
        <f t="shared" si="19"/>
        <v>16681.272727272721</v>
      </c>
      <c r="AC174" s="376">
        <f t="shared" si="20"/>
        <v>0.20164175824175817</v>
      </c>
    </row>
    <row r="175" spans="1:29" ht="15.75" customHeight="1">
      <c r="A175" s="423" t="s">
        <v>1006</v>
      </c>
      <c r="B175" s="423" t="s">
        <v>1007</v>
      </c>
      <c r="E175" s="423" t="s">
        <v>1008</v>
      </c>
      <c r="F175" s="423" t="s">
        <v>1009</v>
      </c>
      <c r="G175" s="60">
        <v>1</v>
      </c>
      <c r="H175" s="54" t="s">
        <v>73</v>
      </c>
      <c r="L175" s="97" t="s">
        <v>163</v>
      </c>
      <c r="N175" s="97" t="s">
        <v>1010</v>
      </c>
      <c r="P175" s="57" t="s">
        <v>41</v>
      </c>
      <c r="Q175" s="61">
        <v>46058</v>
      </c>
      <c r="R175" s="55" t="s">
        <v>41</v>
      </c>
      <c r="S175" s="56">
        <v>45500</v>
      </c>
      <c r="T175" s="56" t="str">
        <f t="shared" si="18"/>
        <v>0</v>
      </c>
      <c r="U175" s="56">
        <v>45500</v>
      </c>
      <c r="V175" s="56">
        <f t="shared" si="21"/>
        <v>41363.63636363636</v>
      </c>
      <c r="W175" s="65">
        <f>IF(H175=재고내역!$F$9,출고요청서_raw!G175*1,IF(H175=재고내역!$F$10,출고요청서_raw!G175*2,IF(출고요청서_raw!H175=재고내역!$F$11,출고요청서_raw!G175*4,IF(출고요청서_raw!H175=재고내역!$F$12,출고요청서_raw!G175*6,IF(출고요청서_raw!H175=재고내역!$F$13,출고요청서_raw!G175*8)))))</f>
        <v>4</v>
      </c>
      <c r="X175" s="53"/>
      <c r="Y175" s="53"/>
      <c r="Z175" s="56">
        <f>W175*재고내역!$M$6</f>
        <v>30748</v>
      </c>
      <c r="AA175" s="56">
        <f t="shared" si="17"/>
        <v>4550</v>
      </c>
      <c r="AB175" s="56">
        <f t="shared" si="19"/>
        <v>6065.6363636363603</v>
      </c>
      <c r="AC175" s="376">
        <f t="shared" si="20"/>
        <v>0.14664175824175818</v>
      </c>
    </row>
    <row r="176" spans="1:29" ht="15.75" customHeight="1">
      <c r="A176" s="423" t="s">
        <v>1011</v>
      </c>
      <c r="B176" s="423" t="s">
        <v>1012</v>
      </c>
      <c r="E176" s="423" t="s">
        <v>1013</v>
      </c>
      <c r="F176" s="423" t="s">
        <v>1014</v>
      </c>
      <c r="G176" s="370">
        <v>4</v>
      </c>
      <c r="H176" s="54" t="s">
        <v>73</v>
      </c>
      <c r="L176" s="97" t="s">
        <v>163</v>
      </c>
      <c r="N176" s="97" t="s">
        <v>1015</v>
      </c>
      <c r="P176" s="57" t="s">
        <v>41</v>
      </c>
      <c r="Q176" s="61">
        <v>46058</v>
      </c>
      <c r="R176" s="55" t="s">
        <v>41</v>
      </c>
      <c r="S176" s="56">
        <v>45500</v>
      </c>
      <c r="T176" s="56" t="str">
        <f t="shared" si="18"/>
        <v>0</v>
      </c>
      <c r="U176" s="56">
        <v>182000</v>
      </c>
      <c r="V176" s="56">
        <f t="shared" si="21"/>
        <v>165454.54545454544</v>
      </c>
      <c r="W176" s="65">
        <f>IF(H176=재고내역!$F$9,출고요청서_raw!G176*1,IF(H176=재고내역!$F$10,출고요청서_raw!G176*2,IF(출고요청서_raw!H176=재고내역!$F$11,출고요청서_raw!G176*4,IF(출고요청서_raw!H176=재고내역!$F$12,출고요청서_raw!G176*6,IF(출고요청서_raw!H176=재고내역!$F$13,출고요청서_raw!G176*8)))))</f>
        <v>16</v>
      </c>
      <c r="X176" s="53"/>
      <c r="Y176" s="53"/>
      <c r="Z176" s="56">
        <f>W176*재고내역!$M$6</f>
        <v>122992</v>
      </c>
      <c r="AA176" s="56">
        <f t="shared" si="17"/>
        <v>9100</v>
      </c>
      <c r="AB176" s="56">
        <f t="shared" si="19"/>
        <v>33362.545454545441</v>
      </c>
      <c r="AC176" s="376">
        <f t="shared" si="20"/>
        <v>0.20164175824175817</v>
      </c>
    </row>
    <row r="177" spans="1:29" ht="15.75" customHeight="1">
      <c r="A177" s="423" t="s">
        <v>1016</v>
      </c>
      <c r="B177" s="423" t="s">
        <v>1017</v>
      </c>
      <c r="E177" s="423" t="s">
        <v>1018</v>
      </c>
      <c r="F177" s="423" t="s">
        <v>1019</v>
      </c>
      <c r="G177" s="60">
        <v>1</v>
      </c>
      <c r="H177" s="54" t="s">
        <v>73</v>
      </c>
      <c r="L177" s="97" t="s">
        <v>163</v>
      </c>
      <c r="N177" s="97" t="s">
        <v>1020</v>
      </c>
      <c r="P177" s="57" t="s">
        <v>41</v>
      </c>
      <c r="Q177" s="61">
        <v>46058</v>
      </c>
      <c r="R177" s="55" t="s">
        <v>41</v>
      </c>
      <c r="S177" s="56">
        <v>45500</v>
      </c>
      <c r="T177" s="56" t="str">
        <f t="shared" si="18"/>
        <v>0</v>
      </c>
      <c r="U177" s="56">
        <v>45500</v>
      </c>
      <c r="V177" s="56">
        <f t="shared" si="21"/>
        <v>41363.63636363636</v>
      </c>
      <c r="W177" s="65">
        <f>IF(H177=재고내역!$F$9,출고요청서_raw!G177*1,IF(H177=재고내역!$F$10,출고요청서_raw!G177*2,IF(출고요청서_raw!H177=재고내역!$F$11,출고요청서_raw!G177*4,IF(출고요청서_raw!H177=재고내역!$F$12,출고요청서_raw!G177*6,IF(출고요청서_raw!H177=재고내역!$F$13,출고요청서_raw!G177*8)))))</f>
        <v>4</v>
      </c>
      <c r="X177" s="53"/>
      <c r="Y177" s="53"/>
      <c r="Z177" s="56">
        <f>W177*재고내역!$M$6</f>
        <v>30748</v>
      </c>
      <c r="AA177" s="56">
        <f t="shared" si="17"/>
        <v>4550</v>
      </c>
      <c r="AB177" s="56">
        <f t="shared" si="19"/>
        <v>6065.6363636363603</v>
      </c>
      <c r="AC177" s="376">
        <f t="shared" si="20"/>
        <v>0.14664175824175818</v>
      </c>
    </row>
    <row r="178" spans="1:29" ht="15.75" customHeight="1">
      <c r="A178" s="423" t="s">
        <v>1021</v>
      </c>
      <c r="B178" s="423" t="s">
        <v>1022</v>
      </c>
      <c r="E178" s="423" t="s">
        <v>1023</v>
      </c>
      <c r="F178" s="423" t="s">
        <v>1024</v>
      </c>
      <c r="G178" s="60">
        <v>1</v>
      </c>
      <c r="H178" s="54" t="s">
        <v>73</v>
      </c>
      <c r="L178" s="97" t="s">
        <v>163</v>
      </c>
      <c r="N178" s="97" t="s">
        <v>1025</v>
      </c>
      <c r="P178" s="57" t="s">
        <v>41</v>
      </c>
      <c r="Q178" s="61">
        <v>46058</v>
      </c>
      <c r="R178" s="55" t="s">
        <v>41</v>
      </c>
      <c r="S178" s="56">
        <v>45500</v>
      </c>
      <c r="T178" s="56" t="str">
        <f t="shared" si="18"/>
        <v>0</v>
      </c>
      <c r="U178" s="56">
        <v>45500</v>
      </c>
      <c r="V178" s="56">
        <f t="shared" si="21"/>
        <v>41363.63636363636</v>
      </c>
      <c r="W178" s="65">
        <f>IF(H178=재고내역!$F$9,출고요청서_raw!G178*1,IF(H178=재고내역!$F$10,출고요청서_raw!G178*2,IF(출고요청서_raw!H178=재고내역!$F$11,출고요청서_raw!G178*4,IF(출고요청서_raw!H178=재고내역!$F$12,출고요청서_raw!G178*6,IF(출고요청서_raw!H178=재고내역!$F$13,출고요청서_raw!G178*8)))))</f>
        <v>4</v>
      </c>
      <c r="X178" s="53"/>
      <c r="Y178" s="53"/>
      <c r="Z178" s="56">
        <f>W178*재고내역!$M$6</f>
        <v>30748</v>
      </c>
      <c r="AA178" s="56">
        <f t="shared" si="17"/>
        <v>4550</v>
      </c>
      <c r="AB178" s="56">
        <f t="shared" si="19"/>
        <v>6065.6363636363603</v>
      </c>
      <c r="AC178" s="376">
        <f t="shared" si="20"/>
        <v>0.14664175824175818</v>
      </c>
    </row>
    <row r="179" spans="1:29" ht="15.75" customHeight="1">
      <c r="A179" s="423" t="s">
        <v>1026</v>
      </c>
      <c r="B179" s="423" t="s">
        <v>1027</v>
      </c>
      <c r="E179" s="423" t="s">
        <v>1028</v>
      </c>
      <c r="F179" s="423" t="s">
        <v>1029</v>
      </c>
      <c r="G179" s="60">
        <v>1</v>
      </c>
      <c r="H179" s="54" t="s">
        <v>73</v>
      </c>
      <c r="L179" s="97" t="s">
        <v>163</v>
      </c>
      <c r="N179" s="97" t="s">
        <v>1030</v>
      </c>
      <c r="P179" s="57" t="s">
        <v>41</v>
      </c>
      <c r="Q179" s="61">
        <v>46058</v>
      </c>
      <c r="R179" s="55" t="s">
        <v>41</v>
      </c>
      <c r="S179" s="56">
        <v>45500</v>
      </c>
      <c r="T179" s="56" t="str">
        <f t="shared" si="18"/>
        <v>0</v>
      </c>
      <c r="U179" s="56">
        <v>45500</v>
      </c>
      <c r="V179" s="56">
        <f t="shared" si="21"/>
        <v>41363.63636363636</v>
      </c>
      <c r="W179" s="65">
        <f>IF(H179=재고내역!$F$9,출고요청서_raw!G179*1,IF(H179=재고내역!$F$10,출고요청서_raw!G179*2,IF(출고요청서_raw!H179=재고내역!$F$11,출고요청서_raw!G179*4,IF(출고요청서_raw!H179=재고내역!$F$12,출고요청서_raw!G179*6,IF(출고요청서_raw!H179=재고내역!$F$13,출고요청서_raw!G179*8)))))</f>
        <v>4</v>
      </c>
      <c r="X179" s="53"/>
      <c r="Y179" s="53"/>
      <c r="Z179" s="56">
        <f>W179*재고내역!$M$6</f>
        <v>30748</v>
      </c>
      <c r="AA179" s="56">
        <f t="shared" si="17"/>
        <v>4550</v>
      </c>
      <c r="AB179" s="56">
        <f t="shared" si="19"/>
        <v>6065.6363636363603</v>
      </c>
      <c r="AC179" s="376">
        <f t="shared" si="20"/>
        <v>0.14664175824175818</v>
      </c>
    </row>
    <row r="180" spans="1:29" ht="15.75" customHeight="1">
      <c r="A180" s="423" t="s">
        <v>1031</v>
      </c>
      <c r="B180" s="423" t="s">
        <v>1032</v>
      </c>
      <c r="E180" s="423" t="s">
        <v>1033</v>
      </c>
      <c r="F180" s="423" t="s">
        <v>1034</v>
      </c>
      <c r="G180" s="60">
        <v>1</v>
      </c>
      <c r="H180" s="54" t="s">
        <v>73</v>
      </c>
      <c r="L180" s="97" t="s">
        <v>163</v>
      </c>
      <c r="N180" s="97" t="s">
        <v>1035</v>
      </c>
      <c r="P180" s="57" t="s">
        <v>41</v>
      </c>
      <c r="Q180" s="61">
        <v>46058</v>
      </c>
      <c r="R180" s="55" t="s">
        <v>41</v>
      </c>
      <c r="S180" s="56">
        <v>45500</v>
      </c>
      <c r="T180" s="56" t="str">
        <f t="shared" si="18"/>
        <v>0</v>
      </c>
      <c r="U180" s="56">
        <v>45500</v>
      </c>
      <c r="V180" s="56">
        <f t="shared" si="21"/>
        <v>41363.63636363636</v>
      </c>
      <c r="W180" s="65">
        <f>IF(H180=재고내역!$F$9,출고요청서_raw!G180*1,IF(H180=재고내역!$F$10,출고요청서_raw!G180*2,IF(출고요청서_raw!H180=재고내역!$F$11,출고요청서_raw!G180*4,IF(출고요청서_raw!H180=재고내역!$F$12,출고요청서_raw!G180*6,IF(출고요청서_raw!H180=재고내역!$F$13,출고요청서_raw!G180*8)))))</f>
        <v>4</v>
      </c>
      <c r="X180" s="53"/>
      <c r="Y180" s="53"/>
      <c r="Z180" s="56">
        <f>W180*재고내역!$M$6</f>
        <v>30748</v>
      </c>
      <c r="AA180" s="56">
        <f t="shared" si="17"/>
        <v>4550</v>
      </c>
      <c r="AB180" s="56">
        <f t="shared" si="19"/>
        <v>6065.6363636363603</v>
      </c>
      <c r="AC180" s="376">
        <f t="shared" si="20"/>
        <v>0.14664175824175818</v>
      </c>
    </row>
    <row r="181" spans="1:29" ht="15.75" customHeight="1">
      <c r="A181" s="423" t="s">
        <v>1036</v>
      </c>
      <c r="B181" s="423" t="s">
        <v>1037</v>
      </c>
      <c r="E181" s="423" t="s">
        <v>1038</v>
      </c>
      <c r="F181" s="423" t="s">
        <v>1039</v>
      </c>
      <c r="G181" s="60">
        <v>1</v>
      </c>
      <c r="H181" s="54" t="s">
        <v>73</v>
      </c>
      <c r="L181" s="97" t="s">
        <v>163</v>
      </c>
      <c r="N181" s="97" t="s">
        <v>1040</v>
      </c>
      <c r="P181" s="57" t="s">
        <v>41</v>
      </c>
      <c r="Q181" s="61">
        <v>46058</v>
      </c>
      <c r="R181" s="55" t="s">
        <v>41</v>
      </c>
      <c r="S181" s="56">
        <v>45500</v>
      </c>
      <c r="T181" s="56" t="str">
        <f t="shared" si="18"/>
        <v>0</v>
      </c>
      <c r="U181" s="56">
        <v>45500</v>
      </c>
      <c r="V181" s="56">
        <f t="shared" si="21"/>
        <v>41363.63636363636</v>
      </c>
      <c r="W181" s="65">
        <f>IF(H181=재고내역!$F$9,출고요청서_raw!G181*1,IF(H181=재고내역!$F$10,출고요청서_raw!G181*2,IF(출고요청서_raw!H181=재고내역!$F$11,출고요청서_raw!G181*4,IF(출고요청서_raw!H181=재고내역!$F$12,출고요청서_raw!G181*6,IF(출고요청서_raw!H181=재고내역!$F$13,출고요청서_raw!G181*8)))))</f>
        <v>4</v>
      </c>
      <c r="X181" s="53"/>
      <c r="Y181" s="53"/>
      <c r="Z181" s="56">
        <f>W181*재고내역!$M$6</f>
        <v>30748</v>
      </c>
      <c r="AA181" s="56">
        <f t="shared" si="17"/>
        <v>4550</v>
      </c>
      <c r="AB181" s="56">
        <f t="shared" si="19"/>
        <v>6065.6363636363603</v>
      </c>
      <c r="AC181" s="376">
        <f t="shared" si="20"/>
        <v>0.14664175824175818</v>
      </c>
    </row>
    <row r="182" spans="1:29" ht="15.75" customHeight="1">
      <c r="A182" s="423" t="s">
        <v>1041</v>
      </c>
      <c r="B182" s="423" t="s">
        <v>1042</v>
      </c>
      <c r="E182" s="423" t="s">
        <v>1043</v>
      </c>
      <c r="F182" s="423" t="s">
        <v>1044</v>
      </c>
      <c r="G182" s="60">
        <v>1</v>
      </c>
      <c r="H182" s="54" t="s">
        <v>73</v>
      </c>
      <c r="L182" s="97" t="s">
        <v>1045</v>
      </c>
      <c r="N182" s="97" t="s">
        <v>1046</v>
      </c>
      <c r="P182" s="57" t="s">
        <v>41</v>
      </c>
      <c r="Q182" s="61">
        <v>46058</v>
      </c>
      <c r="R182" s="55" t="s">
        <v>41</v>
      </c>
      <c r="S182" s="56">
        <v>45500</v>
      </c>
      <c r="T182" s="56" t="str">
        <f t="shared" si="18"/>
        <v>0</v>
      </c>
      <c r="U182" s="56">
        <v>45500</v>
      </c>
      <c r="V182" s="56">
        <f t="shared" si="21"/>
        <v>41363.63636363636</v>
      </c>
      <c r="W182" s="65">
        <f>IF(H182=재고내역!$F$9,출고요청서_raw!G182*1,IF(H182=재고내역!$F$10,출고요청서_raw!G182*2,IF(출고요청서_raw!H182=재고내역!$F$11,출고요청서_raw!G182*4,IF(출고요청서_raw!H182=재고내역!$F$12,출고요청서_raw!G182*6,IF(출고요청서_raw!H182=재고내역!$F$13,출고요청서_raw!G182*8)))))</f>
        <v>4</v>
      </c>
      <c r="X182" s="53"/>
      <c r="Y182" s="53"/>
      <c r="Z182" s="56">
        <f>W182*재고내역!$M$6</f>
        <v>30748</v>
      </c>
      <c r="AA182" s="56">
        <f t="shared" si="17"/>
        <v>4550</v>
      </c>
      <c r="AB182" s="56">
        <f t="shared" si="19"/>
        <v>6065.6363636363603</v>
      </c>
      <c r="AC182" s="376">
        <f t="shared" si="20"/>
        <v>0.14664175824175818</v>
      </c>
    </row>
    <row r="183" spans="1:29" ht="15.75" customHeight="1">
      <c r="A183" s="423" t="s">
        <v>1047</v>
      </c>
      <c r="B183" s="423" t="s">
        <v>1048</v>
      </c>
      <c r="E183" s="423" t="s">
        <v>1049</v>
      </c>
      <c r="F183" s="423" t="s">
        <v>1050</v>
      </c>
      <c r="G183" s="60">
        <v>1</v>
      </c>
      <c r="H183" s="54" t="s">
        <v>73</v>
      </c>
      <c r="L183" s="97" t="s">
        <v>163</v>
      </c>
      <c r="N183" s="97" t="s">
        <v>1051</v>
      </c>
      <c r="P183" s="57" t="s">
        <v>41</v>
      </c>
      <c r="Q183" s="61">
        <v>46058</v>
      </c>
      <c r="R183" s="55" t="s">
        <v>41</v>
      </c>
      <c r="S183" s="56">
        <v>45500</v>
      </c>
      <c r="T183" s="56" t="str">
        <f t="shared" si="18"/>
        <v>0</v>
      </c>
      <c r="U183" s="56">
        <v>45500</v>
      </c>
      <c r="V183" s="56">
        <f t="shared" si="21"/>
        <v>41363.63636363636</v>
      </c>
      <c r="W183" s="65">
        <f>IF(H183=재고내역!$F$9,출고요청서_raw!G183*1,IF(H183=재고내역!$F$10,출고요청서_raw!G183*2,IF(출고요청서_raw!H183=재고내역!$F$11,출고요청서_raw!G183*4,IF(출고요청서_raw!H183=재고내역!$F$12,출고요청서_raw!G183*6,IF(출고요청서_raw!H183=재고내역!$F$13,출고요청서_raw!G183*8)))))</f>
        <v>4</v>
      </c>
      <c r="X183" s="53"/>
      <c r="Y183" s="53"/>
      <c r="Z183" s="56">
        <f>W183*재고내역!$M$6</f>
        <v>30748</v>
      </c>
      <c r="AA183" s="56">
        <f t="shared" si="17"/>
        <v>4550</v>
      </c>
      <c r="AB183" s="56">
        <f t="shared" si="19"/>
        <v>6065.6363636363603</v>
      </c>
      <c r="AC183" s="376">
        <f t="shared" si="20"/>
        <v>0.14664175824175818</v>
      </c>
    </row>
    <row r="184" spans="1:29" ht="15.75" customHeight="1">
      <c r="A184" s="423" t="s">
        <v>1052</v>
      </c>
      <c r="B184" s="423" t="s">
        <v>1053</v>
      </c>
      <c r="E184" s="423" t="s">
        <v>1054</v>
      </c>
      <c r="F184" s="423" t="s">
        <v>1055</v>
      </c>
      <c r="G184" s="60">
        <v>1</v>
      </c>
      <c r="H184" s="54" t="s">
        <v>73</v>
      </c>
      <c r="L184" s="97" t="s">
        <v>1056</v>
      </c>
      <c r="N184" s="97" t="s">
        <v>1057</v>
      </c>
      <c r="P184" s="57" t="s">
        <v>41</v>
      </c>
      <c r="Q184" s="61">
        <v>46058</v>
      </c>
      <c r="R184" s="55" t="s">
        <v>41</v>
      </c>
      <c r="S184" s="56">
        <v>45500</v>
      </c>
      <c r="T184" s="56" t="str">
        <f t="shared" si="18"/>
        <v>0</v>
      </c>
      <c r="U184" s="56">
        <v>45500</v>
      </c>
      <c r="V184" s="56">
        <f t="shared" si="21"/>
        <v>41363.63636363636</v>
      </c>
      <c r="W184" s="65">
        <f>IF(H184=재고내역!$F$9,출고요청서_raw!G184*1,IF(H184=재고내역!$F$10,출고요청서_raw!G184*2,IF(출고요청서_raw!H184=재고내역!$F$11,출고요청서_raw!G184*4,IF(출고요청서_raw!H184=재고내역!$F$12,출고요청서_raw!G184*6,IF(출고요청서_raw!H184=재고내역!$F$13,출고요청서_raw!G184*8)))))</f>
        <v>4</v>
      </c>
      <c r="X184" s="53"/>
      <c r="Y184" s="53"/>
      <c r="Z184" s="56">
        <f>W184*재고내역!$M$6</f>
        <v>30748</v>
      </c>
      <c r="AA184" s="56">
        <f t="shared" si="17"/>
        <v>4550</v>
      </c>
      <c r="AB184" s="56">
        <f t="shared" si="19"/>
        <v>6065.6363636363603</v>
      </c>
      <c r="AC184" s="376">
        <f t="shared" si="20"/>
        <v>0.14664175824175818</v>
      </c>
    </row>
    <row r="185" spans="1:29" ht="15.75" customHeight="1">
      <c r="A185" s="423" t="s">
        <v>1058</v>
      </c>
      <c r="B185" s="423" t="s">
        <v>1059</v>
      </c>
      <c r="E185" s="423" t="s">
        <v>1060</v>
      </c>
      <c r="F185" s="423" t="s">
        <v>1061</v>
      </c>
      <c r="G185" s="60">
        <v>1</v>
      </c>
      <c r="H185" s="54" t="s">
        <v>73</v>
      </c>
      <c r="L185" s="97" t="s">
        <v>163</v>
      </c>
      <c r="N185" s="97" t="s">
        <v>1062</v>
      </c>
      <c r="P185" s="57" t="s">
        <v>41</v>
      </c>
      <c r="Q185" s="61">
        <v>46058</v>
      </c>
      <c r="R185" s="55" t="s">
        <v>41</v>
      </c>
      <c r="S185" s="56">
        <v>45500</v>
      </c>
      <c r="T185" s="56" t="str">
        <f t="shared" si="18"/>
        <v>0</v>
      </c>
      <c r="U185" s="56">
        <v>45500</v>
      </c>
      <c r="V185" s="56">
        <f t="shared" si="21"/>
        <v>41363.63636363636</v>
      </c>
      <c r="W185" s="65">
        <f>IF(H185=재고내역!$F$9,출고요청서_raw!G185*1,IF(H185=재고내역!$F$10,출고요청서_raw!G185*2,IF(출고요청서_raw!H185=재고내역!$F$11,출고요청서_raw!G185*4,IF(출고요청서_raw!H185=재고내역!$F$12,출고요청서_raw!G185*6,IF(출고요청서_raw!H185=재고내역!$F$13,출고요청서_raw!G185*8)))))</f>
        <v>4</v>
      </c>
      <c r="X185" s="53"/>
      <c r="Y185" s="53"/>
      <c r="Z185" s="56">
        <f>W185*재고내역!$M$6</f>
        <v>30748</v>
      </c>
      <c r="AA185" s="56">
        <f t="shared" si="17"/>
        <v>4550</v>
      </c>
      <c r="AB185" s="56">
        <f t="shared" si="19"/>
        <v>6065.6363636363603</v>
      </c>
      <c r="AC185" s="376">
        <f t="shared" si="20"/>
        <v>0.14664175824175818</v>
      </c>
    </row>
    <row r="186" spans="1:29" ht="15.75" customHeight="1">
      <c r="A186" s="423" t="s">
        <v>1063</v>
      </c>
      <c r="B186" s="423" t="s">
        <v>1064</v>
      </c>
      <c r="E186" s="423" t="s">
        <v>1065</v>
      </c>
      <c r="F186" s="423" t="s">
        <v>1066</v>
      </c>
      <c r="G186" s="60">
        <v>1</v>
      </c>
      <c r="H186" s="54" t="s">
        <v>73</v>
      </c>
      <c r="L186" s="97" t="s">
        <v>1067</v>
      </c>
      <c r="N186" s="97" t="s">
        <v>1068</v>
      </c>
      <c r="P186" s="57" t="s">
        <v>41</v>
      </c>
      <c r="Q186" s="61">
        <v>46058</v>
      </c>
      <c r="R186" s="55" t="s">
        <v>41</v>
      </c>
      <c r="S186" s="56">
        <v>45500</v>
      </c>
      <c r="T186" s="56" t="str">
        <f t="shared" si="18"/>
        <v>0</v>
      </c>
      <c r="U186" s="56">
        <v>45500</v>
      </c>
      <c r="V186" s="56">
        <f t="shared" si="21"/>
        <v>41363.63636363636</v>
      </c>
      <c r="W186" s="65">
        <f>IF(H186=재고내역!$F$9,출고요청서_raw!G186*1,IF(H186=재고내역!$F$10,출고요청서_raw!G186*2,IF(출고요청서_raw!H186=재고내역!$F$11,출고요청서_raw!G186*4,IF(출고요청서_raw!H186=재고내역!$F$12,출고요청서_raw!G186*6,IF(출고요청서_raw!H186=재고내역!$F$13,출고요청서_raw!G186*8)))))</f>
        <v>4</v>
      </c>
      <c r="X186" s="53"/>
      <c r="Y186" s="53"/>
      <c r="Z186" s="56">
        <f>W186*재고내역!$M$6</f>
        <v>30748</v>
      </c>
      <c r="AA186" s="56">
        <f t="shared" si="17"/>
        <v>4550</v>
      </c>
      <c r="AB186" s="56">
        <f t="shared" si="19"/>
        <v>6065.6363636363603</v>
      </c>
      <c r="AC186" s="376">
        <f t="shared" si="20"/>
        <v>0.14664175824175818</v>
      </c>
    </row>
    <row r="187" spans="1:29" ht="15.75" customHeight="1">
      <c r="A187" s="423" t="s">
        <v>1069</v>
      </c>
      <c r="B187" s="423" t="s">
        <v>1070</v>
      </c>
      <c r="E187" s="423" t="s">
        <v>1071</v>
      </c>
      <c r="F187" s="423" t="s">
        <v>1072</v>
      </c>
      <c r="G187" s="370">
        <v>2</v>
      </c>
      <c r="H187" s="54" t="s">
        <v>73</v>
      </c>
      <c r="L187" s="97" t="s">
        <v>163</v>
      </c>
      <c r="N187" s="97" t="s">
        <v>1073</v>
      </c>
      <c r="P187" s="57" t="s">
        <v>41</v>
      </c>
      <c r="Q187" s="61">
        <v>46058</v>
      </c>
      <c r="R187" s="55" t="s">
        <v>41</v>
      </c>
      <c r="S187" s="56">
        <v>45500</v>
      </c>
      <c r="T187" s="56" t="str">
        <f t="shared" si="18"/>
        <v>0</v>
      </c>
      <c r="U187" s="56">
        <v>91000</v>
      </c>
      <c r="V187" s="56">
        <f t="shared" si="21"/>
        <v>82727.272727272721</v>
      </c>
      <c r="W187" s="65">
        <f>IF(H187=재고내역!$F$9,출고요청서_raw!G187*1,IF(H187=재고내역!$F$10,출고요청서_raw!G187*2,IF(출고요청서_raw!H187=재고내역!$F$11,출고요청서_raw!G187*4,IF(출고요청서_raw!H187=재고내역!$F$12,출고요청서_raw!G187*6,IF(출고요청서_raw!H187=재고내역!$F$13,출고요청서_raw!G187*8)))))</f>
        <v>8</v>
      </c>
      <c r="X187" s="53"/>
      <c r="Y187" s="53"/>
      <c r="Z187" s="56">
        <f>W187*재고내역!$M$6</f>
        <v>61496</v>
      </c>
      <c r="AA187" s="56">
        <f t="shared" si="17"/>
        <v>4550</v>
      </c>
      <c r="AB187" s="56">
        <f t="shared" si="19"/>
        <v>16681.272727272721</v>
      </c>
      <c r="AC187" s="376">
        <f t="shared" si="20"/>
        <v>0.20164175824175817</v>
      </c>
    </row>
    <row r="188" spans="1:29" ht="15.75" customHeight="1">
      <c r="A188" s="423" t="s">
        <v>1074</v>
      </c>
      <c r="B188" s="423" t="s">
        <v>1075</v>
      </c>
      <c r="E188" s="423" t="s">
        <v>1076</v>
      </c>
      <c r="F188" s="423" t="s">
        <v>1077</v>
      </c>
      <c r="G188" s="60">
        <v>1</v>
      </c>
      <c r="H188" s="54" t="s">
        <v>73</v>
      </c>
      <c r="L188" s="97" t="s">
        <v>163</v>
      </c>
      <c r="N188" s="97" t="s">
        <v>1078</v>
      </c>
      <c r="P188" s="57" t="s">
        <v>41</v>
      </c>
      <c r="Q188" s="61">
        <v>46058</v>
      </c>
      <c r="R188" s="55" t="s">
        <v>41</v>
      </c>
      <c r="S188" s="56">
        <v>45500</v>
      </c>
      <c r="T188" s="56" t="str">
        <f t="shared" si="18"/>
        <v>0</v>
      </c>
      <c r="U188" s="56">
        <v>45500</v>
      </c>
      <c r="V188" s="56">
        <f t="shared" si="21"/>
        <v>41363.63636363636</v>
      </c>
      <c r="W188" s="65">
        <f>IF(H188=재고내역!$F$9,출고요청서_raw!G188*1,IF(H188=재고내역!$F$10,출고요청서_raw!G188*2,IF(출고요청서_raw!H188=재고내역!$F$11,출고요청서_raw!G188*4,IF(출고요청서_raw!H188=재고내역!$F$12,출고요청서_raw!G188*6,IF(출고요청서_raw!H188=재고내역!$F$13,출고요청서_raw!G188*8)))))</f>
        <v>4</v>
      </c>
      <c r="X188" s="53"/>
      <c r="Y188" s="53"/>
      <c r="Z188" s="56">
        <f>W188*재고내역!$M$6</f>
        <v>30748</v>
      </c>
      <c r="AA188" s="56">
        <f t="shared" si="17"/>
        <v>4550</v>
      </c>
      <c r="AB188" s="56">
        <f t="shared" si="19"/>
        <v>6065.6363636363603</v>
      </c>
      <c r="AC188" s="376">
        <f t="shared" si="20"/>
        <v>0.14664175824175818</v>
      </c>
    </row>
    <row r="189" spans="1:29" ht="15.75" customHeight="1">
      <c r="A189" s="423" t="s">
        <v>1079</v>
      </c>
      <c r="B189" s="423" t="s">
        <v>1080</v>
      </c>
      <c r="E189" s="423" t="s">
        <v>1081</v>
      </c>
      <c r="F189" s="423" t="s">
        <v>1082</v>
      </c>
      <c r="G189" s="60">
        <v>1</v>
      </c>
      <c r="H189" s="54" t="s">
        <v>73</v>
      </c>
      <c r="L189" s="97" t="s">
        <v>163</v>
      </c>
      <c r="N189" s="97" t="s">
        <v>1083</v>
      </c>
      <c r="P189" s="57" t="s">
        <v>41</v>
      </c>
      <c r="Q189" s="61">
        <v>46058</v>
      </c>
      <c r="R189" s="55" t="s">
        <v>41</v>
      </c>
      <c r="S189" s="56">
        <v>45500</v>
      </c>
      <c r="T189" s="56" t="str">
        <f t="shared" si="18"/>
        <v>0</v>
      </c>
      <c r="U189" s="56">
        <v>45500</v>
      </c>
      <c r="V189" s="56">
        <f t="shared" si="21"/>
        <v>41363.63636363636</v>
      </c>
      <c r="W189" s="65">
        <f>IF(H189=재고내역!$F$9,출고요청서_raw!G189*1,IF(H189=재고내역!$F$10,출고요청서_raw!G189*2,IF(출고요청서_raw!H189=재고내역!$F$11,출고요청서_raw!G189*4,IF(출고요청서_raw!H189=재고내역!$F$12,출고요청서_raw!G189*6,IF(출고요청서_raw!H189=재고내역!$F$13,출고요청서_raw!G189*8)))))</f>
        <v>4</v>
      </c>
      <c r="X189" s="53"/>
      <c r="Y189" s="53"/>
      <c r="Z189" s="56">
        <f>W189*재고내역!$M$6</f>
        <v>30748</v>
      </c>
      <c r="AA189" s="56">
        <f t="shared" si="17"/>
        <v>4550</v>
      </c>
      <c r="AB189" s="56">
        <f t="shared" si="19"/>
        <v>6065.6363636363603</v>
      </c>
      <c r="AC189" s="376">
        <f t="shared" si="20"/>
        <v>0.14664175824175818</v>
      </c>
    </row>
    <row r="190" spans="1:29" ht="15.75" customHeight="1">
      <c r="A190" s="423" t="s">
        <v>1084</v>
      </c>
      <c r="B190" s="423" t="s">
        <v>1085</v>
      </c>
      <c r="E190" s="423" t="s">
        <v>1086</v>
      </c>
      <c r="F190" s="423" t="s">
        <v>1087</v>
      </c>
      <c r="G190" s="60">
        <v>1</v>
      </c>
      <c r="H190" s="54" t="s">
        <v>73</v>
      </c>
      <c r="L190" s="97" t="s">
        <v>163</v>
      </c>
      <c r="N190" s="97" t="s">
        <v>1088</v>
      </c>
      <c r="P190" s="57" t="s">
        <v>41</v>
      </c>
      <c r="Q190" s="61">
        <v>46058</v>
      </c>
      <c r="R190" s="55" t="s">
        <v>41</v>
      </c>
      <c r="S190" s="56">
        <v>45500</v>
      </c>
      <c r="T190" s="56" t="str">
        <f t="shared" si="18"/>
        <v>0</v>
      </c>
      <c r="U190" s="56">
        <v>45500</v>
      </c>
      <c r="V190" s="56">
        <f t="shared" si="21"/>
        <v>41363.63636363636</v>
      </c>
      <c r="W190" s="65">
        <f>IF(H190=재고내역!$F$9,출고요청서_raw!G190*1,IF(H190=재고내역!$F$10,출고요청서_raw!G190*2,IF(출고요청서_raw!H190=재고내역!$F$11,출고요청서_raw!G190*4,IF(출고요청서_raw!H190=재고내역!$F$12,출고요청서_raw!G190*6,IF(출고요청서_raw!H190=재고내역!$F$13,출고요청서_raw!G190*8)))))</f>
        <v>4</v>
      </c>
      <c r="X190" s="53"/>
      <c r="Y190" s="53"/>
      <c r="Z190" s="56">
        <f>W190*재고내역!$M$6</f>
        <v>30748</v>
      </c>
      <c r="AA190" s="56">
        <f t="shared" si="17"/>
        <v>4550</v>
      </c>
      <c r="AB190" s="56">
        <f t="shared" si="19"/>
        <v>6065.6363636363603</v>
      </c>
      <c r="AC190" s="376">
        <f t="shared" si="20"/>
        <v>0.14664175824175818</v>
      </c>
    </row>
    <row r="191" spans="1:29" ht="15.75" customHeight="1">
      <c r="A191" s="423" t="s">
        <v>1089</v>
      </c>
      <c r="B191" s="423" t="s">
        <v>1090</v>
      </c>
      <c r="E191" s="423" t="s">
        <v>1091</v>
      </c>
      <c r="F191" s="423" t="s">
        <v>1092</v>
      </c>
      <c r="G191" s="60">
        <v>1</v>
      </c>
      <c r="H191" s="54" t="s">
        <v>73</v>
      </c>
      <c r="L191" s="97" t="s">
        <v>163</v>
      </c>
      <c r="N191" s="97" t="s">
        <v>1093</v>
      </c>
      <c r="P191" s="57" t="s">
        <v>41</v>
      </c>
      <c r="Q191" s="61">
        <v>46058</v>
      </c>
      <c r="R191" s="55" t="s">
        <v>41</v>
      </c>
      <c r="S191" s="56">
        <v>45500</v>
      </c>
      <c r="T191" s="56" t="str">
        <f t="shared" si="18"/>
        <v>0</v>
      </c>
      <c r="U191" s="56">
        <v>45500</v>
      </c>
      <c r="V191" s="56">
        <f t="shared" si="21"/>
        <v>41363.63636363636</v>
      </c>
      <c r="W191" s="65">
        <f>IF(H191=재고내역!$F$9,출고요청서_raw!G191*1,IF(H191=재고내역!$F$10,출고요청서_raw!G191*2,IF(출고요청서_raw!H191=재고내역!$F$11,출고요청서_raw!G191*4,IF(출고요청서_raw!H191=재고내역!$F$12,출고요청서_raw!G191*6,IF(출고요청서_raw!H191=재고내역!$F$13,출고요청서_raw!G191*8)))))</f>
        <v>4</v>
      </c>
      <c r="X191" s="53"/>
      <c r="Y191" s="53"/>
      <c r="Z191" s="56">
        <f>W191*재고내역!$M$6</f>
        <v>30748</v>
      </c>
      <c r="AA191" s="56">
        <f t="shared" si="17"/>
        <v>4550</v>
      </c>
      <c r="AB191" s="56">
        <f t="shared" si="19"/>
        <v>6065.6363636363603</v>
      </c>
      <c r="AC191" s="376">
        <f t="shared" si="20"/>
        <v>0.14664175824175818</v>
      </c>
    </row>
    <row r="192" spans="1:29" ht="15.75" customHeight="1">
      <c r="A192" s="423" t="s">
        <v>1094</v>
      </c>
      <c r="B192" s="423" t="s">
        <v>1095</v>
      </c>
      <c r="E192" s="423" t="s">
        <v>1096</v>
      </c>
      <c r="F192" s="423" t="s">
        <v>1097</v>
      </c>
      <c r="G192" s="60">
        <v>1</v>
      </c>
      <c r="H192" s="54" t="s">
        <v>73</v>
      </c>
      <c r="L192" s="97" t="s">
        <v>163</v>
      </c>
      <c r="N192" s="97" t="s">
        <v>1098</v>
      </c>
      <c r="P192" s="57" t="s">
        <v>41</v>
      </c>
      <c r="Q192" s="61">
        <v>46058</v>
      </c>
      <c r="R192" s="55" t="s">
        <v>41</v>
      </c>
      <c r="S192" s="56">
        <v>45500</v>
      </c>
      <c r="T192" s="56" t="str">
        <f t="shared" si="18"/>
        <v>0</v>
      </c>
      <c r="U192" s="56">
        <v>45500</v>
      </c>
      <c r="V192" s="56">
        <f t="shared" si="21"/>
        <v>41363.63636363636</v>
      </c>
      <c r="W192" s="65">
        <f>IF(H192=재고내역!$F$9,출고요청서_raw!G192*1,IF(H192=재고내역!$F$10,출고요청서_raw!G192*2,IF(출고요청서_raw!H192=재고내역!$F$11,출고요청서_raw!G192*4,IF(출고요청서_raw!H192=재고내역!$F$12,출고요청서_raw!G192*6,IF(출고요청서_raw!H192=재고내역!$F$13,출고요청서_raw!G192*8)))))</f>
        <v>4</v>
      </c>
      <c r="X192" s="53"/>
      <c r="Y192" s="53"/>
      <c r="Z192" s="56">
        <f>W192*재고내역!$M$6</f>
        <v>30748</v>
      </c>
      <c r="AA192" s="56">
        <f t="shared" si="17"/>
        <v>4550</v>
      </c>
      <c r="AB192" s="56">
        <f t="shared" si="19"/>
        <v>6065.6363636363603</v>
      </c>
      <c r="AC192" s="376">
        <f t="shared" si="20"/>
        <v>0.14664175824175818</v>
      </c>
    </row>
    <row r="193" spans="1:29" ht="15.75" customHeight="1">
      <c r="A193" s="423" t="s">
        <v>1099</v>
      </c>
      <c r="B193" s="423" t="s">
        <v>1100</v>
      </c>
      <c r="E193" s="423" t="s">
        <v>1101</v>
      </c>
      <c r="F193" s="423" t="s">
        <v>1102</v>
      </c>
      <c r="G193" s="60">
        <v>1</v>
      </c>
      <c r="H193" s="54" t="s">
        <v>73</v>
      </c>
      <c r="L193" s="97" t="s">
        <v>163</v>
      </c>
      <c r="N193" s="97" t="s">
        <v>1103</v>
      </c>
      <c r="P193" s="57" t="s">
        <v>41</v>
      </c>
      <c r="Q193" s="61">
        <v>46058</v>
      </c>
      <c r="R193" s="55" t="s">
        <v>41</v>
      </c>
      <c r="S193" s="56">
        <v>45500</v>
      </c>
      <c r="T193" s="56" t="str">
        <f t="shared" si="18"/>
        <v>0</v>
      </c>
      <c r="U193" s="56">
        <v>45500</v>
      </c>
      <c r="V193" s="56">
        <f t="shared" si="21"/>
        <v>41363.63636363636</v>
      </c>
      <c r="W193" s="65">
        <f>IF(H193=재고내역!$F$9,출고요청서_raw!G193*1,IF(H193=재고내역!$F$10,출고요청서_raw!G193*2,IF(출고요청서_raw!H193=재고내역!$F$11,출고요청서_raw!G193*4,IF(출고요청서_raw!H193=재고내역!$F$12,출고요청서_raw!G193*6,IF(출고요청서_raw!H193=재고내역!$F$13,출고요청서_raw!G193*8)))))</f>
        <v>4</v>
      </c>
      <c r="X193" s="53"/>
      <c r="Y193" s="53"/>
      <c r="Z193" s="56">
        <f>W193*재고내역!$M$6</f>
        <v>30748</v>
      </c>
      <c r="AA193" s="56">
        <f t="shared" si="17"/>
        <v>4550</v>
      </c>
      <c r="AB193" s="56">
        <f t="shared" si="19"/>
        <v>6065.6363636363603</v>
      </c>
      <c r="AC193" s="376">
        <f t="shared" si="20"/>
        <v>0.14664175824175818</v>
      </c>
    </row>
    <row r="194" spans="1:29" ht="15.75" customHeight="1">
      <c r="A194" s="423" t="s">
        <v>1104</v>
      </c>
      <c r="B194" s="423" t="s">
        <v>1105</v>
      </c>
      <c r="E194" s="423" t="s">
        <v>1106</v>
      </c>
      <c r="F194" s="423" t="s">
        <v>1107</v>
      </c>
      <c r="G194" s="370">
        <v>2</v>
      </c>
      <c r="H194" s="54" t="s">
        <v>73</v>
      </c>
      <c r="L194" s="97" t="s">
        <v>163</v>
      </c>
      <c r="N194" s="97" t="s">
        <v>1108</v>
      </c>
      <c r="P194" s="57" t="s">
        <v>41</v>
      </c>
      <c r="Q194" s="61">
        <v>46058</v>
      </c>
      <c r="R194" s="55" t="s">
        <v>41</v>
      </c>
      <c r="S194" s="56">
        <v>45500</v>
      </c>
      <c r="T194" s="56" t="str">
        <f t="shared" si="18"/>
        <v>0</v>
      </c>
      <c r="U194" s="56">
        <v>91000</v>
      </c>
      <c r="V194" s="56">
        <f t="shared" si="21"/>
        <v>82727.272727272721</v>
      </c>
      <c r="W194" s="65">
        <f>IF(H194=재고내역!$F$9,출고요청서_raw!G194*1,IF(H194=재고내역!$F$10,출고요청서_raw!G194*2,IF(출고요청서_raw!H194=재고내역!$F$11,출고요청서_raw!G194*4,IF(출고요청서_raw!H194=재고내역!$F$12,출고요청서_raw!G194*6,IF(출고요청서_raw!H194=재고내역!$F$13,출고요청서_raw!G194*8)))))</f>
        <v>8</v>
      </c>
      <c r="X194" s="53"/>
      <c r="Y194" s="53"/>
      <c r="Z194" s="56">
        <f>W194*재고내역!$M$6</f>
        <v>61496</v>
      </c>
      <c r="AA194" s="56">
        <f t="shared" si="17"/>
        <v>4550</v>
      </c>
      <c r="AB194" s="56">
        <f t="shared" si="19"/>
        <v>16681.272727272721</v>
      </c>
      <c r="AC194" s="376">
        <f t="shared" si="20"/>
        <v>0.20164175824175817</v>
      </c>
    </row>
    <row r="195" spans="1:29" ht="15.75" customHeight="1">
      <c r="A195" s="423" t="s">
        <v>1109</v>
      </c>
      <c r="B195" s="423" t="s">
        <v>1110</v>
      </c>
      <c r="E195" s="423" t="s">
        <v>1111</v>
      </c>
      <c r="F195" s="423" t="s">
        <v>1112</v>
      </c>
      <c r="G195" s="60">
        <v>1</v>
      </c>
      <c r="H195" s="54" t="s">
        <v>73</v>
      </c>
      <c r="L195" s="97" t="s">
        <v>163</v>
      </c>
      <c r="N195" s="97" t="s">
        <v>1113</v>
      </c>
      <c r="P195" s="57" t="s">
        <v>41</v>
      </c>
      <c r="Q195" s="61">
        <v>46058</v>
      </c>
      <c r="R195" s="55" t="s">
        <v>41</v>
      </c>
      <c r="S195" s="56">
        <v>45500</v>
      </c>
      <c r="T195" s="56" t="str">
        <f t="shared" si="18"/>
        <v>0</v>
      </c>
      <c r="U195" s="56">
        <v>45500</v>
      </c>
      <c r="V195" s="56">
        <f t="shared" si="21"/>
        <v>41363.63636363636</v>
      </c>
      <c r="W195" s="65">
        <f>IF(H195=재고내역!$F$9,출고요청서_raw!G195*1,IF(H195=재고내역!$F$10,출고요청서_raw!G195*2,IF(출고요청서_raw!H195=재고내역!$F$11,출고요청서_raw!G195*4,IF(출고요청서_raw!H195=재고내역!$F$12,출고요청서_raw!G195*6,IF(출고요청서_raw!H195=재고내역!$F$13,출고요청서_raw!G195*8)))))</f>
        <v>4</v>
      </c>
      <c r="X195" s="53"/>
      <c r="Y195" s="53"/>
      <c r="Z195" s="56">
        <f>W195*재고내역!$M$6</f>
        <v>30748</v>
      </c>
      <c r="AA195" s="56">
        <f t="shared" si="17"/>
        <v>4550</v>
      </c>
      <c r="AB195" s="56">
        <f t="shared" si="19"/>
        <v>6065.6363636363603</v>
      </c>
      <c r="AC195" s="376">
        <f t="shared" si="20"/>
        <v>0.14664175824175818</v>
      </c>
    </row>
    <row r="196" spans="1:29" ht="15.75" customHeight="1">
      <c r="A196" s="423" t="s">
        <v>1114</v>
      </c>
      <c r="B196" s="423" t="s">
        <v>1115</v>
      </c>
      <c r="E196" s="423" t="s">
        <v>1116</v>
      </c>
      <c r="F196" s="423" t="s">
        <v>1117</v>
      </c>
      <c r="G196" s="60">
        <v>1</v>
      </c>
      <c r="H196" s="54" t="s">
        <v>73</v>
      </c>
      <c r="L196" s="97" t="s">
        <v>163</v>
      </c>
      <c r="N196" s="97" t="s">
        <v>1118</v>
      </c>
      <c r="P196" s="57" t="s">
        <v>41</v>
      </c>
      <c r="Q196" s="61">
        <v>46058</v>
      </c>
      <c r="R196" s="55" t="s">
        <v>41</v>
      </c>
      <c r="S196" s="56">
        <v>45500</v>
      </c>
      <c r="T196" s="56" t="str">
        <f t="shared" si="18"/>
        <v>0</v>
      </c>
      <c r="U196" s="56">
        <v>45500</v>
      </c>
      <c r="V196" s="56">
        <f t="shared" si="21"/>
        <v>41363.63636363636</v>
      </c>
      <c r="W196" s="65">
        <f>IF(H196=재고내역!$F$9,출고요청서_raw!G196*1,IF(H196=재고내역!$F$10,출고요청서_raw!G196*2,IF(출고요청서_raw!H196=재고내역!$F$11,출고요청서_raw!G196*4,IF(출고요청서_raw!H196=재고내역!$F$12,출고요청서_raw!G196*6,IF(출고요청서_raw!H196=재고내역!$F$13,출고요청서_raw!G196*8)))))</f>
        <v>4</v>
      </c>
      <c r="X196" s="53"/>
      <c r="Y196" s="53"/>
      <c r="Z196" s="56">
        <f>W196*재고내역!$M$6</f>
        <v>30748</v>
      </c>
      <c r="AA196" s="56">
        <f t="shared" si="17"/>
        <v>4550</v>
      </c>
      <c r="AB196" s="56">
        <f t="shared" si="19"/>
        <v>6065.6363636363603</v>
      </c>
      <c r="AC196" s="376">
        <f t="shared" si="20"/>
        <v>0.14664175824175818</v>
      </c>
    </row>
    <row r="197" spans="1:29" ht="15.75" customHeight="1">
      <c r="A197" s="423" t="s">
        <v>1119</v>
      </c>
      <c r="B197" s="423" t="s">
        <v>1120</v>
      </c>
      <c r="E197" s="423" t="s">
        <v>1121</v>
      </c>
      <c r="F197" s="423" t="s">
        <v>1122</v>
      </c>
      <c r="G197" s="60">
        <v>1</v>
      </c>
      <c r="H197" s="54" t="s">
        <v>73</v>
      </c>
      <c r="L197" s="97" t="s">
        <v>163</v>
      </c>
      <c r="N197" s="97" t="s">
        <v>1123</v>
      </c>
      <c r="P197" s="57" t="s">
        <v>41</v>
      </c>
      <c r="Q197" s="61">
        <v>46058</v>
      </c>
      <c r="R197" s="55" t="s">
        <v>41</v>
      </c>
      <c r="S197" s="56">
        <v>45500</v>
      </c>
      <c r="T197" s="56" t="str">
        <f t="shared" si="18"/>
        <v>0</v>
      </c>
      <c r="U197" s="56">
        <v>45500</v>
      </c>
      <c r="V197" s="56">
        <f t="shared" si="21"/>
        <v>41363.63636363636</v>
      </c>
      <c r="W197" s="65">
        <f>IF(H197=재고내역!$F$9,출고요청서_raw!G197*1,IF(H197=재고내역!$F$10,출고요청서_raw!G197*2,IF(출고요청서_raw!H197=재고내역!$F$11,출고요청서_raw!G197*4,IF(출고요청서_raw!H197=재고내역!$F$12,출고요청서_raw!G197*6,IF(출고요청서_raw!H197=재고내역!$F$13,출고요청서_raw!G197*8)))))</f>
        <v>4</v>
      </c>
      <c r="X197" s="53"/>
      <c r="Y197" s="53"/>
      <c r="Z197" s="56">
        <f>W197*재고내역!$M$6</f>
        <v>30748</v>
      </c>
      <c r="AA197" s="56">
        <f t="shared" ref="AA197:AA260" si="22">IF(W197&gt;8,4550*2,4550)</f>
        <v>4550</v>
      </c>
      <c r="AB197" s="56">
        <f t="shared" si="19"/>
        <v>6065.6363636363603</v>
      </c>
      <c r="AC197" s="376">
        <f t="shared" si="20"/>
        <v>0.14664175824175818</v>
      </c>
    </row>
    <row r="198" spans="1:29" ht="15.75" customHeight="1">
      <c r="A198" s="423" t="s">
        <v>1124</v>
      </c>
      <c r="B198" s="423" t="s">
        <v>1125</v>
      </c>
      <c r="E198" s="423" t="s">
        <v>1126</v>
      </c>
      <c r="F198" s="423" t="s">
        <v>1127</v>
      </c>
      <c r="G198" s="60">
        <v>1</v>
      </c>
      <c r="H198" s="54" t="s">
        <v>73</v>
      </c>
      <c r="L198" s="97" t="s">
        <v>163</v>
      </c>
      <c r="N198" s="97" t="s">
        <v>1128</v>
      </c>
      <c r="P198" s="57" t="s">
        <v>41</v>
      </c>
      <c r="Q198" s="61">
        <v>46058</v>
      </c>
      <c r="R198" s="55" t="s">
        <v>41</v>
      </c>
      <c r="S198" s="56">
        <v>45500</v>
      </c>
      <c r="T198" s="56" t="str">
        <f t="shared" ref="T198:T261" si="23">IF(R198="쿠팡",VLOOKUP(H198,$AF$7:$AG$10,2,0)*G198,"0")</f>
        <v>0</v>
      </c>
      <c r="U198" s="56">
        <v>45500</v>
      </c>
      <c r="V198" s="56">
        <f t="shared" si="21"/>
        <v>41363.63636363636</v>
      </c>
      <c r="W198" s="65">
        <f>IF(H198=재고내역!$F$9,출고요청서_raw!G198*1,IF(H198=재고내역!$F$10,출고요청서_raw!G198*2,IF(출고요청서_raw!H198=재고내역!$F$11,출고요청서_raw!G198*4,IF(출고요청서_raw!H198=재고내역!$F$12,출고요청서_raw!G198*6,IF(출고요청서_raw!H198=재고내역!$F$13,출고요청서_raw!G198*8)))))</f>
        <v>4</v>
      </c>
      <c r="X198" s="53"/>
      <c r="Y198" s="53"/>
      <c r="Z198" s="56">
        <f>W198*재고내역!$M$6</f>
        <v>30748</v>
      </c>
      <c r="AA198" s="56">
        <f t="shared" si="22"/>
        <v>4550</v>
      </c>
      <c r="AB198" s="56">
        <f t="shared" ref="AB198:AB261" si="24">V198-Z198-AA198-Y198</f>
        <v>6065.6363636363603</v>
      </c>
      <c r="AC198" s="376">
        <f t="shared" ref="AC198:AC261" si="25">AB198/V198</f>
        <v>0.14664175824175818</v>
      </c>
    </row>
    <row r="199" spans="1:29" ht="15.75" customHeight="1">
      <c r="A199" s="423" t="s">
        <v>1129</v>
      </c>
      <c r="B199" s="423" t="s">
        <v>1130</v>
      </c>
      <c r="E199" s="423" t="s">
        <v>1131</v>
      </c>
      <c r="F199" s="423" t="s">
        <v>1132</v>
      </c>
      <c r="G199" s="60">
        <v>1</v>
      </c>
      <c r="H199" s="54" t="s">
        <v>73</v>
      </c>
      <c r="L199" s="97" t="s">
        <v>163</v>
      </c>
      <c r="N199" s="97" t="s">
        <v>1133</v>
      </c>
      <c r="P199" s="57" t="s">
        <v>41</v>
      </c>
      <c r="Q199" s="61">
        <v>46058</v>
      </c>
      <c r="R199" s="55" t="s">
        <v>41</v>
      </c>
      <c r="S199" s="56">
        <v>45500</v>
      </c>
      <c r="T199" s="56" t="str">
        <f t="shared" si="23"/>
        <v>0</v>
      </c>
      <c r="U199" s="56">
        <v>45500</v>
      </c>
      <c r="V199" s="56">
        <f t="shared" si="21"/>
        <v>41363.63636363636</v>
      </c>
      <c r="W199" s="65">
        <f>IF(H199=재고내역!$F$9,출고요청서_raw!G199*1,IF(H199=재고내역!$F$10,출고요청서_raw!G199*2,IF(출고요청서_raw!H199=재고내역!$F$11,출고요청서_raw!G199*4,IF(출고요청서_raw!H199=재고내역!$F$12,출고요청서_raw!G199*6,IF(출고요청서_raw!H199=재고내역!$F$13,출고요청서_raw!G199*8)))))</f>
        <v>4</v>
      </c>
      <c r="X199" s="53"/>
      <c r="Y199" s="53"/>
      <c r="Z199" s="56">
        <f>W199*재고내역!$M$6</f>
        <v>30748</v>
      </c>
      <c r="AA199" s="56">
        <f t="shared" si="22"/>
        <v>4550</v>
      </c>
      <c r="AB199" s="56">
        <f t="shared" si="24"/>
        <v>6065.6363636363603</v>
      </c>
      <c r="AC199" s="376">
        <f t="shared" si="25"/>
        <v>0.14664175824175818</v>
      </c>
    </row>
    <row r="200" spans="1:29" ht="15.75" customHeight="1">
      <c r="A200" s="423" t="s">
        <v>1134</v>
      </c>
      <c r="B200" s="423" t="s">
        <v>1135</v>
      </c>
      <c r="E200" s="423" t="s">
        <v>258</v>
      </c>
      <c r="F200" s="423" t="s">
        <v>1136</v>
      </c>
      <c r="G200" s="60">
        <v>1</v>
      </c>
      <c r="H200" s="54" t="s">
        <v>73</v>
      </c>
      <c r="L200" s="97" t="s">
        <v>1137</v>
      </c>
      <c r="N200" s="97" t="s">
        <v>1138</v>
      </c>
      <c r="P200" s="57" t="s">
        <v>41</v>
      </c>
      <c r="Q200" s="61">
        <v>46058</v>
      </c>
      <c r="R200" s="55" t="s">
        <v>41</v>
      </c>
      <c r="S200" s="56">
        <v>45500</v>
      </c>
      <c r="T200" s="56" t="str">
        <f t="shared" si="23"/>
        <v>0</v>
      </c>
      <c r="U200" s="56">
        <v>45500</v>
      </c>
      <c r="V200" s="56">
        <f t="shared" si="21"/>
        <v>41363.63636363636</v>
      </c>
      <c r="W200" s="65">
        <f>IF(H200=재고내역!$F$9,출고요청서_raw!G200*1,IF(H200=재고내역!$F$10,출고요청서_raw!G200*2,IF(출고요청서_raw!H200=재고내역!$F$11,출고요청서_raw!G200*4,IF(출고요청서_raw!H200=재고내역!$F$12,출고요청서_raw!G200*6,IF(출고요청서_raw!H200=재고내역!$F$13,출고요청서_raw!G200*8)))))</f>
        <v>4</v>
      </c>
      <c r="X200" s="53"/>
      <c r="Y200" s="53"/>
      <c r="Z200" s="56">
        <f>W200*재고내역!$M$6</f>
        <v>30748</v>
      </c>
      <c r="AA200" s="56">
        <f t="shared" si="22"/>
        <v>4550</v>
      </c>
      <c r="AB200" s="56">
        <f t="shared" si="24"/>
        <v>6065.6363636363603</v>
      </c>
      <c r="AC200" s="376">
        <f t="shared" si="25"/>
        <v>0.14664175824175818</v>
      </c>
    </row>
    <row r="201" spans="1:29" ht="15.75" customHeight="1">
      <c r="A201" s="423" t="s">
        <v>1139</v>
      </c>
      <c r="B201" s="423" t="s">
        <v>1140</v>
      </c>
      <c r="E201" s="423" t="s">
        <v>1141</v>
      </c>
      <c r="F201" s="423" t="s">
        <v>1142</v>
      </c>
      <c r="G201" s="60">
        <v>1</v>
      </c>
      <c r="H201" s="54" t="s">
        <v>73</v>
      </c>
      <c r="L201" s="97" t="s">
        <v>163</v>
      </c>
      <c r="N201" s="97" t="s">
        <v>1143</v>
      </c>
      <c r="P201" s="57" t="s">
        <v>41</v>
      </c>
      <c r="Q201" s="61">
        <v>46058</v>
      </c>
      <c r="R201" s="55" t="s">
        <v>41</v>
      </c>
      <c r="S201" s="56">
        <v>45500</v>
      </c>
      <c r="T201" s="56" t="str">
        <f t="shared" si="23"/>
        <v>0</v>
      </c>
      <c r="U201" s="56">
        <v>45500</v>
      </c>
      <c r="V201" s="56">
        <f t="shared" si="21"/>
        <v>41363.63636363636</v>
      </c>
      <c r="W201" s="65">
        <f>IF(H201=재고내역!$F$9,출고요청서_raw!G201*1,IF(H201=재고내역!$F$10,출고요청서_raw!G201*2,IF(출고요청서_raw!H201=재고내역!$F$11,출고요청서_raw!G201*4,IF(출고요청서_raw!H201=재고내역!$F$12,출고요청서_raw!G201*6,IF(출고요청서_raw!H201=재고내역!$F$13,출고요청서_raw!G201*8)))))</f>
        <v>4</v>
      </c>
      <c r="X201" s="53"/>
      <c r="Y201" s="53"/>
      <c r="Z201" s="56">
        <f>W201*재고내역!$M$6</f>
        <v>30748</v>
      </c>
      <c r="AA201" s="56">
        <f t="shared" si="22"/>
        <v>4550</v>
      </c>
      <c r="AB201" s="56">
        <f t="shared" si="24"/>
        <v>6065.6363636363603</v>
      </c>
      <c r="AC201" s="376">
        <f t="shared" si="25"/>
        <v>0.14664175824175818</v>
      </c>
    </row>
    <row r="202" spans="1:29" ht="15.75" customHeight="1">
      <c r="A202" s="423" t="s">
        <v>1144</v>
      </c>
      <c r="B202" s="423" t="s">
        <v>1145</v>
      </c>
      <c r="E202" s="423" t="s">
        <v>1146</v>
      </c>
      <c r="F202" s="423" t="s">
        <v>1147</v>
      </c>
      <c r="G202" s="60">
        <v>1</v>
      </c>
      <c r="H202" s="54" t="s">
        <v>73</v>
      </c>
      <c r="L202" s="97" t="s">
        <v>163</v>
      </c>
      <c r="N202" s="97" t="s">
        <v>1148</v>
      </c>
      <c r="P202" s="57" t="s">
        <v>41</v>
      </c>
      <c r="Q202" s="61">
        <v>46058</v>
      </c>
      <c r="R202" s="55" t="s">
        <v>41</v>
      </c>
      <c r="S202" s="56">
        <v>45500</v>
      </c>
      <c r="T202" s="56" t="str">
        <f t="shared" si="23"/>
        <v>0</v>
      </c>
      <c r="U202" s="56">
        <v>45500</v>
      </c>
      <c r="V202" s="56">
        <f t="shared" si="21"/>
        <v>41363.63636363636</v>
      </c>
      <c r="W202" s="65">
        <f>IF(H202=재고내역!$F$9,출고요청서_raw!G202*1,IF(H202=재고내역!$F$10,출고요청서_raw!G202*2,IF(출고요청서_raw!H202=재고내역!$F$11,출고요청서_raw!G202*4,IF(출고요청서_raw!H202=재고내역!$F$12,출고요청서_raw!G202*6,IF(출고요청서_raw!H202=재고내역!$F$13,출고요청서_raw!G202*8)))))</f>
        <v>4</v>
      </c>
      <c r="X202" s="53"/>
      <c r="Y202" s="53"/>
      <c r="Z202" s="56">
        <f>W202*재고내역!$M$6</f>
        <v>30748</v>
      </c>
      <c r="AA202" s="56">
        <f t="shared" si="22"/>
        <v>4550</v>
      </c>
      <c r="AB202" s="56">
        <f t="shared" si="24"/>
        <v>6065.6363636363603</v>
      </c>
      <c r="AC202" s="376">
        <f t="shared" si="25"/>
        <v>0.14664175824175818</v>
      </c>
    </row>
    <row r="203" spans="1:29" ht="15.75" customHeight="1">
      <c r="A203" s="423" t="s">
        <v>1149</v>
      </c>
      <c r="B203" s="423" t="s">
        <v>1150</v>
      </c>
      <c r="E203" s="423" t="s">
        <v>1151</v>
      </c>
      <c r="F203" s="423" t="s">
        <v>1152</v>
      </c>
      <c r="G203" s="60">
        <v>1</v>
      </c>
      <c r="H203" s="54" t="s">
        <v>73</v>
      </c>
      <c r="L203" s="97" t="s">
        <v>1153</v>
      </c>
      <c r="N203" s="97" t="s">
        <v>1154</v>
      </c>
      <c r="P203" s="57" t="s">
        <v>41</v>
      </c>
      <c r="Q203" s="61">
        <v>46058</v>
      </c>
      <c r="R203" s="55" t="s">
        <v>41</v>
      </c>
      <c r="S203" s="56">
        <v>45500</v>
      </c>
      <c r="T203" s="56" t="str">
        <f t="shared" si="23"/>
        <v>0</v>
      </c>
      <c r="U203" s="56">
        <v>45500</v>
      </c>
      <c r="V203" s="56">
        <f t="shared" si="21"/>
        <v>41363.63636363636</v>
      </c>
      <c r="W203" s="65">
        <f>IF(H203=재고내역!$F$9,출고요청서_raw!G203*1,IF(H203=재고내역!$F$10,출고요청서_raw!G203*2,IF(출고요청서_raw!H203=재고내역!$F$11,출고요청서_raw!G203*4,IF(출고요청서_raw!H203=재고내역!$F$12,출고요청서_raw!G203*6,IF(출고요청서_raw!H203=재고내역!$F$13,출고요청서_raw!G203*8)))))</f>
        <v>4</v>
      </c>
      <c r="X203" s="53"/>
      <c r="Y203" s="53"/>
      <c r="Z203" s="56">
        <f>W203*재고내역!$M$6</f>
        <v>30748</v>
      </c>
      <c r="AA203" s="56">
        <f t="shared" si="22"/>
        <v>4550</v>
      </c>
      <c r="AB203" s="56">
        <f t="shared" si="24"/>
        <v>6065.6363636363603</v>
      </c>
      <c r="AC203" s="376">
        <f t="shared" si="25"/>
        <v>0.14664175824175818</v>
      </c>
    </row>
    <row r="204" spans="1:29" ht="15.75" customHeight="1">
      <c r="A204" s="423" t="s">
        <v>1155</v>
      </c>
      <c r="B204" s="423" t="s">
        <v>1156</v>
      </c>
      <c r="E204" s="423" t="s">
        <v>1157</v>
      </c>
      <c r="F204" s="423" t="s">
        <v>1158</v>
      </c>
      <c r="G204" s="60">
        <v>1</v>
      </c>
      <c r="H204" s="54" t="s">
        <v>73</v>
      </c>
      <c r="L204" s="97" t="s">
        <v>163</v>
      </c>
      <c r="N204" s="97" t="s">
        <v>1159</v>
      </c>
      <c r="P204" s="57" t="s">
        <v>41</v>
      </c>
      <c r="Q204" s="61">
        <v>46058</v>
      </c>
      <c r="R204" s="55" t="s">
        <v>41</v>
      </c>
      <c r="S204" s="56">
        <v>45500</v>
      </c>
      <c r="T204" s="56" t="str">
        <f t="shared" si="23"/>
        <v>0</v>
      </c>
      <c r="U204" s="56">
        <v>45500</v>
      </c>
      <c r="V204" s="56">
        <f t="shared" ref="V204:V267" si="26">U204/1.1</f>
        <v>41363.63636363636</v>
      </c>
      <c r="W204" s="65">
        <f>IF(H204=재고내역!$F$9,출고요청서_raw!G204*1,IF(H204=재고내역!$F$10,출고요청서_raw!G204*2,IF(출고요청서_raw!H204=재고내역!$F$11,출고요청서_raw!G204*4,IF(출고요청서_raw!H204=재고내역!$F$12,출고요청서_raw!G204*6,IF(출고요청서_raw!H204=재고내역!$F$13,출고요청서_raw!G204*8)))))</f>
        <v>4</v>
      </c>
      <c r="X204" s="53"/>
      <c r="Y204" s="53"/>
      <c r="Z204" s="56">
        <f>W204*재고내역!$M$6</f>
        <v>30748</v>
      </c>
      <c r="AA204" s="56">
        <f t="shared" si="22"/>
        <v>4550</v>
      </c>
      <c r="AB204" s="56">
        <f t="shared" si="24"/>
        <v>6065.6363636363603</v>
      </c>
      <c r="AC204" s="376">
        <f t="shared" si="25"/>
        <v>0.14664175824175818</v>
      </c>
    </row>
    <row r="205" spans="1:29" ht="15.75" customHeight="1">
      <c r="A205" s="423" t="s">
        <v>1160</v>
      </c>
      <c r="B205" s="423" t="s">
        <v>1161</v>
      </c>
      <c r="E205" s="423" t="s">
        <v>1162</v>
      </c>
      <c r="F205" s="423" t="s">
        <v>1163</v>
      </c>
      <c r="G205" s="60">
        <v>1</v>
      </c>
      <c r="H205" s="54" t="s">
        <v>73</v>
      </c>
      <c r="L205" s="97" t="s">
        <v>163</v>
      </c>
      <c r="N205" s="97" t="s">
        <v>1164</v>
      </c>
      <c r="P205" s="57" t="s">
        <v>41</v>
      </c>
      <c r="Q205" s="61">
        <v>46058</v>
      </c>
      <c r="R205" s="55" t="s">
        <v>41</v>
      </c>
      <c r="S205" s="56">
        <v>45500</v>
      </c>
      <c r="T205" s="56" t="str">
        <f t="shared" si="23"/>
        <v>0</v>
      </c>
      <c r="U205" s="56">
        <v>45500</v>
      </c>
      <c r="V205" s="56">
        <f t="shared" si="26"/>
        <v>41363.63636363636</v>
      </c>
      <c r="W205" s="65">
        <f>IF(H205=재고내역!$F$9,출고요청서_raw!G205*1,IF(H205=재고내역!$F$10,출고요청서_raw!G205*2,IF(출고요청서_raw!H205=재고내역!$F$11,출고요청서_raw!G205*4,IF(출고요청서_raw!H205=재고내역!$F$12,출고요청서_raw!G205*6,IF(출고요청서_raw!H205=재고내역!$F$13,출고요청서_raw!G205*8)))))</f>
        <v>4</v>
      </c>
      <c r="X205" s="53"/>
      <c r="Y205" s="53"/>
      <c r="Z205" s="56">
        <f>W205*재고내역!$M$6</f>
        <v>30748</v>
      </c>
      <c r="AA205" s="56">
        <f t="shared" si="22"/>
        <v>4550</v>
      </c>
      <c r="AB205" s="56">
        <f t="shared" si="24"/>
        <v>6065.6363636363603</v>
      </c>
      <c r="AC205" s="376">
        <f t="shared" si="25"/>
        <v>0.14664175824175818</v>
      </c>
    </row>
    <row r="206" spans="1:29" ht="15.75" customHeight="1">
      <c r="A206" s="423" t="s">
        <v>1165</v>
      </c>
      <c r="B206" s="423" t="s">
        <v>1166</v>
      </c>
      <c r="E206" s="423" t="s">
        <v>1167</v>
      </c>
      <c r="F206" s="423" t="s">
        <v>1168</v>
      </c>
      <c r="G206" s="60">
        <v>1</v>
      </c>
      <c r="H206" s="54" t="s">
        <v>73</v>
      </c>
      <c r="L206" s="97" t="s">
        <v>163</v>
      </c>
      <c r="N206" s="97" t="s">
        <v>1169</v>
      </c>
      <c r="P206" s="57" t="s">
        <v>41</v>
      </c>
      <c r="Q206" s="61">
        <v>46058</v>
      </c>
      <c r="R206" s="55" t="s">
        <v>41</v>
      </c>
      <c r="S206" s="56">
        <v>45500</v>
      </c>
      <c r="T206" s="56" t="str">
        <f t="shared" si="23"/>
        <v>0</v>
      </c>
      <c r="U206" s="56">
        <v>45500</v>
      </c>
      <c r="V206" s="56">
        <f t="shared" si="26"/>
        <v>41363.63636363636</v>
      </c>
      <c r="W206" s="65">
        <f>IF(H206=재고내역!$F$9,출고요청서_raw!G206*1,IF(H206=재고내역!$F$10,출고요청서_raw!G206*2,IF(출고요청서_raw!H206=재고내역!$F$11,출고요청서_raw!G206*4,IF(출고요청서_raw!H206=재고내역!$F$12,출고요청서_raw!G206*6,IF(출고요청서_raw!H206=재고내역!$F$13,출고요청서_raw!G206*8)))))</f>
        <v>4</v>
      </c>
      <c r="X206" s="53"/>
      <c r="Y206" s="53"/>
      <c r="Z206" s="56">
        <f>W206*재고내역!$M$6</f>
        <v>30748</v>
      </c>
      <c r="AA206" s="56">
        <f t="shared" si="22"/>
        <v>4550</v>
      </c>
      <c r="AB206" s="56">
        <f t="shared" si="24"/>
        <v>6065.6363636363603</v>
      </c>
      <c r="AC206" s="376">
        <f t="shared" si="25"/>
        <v>0.14664175824175818</v>
      </c>
    </row>
    <row r="207" spans="1:29" ht="15.75" customHeight="1">
      <c r="A207" s="423" t="s">
        <v>1170</v>
      </c>
      <c r="B207" s="423" t="s">
        <v>1171</v>
      </c>
      <c r="E207" s="423" t="s">
        <v>1172</v>
      </c>
      <c r="F207" s="423" t="s">
        <v>1173</v>
      </c>
      <c r="G207" s="60">
        <v>1</v>
      </c>
      <c r="H207" s="54" t="s">
        <v>73</v>
      </c>
      <c r="L207" s="97" t="s">
        <v>163</v>
      </c>
      <c r="N207" s="97" t="s">
        <v>1174</v>
      </c>
      <c r="P207" s="57" t="s">
        <v>41</v>
      </c>
      <c r="Q207" s="61">
        <v>46058</v>
      </c>
      <c r="R207" s="55" t="s">
        <v>41</v>
      </c>
      <c r="S207" s="56">
        <v>45500</v>
      </c>
      <c r="T207" s="56" t="str">
        <f t="shared" si="23"/>
        <v>0</v>
      </c>
      <c r="U207" s="56">
        <v>45500</v>
      </c>
      <c r="V207" s="56">
        <f t="shared" si="26"/>
        <v>41363.63636363636</v>
      </c>
      <c r="W207" s="65">
        <f>IF(H207=재고내역!$F$9,출고요청서_raw!G207*1,IF(H207=재고내역!$F$10,출고요청서_raw!G207*2,IF(출고요청서_raw!H207=재고내역!$F$11,출고요청서_raw!G207*4,IF(출고요청서_raw!H207=재고내역!$F$12,출고요청서_raw!G207*6,IF(출고요청서_raw!H207=재고내역!$F$13,출고요청서_raw!G207*8)))))</f>
        <v>4</v>
      </c>
      <c r="X207" s="53"/>
      <c r="Y207" s="53"/>
      <c r="Z207" s="56">
        <f>W207*재고내역!$M$6</f>
        <v>30748</v>
      </c>
      <c r="AA207" s="56">
        <f t="shared" si="22"/>
        <v>4550</v>
      </c>
      <c r="AB207" s="56">
        <f t="shared" si="24"/>
        <v>6065.6363636363603</v>
      </c>
      <c r="AC207" s="376">
        <f t="shared" si="25"/>
        <v>0.14664175824175818</v>
      </c>
    </row>
    <row r="208" spans="1:29" ht="15.75" customHeight="1">
      <c r="A208" s="423" t="s">
        <v>1175</v>
      </c>
      <c r="B208" s="423" t="s">
        <v>1176</v>
      </c>
      <c r="E208" s="423" t="s">
        <v>1177</v>
      </c>
      <c r="F208" s="423" t="s">
        <v>1178</v>
      </c>
      <c r="G208" s="60">
        <v>1</v>
      </c>
      <c r="H208" s="54" t="s">
        <v>73</v>
      </c>
      <c r="L208" s="97" t="s">
        <v>163</v>
      </c>
      <c r="N208" s="97" t="s">
        <v>1179</v>
      </c>
      <c r="P208" s="57" t="s">
        <v>41</v>
      </c>
      <c r="Q208" s="61">
        <v>46058</v>
      </c>
      <c r="R208" s="55" t="s">
        <v>41</v>
      </c>
      <c r="S208" s="56">
        <v>45500</v>
      </c>
      <c r="T208" s="56" t="str">
        <f t="shared" si="23"/>
        <v>0</v>
      </c>
      <c r="U208" s="56">
        <v>45500</v>
      </c>
      <c r="V208" s="56">
        <f t="shared" si="26"/>
        <v>41363.63636363636</v>
      </c>
      <c r="W208" s="65">
        <f>IF(H208=재고내역!$F$9,출고요청서_raw!G208*1,IF(H208=재고내역!$F$10,출고요청서_raw!G208*2,IF(출고요청서_raw!H208=재고내역!$F$11,출고요청서_raw!G208*4,IF(출고요청서_raw!H208=재고내역!$F$12,출고요청서_raw!G208*6,IF(출고요청서_raw!H208=재고내역!$F$13,출고요청서_raw!G208*8)))))</f>
        <v>4</v>
      </c>
      <c r="X208" s="53"/>
      <c r="Y208" s="53"/>
      <c r="Z208" s="56">
        <f>W208*재고내역!$M$6</f>
        <v>30748</v>
      </c>
      <c r="AA208" s="56">
        <f t="shared" si="22"/>
        <v>4550</v>
      </c>
      <c r="AB208" s="56">
        <f t="shared" si="24"/>
        <v>6065.6363636363603</v>
      </c>
      <c r="AC208" s="376">
        <f t="shared" si="25"/>
        <v>0.14664175824175818</v>
      </c>
    </row>
    <row r="209" spans="1:29" ht="15.75" customHeight="1">
      <c r="A209" s="423" t="s">
        <v>1180</v>
      </c>
      <c r="B209" s="423" t="s">
        <v>1181</v>
      </c>
      <c r="E209" s="423" t="s">
        <v>1182</v>
      </c>
      <c r="F209" s="423" t="s">
        <v>1183</v>
      </c>
      <c r="G209" s="60">
        <v>1</v>
      </c>
      <c r="H209" s="54" t="s">
        <v>73</v>
      </c>
      <c r="L209" s="97" t="s">
        <v>163</v>
      </c>
      <c r="N209" s="97" t="s">
        <v>1184</v>
      </c>
      <c r="P209" s="57" t="s">
        <v>41</v>
      </c>
      <c r="Q209" s="61">
        <v>46058</v>
      </c>
      <c r="R209" s="55" t="s">
        <v>41</v>
      </c>
      <c r="S209" s="56">
        <v>45500</v>
      </c>
      <c r="T209" s="56" t="str">
        <f t="shared" si="23"/>
        <v>0</v>
      </c>
      <c r="U209" s="56">
        <v>45500</v>
      </c>
      <c r="V209" s="56">
        <f t="shared" si="26"/>
        <v>41363.63636363636</v>
      </c>
      <c r="W209" s="65">
        <f>IF(H209=재고내역!$F$9,출고요청서_raw!G209*1,IF(H209=재고내역!$F$10,출고요청서_raw!G209*2,IF(출고요청서_raw!H209=재고내역!$F$11,출고요청서_raw!G209*4,IF(출고요청서_raw!H209=재고내역!$F$12,출고요청서_raw!G209*6,IF(출고요청서_raw!H209=재고내역!$F$13,출고요청서_raw!G209*8)))))</f>
        <v>4</v>
      </c>
      <c r="X209" s="53"/>
      <c r="Y209" s="53"/>
      <c r="Z209" s="56">
        <f>W209*재고내역!$M$6</f>
        <v>30748</v>
      </c>
      <c r="AA209" s="56">
        <f t="shared" si="22"/>
        <v>4550</v>
      </c>
      <c r="AB209" s="56">
        <f t="shared" si="24"/>
        <v>6065.6363636363603</v>
      </c>
      <c r="AC209" s="376">
        <f t="shared" si="25"/>
        <v>0.14664175824175818</v>
      </c>
    </row>
    <row r="210" spans="1:29" ht="15.75" customHeight="1">
      <c r="A210" s="423" t="s">
        <v>1185</v>
      </c>
      <c r="B210" s="423" t="s">
        <v>1186</v>
      </c>
      <c r="E210" s="423" t="s">
        <v>1187</v>
      </c>
      <c r="F210" s="423" t="s">
        <v>1188</v>
      </c>
      <c r="G210" s="60">
        <v>1</v>
      </c>
      <c r="H210" s="54" t="s">
        <v>73</v>
      </c>
      <c r="L210" s="97" t="s">
        <v>163</v>
      </c>
      <c r="N210" s="97" t="s">
        <v>1189</v>
      </c>
      <c r="P210" s="57" t="s">
        <v>41</v>
      </c>
      <c r="Q210" s="61">
        <v>46058</v>
      </c>
      <c r="R210" s="55" t="s">
        <v>41</v>
      </c>
      <c r="S210" s="56">
        <v>45500</v>
      </c>
      <c r="T210" s="56" t="str">
        <f t="shared" si="23"/>
        <v>0</v>
      </c>
      <c r="U210" s="56">
        <v>45500</v>
      </c>
      <c r="V210" s="56">
        <f t="shared" si="26"/>
        <v>41363.63636363636</v>
      </c>
      <c r="W210" s="65">
        <f>IF(H210=재고내역!$F$9,출고요청서_raw!G210*1,IF(H210=재고내역!$F$10,출고요청서_raw!G210*2,IF(출고요청서_raw!H210=재고내역!$F$11,출고요청서_raw!G210*4,IF(출고요청서_raw!H210=재고내역!$F$12,출고요청서_raw!G210*6,IF(출고요청서_raw!H210=재고내역!$F$13,출고요청서_raw!G210*8)))))</f>
        <v>4</v>
      </c>
      <c r="X210" s="53"/>
      <c r="Y210" s="53"/>
      <c r="Z210" s="56">
        <f>W210*재고내역!$M$6</f>
        <v>30748</v>
      </c>
      <c r="AA210" s="56">
        <f t="shared" si="22"/>
        <v>4550</v>
      </c>
      <c r="AB210" s="56">
        <f t="shared" si="24"/>
        <v>6065.6363636363603</v>
      </c>
      <c r="AC210" s="376">
        <f t="shared" si="25"/>
        <v>0.14664175824175818</v>
      </c>
    </row>
    <row r="211" spans="1:29" ht="15.75" customHeight="1">
      <c r="A211" s="423" t="s">
        <v>1190</v>
      </c>
      <c r="B211" s="423" t="s">
        <v>1191</v>
      </c>
      <c r="E211" s="423" t="s">
        <v>1192</v>
      </c>
      <c r="F211" s="423" t="s">
        <v>1193</v>
      </c>
      <c r="G211" s="60">
        <v>1</v>
      </c>
      <c r="H211" s="54" t="s">
        <v>73</v>
      </c>
      <c r="L211" s="97" t="s">
        <v>163</v>
      </c>
      <c r="N211" s="97" t="s">
        <v>1194</v>
      </c>
      <c r="P211" s="57" t="s">
        <v>41</v>
      </c>
      <c r="Q211" s="61">
        <v>46058</v>
      </c>
      <c r="R211" s="55" t="s">
        <v>41</v>
      </c>
      <c r="S211" s="56">
        <v>45500</v>
      </c>
      <c r="T211" s="56" t="str">
        <f t="shared" si="23"/>
        <v>0</v>
      </c>
      <c r="U211" s="56">
        <v>45500</v>
      </c>
      <c r="V211" s="56">
        <f t="shared" si="26"/>
        <v>41363.63636363636</v>
      </c>
      <c r="W211" s="65">
        <f>IF(H211=재고내역!$F$9,출고요청서_raw!G211*1,IF(H211=재고내역!$F$10,출고요청서_raw!G211*2,IF(출고요청서_raw!H211=재고내역!$F$11,출고요청서_raw!G211*4,IF(출고요청서_raw!H211=재고내역!$F$12,출고요청서_raw!G211*6,IF(출고요청서_raw!H211=재고내역!$F$13,출고요청서_raw!G211*8)))))</f>
        <v>4</v>
      </c>
      <c r="X211" s="53"/>
      <c r="Y211" s="53"/>
      <c r="Z211" s="56">
        <f>W211*재고내역!$M$6</f>
        <v>30748</v>
      </c>
      <c r="AA211" s="56">
        <f t="shared" si="22"/>
        <v>4550</v>
      </c>
      <c r="AB211" s="56">
        <f t="shared" si="24"/>
        <v>6065.6363636363603</v>
      </c>
      <c r="AC211" s="376">
        <f t="shared" si="25"/>
        <v>0.14664175824175818</v>
      </c>
    </row>
    <row r="212" spans="1:29" ht="15.75" customHeight="1">
      <c r="A212" s="423" t="s">
        <v>1195</v>
      </c>
      <c r="B212" s="423" t="s">
        <v>1196</v>
      </c>
      <c r="E212" s="423" t="s">
        <v>1197</v>
      </c>
      <c r="F212" s="423" t="s">
        <v>1198</v>
      </c>
      <c r="G212" s="60">
        <v>1</v>
      </c>
      <c r="H212" s="54" t="s">
        <v>73</v>
      </c>
      <c r="L212" s="97" t="s">
        <v>163</v>
      </c>
      <c r="N212" s="97" t="s">
        <v>1199</v>
      </c>
      <c r="P212" s="57" t="s">
        <v>41</v>
      </c>
      <c r="Q212" s="61">
        <v>46058</v>
      </c>
      <c r="R212" s="55" t="s">
        <v>41</v>
      </c>
      <c r="S212" s="56">
        <v>45500</v>
      </c>
      <c r="T212" s="56" t="str">
        <f t="shared" si="23"/>
        <v>0</v>
      </c>
      <c r="U212" s="56">
        <v>45500</v>
      </c>
      <c r="V212" s="56">
        <f t="shared" si="26"/>
        <v>41363.63636363636</v>
      </c>
      <c r="W212" s="65">
        <f>IF(H212=재고내역!$F$9,출고요청서_raw!G212*1,IF(H212=재고내역!$F$10,출고요청서_raw!G212*2,IF(출고요청서_raw!H212=재고내역!$F$11,출고요청서_raw!G212*4,IF(출고요청서_raw!H212=재고내역!$F$12,출고요청서_raw!G212*6,IF(출고요청서_raw!H212=재고내역!$F$13,출고요청서_raw!G212*8)))))</f>
        <v>4</v>
      </c>
      <c r="X212" s="53"/>
      <c r="Y212" s="53"/>
      <c r="Z212" s="56">
        <f>W212*재고내역!$M$6</f>
        <v>30748</v>
      </c>
      <c r="AA212" s="56">
        <f t="shared" si="22"/>
        <v>4550</v>
      </c>
      <c r="AB212" s="56">
        <f t="shared" si="24"/>
        <v>6065.6363636363603</v>
      </c>
      <c r="AC212" s="376">
        <f t="shared" si="25"/>
        <v>0.14664175824175818</v>
      </c>
    </row>
    <row r="213" spans="1:29" ht="15.75" customHeight="1">
      <c r="A213" s="423" t="s">
        <v>1200</v>
      </c>
      <c r="B213" s="423" t="s">
        <v>1201</v>
      </c>
      <c r="E213" s="423" t="s">
        <v>1202</v>
      </c>
      <c r="F213" s="423" t="s">
        <v>1203</v>
      </c>
      <c r="G213" s="370">
        <v>2</v>
      </c>
      <c r="H213" s="54" t="s">
        <v>73</v>
      </c>
      <c r="L213" s="97" t="s">
        <v>163</v>
      </c>
      <c r="N213" s="97" t="s">
        <v>1204</v>
      </c>
      <c r="P213" s="57" t="s">
        <v>41</v>
      </c>
      <c r="Q213" s="61">
        <v>46058</v>
      </c>
      <c r="R213" s="55" t="s">
        <v>41</v>
      </c>
      <c r="S213" s="56">
        <v>45500</v>
      </c>
      <c r="T213" s="56" t="str">
        <f t="shared" si="23"/>
        <v>0</v>
      </c>
      <c r="U213" s="56">
        <v>91000</v>
      </c>
      <c r="V213" s="56">
        <f t="shared" si="26"/>
        <v>82727.272727272721</v>
      </c>
      <c r="W213" s="65">
        <f>IF(H213=재고내역!$F$9,출고요청서_raw!G213*1,IF(H213=재고내역!$F$10,출고요청서_raw!G213*2,IF(출고요청서_raw!H213=재고내역!$F$11,출고요청서_raw!G213*4,IF(출고요청서_raw!H213=재고내역!$F$12,출고요청서_raw!G213*6,IF(출고요청서_raw!H213=재고내역!$F$13,출고요청서_raw!G213*8)))))</f>
        <v>8</v>
      </c>
      <c r="X213" s="53"/>
      <c r="Y213" s="53"/>
      <c r="Z213" s="56">
        <f>W213*재고내역!$M$6</f>
        <v>61496</v>
      </c>
      <c r="AA213" s="56">
        <f t="shared" si="22"/>
        <v>4550</v>
      </c>
      <c r="AB213" s="56">
        <f t="shared" si="24"/>
        <v>16681.272727272721</v>
      </c>
      <c r="AC213" s="376">
        <f t="shared" si="25"/>
        <v>0.20164175824175817</v>
      </c>
    </row>
    <row r="214" spans="1:29" ht="15.75" customHeight="1">
      <c r="A214" s="423" t="s">
        <v>1205</v>
      </c>
      <c r="B214" s="423" t="s">
        <v>1206</v>
      </c>
      <c r="E214" s="423" t="s">
        <v>1207</v>
      </c>
      <c r="F214" s="423" t="s">
        <v>1208</v>
      </c>
      <c r="G214" s="60">
        <v>1</v>
      </c>
      <c r="H214" s="54" t="s">
        <v>73</v>
      </c>
      <c r="L214" s="97" t="s">
        <v>163</v>
      </c>
      <c r="N214" s="97" t="s">
        <v>1209</v>
      </c>
      <c r="P214" s="57" t="s">
        <v>41</v>
      </c>
      <c r="Q214" s="61">
        <v>46058</v>
      </c>
      <c r="R214" s="55" t="s">
        <v>41</v>
      </c>
      <c r="S214" s="56">
        <v>45500</v>
      </c>
      <c r="T214" s="56" t="str">
        <f t="shared" si="23"/>
        <v>0</v>
      </c>
      <c r="U214" s="56">
        <v>45500</v>
      </c>
      <c r="V214" s="56">
        <f t="shared" si="26"/>
        <v>41363.63636363636</v>
      </c>
      <c r="W214" s="65">
        <f>IF(H214=재고내역!$F$9,출고요청서_raw!G214*1,IF(H214=재고내역!$F$10,출고요청서_raw!G214*2,IF(출고요청서_raw!H214=재고내역!$F$11,출고요청서_raw!G214*4,IF(출고요청서_raw!H214=재고내역!$F$12,출고요청서_raw!G214*6,IF(출고요청서_raw!H214=재고내역!$F$13,출고요청서_raw!G214*8)))))</f>
        <v>4</v>
      </c>
      <c r="X214" s="53"/>
      <c r="Y214" s="53"/>
      <c r="Z214" s="56">
        <f>W214*재고내역!$M$6</f>
        <v>30748</v>
      </c>
      <c r="AA214" s="56">
        <f t="shared" si="22"/>
        <v>4550</v>
      </c>
      <c r="AB214" s="56">
        <f t="shared" si="24"/>
        <v>6065.6363636363603</v>
      </c>
      <c r="AC214" s="376">
        <f t="shared" si="25"/>
        <v>0.14664175824175818</v>
      </c>
    </row>
    <row r="215" spans="1:29" ht="15.75" customHeight="1">
      <c r="A215" s="423" t="s">
        <v>1210</v>
      </c>
      <c r="B215" s="423" t="s">
        <v>1211</v>
      </c>
      <c r="E215" s="423" t="s">
        <v>1212</v>
      </c>
      <c r="F215" s="423" t="s">
        <v>1213</v>
      </c>
      <c r="G215" s="60">
        <v>1</v>
      </c>
      <c r="H215" s="54" t="s">
        <v>73</v>
      </c>
      <c r="L215" s="97" t="s">
        <v>163</v>
      </c>
      <c r="N215" s="97" t="s">
        <v>1214</v>
      </c>
      <c r="P215" s="57" t="s">
        <v>41</v>
      </c>
      <c r="Q215" s="61">
        <v>46058</v>
      </c>
      <c r="R215" s="55" t="s">
        <v>41</v>
      </c>
      <c r="S215" s="56">
        <v>45500</v>
      </c>
      <c r="T215" s="56" t="str">
        <f t="shared" si="23"/>
        <v>0</v>
      </c>
      <c r="U215" s="56">
        <v>45500</v>
      </c>
      <c r="V215" s="56">
        <f t="shared" si="26"/>
        <v>41363.63636363636</v>
      </c>
      <c r="W215" s="65">
        <f>IF(H215=재고내역!$F$9,출고요청서_raw!G215*1,IF(H215=재고내역!$F$10,출고요청서_raw!G215*2,IF(출고요청서_raw!H215=재고내역!$F$11,출고요청서_raw!G215*4,IF(출고요청서_raw!H215=재고내역!$F$12,출고요청서_raw!G215*6,IF(출고요청서_raw!H215=재고내역!$F$13,출고요청서_raw!G215*8)))))</f>
        <v>4</v>
      </c>
      <c r="X215" s="53"/>
      <c r="Y215" s="53"/>
      <c r="Z215" s="56">
        <f>W215*재고내역!$M$6</f>
        <v>30748</v>
      </c>
      <c r="AA215" s="56">
        <f t="shared" si="22"/>
        <v>4550</v>
      </c>
      <c r="AB215" s="56">
        <f t="shared" si="24"/>
        <v>6065.6363636363603</v>
      </c>
      <c r="AC215" s="376">
        <f t="shared" si="25"/>
        <v>0.14664175824175818</v>
      </c>
    </row>
    <row r="216" spans="1:29" ht="15.75" customHeight="1">
      <c r="A216" s="423" t="s">
        <v>1215</v>
      </c>
      <c r="B216" s="423" t="s">
        <v>1216</v>
      </c>
      <c r="E216" s="423" t="s">
        <v>1217</v>
      </c>
      <c r="F216" s="423" t="s">
        <v>1218</v>
      </c>
      <c r="G216" s="60">
        <v>1</v>
      </c>
      <c r="H216" s="54" t="s">
        <v>73</v>
      </c>
      <c r="L216" s="97" t="s">
        <v>163</v>
      </c>
      <c r="N216" s="97" t="s">
        <v>1219</v>
      </c>
      <c r="P216" s="57" t="s">
        <v>41</v>
      </c>
      <c r="Q216" s="61">
        <v>46058</v>
      </c>
      <c r="R216" s="55" t="s">
        <v>41</v>
      </c>
      <c r="S216" s="56">
        <v>45500</v>
      </c>
      <c r="T216" s="56" t="str">
        <f t="shared" si="23"/>
        <v>0</v>
      </c>
      <c r="U216" s="56">
        <v>45500</v>
      </c>
      <c r="V216" s="56">
        <f t="shared" si="26"/>
        <v>41363.63636363636</v>
      </c>
      <c r="W216" s="65">
        <f>IF(H216=재고내역!$F$9,출고요청서_raw!G216*1,IF(H216=재고내역!$F$10,출고요청서_raw!G216*2,IF(출고요청서_raw!H216=재고내역!$F$11,출고요청서_raw!G216*4,IF(출고요청서_raw!H216=재고내역!$F$12,출고요청서_raw!G216*6,IF(출고요청서_raw!H216=재고내역!$F$13,출고요청서_raw!G216*8)))))</f>
        <v>4</v>
      </c>
      <c r="X216" s="53"/>
      <c r="Y216" s="53"/>
      <c r="Z216" s="56">
        <f>W216*재고내역!$M$6</f>
        <v>30748</v>
      </c>
      <c r="AA216" s="56">
        <f t="shared" si="22"/>
        <v>4550</v>
      </c>
      <c r="AB216" s="56">
        <f t="shared" si="24"/>
        <v>6065.6363636363603</v>
      </c>
      <c r="AC216" s="376">
        <f t="shared" si="25"/>
        <v>0.14664175824175818</v>
      </c>
    </row>
    <row r="217" spans="1:29" ht="15.75" customHeight="1">
      <c r="A217" s="423" t="s">
        <v>1220</v>
      </c>
      <c r="B217" s="423" t="s">
        <v>1221</v>
      </c>
      <c r="E217" s="423" t="s">
        <v>1222</v>
      </c>
      <c r="F217" s="423" t="s">
        <v>1223</v>
      </c>
      <c r="G217" s="60">
        <v>1</v>
      </c>
      <c r="H217" s="54" t="s">
        <v>73</v>
      </c>
      <c r="L217" s="97" t="s">
        <v>163</v>
      </c>
      <c r="N217" s="97" t="s">
        <v>1224</v>
      </c>
      <c r="P217" s="57" t="s">
        <v>41</v>
      </c>
      <c r="Q217" s="61">
        <v>46058</v>
      </c>
      <c r="R217" s="55" t="s">
        <v>41</v>
      </c>
      <c r="S217" s="56">
        <v>45500</v>
      </c>
      <c r="T217" s="56" t="str">
        <f t="shared" si="23"/>
        <v>0</v>
      </c>
      <c r="U217" s="56">
        <v>45500</v>
      </c>
      <c r="V217" s="56">
        <f t="shared" si="26"/>
        <v>41363.63636363636</v>
      </c>
      <c r="W217" s="65">
        <f>IF(H217=재고내역!$F$9,출고요청서_raw!G217*1,IF(H217=재고내역!$F$10,출고요청서_raw!G217*2,IF(출고요청서_raw!H217=재고내역!$F$11,출고요청서_raw!G217*4,IF(출고요청서_raw!H217=재고내역!$F$12,출고요청서_raw!G217*6,IF(출고요청서_raw!H217=재고내역!$F$13,출고요청서_raw!G217*8)))))</f>
        <v>4</v>
      </c>
      <c r="X217" s="53"/>
      <c r="Y217" s="53"/>
      <c r="Z217" s="56">
        <f>W217*재고내역!$M$6</f>
        <v>30748</v>
      </c>
      <c r="AA217" s="56">
        <f t="shared" si="22"/>
        <v>4550</v>
      </c>
      <c r="AB217" s="56">
        <f t="shared" si="24"/>
        <v>6065.6363636363603</v>
      </c>
      <c r="AC217" s="376">
        <f t="shared" si="25"/>
        <v>0.14664175824175818</v>
      </c>
    </row>
    <row r="218" spans="1:29" ht="15.75" customHeight="1">
      <c r="A218" s="423" t="s">
        <v>1225</v>
      </c>
      <c r="B218" s="423" t="s">
        <v>1226</v>
      </c>
      <c r="E218" s="423" t="s">
        <v>1227</v>
      </c>
      <c r="F218" s="423" t="s">
        <v>1228</v>
      </c>
      <c r="G218" s="60">
        <v>1</v>
      </c>
      <c r="H218" s="54" t="s">
        <v>73</v>
      </c>
      <c r="L218" s="97" t="s">
        <v>163</v>
      </c>
      <c r="N218" s="97" t="s">
        <v>1229</v>
      </c>
      <c r="P218" s="57" t="s">
        <v>41</v>
      </c>
      <c r="Q218" s="61">
        <v>46058</v>
      </c>
      <c r="R218" s="55" t="s">
        <v>41</v>
      </c>
      <c r="S218" s="56">
        <v>45500</v>
      </c>
      <c r="T218" s="56" t="str">
        <f t="shared" si="23"/>
        <v>0</v>
      </c>
      <c r="U218" s="56">
        <v>45500</v>
      </c>
      <c r="V218" s="56">
        <f t="shared" si="26"/>
        <v>41363.63636363636</v>
      </c>
      <c r="W218" s="65">
        <f>IF(H218=재고내역!$F$9,출고요청서_raw!G218*1,IF(H218=재고내역!$F$10,출고요청서_raw!G218*2,IF(출고요청서_raw!H218=재고내역!$F$11,출고요청서_raw!G218*4,IF(출고요청서_raw!H218=재고내역!$F$12,출고요청서_raw!G218*6,IF(출고요청서_raw!H218=재고내역!$F$13,출고요청서_raw!G218*8)))))</f>
        <v>4</v>
      </c>
      <c r="X218" s="53"/>
      <c r="Y218" s="53"/>
      <c r="Z218" s="56">
        <f>W218*재고내역!$M$6</f>
        <v>30748</v>
      </c>
      <c r="AA218" s="56">
        <f t="shared" si="22"/>
        <v>4550</v>
      </c>
      <c r="AB218" s="56">
        <f t="shared" si="24"/>
        <v>6065.6363636363603</v>
      </c>
      <c r="AC218" s="376">
        <f t="shared" si="25"/>
        <v>0.14664175824175818</v>
      </c>
    </row>
    <row r="219" spans="1:29" ht="15.75" customHeight="1">
      <c r="A219" s="423" t="s">
        <v>1230</v>
      </c>
      <c r="B219" s="423" t="s">
        <v>1231</v>
      </c>
      <c r="E219" s="423" t="s">
        <v>1232</v>
      </c>
      <c r="F219" s="423" t="s">
        <v>1233</v>
      </c>
      <c r="G219" s="60">
        <v>1</v>
      </c>
      <c r="H219" s="54" t="s">
        <v>73</v>
      </c>
      <c r="L219" s="97" t="s">
        <v>163</v>
      </c>
      <c r="N219" s="97" t="s">
        <v>1234</v>
      </c>
      <c r="P219" s="57" t="s">
        <v>41</v>
      </c>
      <c r="Q219" s="61">
        <v>46058</v>
      </c>
      <c r="R219" s="55" t="s">
        <v>41</v>
      </c>
      <c r="S219" s="56">
        <v>45500</v>
      </c>
      <c r="T219" s="56" t="str">
        <f t="shared" si="23"/>
        <v>0</v>
      </c>
      <c r="U219" s="56">
        <v>45500</v>
      </c>
      <c r="V219" s="56">
        <f t="shared" si="26"/>
        <v>41363.63636363636</v>
      </c>
      <c r="W219" s="65">
        <f>IF(H219=재고내역!$F$9,출고요청서_raw!G219*1,IF(H219=재고내역!$F$10,출고요청서_raw!G219*2,IF(출고요청서_raw!H219=재고내역!$F$11,출고요청서_raw!G219*4,IF(출고요청서_raw!H219=재고내역!$F$12,출고요청서_raw!G219*6,IF(출고요청서_raw!H219=재고내역!$F$13,출고요청서_raw!G219*8)))))</f>
        <v>4</v>
      </c>
      <c r="X219" s="53"/>
      <c r="Y219" s="53"/>
      <c r="Z219" s="56">
        <f>W219*재고내역!$M$6</f>
        <v>30748</v>
      </c>
      <c r="AA219" s="56">
        <f t="shared" si="22"/>
        <v>4550</v>
      </c>
      <c r="AB219" s="56">
        <f t="shared" si="24"/>
        <v>6065.6363636363603</v>
      </c>
      <c r="AC219" s="376">
        <f t="shared" si="25"/>
        <v>0.14664175824175818</v>
      </c>
    </row>
    <row r="220" spans="1:29" ht="15.75" customHeight="1">
      <c r="A220" s="423" t="s">
        <v>1235</v>
      </c>
      <c r="B220" s="423" t="s">
        <v>1236</v>
      </c>
      <c r="E220" s="423" t="s">
        <v>1237</v>
      </c>
      <c r="F220" s="423" t="s">
        <v>1238</v>
      </c>
      <c r="G220" s="60">
        <v>1</v>
      </c>
      <c r="H220" s="54" t="s">
        <v>73</v>
      </c>
      <c r="L220" s="97" t="s">
        <v>1239</v>
      </c>
      <c r="N220" s="97" t="s">
        <v>1240</v>
      </c>
      <c r="P220" s="57" t="s">
        <v>41</v>
      </c>
      <c r="Q220" s="61">
        <v>46058</v>
      </c>
      <c r="R220" s="55" t="s">
        <v>41</v>
      </c>
      <c r="S220" s="56">
        <v>45500</v>
      </c>
      <c r="T220" s="56" t="str">
        <f t="shared" si="23"/>
        <v>0</v>
      </c>
      <c r="U220" s="56">
        <v>45500</v>
      </c>
      <c r="V220" s="56">
        <f t="shared" si="26"/>
        <v>41363.63636363636</v>
      </c>
      <c r="W220" s="65">
        <f>IF(H220=재고내역!$F$9,출고요청서_raw!G220*1,IF(H220=재고내역!$F$10,출고요청서_raw!G220*2,IF(출고요청서_raw!H220=재고내역!$F$11,출고요청서_raw!G220*4,IF(출고요청서_raw!H220=재고내역!$F$12,출고요청서_raw!G220*6,IF(출고요청서_raw!H220=재고내역!$F$13,출고요청서_raw!G220*8)))))</f>
        <v>4</v>
      </c>
      <c r="X220" s="53"/>
      <c r="Y220" s="53"/>
      <c r="Z220" s="56">
        <f>W220*재고내역!$M$6</f>
        <v>30748</v>
      </c>
      <c r="AA220" s="56">
        <f t="shared" si="22"/>
        <v>4550</v>
      </c>
      <c r="AB220" s="56">
        <f t="shared" si="24"/>
        <v>6065.6363636363603</v>
      </c>
      <c r="AC220" s="376">
        <f t="shared" si="25"/>
        <v>0.14664175824175818</v>
      </c>
    </row>
    <row r="221" spans="1:29" ht="15.75" customHeight="1">
      <c r="A221" s="423" t="s">
        <v>1241</v>
      </c>
      <c r="B221" s="423" t="s">
        <v>1242</v>
      </c>
      <c r="E221" s="423" t="s">
        <v>810</v>
      </c>
      <c r="F221" s="423" t="s">
        <v>1243</v>
      </c>
      <c r="G221" s="60">
        <v>1</v>
      </c>
      <c r="H221" s="54" t="s">
        <v>73</v>
      </c>
      <c r="L221" s="97" t="s">
        <v>163</v>
      </c>
      <c r="N221" s="97" t="s">
        <v>1244</v>
      </c>
      <c r="P221" s="57" t="s">
        <v>41</v>
      </c>
      <c r="Q221" s="61">
        <v>46058</v>
      </c>
      <c r="R221" s="55" t="s">
        <v>41</v>
      </c>
      <c r="S221" s="56">
        <v>45500</v>
      </c>
      <c r="T221" s="56" t="str">
        <f t="shared" si="23"/>
        <v>0</v>
      </c>
      <c r="U221" s="56">
        <v>45500</v>
      </c>
      <c r="V221" s="56">
        <f t="shared" si="26"/>
        <v>41363.63636363636</v>
      </c>
      <c r="W221" s="65">
        <f>IF(H221=재고내역!$F$9,출고요청서_raw!G221*1,IF(H221=재고내역!$F$10,출고요청서_raw!G221*2,IF(출고요청서_raw!H221=재고내역!$F$11,출고요청서_raw!G221*4,IF(출고요청서_raw!H221=재고내역!$F$12,출고요청서_raw!G221*6,IF(출고요청서_raw!H221=재고내역!$F$13,출고요청서_raw!G221*8)))))</f>
        <v>4</v>
      </c>
      <c r="X221" s="53"/>
      <c r="Y221" s="53"/>
      <c r="Z221" s="56">
        <f>W221*재고내역!$M$6</f>
        <v>30748</v>
      </c>
      <c r="AA221" s="56">
        <f t="shared" si="22"/>
        <v>4550</v>
      </c>
      <c r="AB221" s="56">
        <f t="shared" si="24"/>
        <v>6065.6363636363603</v>
      </c>
      <c r="AC221" s="376">
        <f t="shared" si="25"/>
        <v>0.14664175824175818</v>
      </c>
    </row>
    <row r="222" spans="1:29" ht="15.75" customHeight="1">
      <c r="A222" s="423" t="s">
        <v>1245</v>
      </c>
      <c r="B222" s="423" t="s">
        <v>1246</v>
      </c>
      <c r="E222" s="423" t="s">
        <v>1247</v>
      </c>
      <c r="F222" s="423" t="s">
        <v>1248</v>
      </c>
      <c r="G222" s="370">
        <v>2</v>
      </c>
      <c r="H222" s="54" t="s">
        <v>73</v>
      </c>
      <c r="L222" s="97" t="s">
        <v>1249</v>
      </c>
      <c r="N222" s="97" t="s">
        <v>1250</v>
      </c>
      <c r="P222" s="57" t="s">
        <v>41</v>
      </c>
      <c r="Q222" s="61">
        <v>46058</v>
      </c>
      <c r="R222" s="55" t="s">
        <v>41</v>
      </c>
      <c r="S222" s="56">
        <v>45500</v>
      </c>
      <c r="T222" s="56" t="str">
        <f t="shared" si="23"/>
        <v>0</v>
      </c>
      <c r="U222" s="56">
        <v>91000</v>
      </c>
      <c r="V222" s="56">
        <f t="shared" si="26"/>
        <v>82727.272727272721</v>
      </c>
      <c r="W222" s="65">
        <f>IF(H222=재고내역!$F$9,출고요청서_raw!G222*1,IF(H222=재고내역!$F$10,출고요청서_raw!G222*2,IF(출고요청서_raw!H222=재고내역!$F$11,출고요청서_raw!G222*4,IF(출고요청서_raw!H222=재고내역!$F$12,출고요청서_raw!G222*6,IF(출고요청서_raw!H222=재고내역!$F$13,출고요청서_raw!G222*8)))))</f>
        <v>8</v>
      </c>
      <c r="X222" s="53"/>
      <c r="Y222" s="53"/>
      <c r="Z222" s="56">
        <f>W222*재고내역!$M$6</f>
        <v>61496</v>
      </c>
      <c r="AA222" s="56">
        <f t="shared" si="22"/>
        <v>4550</v>
      </c>
      <c r="AB222" s="56">
        <f t="shared" si="24"/>
        <v>16681.272727272721</v>
      </c>
      <c r="AC222" s="376">
        <f t="shared" si="25"/>
        <v>0.20164175824175817</v>
      </c>
    </row>
    <row r="223" spans="1:29" ht="15.75" customHeight="1">
      <c r="A223" s="423" t="s">
        <v>1251</v>
      </c>
      <c r="B223" s="423" t="s">
        <v>1252</v>
      </c>
      <c r="E223" s="423" t="s">
        <v>1253</v>
      </c>
      <c r="F223" s="423" t="s">
        <v>1254</v>
      </c>
      <c r="G223" s="60">
        <v>1</v>
      </c>
      <c r="H223" s="54" t="s">
        <v>73</v>
      </c>
      <c r="L223" s="97" t="s">
        <v>163</v>
      </c>
      <c r="N223" s="97" t="s">
        <v>1255</v>
      </c>
      <c r="P223" s="57" t="s">
        <v>41</v>
      </c>
      <c r="Q223" s="61">
        <v>46058</v>
      </c>
      <c r="R223" s="55" t="s">
        <v>41</v>
      </c>
      <c r="S223" s="56">
        <v>45500</v>
      </c>
      <c r="T223" s="56" t="str">
        <f t="shared" si="23"/>
        <v>0</v>
      </c>
      <c r="U223" s="56">
        <v>45500</v>
      </c>
      <c r="V223" s="56">
        <f t="shared" si="26"/>
        <v>41363.63636363636</v>
      </c>
      <c r="W223" s="65">
        <f>IF(H223=재고내역!$F$9,출고요청서_raw!G223*1,IF(H223=재고내역!$F$10,출고요청서_raw!G223*2,IF(출고요청서_raw!H223=재고내역!$F$11,출고요청서_raw!G223*4,IF(출고요청서_raw!H223=재고내역!$F$12,출고요청서_raw!G223*6,IF(출고요청서_raw!H223=재고내역!$F$13,출고요청서_raw!G223*8)))))</f>
        <v>4</v>
      </c>
      <c r="X223" s="53"/>
      <c r="Y223" s="53"/>
      <c r="Z223" s="56">
        <f>W223*재고내역!$M$6</f>
        <v>30748</v>
      </c>
      <c r="AA223" s="56">
        <f t="shared" si="22"/>
        <v>4550</v>
      </c>
      <c r="AB223" s="56">
        <f t="shared" si="24"/>
        <v>6065.6363636363603</v>
      </c>
      <c r="AC223" s="376">
        <f t="shared" si="25"/>
        <v>0.14664175824175818</v>
      </c>
    </row>
    <row r="224" spans="1:29" ht="15.75" customHeight="1">
      <c r="A224" s="423" t="s">
        <v>1256</v>
      </c>
      <c r="B224" s="423" t="s">
        <v>1257</v>
      </c>
      <c r="E224" s="423" t="s">
        <v>1258</v>
      </c>
      <c r="F224" s="423" t="s">
        <v>1259</v>
      </c>
      <c r="G224" s="60">
        <v>1</v>
      </c>
      <c r="H224" s="54" t="s">
        <v>73</v>
      </c>
      <c r="L224" s="97" t="s">
        <v>1260</v>
      </c>
      <c r="N224" s="97" t="s">
        <v>1261</v>
      </c>
      <c r="P224" s="57" t="s">
        <v>41</v>
      </c>
      <c r="Q224" s="61">
        <v>46058</v>
      </c>
      <c r="R224" s="55" t="s">
        <v>41</v>
      </c>
      <c r="S224" s="56">
        <v>45500</v>
      </c>
      <c r="T224" s="56" t="str">
        <f t="shared" si="23"/>
        <v>0</v>
      </c>
      <c r="U224" s="56">
        <v>45500</v>
      </c>
      <c r="V224" s="56">
        <f t="shared" si="26"/>
        <v>41363.63636363636</v>
      </c>
      <c r="W224" s="65">
        <f>IF(H224=재고내역!$F$9,출고요청서_raw!G224*1,IF(H224=재고내역!$F$10,출고요청서_raw!G224*2,IF(출고요청서_raw!H224=재고내역!$F$11,출고요청서_raw!G224*4,IF(출고요청서_raw!H224=재고내역!$F$12,출고요청서_raw!G224*6,IF(출고요청서_raw!H224=재고내역!$F$13,출고요청서_raw!G224*8)))))</f>
        <v>4</v>
      </c>
      <c r="X224" s="53"/>
      <c r="Y224" s="53"/>
      <c r="Z224" s="56">
        <f>W224*재고내역!$M$6</f>
        <v>30748</v>
      </c>
      <c r="AA224" s="56">
        <f t="shared" si="22"/>
        <v>4550</v>
      </c>
      <c r="AB224" s="56">
        <f t="shared" si="24"/>
        <v>6065.6363636363603</v>
      </c>
      <c r="AC224" s="376">
        <f t="shared" si="25"/>
        <v>0.14664175824175818</v>
      </c>
    </row>
    <row r="225" spans="1:31" ht="15.75" customHeight="1">
      <c r="A225" s="423" t="s">
        <v>1262</v>
      </c>
      <c r="B225" s="423" t="s">
        <v>1263</v>
      </c>
      <c r="E225" s="423" t="s">
        <v>1264</v>
      </c>
      <c r="F225" s="423" t="s">
        <v>1265</v>
      </c>
      <c r="G225" s="60">
        <v>1</v>
      </c>
      <c r="H225" s="54" t="s">
        <v>73</v>
      </c>
      <c r="L225" s="97" t="s">
        <v>145</v>
      </c>
      <c r="N225" s="97" t="s">
        <v>1266</v>
      </c>
      <c r="P225" s="57" t="s">
        <v>41</v>
      </c>
      <c r="Q225" s="61">
        <v>46058</v>
      </c>
      <c r="R225" s="55" t="s">
        <v>41</v>
      </c>
      <c r="S225" s="56">
        <v>45500</v>
      </c>
      <c r="T225" s="56" t="str">
        <f t="shared" si="23"/>
        <v>0</v>
      </c>
      <c r="U225" s="56">
        <v>45500</v>
      </c>
      <c r="V225" s="56">
        <f t="shared" si="26"/>
        <v>41363.63636363636</v>
      </c>
      <c r="W225" s="65">
        <f>IF(H225=재고내역!$F$9,출고요청서_raw!G225*1,IF(H225=재고내역!$F$10,출고요청서_raw!G225*2,IF(출고요청서_raw!H225=재고내역!$F$11,출고요청서_raw!G225*4,IF(출고요청서_raw!H225=재고내역!$F$12,출고요청서_raw!G225*6,IF(출고요청서_raw!H225=재고내역!$F$13,출고요청서_raw!G225*8)))))</f>
        <v>4</v>
      </c>
      <c r="X225" s="53"/>
      <c r="Y225" s="53"/>
      <c r="Z225" s="56">
        <f>W225*재고내역!$M$6</f>
        <v>30748</v>
      </c>
      <c r="AA225" s="56">
        <f t="shared" si="22"/>
        <v>4550</v>
      </c>
      <c r="AB225" s="56">
        <f t="shared" si="24"/>
        <v>6065.6363636363603</v>
      </c>
      <c r="AC225" s="376">
        <f t="shared" si="25"/>
        <v>0.14664175824175818</v>
      </c>
    </row>
    <row r="226" spans="1:31" ht="15.75" customHeight="1">
      <c r="A226" s="423" t="s">
        <v>1267</v>
      </c>
      <c r="B226" s="423" t="s">
        <v>1268</v>
      </c>
      <c r="E226" s="423" t="s">
        <v>1269</v>
      </c>
      <c r="F226" s="423" t="s">
        <v>1270</v>
      </c>
      <c r="G226" s="60">
        <v>1</v>
      </c>
      <c r="H226" s="54" t="s">
        <v>73</v>
      </c>
      <c r="L226" s="97" t="s">
        <v>163</v>
      </c>
      <c r="N226" s="97" t="s">
        <v>1271</v>
      </c>
      <c r="P226" s="57" t="s">
        <v>41</v>
      </c>
      <c r="Q226" s="61">
        <v>46058</v>
      </c>
      <c r="R226" s="55" t="s">
        <v>41</v>
      </c>
      <c r="S226" s="56">
        <v>45500</v>
      </c>
      <c r="T226" s="56" t="str">
        <f t="shared" si="23"/>
        <v>0</v>
      </c>
      <c r="U226" s="56">
        <v>45500</v>
      </c>
      <c r="V226" s="56">
        <f t="shared" si="26"/>
        <v>41363.63636363636</v>
      </c>
      <c r="W226" s="65">
        <f>IF(H226=재고내역!$F$9,출고요청서_raw!G226*1,IF(H226=재고내역!$F$10,출고요청서_raw!G226*2,IF(출고요청서_raw!H226=재고내역!$F$11,출고요청서_raw!G226*4,IF(출고요청서_raw!H226=재고내역!$F$12,출고요청서_raw!G226*6,IF(출고요청서_raw!H226=재고내역!$F$13,출고요청서_raw!G226*8)))))</f>
        <v>4</v>
      </c>
      <c r="X226" s="53"/>
      <c r="Y226" s="53"/>
      <c r="Z226" s="56">
        <f>W226*재고내역!$M$6</f>
        <v>30748</v>
      </c>
      <c r="AA226" s="56">
        <f t="shared" si="22"/>
        <v>4550</v>
      </c>
      <c r="AB226" s="56">
        <f t="shared" si="24"/>
        <v>6065.6363636363603</v>
      </c>
      <c r="AC226" s="376">
        <f t="shared" si="25"/>
        <v>0.14664175824175818</v>
      </c>
    </row>
    <row r="227" spans="1:31" ht="15.75" customHeight="1">
      <c r="A227" s="423" t="s">
        <v>1272</v>
      </c>
      <c r="B227" s="423" t="s">
        <v>1273</v>
      </c>
      <c r="E227" s="423" t="s">
        <v>1274</v>
      </c>
      <c r="F227" s="423" t="s">
        <v>1275</v>
      </c>
      <c r="G227" s="60">
        <v>1</v>
      </c>
      <c r="H227" s="54" t="s">
        <v>73</v>
      </c>
      <c r="L227" s="97" t="s">
        <v>163</v>
      </c>
      <c r="N227" s="97" t="s">
        <v>1276</v>
      </c>
      <c r="P227" s="57" t="s">
        <v>41</v>
      </c>
      <c r="Q227" s="61">
        <v>46058</v>
      </c>
      <c r="R227" s="55" t="s">
        <v>41</v>
      </c>
      <c r="S227" s="56">
        <v>45500</v>
      </c>
      <c r="T227" s="56" t="str">
        <f t="shared" si="23"/>
        <v>0</v>
      </c>
      <c r="U227" s="56">
        <v>45500</v>
      </c>
      <c r="V227" s="56">
        <f t="shared" si="26"/>
        <v>41363.63636363636</v>
      </c>
      <c r="W227" s="65">
        <f>IF(H227=재고내역!$F$9,출고요청서_raw!G227*1,IF(H227=재고내역!$F$10,출고요청서_raw!G227*2,IF(출고요청서_raw!H227=재고내역!$F$11,출고요청서_raw!G227*4,IF(출고요청서_raw!H227=재고내역!$F$12,출고요청서_raw!G227*6,IF(출고요청서_raw!H227=재고내역!$F$13,출고요청서_raw!G227*8)))))</f>
        <v>4</v>
      </c>
      <c r="X227" s="53"/>
      <c r="Y227" s="53"/>
      <c r="Z227" s="56">
        <f>W227*재고내역!$M$6</f>
        <v>30748</v>
      </c>
      <c r="AA227" s="56">
        <f t="shared" si="22"/>
        <v>4550</v>
      </c>
      <c r="AB227" s="56">
        <f t="shared" si="24"/>
        <v>6065.6363636363603</v>
      </c>
      <c r="AC227" s="376">
        <f t="shared" si="25"/>
        <v>0.14664175824175818</v>
      </c>
    </row>
    <row r="228" spans="1:31" ht="15.75" customHeight="1">
      <c r="A228" s="423" t="s">
        <v>1277</v>
      </c>
      <c r="B228" s="423" t="s">
        <v>1278</v>
      </c>
      <c r="E228" s="423" t="s">
        <v>1279</v>
      </c>
      <c r="F228" s="423" t="s">
        <v>1280</v>
      </c>
      <c r="G228" s="60">
        <v>1</v>
      </c>
      <c r="H228" s="54" t="s">
        <v>73</v>
      </c>
      <c r="L228" s="97" t="s">
        <v>163</v>
      </c>
      <c r="N228" s="97" t="s">
        <v>1281</v>
      </c>
      <c r="P228" s="57" t="s">
        <v>41</v>
      </c>
      <c r="Q228" s="61">
        <v>46058</v>
      </c>
      <c r="R228" s="55" t="s">
        <v>41</v>
      </c>
      <c r="S228" s="56">
        <v>45500</v>
      </c>
      <c r="T228" s="56" t="str">
        <f t="shared" si="23"/>
        <v>0</v>
      </c>
      <c r="U228" s="56">
        <v>45500</v>
      </c>
      <c r="V228" s="56">
        <f t="shared" si="26"/>
        <v>41363.63636363636</v>
      </c>
      <c r="W228" s="65">
        <f>IF(H228=재고내역!$F$9,출고요청서_raw!G228*1,IF(H228=재고내역!$F$10,출고요청서_raw!G228*2,IF(출고요청서_raw!H228=재고내역!$F$11,출고요청서_raw!G228*4,IF(출고요청서_raw!H228=재고내역!$F$12,출고요청서_raw!G228*6,IF(출고요청서_raw!H228=재고내역!$F$13,출고요청서_raw!G228*8)))))</f>
        <v>4</v>
      </c>
      <c r="X228" s="53"/>
      <c r="Y228" s="53"/>
      <c r="Z228" s="56">
        <f>W228*재고내역!$M$6</f>
        <v>30748</v>
      </c>
      <c r="AA228" s="56">
        <f t="shared" si="22"/>
        <v>4550</v>
      </c>
      <c r="AB228" s="56">
        <f t="shared" si="24"/>
        <v>6065.6363636363603</v>
      </c>
      <c r="AC228" s="376">
        <f t="shared" si="25"/>
        <v>0.14664175824175818</v>
      </c>
    </row>
    <row r="229" spans="1:31" ht="15.75" customHeight="1">
      <c r="A229" s="423" t="s">
        <v>1282</v>
      </c>
      <c r="B229" s="423" t="s">
        <v>1283</v>
      </c>
      <c r="E229" s="423" t="s">
        <v>1284</v>
      </c>
      <c r="F229" s="423" t="s">
        <v>1285</v>
      </c>
      <c r="G229" s="60">
        <v>1</v>
      </c>
      <c r="H229" s="54" t="s">
        <v>73</v>
      </c>
      <c r="L229" s="97" t="s">
        <v>163</v>
      </c>
      <c r="N229" s="97" t="s">
        <v>1286</v>
      </c>
      <c r="P229" s="57" t="s">
        <v>41</v>
      </c>
      <c r="Q229" s="61">
        <v>46058</v>
      </c>
      <c r="R229" s="55" t="s">
        <v>41</v>
      </c>
      <c r="S229" s="56">
        <v>45500</v>
      </c>
      <c r="T229" s="56" t="str">
        <f t="shared" si="23"/>
        <v>0</v>
      </c>
      <c r="U229" s="56">
        <v>45500</v>
      </c>
      <c r="V229" s="56">
        <f t="shared" si="26"/>
        <v>41363.63636363636</v>
      </c>
      <c r="W229" s="65">
        <f>IF(H229=재고내역!$F$9,출고요청서_raw!G229*1,IF(H229=재고내역!$F$10,출고요청서_raw!G229*2,IF(출고요청서_raw!H229=재고내역!$F$11,출고요청서_raw!G229*4,IF(출고요청서_raw!H229=재고내역!$F$12,출고요청서_raw!G229*6,IF(출고요청서_raw!H229=재고내역!$F$13,출고요청서_raw!G229*8)))))</f>
        <v>4</v>
      </c>
      <c r="X229" s="53"/>
      <c r="Y229" s="53"/>
      <c r="Z229" s="56">
        <f>W229*재고내역!$M$6</f>
        <v>30748</v>
      </c>
      <c r="AA229" s="56">
        <f t="shared" si="22"/>
        <v>4550</v>
      </c>
      <c r="AB229" s="56">
        <f t="shared" si="24"/>
        <v>6065.6363636363603</v>
      </c>
      <c r="AC229" s="376">
        <f t="shared" si="25"/>
        <v>0.14664175824175818</v>
      </c>
    </row>
    <row r="230" spans="1:31" ht="15.75" customHeight="1">
      <c r="A230" s="423" t="s">
        <v>1287</v>
      </c>
      <c r="B230" s="423" t="s">
        <v>1288</v>
      </c>
      <c r="E230" s="423" t="s">
        <v>1289</v>
      </c>
      <c r="F230" s="423" t="s">
        <v>1290</v>
      </c>
      <c r="G230" s="60">
        <v>1</v>
      </c>
      <c r="H230" s="54" t="s">
        <v>73</v>
      </c>
      <c r="L230" s="97" t="s">
        <v>163</v>
      </c>
      <c r="N230" s="97" t="s">
        <v>1291</v>
      </c>
      <c r="P230" s="57" t="s">
        <v>41</v>
      </c>
      <c r="Q230" s="61">
        <v>46058</v>
      </c>
      <c r="R230" s="55" t="s">
        <v>41</v>
      </c>
      <c r="S230" s="56">
        <v>45500</v>
      </c>
      <c r="T230" s="56" t="str">
        <f t="shared" si="23"/>
        <v>0</v>
      </c>
      <c r="U230" s="56">
        <v>45500</v>
      </c>
      <c r="V230" s="56">
        <f t="shared" si="26"/>
        <v>41363.63636363636</v>
      </c>
      <c r="W230" s="65">
        <f>IF(H230=재고내역!$F$9,출고요청서_raw!G230*1,IF(H230=재고내역!$F$10,출고요청서_raw!G230*2,IF(출고요청서_raw!H230=재고내역!$F$11,출고요청서_raw!G230*4,IF(출고요청서_raw!H230=재고내역!$F$12,출고요청서_raw!G230*6,IF(출고요청서_raw!H230=재고내역!$F$13,출고요청서_raw!G230*8)))))</f>
        <v>4</v>
      </c>
      <c r="X230" s="53"/>
      <c r="Y230" s="53"/>
      <c r="Z230" s="56">
        <f>W230*재고내역!$M$6</f>
        <v>30748</v>
      </c>
      <c r="AA230" s="56">
        <f t="shared" si="22"/>
        <v>4550</v>
      </c>
      <c r="AB230" s="56">
        <f t="shared" si="24"/>
        <v>6065.6363636363603</v>
      </c>
      <c r="AC230" s="376">
        <f t="shared" si="25"/>
        <v>0.14664175824175818</v>
      </c>
    </row>
    <row r="231" spans="1:31" ht="15.75" customHeight="1">
      <c r="A231" s="423" t="s">
        <v>1292</v>
      </c>
      <c r="B231" s="423" t="s">
        <v>1293</v>
      </c>
      <c r="E231" s="423" t="s">
        <v>1294</v>
      </c>
      <c r="F231" s="423" t="s">
        <v>1295</v>
      </c>
      <c r="G231" s="370">
        <v>2</v>
      </c>
      <c r="H231" s="54" t="s">
        <v>73</v>
      </c>
      <c r="L231" s="97" t="s">
        <v>1296</v>
      </c>
      <c r="N231" s="97" t="s">
        <v>1297</v>
      </c>
      <c r="P231" s="57" t="s">
        <v>41</v>
      </c>
      <c r="Q231" s="61">
        <v>46058</v>
      </c>
      <c r="R231" s="55" t="s">
        <v>41</v>
      </c>
      <c r="S231" s="56">
        <v>45500</v>
      </c>
      <c r="T231" s="56" t="str">
        <f t="shared" si="23"/>
        <v>0</v>
      </c>
      <c r="U231" s="56">
        <v>91000</v>
      </c>
      <c r="V231" s="56">
        <f t="shared" si="26"/>
        <v>82727.272727272721</v>
      </c>
      <c r="W231" s="65">
        <f>IF(H231=재고내역!$F$9,출고요청서_raw!G231*1,IF(H231=재고내역!$F$10,출고요청서_raw!G231*2,IF(출고요청서_raw!H231=재고내역!$F$11,출고요청서_raw!G231*4,IF(출고요청서_raw!H231=재고내역!$F$12,출고요청서_raw!G231*6,IF(출고요청서_raw!H231=재고내역!$F$13,출고요청서_raw!G231*8)))))</f>
        <v>8</v>
      </c>
      <c r="X231" s="53"/>
      <c r="Y231" s="53"/>
      <c r="Z231" s="56">
        <f>W231*재고내역!$M$6</f>
        <v>61496</v>
      </c>
      <c r="AA231" s="56">
        <f t="shared" si="22"/>
        <v>4550</v>
      </c>
      <c r="AB231" s="56">
        <f t="shared" si="24"/>
        <v>16681.272727272721</v>
      </c>
      <c r="AC231" s="376">
        <f t="shared" si="25"/>
        <v>0.20164175824175817</v>
      </c>
    </row>
    <row r="232" spans="1:31" ht="15.75" customHeight="1">
      <c r="A232" s="423" t="s">
        <v>1298</v>
      </c>
      <c r="B232" s="423" t="s">
        <v>1299</v>
      </c>
      <c r="E232" s="423" t="s">
        <v>1300</v>
      </c>
      <c r="F232" s="423" t="s">
        <v>1301</v>
      </c>
      <c r="G232" s="60">
        <v>1</v>
      </c>
      <c r="H232" s="54" t="s">
        <v>73</v>
      </c>
      <c r="L232" s="97" t="s">
        <v>163</v>
      </c>
      <c r="N232" s="97" t="s">
        <v>1302</v>
      </c>
      <c r="P232" s="57" t="s">
        <v>41</v>
      </c>
      <c r="Q232" s="61">
        <v>46058</v>
      </c>
      <c r="R232" s="55" t="s">
        <v>41</v>
      </c>
      <c r="S232" s="56">
        <v>45500</v>
      </c>
      <c r="T232" s="56" t="str">
        <f t="shared" si="23"/>
        <v>0</v>
      </c>
      <c r="U232" s="56">
        <v>45500</v>
      </c>
      <c r="V232" s="56">
        <f t="shared" si="26"/>
        <v>41363.63636363636</v>
      </c>
      <c r="W232" s="65">
        <f>IF(H232=재고내역!$F$9,출고요청서_raw!G232*1,IF(H232=재고내역!$F$10,출고요청서_raw!G232*2,IF(출고요청서_raw!H232=재고내역!$F$11,출고요청서_raw!G232*4,IF(출고요청서_raw!H232=재고내역!$F$12,출고요청서_raw!G232*6,IF(출고요청서_raw!H232=재고내역!$F$13,출고요청서_raw!G232*8)))))</f>
        <v>4</v>
      </c>
      <c r="X232" s="53"/>
      <c r="Y232" s="53"/>
      <c r="Z232" s="56">
        <f>W232*재고내역!$M$6</f>
        <v>30748</v>
      </c>
      <c r="AA232" s="56">
        <f t="shared" si="22"/>
        <v>4550</v>
      </c>
      <c r="AB232" s="56">
        <f t="shared" si="24"/>
        <v>6065.6363636363603</v>
      </c>
      <c r="AC232" s="376">
        <f t="shared" si="25"/>
        <v>0.14664175824175818</v>
      </c>
    </row>
    <row r="233" spans="1:31" ht="15.75" customHeight="1">
      <c r="A233" s="423" t="s">
        <v>1303</v>
      </c>
      <c r="B233" s="423" t="s">
        <v>1304</v>
      </c>
      <c r="E233" s="423" t="s">
        <v>1305</v>
      </c>
      <c r="F233" s="423" t="s">
        <v>1306</v>
      </c>
      <c r="G233" s="60">
        <v>1</v>
      </c>
      <c r="H233" s="54" t="s">
        <v>73</v>
      </c>
      <c r="L233" s="97" t="s">
        <v>163</v>
      </c>
      <c r="N233" s="97" t="s">
        <v>1307</v>
      </c>
      <c r="P233" s="57" t="s">
        <v>41</v>
      </c>
      <c r="Q233" s="61">
        <v>46058</v>
      </c>
      <c r="R233" s="55" t="s">
        <v>41</v>
      </c>
      <c r="S233" s="56">
        <v>45500</v>
      </c>
      <c r="T233" s="56" t="str">
        <f t="shared" si="23"/>
        <v>0</v>
      </c>
      <c r="U233" s="56">
        <v>45500</v>
      </c>
      <c r="V233" s="56">
        <f t="shared" si="26"/>
        <v>41363.63636363636</v>
      </c>
      <c r="W233" s="65">
        <f>IF(H233=재고내역!$F$9,출고요청서_raw!G233*1,IF(H233=재고내역!$F$10,출고요청서_raw!G233*2,IF(출고요청서_raw!H233=재고내역!$F$11,출고요청서_raw!G233*4,IF(출고요청서_raw!H233=재고내역!$F$12,출고요청서_raw!G233*6,IF(출고요청서_raw!H233=재고내역!$F$13,출고요청서_raw!G233*8)))))</f>
        <v>4</v>
      </c>
      <c r="X233" s="53"/>
      <c r="Y233" s="53"/>
      <c r="Z233" s="56">
        <f>W233*재고내역!$M$6</f>
        <v>30748</v>
      </c>
      <c r="AA233" s="56">
        <f t="shared" si="22"/>
        <v>4550</v>
      </c>
      <c r="AB233" s="56">
        <f t="shared" si="24"/>
        <v>6065.6363636363603</v>
      </c>
      <c r="AC233" s="376">
        <f t="shared" si="25"/>
        <v>0.14664175824175818</v>
      </c>
    </row>
    <row r="234" spans="1:31" ht="15.75" customHeight="1">
      <c r="A234" s="423" t="s">
        <v>1308</v>
      </c>
      <c r="B234" s="423" t="s">
        <v>1309</v>
      </c>
      <c r="E234" s="423" t="s">
        <v>1310</v>
      </c>
      <c r="F234" s="423" t="s">
        <v>1311</v>
      </c>
      <c r="G234" s="60">
        <v>1</v>
      </c>
      <c r="H234" s="54" t="s">
        <v>73</v>
      </c>
      <c r="L234" s="97" t="s">
        <v>163</v>
      </c>
      <c r="N234" s="97" t="s">
        <v>1312</v>
      </c>
      <c r="P234" s="57" t="s">
        <v>41</v>
      </c>
      <c r="Q234" s="61">
        <v>46058</v>
      </c>
      <c r="R234" s="55" t="s">
        <v>41</v>
      </c>
      <c r="S234" s="56">
        <v>45500</v>
      </c>
      <c r="T234" s="56" t="str">
        <f t="shared" si="23"/>
        <v>0</v>
      </c>
      <c r="U234" s="56">
        <v>45500</v>
      </c>
      <c r="V234" s="56">
        <f t="shared" si="26"/>
        <v>41363.63636363636</v>
      </c>
      <c r="W234" s="65">
        <f>IF(H234=재고내역!$F$9,출고요청서_raw!G234*1,IF(H234=재고내역!$F$10,출고요청서_raw!G234*2,IF(출고요청서_raw!H234=재고내역!$F$11,출고요청서_raw!G234*4,IF(출고요청서_raw!H234=재고내역!$F$12,출고요청서_raw!G234*6,IF(출고요청서_raw!H234=재고내역!$F$13,출고요청서_raw!G234*8)))))</f>
        <v>4</v>
      </c>
      <c r="X234" s="53"/>
      <c r="Y234" s="53"/>
      <c r="Z234" s="56">
        <f>W234*재고내역!$M$6</f>
        <v>30748</v>
      </c>
      <c r="AA234" s="56">
        <f t="shared" si="22"/>
        <v>4550</v>
      </c>
      <c r="AB234" s="56">
        <f t="shared" si="24"/>
        <v>6065.6363636363603</v>
      </c>
      <c r="AC234" s="376">
        <f t="shared" si="25"/>
        <v>0.14664175824175818</v>
      </c>
    </row>
    <row r="235" spans="1:31" ht="15.75" customHeight="1">
      <c r="A235" s="423" t="s">
        <v>1313</v>
      </c>
      <c r="B235" s="423" t="s">
        <v>1314</v>
      </c>
      <c r="E235" s="423" t="s">
        <v>1315</v>
      </c>
      <c r="F235" s="423" t="s">
        <v>1316</v>
      </c>
      <c r="G235" s="60">
        <v>1</v>
      </c>
      <c r="H235" s="54" t="s">
        <v>73</v>
      </c>
      <c r="L235" s="97" t="s">
        <v>163</v>
      </c>
      <c r="N235" s="97" t="s">
        <v>1317</v>
      </c>
      <c r="P235" s="57" t="s">
        <v>41</v>
      </c>
      <c r="Q235" s="61">
        <v>46058</v>
      </c>
      <c r="R235" s="55" t="s">
        <v>41</v>
      </c>
      <c r="S235" s="56">
        <v>45500</v>
      </c>
      <c r="T235" s="56" t="str">
        <f t="shared" si="23"/>
        <v>0</v>
      </c>
      <c r="U235" s="56">
        <v>45500</v>
      </c>
      <c r="V235" s="56">
        <f t="shared" si="26"/>
        <v>41363.63636363636</v>
      </c>
      <c r="W235" s="65">
        <f>IF(H235=재고내역!$F$9,출고요청서_raw!G235*1,IF(H235=재고내역!$F$10,출고요청서_raw!G235*2,IF(출고요청서_raw!H235=재고내역!$F$11,출고요청서_raw!G235*4,IF(출고요청서_raw!H235=재고내역!$F$12,출고요청서_raw!G235*6,IF(출고요청서_raw!H235=재고내역!$F$13,출고요청서_raw!G235*8)))))</f>
        <v>4</v>
      </c>
      <c r="X235" s="53"/>
      <c r="Y235" s="53"/>
      <c r="Z235" s="56">
        <f>W235*재고내역!$M$6</f>
        <v>30748</v>
      </c>
      <c r="AA235" s="56">
        <f t="shared" si="22"/>
        <v>4550</v>
      </c>
      <c r="AB235" s="56">
        <f t="shared" si="24"/>
        <v>6065.6363636363603</v>
      </c>
      <c r="AC235" s="376">
        <f t="shared" si="25"/>
        <v>0.14664175824175818</v>
      </c>
    </row>
    <row r="236" spans="1:31" ht="15.75" customHeight="1">
      <c r="A236" s="423" t="s">
        <v>1318</v>
      </c>
      <c r="B236" s="423" t="s">
        <v>1105</v>
      </c>
      <c r="E236" s="423" t="s">
        <v>1106</v>
      </c>
      <c r="F236" s="423" t="s">
        <v>1107</v>
      </c>
      <c r="G236" s="60">
        <v>3</v>
      </c>
      <c r="H236" s="54" t="s">
        <v>73</v>
      </c>
      <c r="L236" s="97" t="s">
        <v>163</v>
      </c>
      <c r="N236" s="97" t="s">
        <v>1319</v>
      </c>
      <c r="P236" s="57" t="s">
        <v>41</v>
      </c>
      <c r="Q236" s="61">
        <v>46058</v>
      </c>
      <c r="R236" s="55" t="s">
        <v>41</v>
      </c>
      <c r="S236" s="56">
        <v>45500</v>
      </c>
      <c r="T236" s="56" t="str">
        <f t="shared" si="23"/>
        <v>0</v>
      </c>
      <c r="U236" s="56">
        <v>136500</v>
      </c>
      <c r="V236" s="56">
        <f t="shared" si="26"/>
        <v>124090.90909090907</v>
      </c>
      <c r="W236" s="65">
        <f>IF(H236=재고내역!$F$9,출고요청서_raw!G236*1,IF(H236=재고내역!$F$10,출고요청서_raw!G236*2,IF(출고요청서_raw!H236=재고내역!$F$11,출고요청서_raw!G236*4,IF(출고요청서_raw!H236=재고내역!$F$12,출고요청서_raw!G236*6,IF(출고요청서_raw!H236=재고내역!$F$13,출고요청서_raw!G236*8)))))</f>
        <v>12</v>
      </c>
      <c r="X236" s="53"/>
      <c r="Y236" s="53"/>
      <c r="Z236" s="56">
        <f>W236*재고내역!$M$6</f>
        <v>92244</v>
      </c>
      <c r="AA236" s="56">
        <f t="shared" si="22"/>
        <v>9100</v>
      </c>
      <c r="AB236" s="56">
        <f t="shared" si="24"/>
        <v>22746.909090909074</v>
      </c>
      <c r="AC236" s="376">
        <f t="shared" si="25"/>
        <v>0.18330842490842481</v>
      </c>
    </row>
    <row r="237" spans="1:31" ht="15.75" customHeight="1">
      <c r="A237" s="423" t="s">
        <v>1320</v>
      </c>
      <c r="B237" s="423" t="s">
        <v>1321</v>
      </c>
      <c r="E237" s="423" t="s">
        <v>1322</v>
      </c>
      <c r="F237" s="423" t="s">
        <v>1323</v>
      </c>
      <c r="G237" s="60">
        <v>1</v>
      </c>
      <c r="H237" s="54" t="s">
        <v>73</v>
      </c>
      <c r="L237" s="97" t="s">
        <v>163</v>
      </c>
      <c r="N237" s="97" t="s">
        <v>1324</v>
      </c>
      <c r="P237" s="57" t="s">
        <v>41</v>
      </c>
      <c r="Q237" s="61">
        <v>46058</v>
      </c>
      <c r="R237" s="55" t="s">
        <v>41</v>
      </c>
      <c r="S237" s="56">
        <v>45500</v>
      </c>
      <c r="T237" s="56" t="str">
        <f t="shared" si="23"/>
        <v>0</v>
      </c>
      <c r="U237" s="56">
        <v>45500</v>
      </c>
      <c r="V237" s="56">
        <f t="shared" si="26"/>
        <v>41363.63636363636</v>
      </c>
      <c r="W237" s="65">
        <f>IF(H237=재고내역!$F$9,출고요청서_raw!G237*1,IF(H237=재고내역!$F$10,출고요청서_raw!G237*2,IF(출고요청서_raw!H237=재고내역!$F$11,출고요청서_raw!G237*4,IF(출고요청서_raw!H237=재고내역!$F$12,출고요청서_raw!G237*6,IF(출고요청서_raw!H237=재고내역!$F$13,출고요청서_raw!G237*8)))))</f>
        <v>4</v>
      </c>
      <c r="X237" s="53"/>
      <c r="Y237" s="53"/>
      <c r="Z237" s="56">
        <f>W237*재고내역!$M$6</f>
        <v>30748</v>
      </c>
      <c r="AA237" s="56">
        <f t="shared" si="22"/>
        <v>4550</v>
      </c>
      <c r="AB237" s="56">
        <f t="shared" si="24"/>
        <v>6065.6363636363603</v>
      </c>
      <c r="AC237" s="376">
        <f t="shared" si="25"/>
        <v>0.14664175824175818</v>
      </c>
    </row>
    <row r="238" spans="1:31" ht="15.75" customHeight="1">
      <c r="A238" s="423" t="s">
        <v>1325</v>
      </c>
      <c r="B238" s="423" t="s">
        <v>1326</v>
      </c>
      <c r="E238" s="423" t="s">
        <v>1327</v>
      </c>
      <c r="F238" s="423" t="s">
        <v>1328</v>
      </c>
      <c r="G238" s="60">
        <v>1</v>
      </c>
      <c r="H238" s="54" t="s">
        <v>73</v>
      </c>
      <c r="L238" s="97" t="s">
        <v>163</v>
      </c>
      <c r="N238" s="97" t="s">
        <v>1329</v>
      </c>
      <c r="P238" s="57" t="s">
        <v>41</v>
      </c>
      <c r="Q238" s="61">
        <v>46058</v>
      </c>
      <c r="R238" s="55" t="s">
        <v>41</v>
      </c>
      <c r="S238" s="56">
        <v>45500</v>
      </c>
      <c r="T238" s="56" t="str">
        <f t="shared" si="23"/>
        <v>0</v>
      </c>
      <c r="U238" s="56">
        <v>45500</v>
      </c>
      <c r="V238" s="56">
        <f t="shared" si="26"/>
        <v>41363.63636363636</v>
      </c>
      <c r="W238" s="65">
        <f>IF(H238=재고내역!$F$9,출고요청서_raw!G238*1,IF(H238=재고내역!$F$10,출고요청서_raw!G238*2,IF(출고요청서_raw!H238=재고내역!$F$11,출고요청서_raw!G238*4,IF(출고요청서_raw!H238=재고내역!$F$12,출고요청서_raw!G238*6,IF(출고요청서_raw!H238=재고내역!$F$13,출고요청서_raw!G238*8)))))</f>
        <v>4</v>
      </c>
      <c r="X238" s="53"/>
      <c r="Y238" s="53"/>
      <c r="Z238" s="56">
        <f>W238*재고내역!$M$6</f>
        <v>30748</v>
      </c>
      <c r="AA238" s="56">
        <f t="shared" si="22"/>
        <v>4550</v>
      </c>
      <c r="AB238" s="56">
        <f t="shared" si="24"/>
        <v>6065.6363636363603</v>
      </c>
      <c r="AC238" s="376">
        <f t="shared" si="25"/>
        <v>0.14664175824175818</v>
      </c>
    </row>
    <row r="239" spans="1:31" s="72" customFormat="1" ht="15.75" customHeight="1">
      <c r="A239" s="425" t="s">
        <v>1330</v>
      </c>
      <c r="B239" s="425" t="s">
        <v>1331</v>
      </c>
      <c r="C239" s="426"/>
      <c r="D239" s="427"/>
      <c r="E239" s="425" t="s">
        <v>1332</v>
      </c>
      <c r="F239" s="425" t="s">
        <v>1333</v>
      </c>
      <c r="G239" s="60">
        <v>1</v>
      </c>
      <c r="H239" s="72" t="s">
        <v>74</v>
      </c>
      <c r="L239" s="366" t="s">
        <v>163</v>
      </c>
      <c r="N239" s="366" t="s">
        <v>1334</v>
      </c>
      <c r="P239" s="353" t="s">
        <v>41</v>
      </c>
      <c r="Q239" s="61">
        <v>46058</v>
      </c>
      <c r="R239" s="55" t="s">
        <v>41</v>
      </c>
      <c r="S239" s="354">
        <v>63000</v>
      </c>
      <c r="T239" s="56" t="str">
        <f t="shared" si="23"/>
        <v>0</v>
      </c>
      <c r="U239" s="354">
        <v>63000</v>
      </c>
      <c r="V239" s="56">
        <f t="shared" si="26"/>
        <v>57272.727272727265</v>
      </c>
      <c r="W239" s="65">
        <f>IF(H239=재고내역!$F$9,출고요청서_raw!G239*1,IF(H239=재고내역!$F$10,출고요청서_raw!G239*2,IF(출고요청서_raw!H239=재고내역!$F$11,출고요청서_raw!G239*4,IF(출고요청서_raw!H239=재고내역!$F$12,출고요청서_raw!G239*6,IF(출고요청서_raw!H239=재고내역!$F$13,출고요청서_raw!G239*8)))))</f>
        <v>6</v>
      </c>
      <c r="X239" s="355"/>
      <c r="Y239" s="355"/>
      <c r="Z239" s="56">
        <f>W239*재고내역!$M$6</f>
        <v>46122</v>
      </c>
      <c r="AA239" s="56">
        <f t="shared" si="22"/>
        <v>4550</v>
      </c>
      <c r="AB239" s="56">
        <f t="shared" si="24"/>
        <v>6600.7272727272648</v>
      </c>
      <c r="AC239" s="376">
        <f t="shared" si="25"/>
        <v>0.11525079365079353</v>
      </c>
      <c r="AD239" s="74"/>
      <c r="AE239" s="74"/>
    </row>
    <row r="240" spans="1:31" s="72" customFormat="1" ht="15.75" customHeight="1">
      <c r="A240" s="425" t="s">
        <v>1335</v>
      </c>
      <c r="B240" s="425" t="s">
        <v>1336</v>
      </c>
      <c r="C240" s="426"/>
      <c r="D240" s="427"/>
      <c r="E240" s="425" t="s">
        <v>1337</v>
      </c>
      <c r="F240" s="425" t="s">
        <v>1338</v>
      </c>
      <c r="G240" s="60">
        <v>1</v>
      </c>
      <c r="H240" s="72" t="s">
        <v>74</v>
      </c>
      <c r="L240" s="366" t="s">
        <v>163</v>
      </c>
      <c r="N240" s="366" t="s">
        <v>1339</v>
      </c>
      <c r="P240" s="353" t="s">
        <v>41</v>
      </c>
      <c r="Q240" s="61">
        <v>46058</v>
      </c>
      <c r="R240" s="55" t="s">
        <v>41</v>
      </c>
      <c r="S240" s="354">
        <v>63000</v>
      </c>
      <c r="T240" s="56" t="str">
        <f t="shared" si="23"/>
        <v>0</v>
      </c>
      <c r="U240" s="354">
        <v>63000</v>
      </c>
      <c r="V240" s="56">
        <f t="shared" si="26"/>
        <v>57272.727272727265</v>
      </c>
      <c r="W240" s="65">
        <f>IF(H240=재고내역!$F$9,출고요청서_raw!G240*1,IF(H240=재고내역!$F$10,출고요청서_raw!G240*2,IF(출고요청서_raw!H240=재고내역!$F$11,출고요청서_raw!G240*4,IF(출고요청서_raw!H240=재고내역!$F$12,출고요청서_raw!G240*6,IF(출고요청서_raw!H240=재고내역!$F$13,출고요청서_raw!G240*8)))))</f>
        <v>6</v>
      </c>
      <c r="X240" s="355"/>
      <c r="Y240" s="355"/>
      <c r="Z240" s="56">
        <f>W240*재고내역!$M$6</f>
        <v>46122</v>
      </c>
      <c r="AA240" s="56">
        <f t="shared" si="22"/>
        <v>4550</v>
      </c>
      <c r="AB240" s="56">
        <f t="shared" si="24"/>
        <v>6600.7272727272648</v>
      </c>
      <c r="AC240" s="376">
        <f t="shared" si="25"/>
        <v>0.11525079365079353</v>
      </c>
      <c r="AD240" s="74"/>
      <c r="AE240" s="74"/>
    </row>
    <row r="241" spans="1:31" s="72" customFormat="1" ht="15.75" customHeight="1">
      <c r="A241" s="425" t="s">
        <v>1340</v>
      </c>
      <c r="B241" s="425" t="s">
        <v>1341</v>
      </c>
      <c r="C241" s="426"/>
      <c r="D241" s="427"/>
      <c r="E241" s="425" t="s">
        <v>1342</v>
      </c>
      <c r="F241" s="425" t="s">
        <v>1343</v>
      </c>
      <c r="G241" s="60">
        <v>1</v>
      </c>
      <c r="H241" s="72" t="s">
        <v>74</v>
      </c>
      <c r="L241" s="366" t="s">
        <v>163</v>
      </c>
      <c r="N241" s="366" t="s">
        <v>1344</v>
      </c>
      <c r="P241" s="353" t="s">
        <v>41</v>
      </c>
      <c r="Q241" s="61">
        <v>46058</v>
      </c>
      <c r="R241" s="55" t="s">
        <v>41</v>
      </c>
      <c r="S241" s="354">
        <v>63000</v>
      </c>
      <c r="T241" s="56" t="str">
        <f t="shared" si="23"/>
        <v>0</v>
      </c>
      <c r="U241" s="354">
        <v>63000</v>
      </c>
      <c r="V241" s="56">
        <f t="shared" si="26"/>
        <v>57272.727272727265</v>
      </c>
      <c r="W241" s="65">
        <f>IF(H241=재고내역!$F$9,출고요청서_raw!G241*1,IF(H241=재고내역!$F$10,출고요청서_raw!G241*2,IF(출고요청서_raw!H241=재고내역!$F$11,출고요청서_raw!G241*4,IF(출고요청서_raw!H241=재고내역!$F$12,출고요청서_raw!G241*6,IF(출고요청서_raw!H241=재고내역!$F$13,출고요청서_raw!G241*8)))))</f>
        <v>6</v>
      </c>
      <c r="X241" s="355"/>
      <c r="Y241" s="355"/>
      <c r="Z241" s="56">
        <f>W241*재고내역!$M$6</f>
        <v>46122</v>
      </c>
      <c r="AA241" s="56">
        <f t="shared" si="22"/>
        <v>4550</v>
      </c>
      <c r="AB241" s="56">
        <f t="shared" si="24"/>
        <v>6600.7272727272648</v>
      </c>
      <c r="AC241" s="376">
        <f t="shared" si="25"/>
        <v>0.11525079365079353</v>
      </c>
      <c r="AD241" s="74"/>
      <c r="AE241" s="74"/>
    </row>
    <row r="242" spans="1:31" s="72" customFormat="1" ht="15.75" customHeight="1">
      <c r="A242" s="425" t="s">
        <v>1345</v>
      </c>
      <c r="B242" s="425" t="s">
        <v>1346</v>
      </c>
      <c r="C242" s="426"/>
      <c r="D242" s="427"/>
      <c r="E242" s="425" t="s">
        <v>293</v>
      </c>
      <c r="F242" s="425" t="s">
        <v>1347</v>
      </c>
      <c r="G242" s="60">
        <v>1</v>
      </c>
      <c r="H242" s="72" t="s">
        <v>74</v>
      </c>
      <c r="L242" s="366" t="s">
        <v>163</v>
      </c>
      <c r="N242" s="366" t="s">
        <v>1348</v>
      </c>
      <c r="P242" s="353" t="s">
        <v>41</v>
      </c>
      <c r="Q242" s="61">
        <v>46058</v>
      </c>
      <c r="R242" s="55" t="s">
        <v>41</v>
      </c>
      <c r="S242" s="354">
        <v>63000</v>
      </c>
      <c r="T242" s="56" t="str">
        <f t="shared" si="23"/>
        <v>0</v>
      </c>
      <c r="U242" s="354">
        <v>63000</v>
      </c>
      <c r="V242" s="56">
        <f t="shared" si="26"/>
        <v>57272.727272727265</v>
      </c>
      <c r="W242" s="65">
        <f>IF(H242=재고내역!$F$9,출고요청서_raw!G242*1,IF(H242=재고내역!$F$10,출고요청서_raw!G242*2,IF(출고요청서_raw!H242=재고내역!$F$11,출고요청서_raw!G242*4,IF(출고요청서_raw!H242=재고내역!$F$12,출고요청서_raw!G242*6,IF(출고요청서_raw!H242=재고내역!$F$13,출고요청서_raw!G242*8)))))</f>
        <v>6</v>
      </c>
      <c r="X242" s="355"/>
      <c r="Y242" s="355"/>
      <c r="Z242" s="56">
        <f>W242*재고내역!$M$6</f>
        <v>46122</v>
      </c>
      <c r="AA242" s="56">
        <f t="shared" si="22"/>
        <v>4550</v>
      </c>
      <c r="AB242" s="56">
        <f t="shared" si="24"/>
        <v>6600.7272727272648</v>
      </c>
      <c r="AC242" s="376">
        <f t="shared" si="25"/>
        <v>0.11525079365079353</v>
      </c>
      <c r="AD242" s="74"/>
      <c r="AE242" s="74"/>
    </row>
    <row r="243" spans="1:31" s="72" customFormat="1" ht="15.75" customHeight="1">
      <c r="A243" s="425" t="s">
        <v>1349</v>
      </c>
      <c r="B243" s="425" t="s">
        <v>1350</v>
      </c>
      <c r="C243" s="426"/>
      <c r="D243" s="427"/>
      <c r="E243" s="425" t="s">
        <v>1351</v>
      </c>
      <c r="F243" s="425" t="s">
        <v>1352</v>
      </c>
      <c r="G243" s="60">
        <v>1</v>
      </c>
      <c r="H243" s="72" t="s">
        <v>74</v>
      </c>
      <c r="L243" s="366" t="s">
        <v>163</v>
      </c>
      <c r="N243" s="366" t="s">
        <v>1353</v>
      </c>
      <c r="P243" s="353" t="s">
        <v>41</v>
      </c>
      <c r="Q243" s="61">
        <v>46058</v>
      </c>
      <c r="R243" s="55" t="s">
        <v>41</v>
      </c>
      <c r="S243" s="354">
        <v>63000</v>
      </c>
      <c r="T243" s="56" t="str">
        <f t="shared" si="23"/>
        <v>0</v>
      </c>
      <c r="U243" s="354">
        <v>63000</v>
      </c>
      <c r="V243" s="56">
        <f t="shared" si="26"/>
        <v>57272.727272727265</v>
      </c>
      <c r="W243" s="65">
        <f>IF(H243=재고내역!$F$9,출고요청서_raw!G243*1,IF(H243=재고내역!$F$10,출고요청서_raw!G243*2,IF(출고요청서_raw!H243=재고내역!$F$11,출고요청서_raw!G243*4,IF(출고요청서_raw!H243=재고내역!$F$12,출고요청서_raw!G243*6,IF(출고요청서_raw!H243=재고내역!$F$13,출고요청서_raw!G243*8)))))</f>
        <v>6</v>
      </c>
      <c r="X243" s="355"/>
      <c r="Y243" s="355"/>
      <c r="Z243" s="56">
        <f>W243*재고내역!$M$6</f>
        <v>46122</v>
      </c>
      <c r="AA243" s="56">
        <f t="shared" si="22"/>
        <v>4550</v>
      </c>
      <c r="AB243" s="56">
        <f t="shared" si="24"/>
        <v>6600.7272727272648</v>
      </c>
      <c r="AC243" s="376">
        <f t="shared" si="25"/>
        <v>0.11525079365079353</v>
      </c>
      <c r="AD243" s="74"/>
      <c r="AE243" s="74"/>
    </row>
    <row r="244" spans="1:31" s="72" customFormat="1" ht="15.75" customHeight="1">
      <c r="A244" s="425" t="s">
        <v>1354</v>
      </c>
      <c r="B244" s="425" t="s">
        <v>1355</v>
      </c>
      <c r="C244" s="426"/>
      <c r="D244" s="427"/>
      <c r="E244" s="425" t="s">
        <v>1356</v>
      </c>
      <c r="F244" s="425" t="s">
        <v>1357</v>
      </c>
      <c r="G244" s="60">
        <v>1</v>
      </c>
      <c r="H244" s="72" t="s">
        <v>74</v>
      </c>
      <c r="L244" s="366" t="s">
        <v>163</v>
      </c>
      <c r="N244" s="366" t="s">
        <v>1358</v>
      </c>
      <c r="P244" s="353" t="s">
        <v>41</v>
      </c>
      <c r="Q244" s="61">
        <v>46058</v>
      </c>
      <c r="R244" s="55" t="s">
        <v>41</v>
      </c>
      <c r="S244" s="354">
        <v>63000</v>
      </c>
      <c r="T244" s="56" t="str">
        <f t="shared" si="23"/>
        <v>0</v>
      </c>
      <c r="U244" s="354">
        <v>63000</v>
      </c>
      <c r="V244" s="56">
        <f t="shared" si="26"/>
        <v>57272.727272727265</v>
      </c>
      <c r="W244" s="65">
        <f>IF(H244=재고내역!$F$9,출고요청서_raw!G244*1,IF(H244=재고내역!$F$10,출고요청서_raw!G244*2,IF(출고요청서_raw!H244=재고내역!$F$11,출고요청서_raw!G244*4,IF(출고요청서_raw!H244=재고내역!$F$12,출고요청서_raw!G244*6,IF(출고요청서_raw!H244=재고내역!$F$13,출고요청서_raw!G244*8)))))</f>
        <v>6</v>
      </c>
      <c r="X244" s="355"/>
      <c r="Y244" s="355"/>
      <c r="Z244" s="56">
        <f>W244*재고내역!$M$6</f>
        <v>46122</v>
      </c>
      <c r="AA244" s="56">
        <f t="shared" si="22"/>
        <v>4550</v>
      </c>
      <c r="AB244" s="56">
        <f t="shared" si="24"/>
        <v>6600.7272727272648</v>
      </c>
      <c r="AC244" s="376">
        <f t="shared" si="25"/>
        <v>0.11525079365079353</v>
      </c>
      <c r="AD244" s="74"/>
      <c r="AE244" s="74"/>
    </row>
    <row r="245" spans="1:31" s="72" customFormat="1" ht="15.75" customHeight="1">
      <c r="A245" s="425" t="s">
        <v>1359</v>
      </c>
      <c r="B245" s="425" t="s">
        <v>1360</v>
      </c>
      <c r="C245" s="426"/>
      <c r="D245" s="427"/>
      <c r="E245" s="425" t="s">
        <v>1361</v>
      </c>
      <c r="F245" s="425" t="s">
        <v>1362</v>
      </c>
      <c r="G245" s="60">
        <v>1</v>
      </c>
      <c r="H245" s="72" t="s">
        <v>74</v>
      </c>
      <c r="L245" s="366" t="s">
        <v>163</v>
      </c>
      <c r="N245" s="366" t="s">
        <v>1363</v>
      </c>
      <c r="P245" s="353" t="s">
        <v>41</v>
      </c>
      <c r="Q245" s="61">
        <v>46058</v>
      </c>
      <c r="R245" s="55" t="s">
        <v>41</v>
      </c>
      <c r="S245" s="354">
        <v>63000</v>
      </c>
      <c r="T245" s="56" t="str">
        <f t="shared" si="23"/>
        <v>0</v>
      </c>
      <c r="U245" s="354">
        <v>63000</v>
      </c>
      <c r="V245" s="56">
        <f t="shared" si="26"/>
        <v>57272.727272727265</v>
      </c>
      <c r="W245" s="65">
        <f>IF(H245=재고내역!$F$9,출고요청서_raw!G245*1,IF(H245=재고내역!$F$10,출고요청서_raw!G245*2,IF(출고요청서_raw!H245=재고내역!$F$11,출고요청서_raw!G245*4,IF(출고요청서_raw!H245=재고내역!$F$12,출고요청서_raw!G245*6,IF(출고요청서_raw!H245=재고내역!$F$13,출고요청서_raw!G245*8)))))</f>
        <v>6</v>
      </c>
      <c r="X245" s="355"/>
      <c r="Y245" s="355"/>
      <c r="Z245" s="56">
        <f>W245*재고내역!$M$6</f>
        <v>46122</v>
      </c>
      <c r="AA245" s="56">
        <f t="shared" si="22"/>
        <v>4550</v>
      </c>
      <c r="AB245" s="56">
        <f t="shared" si="24"/>
        <v>6600.7272727272648</v>
      </c>
      <c r="AC245" s="376">
        <f t="shared" si="25"/>
        <v>0.11525079365079353</v>
      </c>
      <c r="AD245" s="74"/>
      <c r="AE245" s="74"/>
    </row>
    <row r="246" spans="1:31" s="72" customFormat="1" ht="15.75" customHeight="1">
      <c r="A246" s="425" t="s">
        <v>1364</v>
      </c>
      <c r="B246" s="425" t="s">
        <v>1365</v>
      </c>
      <c r="C246" s="426"/>
      <c r="D246" s="427"/>
      <c r="E246" s="425" t="s">
        <v>1366</v>
      </c>
      <c r="F246" s="425" t="s">
        <v>1367</v>
      </c>
      <c r="G246" s="60">
        <v>1</v>
      </c>
      <c r="H246" s="72" t="s">
        <v>74</v>
      </c>
      <c r="L246" s="366" t="s">
        <v>163</v>
      </c>
      <c r="N246" s="366" t="s">
        <v>1368</v>
      </c>
      <c r="P246" s="353" t="s">
        <v>41</v>
      </c>
      <c r="Q246" s="61">
        <v>46058</v>
      </c>
      <c r="R246" s="55" t="s">
        <v>41</v>
      </c>
      <c r="S246" s="354">
        <v>63000</v>
      </c>
      <c r="T246" s="56" t="str">
        <f t="shared" si="23"/>
        <v>0</v>
      </c>
      <c r="U246" s="354">
        <v>63000</v>
      </c>
      <c r="V246" s="56">
        <f t="shared" si="26"/>
        <v>57272.727272727265</v>
      </c>
      <c r="W246" s="65">
        <f>IF(H246=재고내역!$F$9,출고요청서_raw!G246*1,IF(H246=재고내역!$F$10,출고요청서_raw!G246*2,IF(출고요청서_raw!H246=재고내역!$F$11,출고요청서_raw!G246*4,IF(출고요청서_raw!H246=재고내역!$F$12,출고요청서_raw!G246*6,IF(출고요청서_raw!H246=재고내역!$F$13,출고요청서_raw!G246*8)))))</f>
        <v>6</v>
      </c>
      <c r="X246" s="355"/>
      <c r="Y246" s="355"/>
      <c r="Z246" s="56">
        <f>W246*재고내역!$M$6</f>
        <v>46122</v>
      </c>
      <c r="AA246" s="56">
        <f t="shared" si="22"/>
        <v>4550</v>
      </c>
      <c r="AB246" s="56">
        <f t="shared" si="24"/>
        <v>6600.7272727272648</v>
      </c>
      <c r="AC246" s="376">
        <f t="shared" si="25"/>
        <v>0.11525079365079353</v>
      </c>
      <c r="AD246" s="74"/>
      <c r="AE246" s="74"/>
    </row>
    <row r="247" spans="1:31" s="72" customFormat="1" ht="15.75" customHeight="1">
      <c r="A247" s="425" t="s">
        <v>1369</v>
      </c>
      <c r="B247" s="425" t="s">
        <v>1370</v>
      </c>
      <c r="C247" s="426"/>
      <c r="D247" s="427"/>
      <c r="E247" s="425" t="s">
        <v>1371</v>
      </c>
      <c r="F247" s="425" t="s">
        <v>1372</v>
      </c>
      <c r="G247" s="60">
        <v>1</v>
      </c>
      <c r="H247" s="72" t="s">
        <v>74</v>
      </c>
      <c r="L247" s="366" t="s">
        <v>163</v>
      </c>
      <c r="N247" s="366" t="s">
        <v>1373</v>
      </c>
      <c r="P247" s="353" t="s">
        <v>41</v>
      </c>
      <c r="Q247" s="61">
        <v>46058</v>
      </c>
      <c r="R247" s="55" t="s">
        <v>41</v>
      </c>
      <c r="S247" s="354">
        <v>63000</v>
      </c>
      <c r="T247" s="56" t="str">
        <f t="shared" si="23"/>
        <v>0</v>
      </c>
      <c r="U247" s="354">
        <v>63000</v>
      </c>
      <c r="V247" s="56">
        <f t="shared" si="26"/>
        <v>57272.727272727265</v>
      </c>
      <c r="W247" s="65">
        <f>IF(H247=재고내역!$F$9,출고요청서_raw!G247*1,IF(H247=재고내역!$F$10,출고요청서_raw!G247*2,IF(출고요청서_raw!H247=재고내역!$F$11,출고요청서_raw!G247*4,IF(출고요청서_raw!H247=재고내역!$F$12,출고요청서_raw!G247*6,IF(출고요청서_raw!H247=재고내역!$F$13,출고요청서_raw!G247*8)))))</f>
        <v>6</v>
      </c>
      <c r="X247" s="355"/>
      <c r="Y247" s="355"/>
      <c r="Z247" s="56">
        <f>W247*재고내역!$M$6</f>
        <v>46122</v>
      </c>
      <c r="AA247" s="56">
        <f t="shared" si="22"/>
        <v>4550</v>
      </c>
      <c r="AB247" s="56">
        <f t="shared" si="24"/>
        <v>6600.7272727272648</v>
      </c>
      <c r="AC247" s="376">
        <f t="shared" si="25"/>
        <v>0.11525079365079353</v>
      </c>
      <c r="AD247" s="74"/>
      <c r="AE247" s="74"/>
    </row>
    <row r="248" spans="1:31" s="72" customFormat="1" ht="15.75" customHeight="1">
      <c r="A248" s="425" t="s">
        <v>1374</v>
      </c>
      <c r="B248" s="425" t="s">
        <v>1375</v>
      </c>
      <c r="C248" s="426"/>
      <c r="D248" s="427"/>
      <c r="E248" s="425" t="s">
        <v>1376</v>
      </c>
      <c r="F248" s="425" t="s">
        <v>1377</v>
      </c>
      <c r="G248" s="60">
        <v>1</v>
      </c>
      <c r="H248" s="72" t="s">
        <v>74</v>
      </c>
      <c r="L248" s="366" t="s">
        <v>163</v>
      </c>
      <c r="N248" s="366" t="s">
        <v>1378</v>
      </c>
      <c r="P248" s="353" t="s">
        <v>41</v>
      </c>
      <c r="Q248" s="61">
        <v>46058</v>
      </c>
      <c r="R248" s="55" t="s">
        <v>41</v>
      </c>
      <c r="S248" s="354">
        <v>63000</v>
      </c>
      <c r="T248" s="56" t="str">
        <f t="shared" si="23"/>
        <v>0</v>
      </c>
      <c r="U248" s="354">
        <v>63000</v>
      </c>
      <c r="V248" s="56">
        <f t="shared" si="26"/>
        <v>57272.727272727265</v>
      </c>
      <c r="W248" s="65">
        <f>IF(H248=재고내역!$F$9,출고요청서_raw!G248*1,IF(H248=재고내역!$F$10,출고요청서_raw!G248*2,IF(출고요청서_raw!H248=재고내역!$F$11,출고요청서_raw!G248*4,IF(출고요청서_raw!H248=재고내역!$F$12,출고요청서_raw!G248*6,IF(출고요청서_raw!H248=재고내역!$F$13,출고요청서_raw!G248*8)))))</f>
        <v>6</v>
      </c>
      <c r="X248" s="355"/>
      <c r="Y248" s="355"/>
      <c r="Z248" s="56">
        <f>W248*재고내역!$M$6</f>
        <v>46122</v>
      </c>
      <c r="AA248" s="56">
        <f t="shared" si="22"/>
        <v>4550</v>
      </c>
      <c r="AB248" s="56">
        <f t="shared" si="24"/>
        <v>6600.7272727272648</v>
      </c>
      <c r="AC248" s="376">
        <f t="shared" si="25"/>
        <v>0.11525079365079353</v>
      </c>
      <c r="AD248" s="74"/>
      <c r="AE248" s="74"/>
    </row>
    <row r="249" spans="1:31" s="72" customFormat="1" ht="15.75" customHeight="1">
      <c r="A249" s="425" t="s">
        <v>1379</v>
      </c>
      <c r="B249" s="425" t="s">
        <v>1380</v>
      </c>
      <c r="C249" s="426"/>
      <c r="D249" s="427"/>
      <c r="E249" s="425" t="s">
        <v>1381</v>
      </c>
      <c r="F249" s="425" t="s">
        <v>1382</v>
      </c>
      <c r="G249" s="60">
        <v>1</v>
      </c>
      <c r="H249" s="72" t="s">
        <v>74</v>
      </c>
      <c r="L249" s="366" t="s">
        <v>163</v>
      </c>
      <c r="N249" s="366" t="s">
        <v>1383</v>
      </c>
      <c r="P249" s="353" t="s">
        <v>41</v>
      </c>
      <c r="Q249" s="61">
        <v>46058</v>
      </c>
      <c r="R249" s="55" t="s">
        <v>41</v>
      </c>
      <c r="S249" s="354">
        <v>63000</v>
      </c>
      <c r="T249" s="56" t="str">
        <f t="shared" si="23"/>
        <v>0</v>
      </c>
      <c r="U249" s="354">
        <v>63000</v>
      </c>
      <c r="V249" s="56">
        <f t="shared" si="26"/>
        <v>57272.727272727265</v>
      </c>
      <c r="W249" s="65">
        <f>IF(H249=재고내역!$F$9,출고요청서_raw!G249*1,IF(H249=재고내역!$F$10,출고요청서_raw!G249*2,IF(출고요청서_raw!H249=재고내역!$F$11,출고요청서_raw!G249*4,IF(출고요청서_raw!H249=재고내역!$F$12,출고요청서_raw!G249*6,IF(출고요청서_raw!H249=재고내역!$F$13,출고요청서_raw!G249*8)))))</f>
        <v>6</v>
      </c>
      <c r="X249" s="355"/>
      <c r="Y249" s="355"/>
      <c r="Z249" s="56">
        <f>W249*재고내역!$M$6</f>
        <v>46122</v>
      </c>
      <c r="AA249" s="56">
        <f t="shared" si="22"/>
        <v>4550</v>
      </c>
      <c r="AB249" s="56">
        <f t="shared" si="24"/>
        <v>6600.7272727272648</v>
      </c>
      <c r="AC249" s="376">
        <f t="shared" si="25"/>
        <v>0.11525079365079353</v>
      </c>
      <c r="AD249" s="74"/>
      <c r="AE249" s="74"/>
    </row>
    <row r="250" spans="1:31" s="72" customFormat="1" ht="15.75" customHeight="1">
      <c r="A250" s="425" t="s">
        <v>1384</v>
      </c>
      <c r="B250" s="425" t="s">
        <v>1385</v>
      </c>
      <c r="C250" s="426"/>
      <c r="D250" s="427"/>
      <c r="E250" s="425" t="s">
        <v>1386</v>
      </c>
      <c r="F250" s="425" t="s">
        <v>1387</v>
      </c>
      <c r="G250" s="60">
        <v>1</v>
      </c>
      <c r="H250" s="72" t="s">
        <v>74</v>
      </c>
      <c r="L250" s="366" t="s">
        <v>163</v>
      </c>
      <c r="N250" s="366" t="s">
        <v>1388</v>
      </c>
      <c r="P250" s="353" t="s">
        <v>41</v>
      </c>
      <c r="Q250" s="61">
        <v>46058</v>
      </c>
      <c r="R250" s="55" t="s">
        <v>41</v>
      </c>
      <c r="S250" s="354">
        <v>63000</v>
      </c>
      <c r="T250" s="56" t="str">
        <f t="shared" si="23"/>
        <v>0</v>
      </c>
      <c r="U250" s="354">
        <v>63000</v>
      </c>
      <c r="V250" s="56">
        <f t="shared" si="26"/>
        <v>57272.727272727265</v>
      </c>
      <c r="W250" s="65">
        <f>IF(H250=재고내역!$F$9,출고요청서_raw!G250*1,IF(H250=재고내역!$F$10,출고요청서_raw!G250*2,IF(출고요청서_raw!H250=재고내역!$F$11,출고요청서_raw!G250*4,IF(출고요청서_raw!H250=재고내역!$F$12,출고요청서_raw!G250*6,IF(출고요청서_raw!H250=재고내역!$F$13,출고요청서_raw!G250*8)))))</f>
        <v>6</v>
      </c>
      <c r="X250" s="355"/>
      <c r="Y250" s="355"/>
      <c r="Z250" s="56">
        <f>W250*재고내역!$M$6</f>
        <v>46122</v>
      </c>
      <c r="AA250" s="56">
        <f t="shared" si="22"/>
        <v>4550</v>
      </c>
      <c r="AB250" s="56">
        <f t="shared" si="24"/>
        <v>6600.7272727272648</v>
      </c>
      <c r="AC250" s="376">
        <f t="shared" si="25"/>
        <v>0.11525079365079353</v>
      </c>
      <c r="AD250" s="74"/>
      <c r="AE250" s="74"/>
    </row>
    <row r="251" spans="1:31" s="72" customFormat="1" ht="15.75" customHeight="1">
      <c r="A251" s="425" t="s">
        <v>1389</v>
      </c>
      <c r="B251" s="425" t="s">
        <v>1390</v>
      </c>
      <c r="C251" s="426"/>
      <c r="D251" s="427"/>
      <c r="E251" s="425" t="s">
        <v>1391</v>
      </c>
      <c r="F251" s="425" t="s">
        <v>1392</v>
      </c>
      <c r="G251" s="60">
        <v>1</v>
      </c>
      <c r="H251" s="72" t="s">
        <v>74</v>
      </c>
      <c r="L251" s="366" t="s">
        <v>163</v>
      </c>
      <c r="N251" s="366" t="s">
        <v>1393</v>
      </c>
      <c r="P251" s="353" t="s">
        <v>41</v>
      </c>
      <c r="Q251" s="61">
        <v>46058</v>
      </c>
      <c r="R251" s="55" t="s">
        <v>41</v>
      </c>
      <c r="S251" s="354">
        <v>63000</v>
      </c>
      <c r="T251" s="56" t="str">
        <f t="shared" si="23"/>
        <v>0</v>
      </c>
      <c r="U251" s="354">
        <v>63000</v>
      </c>
      <c r="V251" s="56">
        <f t="shared" si="26"/>
        <v>57272.727272727265</v>
      </c>
      <c r="W251" s="65">
        <f>IF(H251=재고내역!$F$9,출고요청서_raw!G251*1,IF(H251=재고내역!$F$10,출고요청서_raw!G251*2,IF(출고요청서_raw!H251=재고내역!$F$11,출고요청서_raw!G251*4,IF(출고요청서_raw!H251=재고내역!$F$12,출고요청서_raw!G251*6,IF(출고요청서_raw!H251=재고내역!$F$13,출고요청서_raw!G251*8)))))</f>
        <v>6</v>
      </c>
      <c r="X251" s="355"/>
      <c r="Y251" s="355"/>
      <c r="Z251" s="56">
        <f>W251*재고내역!$M$6</f>
        <v>46122</v>
      </c>
      <c r="AA251" s="56">
        <f t="shared" si="22"/>
        <v>4550</v>
      </c>
      <c r="AB251" s="56">
        <f t="shared" si="24"/>
        <v>6600.7272727272648</v>
      </c>
      <c r="AC251" s="376">
        <f t="shared" si="25"/>
        <v>0.11525079365079353</v>
      </c>
      <c r="AD251" s="74"/>
      <c r="AE251" s="74"/>
    </row>
    <row r="252" spans="1:31" s="72" customFormat="1" ht="15.75" customHeight="1">
      <c r="A252" s="425" t="s">
        <v>1394</v>
      </c>
      <c r="B252" s="425" t="s">
        <v>1395</v>
      </c>
      <c r="C252" s="426"/>
      <c r="D252" s="427"/>
      <c r="E252" s="425" t="s">
        <v>1396</v>
      </c>
      <c r="F252" s="425" t="s">
        <v>1397</v>
      </c>
      <c r="G252" s="60">
        <v>1</v>
      </c>
      <c r="H252" s="72" t="s">
        <v>74</v>
      </c>
      <c r="L252" s="366" t="s">
        <v>163</v>
      </c>
      <c r="N252" s="366" t="s">
        <v>1398</v>
      </c>
      <c r="P252" s="353" t="s">
        <v>41</v>
      </c>
      <c r="Q252" s="61">
        <v>46058</v>
      </c>
      <c r="R252" s="55" t="s">
        <v>41</v>
      </c>
      <c r="S252" s="354">
        <v>63000</v>
      </c>
      <c r="T252" s="56" t="str">
        <f t="shared" si="23"/>
        <v>0</v>
      </c>
      <c r="U252" s="354">
        <v>63000</v>
      </c>
      <c r="V252" s="56">
        <f t="shared" si="26"/>
        <v>57272.727272727265</v>
      </c>
      <c r="W252" s="65">
        <f>IF(H252=재고내역!$F$9,출고요청서_raw!G252*1,IF(H252=재고내역!$F$10,출고요청서_raw!G252*2,IF(출고요청서_raw!H252=재고내역!$F$11,출고요청서_raw!G252*4,IF(출고요청서_raw!H252=재고내역!$F$12,출고요청서_raw!G252*6,IF(출고요청서_raw!H252=재고내역!$F$13,출고요청서_raw!G252*8)))))</f>
        <v>6</v>
      </c>
      <c r="X252" s="355"/>
      <c r="Y252" s="355"/>
      <c r="Z252" s="56">
        <f>W252*재고내역!$M$6</f>
        <v>46122</v>
      </c>
      <c r="AA252" s="56">
        <f t="shared" si="22"/>
        <v>4550</v>
      </c>
      <c r="AB252" s="56">
        <f t="shared" si="24"/>
        <v>6600.7272727272648</v>
      </c>
      <c r="AC252" s="376">
        <f t="shared" si="25"/>
        <v>0.11525079365079353</v>
      </c>
      <c r="AD252" s="74"/>
      <c r="AE252" s="74"/>
    </row>
    <row r="253" spans="1:31" s="72" customFormat="1" ht="15.75" customHeight="1">
      <c r="A253" s="425" t="s">
        <v>1399</v>
      </c>
      <c r="B253" s="425" t="s">
        <v>1400</v>
      </c>
      <c r="C253" s="426"/>
      <c r="D253" s="427"/>
      <c r="E253" s="425" t="s">
        <v>1401</v>
      </c>
      <c r="F253" s="425" t="s">
        <v>1402</v>
      </c>
      <c r="G253" s="60">
        <v>1</v>
      </c>
      <c r="H253" s="72" t="s">
        <v>74</v>
      </c>
      <c r="L253" s="366" t="s">
        <v>163</v>
      </c>
      <c r="N253" s="366" t="s">
        <v>1403</v>
      </c>
      <c r="P253" s="353" t="s">
        <v>41</v>
      </c>
      <c r="Q253" s="61">
        <v>46058</v>
      </c>
      <c r="R253" s="55" t="s">
        <v>41</v>
      </c>
      <c r="S253" s="354">
        <v>63000</v>
      </c>
      <c r="T253" s="56" t="str">
        <f t="shared" si="23"/>
        <v>0</v>
      </c>
      <c r="U253" s="354">
        <v>63000</v>
      </c>
      <c r="V253" s="56">
        <f t="shared" si="26"/>
        <v>57272.727272727265</v>
      </c>
      <c r="W253" s="65">
        <f>IF(H253=재고내역!$F$9,출고요청서_raw!G253*1,IF(H253=재고내역!$F$10,출고요청서_raw!G253*2,IF(출고요청서_raw!H253=재고내역!$F$11,출고요청서_raw!G253*4,IF(출고요청서_raw!H253=재고내역!$F$12,출고요청서_raw!G253*6,IF(출고요청서_raw!H253=재고내역!$F$13,출고요청서_raw!G253*8)))))</f>
        <v>6</v>
      </c>
      <c r="X253" s="355"/>
      <c r="Y253" s="355"/>
      <c r="Z253" s="56">
        <f>W253*재고내역!$M$6</f>
        <v>46122</v>
      </c>
      <c r="AA253" s="56">
        <f t="shared" si="22"/>
        <v>4550</v>
      </c>
      <c r="AB253" s="56">
        <f t="shared" si="24"/>
        <v>6600.7272727272648</v>
      </c>
      <c r="AC253" s="376">
        <f t="shared" si="25"/>
        <v>0.11525079365079353</v>
      </c>
      <c r="AD253" s="74"/>
      <c r="AE253" s="74"/>
    </row>
    <row r="254" spans="1:31" s="72" customFormat="1" ht="15.75" customHeight="1">
      <c r="A254" s="425" t="s">
        <v>1404</v>
      </c>
      <c r="B254" s="425" t="s">
        <v>1405</v>
      </c>
      <c r="C254" s="426"/>
      <c r="D254" s="427"/>
      <c r="E254" s="425" t="s">
        <v>1406</v>
      </c>
      <c r="F254" s="425" t="s">
        <v>1407</v>
      </c>
      <c r="G254" s="60">
        <v>1</v>
      </c>
      <c r="H254" s="72" t="s">
        <v>74</v>
      </c>
      <c r="L254" s="366" t="s">
        <v>1408</v>
      </c>
      <c r="N254" s="366" t="s">
        <v>1409</v>
      </c>
      <c r="P254" s="353" t="s">
        <v>41</v>
      </c>
      <c r="Q254" s="61">
        <v>46058</v>
      </c>
      <c r="R254" s="55" t="s">
        <v>41</v>
      </c>
      <c r="S254" s="354">
        <v>63000</v>
      </c>
      <c r="T254" s="56" t="str">
        <f t="shared" si="23"/>
        <v>0</v>
      </c>
      <c r="U254" s="354">
        <v>63000</v>
      </c>
      <c r="V254" s="56">
        <f t="shared" si="26"/>
        <v>57272.727272727265</v>
      </c>
      <c r="W254" s="65">
        <f>IF(H254=재고내역!$F$9,출고요청서_raw!G254*1,IF(H254=재고내역!$F$10,출고요청서_raw!G254*2,IF(출고요청서_raw!H254=재고내역!$F$11,출고요청서_raw!G254*4,IF(출고요청서_raw!H254=재고내역!$F$12,출고요청서_raw!G254*6,IF(출고요청서_raw!H254=재고내역!$F$13,출고요청서_raw!G254*8)))))</f>
        <v>6</v>
      </c>
      <c r="X254" s="355"/>
      <c r="Y254" s="355"/>
      <c r="Z254" s="56">
        <f>W254*재고내역!$M$6</f>
        <v>46122</v>
      </c>
      <c r="AA254" s="56">
        <f t="shared" si="22"/>
        <v>4550</v>
      </c>
      <c r="AB254" s="56">
        <f t="shared" si="24"/>
        <v>6600.7272727272648</v>
      </c>
      <c r="AC254" s="376">
        <f t="shared" si="25"/>
        <v>0.11525079365079353</v>
      </c>
      <c r="AD254" s="74"/>
      <c r="AE254" s="74"/>
    </row>
    <row r="255" spans="1:31" s="72" customFormat="1" ht="15.75" customHeight="1">
      <c r="A255" s="425" t="s">
        <v>1410</v>
      </c>
      <c r="B255" s="425" t="s">
        <v>1411</v>
      </c>
      <c r="C255" s="426"/>
      <c r="D255" s="427"/>
      <c r="E255" s="425" t="s">
        <v>1412</v>
      </c>
      <c r="F255" s="425" t="s">
        <v>1413</v>
      </c>
      <c r="G255" s="60">
        <v>1</v>
      </c>
      <c r="H255" s="72" t="s">
        <v>74</v>
      </c>
      <c r="L255" s="366" t="s">
        <v>163</v>
      </c>
      <c r="N255" s="366" t="s">
        <v>1414</v>
      </c>
      <c r="P255" s="353" t="s">
        <v>41</v>
      </c>
      <c r="Q255" s="61">
        <v>46058</v>
      </c>
      <c r="R255" s="55" t="s">
        <v>41</v>
      </c>
      <c r="S255" s="354">
        <v>63000</v>
      </c>
      <c r="T255" s="56" t="str">
        <f t="shared" si="23"/>
        <v>0</v>
      </c>
      <c r="U255" s="354">
        <v>63000</v>
      </c>
      <c r="V255" s="56">
        <f t="shared" si="26"/>
        <v>57272.727272727265</v>
      </c>
      <c r="W255" s="65">
        <f>IF(H255=재고내역!$F$9,출고요청서_raw!G255*1,IF(H255=재고내역!$F$10,출고요청서_raw!G255*2,IF(출고요청서_raw!H255=재고내역!$F$11,출고요청서_raw!G255*4,IF(출고요청서_raw!H255=재고내역!$F$12,출고요청서_raw!G255*6,IF(출고요청서_raw!H255=재고내역!$F$13,출고요청서_raw!G255*8)))))</f>
        <v>6</v>
      </c>
      <c r="X255" s="355"/>
      <c r="Y255" s="355"/>
      <c r="Z255" s="56">
        <f>W255*재고내역!$M$6</f>
        <v>46122</v>
      </c>
      <c r="AA255" s="56">
        <f t="shared" si="22"/>
        <v>4550</v>
      </c>
      <c r="AB255" s="56">
        <f t="shared" si="24"/>
        <v>6600.7272727272648</v>
      </c>
      <c r="AC255" s="376">
        <f t="shared" si="25"/>
        <v>0.11525079365079353</v>
      </c>
      <c r="AD255" s="74"/>
      <c r="AE255" s="74"/>
    </row>
    <row r="256" spans="1:31" s="72" customFormat="1" ht="15.75" customHeight="1">
      <c r="A256" s="425" t="s">
        <v>1415</v>
      </c>
      <c r="B256" s="425" t="s">
        <v>1416</v>
      </c>
      <c r="C256" s="426"/>
      <c r="D256" s="427"/>
      <c r="E256" s="425" t="s">
        <v>1417</v>
      </c>
      <c r="F256" s="425" t="s">
        <v>1418</v>
      </c>
      <c r="G256" s="60">
        <v>1</v>
      </c>
      <c r="H256" s="72" t="s">
        <v>74</v>
      </c>
      <c r="L256" s="366" t="s">
        <v>163</v>
      </c>
      <c r="N256" s="366" t="s">
        <v>1419</v>
      </c>
      <c r="P256" s="353" t="s">
        <v>41</v>
      </c>
      <c r="Q256" s="61">
        <v>46058</v>
      </c>
      <c r="R256" s="55" t="s">
        <v>41</v>
      </c>
      <c r="S256" s="354">
        <v>63000</v>
      </c>
      <c r="T256" s="56" t="str">
        <f t="shared" si="23"/>
        <v>0</v>
      </c>
      <c r="U256" s="354">
        <v>63000</v>
      </c>
      <c r="V256" s="56">
        <f t="shared" si="26"/>
        <v>57272.727272727265</v>
      </c>
      <c r="W256" s="65">
        <f>IF(H256=재고내역!$F$9,출고요청서_raw!G256*1,IF(H256=재고내역!$F$10,출고요청서_raw!G256*2,IF(출고요청서_raw!H256=재고내역!$F$11,출고요청서_raw!G256*4,IF(출고요청서_raw!H256=재고내역!$F$12,출고요청서_raw!G256*6,IF(출고요청서_raw!H256=재고내역!$F$13,출고요청서_raw!G256*8)))))</f>
        <v>6</v>
      </c>
      <c r="X256" s="355"/>
      <c r="Y256" s="355"/>
      <c r="Z256" s="56">
        <f>W256*재고내역!$M$6</f>
        <v>46122</v>
      </c>
      <c r="AA256" s="56">
        <f t="shared" si="22"/>
        <v>4550</v>
      </c>
      <c r="AB256" s="56">
        <f t="shared" si="24"/>
        <v>6600.7272727272648</v>
      </c>
      <c r="AC256" s="376">
        <f t="shared" si="25"/>
        <v>0.11525079365079353</v>
      </c>
      <c r="AD256" s="74"/>
      <c r="AE256" s="74"/>
    </row>
    <row r="257" spans="1:31" s="72" customFormat="1" ht="15.75" customHeight="1">
      <c r="A257" s="425" t="s">
        <v>1420</v>
      </c>
      <c r="B257" s="425" t="s">
        <v>1421</v>
      </c>
      <c r="C257" s="426"/>
      <c r="D257" s="427"/>
      <c r="E257" s="425" t="s">
        <v>1422</v>
      </c>
      <c r="F257" s="425" t="s">
        <v>1423</v>
      </c>
      <c r="G257" s="60">
        <v>1</v>
      </c>
      <c r="H257" s="72" t="s">
        <v>74</v>
      </c>
      <c r="L257" s="366" t="s">
        <v>163</v>
      </c>
      <c r="N257" s="366" t="s">
        <v>1424</v>
      </c>
      <c r="P257" s="353" t="s">
        <v>41</v>
      </c>
      <c r="Q257" s="61">
        <v>46058</v>
      </c>
      <c r="R257" s="55" t="s">
        <v>41</v>
      </c>
      <c r="S257" s="354">
        <v>63000</v>
      </c>
      <c r="T257" s="56" t="str">
        <f t="shared" si="23"/>
        <v>0</v>
      </c>
      <c r="U257" s="354">
        <v>63000</v>
      </c>
      <c r="V257" s="56">
        <f t="shared" si="26"/>
        <v>57272.727272727265</v>
      </c>
      <c r="W257" s="65">
        <f>IF(H257=재고내역!$F$9,출고요청서_raw!G257*1,IF(H257=재고내역!$F$10,출고요청서_raw!G257*2,IF(출고요청서_raw!H257=재고내역!$F$11,출고요청서_raw!G257*4,IF(출고요청서_raw!H257=재고내역!$F$12,출고요청서_raw!G257*6,IF(출고요청서_raw!H257=재고내역!$F$13,출고요청서_raw!G257*8)))))</f>
        <v>6</v>
      </c>
      <c r="X257" s="355"/>
      <c r="Y257" s="355"/>
      <c r="Z257" s="56">
        <f>W257*재고내역!$M$6</f>
        <v>46122</v>
      </c>
      <c r="AA257" s="56">
        <f t="shared" si="22"/>
        <v>4550</v>
      </c>
      <c r="AB257" s="56">
        <f t="shared" si="24"/>
        <v>6600.7272727272648</v>
      </c>
      <c r="AC257" s="376">
        <f t="shared" si="25"/>
        <v>0.11525079365079353</v>
      </c>
      <c r="AD257" s="74"/>
      <c r="AE257" s="74"/>
    </row>
    <row r="258" spans="1:31" s="72" customFormat="1" ht="15.75" customHeight="1">
      <c r="A258" s="425" t="s">
        <v>1425</v>
      </c>
      <c r="B258" s="425" t="s">
        <v>1426</v>
      </c>
      <c r="C258" s="426"/>
      <c r="D258" s="427"/>
      <c r="E258" s="425" t="s">
        <v>1427</v>
      </c>
      <c r="F258" s="425" t="s">
        <v>1428</v>
      </c>
      <c r="G258" s="60">
        <v>1</v>
      </c>
      <c r="H258" s="72" t="s">
        <v>74</v>
      </c>
      <c r="L258" s="366" t="s">
        <v>163</v>
      </c>
      <c r="N258" s="366" t="s">
        <v>1429</v>
      </c>
      <c r="P258" s="353" t="s">
        <v>41</v>
      </c>
      <c r="Q258" s="61">
        <v>46058</v>
      </c>
      <c r="R258" s="55" t="s">
        <v>41</v>
      </c>
      <c r="S258" s="354">
        <v>63000</v>
      </c>
      <c r="T258" s="56" t="str">
        <f t="shared" si="23"/>
        <v>0</v>
      </c>
      <c r="U258" s="354">
        <v>63000</v>
      </c>
      <c r="V258" s="56">
        <f t="shared" si="26"/>
        <v>57272.727272727265</v>
      </c>
      <c r="W258" s="65">
        <f>IF(H258=재고내역!$F$9,출고요청서_raw!G258*1,IF(H258=재고내역!$F$10,출고요청서_raw!G258*2,IF(출고요청서_raw!H258=재고내역!$F$11,출고요청서_raw!G258*4,IF(출고요청서_raw!H258=재고내역!$F$12,출고요청서_raw!G258*6,IF(출고요청서_raw!H258=재고내역!$F$13,출고요청서_raw!G258*8)))))</f>
        <v>6</v>
      </c>
      <c r="X258" s="355"/>
      <c r="Y258" s="355"/>
      <c r="Z258" s="56">
        <f>W258*재고내역!$M$6</f>
        <v>46122</v>
      </c>
      <c r="AA258" s="56">
        <f t="shared" si="22"/>
        <v>4550</v>
      </c>
      <c r="AB258" s="56">
        <f t="shared" si="24"/>
        <v>6600.7272727272648</v>
      </c>
      <c r="AC258" s="376">
        <f t="shared" si="25"/>
        <v>0.11525079365079353</v>
      </c>
      <c r="AD258" s="74"/>
      <c r="AE258" s="74"/>
    </row>
    <row r="259" spans="1:31" s="72" customFormat="1" ht="15.75" customHeight="1">
      <c r="A259" s="425" t="s">
        <v>1430</v>
      </c>
      <c r="B259" s="425" t="s">
        <v>1431</v>
      </c>
      <c r="C259" s="426"/>
      <c r="D259" s="427"/>
      <c r="E259" s="425" t="s">
        <v>1432</v>
      </c>
      <c r="F259" s="425" t="s">
        <v>1433</v>
      </c>
      <c r="G259" s="60">
        <v>1</v>
      </c>
      <c r="H259" s="72" t="s">
        <v>74</v>
      </c>
      <c r="L259" s="366" t="s">
        <v>163</v>
      </c>
      <c r="N259" s="366" t="s">
        <v>1434</v>
      </c>
      <c r="P259" s="353" t="s">
        <v>41</v>
      </c>
      <c r="Q259" s="61">
        <v>46058</v>
      </c>
      <c r="R259" s="55" t="s">
        <v>41</v>
      </c>
      <c r="S259" s="354">
        <v>63000</v>
      </c>
      <c r="T259" s="56" t="str">
        <f t="shared" si="23"/>
        <v>0</v>
      </c>
      <c r="U259" s="354">
        <v>63000</v>
      </c>
      <c r="V259" s="56">
        <f t="shared" si="26"/>
        <v>57272.727272727265</v>
      </c>
      <c r="W259" s="65">
        <f>IF(H259=재고내역!$F$9,출고요청서_raw!G259*1,IF(H259=재고내역!$F$10,출고요청서_raw!G259*2,IF(출고요청서_raw!H259=재고내역!$F$11,출고요청서_raw!G259*4,IF(출고요청서_raw!H259=재고내역!$F$12,출고요청서_raw!G259*6,IF(출고요청서_raw!H259=재고내역!$F$13,출고요청서_raw!G259*8)))))</f>
        <v>6</v>
      </c>
      <c r="X259" s="355"/>
      <c r="Y259" s="355"/>
      <c r="Z259" s="56">
        <f>W259*재고내역!$M$6</f>
        <v>46122</v>
      </c>
      <c r="AA259" s="56">
        <f t="shared" si="22"/>
        <v>4550</v>
      </c>
      <c r="AB259" s="56">
        <f t="shared" si="24"/>
        <v>6600.7272727272648</v>
      </c>
      <c r="AC259" s="376">
        <f t="shared" si="25"/>
        <v>0.11525079365079353</v>
      </c>
      <c r="AD259" s="74"/>
      <c r="AE259" s="74"/>
    </row>
    <row r="260" spans="1:31" s="72" customFormat="1" ht="15.75" customHeight="1">
      <c r="A260" s="425" t="s">
        <v>1435</v>
      </c>
      <c r="B260" s="425" t="s">
        <v>1436</v>
      </c>
      <c r="C260" s="426"/>
      <c r="D260" s="427"/>
      <c r="E260" s="425" t="s">
        <v>1437</v>
      </c>
      <c r="F260" s="425" t="s">
        <v>1438</v>
      </c>
      <c r="G260" s="370">
        <v>2</v>
      </c>
      <c r="H260" s="72" t="s">
        <v>74</v>
      </c>
      <c r="L260" s="366" t="s">
        <v>163</v>
      </c>
      <c r="N260" s="366" t="s">
        <v>1439</v>
      </c>
      <c r="P260" s="353" t="s">
        <v>41</v>
      </c>
      <c r="Q260" s="61">
        <v>46058</v>
      </c>
      <c r="R260" s="55" t="s">
        <v>41</v>
      </c>
      <c r="S260" s="354">
        <v>63000</v>
      </c>
      <c r="T260" s="56" t="str">
        <f t="shared" si="23"/>
        <v>0</v>
      </c>
      <c r="U260" s="354">
        <v>126000</v>
      </c>
      <c r="V260" s="56">
        <f t="shared" si="26"/>
        <v>114545.45454545453</v>
      </c>
      <c r="W260" s="65">
        <f>IF(H260=재고내역!$F$9,출고요청서_raw!G260*1,IF(H260=재고내역!$F$10,출고요청서_raw!G260*2,IF(출고요청서_raw!H260=재고내역!$F$11,출고요청서_raw!G260*4,IF(출고요청서_raw!H260=재고내역!$F$12,출고요청서_raw!G260*6,IF(출고요청서_raw!H260=재고내역!$F$13,출고요청서_raw!G260*8)))))</f>
        <v>12</v>
      </c>
      <c r="X260" s="355"/>
      <c r="Y260" s="355"/>
      <c r="Z260" s="56">
        <f>W260*재고내역!$M$6</f>
        <v>92244</v>
      </c>
      <c r="AA260" s="56">
        <f t="shared" si="22"/>
        <v>9100</v>
      </c>
      <c r="AB260" s="56">
        <f t="shared" si="24"/>
        <v>13201.45454545453</v>
      </c>
      <c r="AC260" s="376">
        <f t="shared" si="25"/>
        <v>0.11525079365079353</v>
      </c>
      <c r="AD260" s="74"/>
      <c r="AE260" s="74"/>
    </row>
    <row r="261" spans="1:31" s="72" customFormat="1" ht="15.75" customHeight="1">
      <c r="A261" s="425" t="s">
        <v>1440</v>
      </c>
      <c r="B261" s="425" t="s">
        <v>1441</v>
      </c>
      <c r="C261" s="426"/>
      <c r="D261" s="427"/>
      <c r="E261" s="425" t="s">
        <v>1442</v>
      </c>
      <c r="F261" s="425" t="s">
        <v>1443</v>
      </c>
      <c r="G261" s="370">
        <v>2</v>
      </c>
      <c r="H261" s="72" t="s">
        <v>74</v>
      </c>
      <c r="L261" s="366" t="s">
        <v>163</v>
      </c>
      <c r="N261" s="366" t="s">
        <v>1444</v>
      </c>
      <c r="P261" s="353" t="s">
        <v>41</v>
      </c>
      <c r="Q261" s="61">
        <v>46058</v>
      </c>
      <c r="R261" s="55" t="s">
        <v>41</v>
      </c>
      <c r="S261" s="354">
        <v>63000</v>
      </c>
      <c r="T261" s="56" t="str">
        <f t="shared" si="23"/>
        <v>0</v>
      </c>
      <c r="U261" s="354">
        <v>126000</v>
      </c>
      <c r="V261" s="56">
        <f t="shared" si="26"/>
        <v>114545.45454545453</v>
      </c>
      <c r="W261" s="65">
        <f>IF(H261=재고내역!$F$9,출고요청서_raw!G261*1,IF(H261=재고내역!$F$10,출고요청서_raw!G261*2,IF(출고요청서_raw!H261=재고내역!$F$11,출고요청서_raw!G261*4,IF(출고요청서_raw!H261=재고내역!$F$12,출고요청서_raw!G261*6,IF(출고요청서_raw!H261=재고내역!$F$13,출고요청서_raw!G261*8)))))</f>
        <v>12</v>
      </c>
      <c r="X261" s="355"/>
      <c r="Y261" s="355"/>
      <c r="Z261" s="56">
        <f>W261*재고내역!$M$6</f>
        <v>92244</v>
      </c>
      <c r="AA261" s="56">
        <f t="shared" ref="AA261:AA279" si="27">IF(W261&gt;8,4550*2,4550)</f>
        <v>9100</v>
      </c>
      <c r="AB261" s="56">
        <f t="shared" si="24"/>
        <v>13201.45454545453</v>
      </c>
      <c r="AC261" s="376">
        <f t="shared" si="25"/>
        <v>0.11525079365079353</v>
      </c>
      <c r="AD261" s="74"/>
      <c r="AE261" s="74"/>
    </row>
    <row r="262" spans="1:31" s="72" customFormat="1" ht="15.75" customHeight="1">
      <c r="A262" s="425" t="s">
        <v>1445</v>
      </c>
      <c r="B262" s="425" t="s">
        <v>1446</v>
      </c>
      <c r="C262" s="426"/>
      <c r="D262" s="427"/>
      <c r="E262" s="425" t="s">
        <v>1447</v>
      </c>
      <c r="F262" s="425" t="s">
        <v>1448</v>
      </c>
      <c r="G262" s="60">
        <v>1</v>
      </c>
      <c r="H262" s="72" t="s">
        <v>74</v>
      </c>
      <c r="L262" s="366" t="s">
        <v>163</v>
      </c>
      <c r="N262" s="366" t="s">
        <v>1449</v>
      </c>
      <c r="P262" s="353" t="s">
        <v>41</v>
      </c>
      <c r="Q262" s="61">
        <v>46058</v>
      </c>
      <c r="R262" s="55" t="s">
        <v>41</v>
      </c>
      <c r="S262" s="354">
        <v>63000</v>
      </c>
      <c r="T262" s="56" t="str">
        <f t="shared" ref="T262:T325" si="28">IF(R262="쿠팡",VLOOKUP(H262,$AF$7:$AG$10,2,0)*G262,"0")</f>
        <v>0</v>
      </c>
      <c r="U262" s="354">
        <v>63000</v>
      </c>
      <c r="V262" s="56">
        <f t="shared" si="26"/>
        <v>57272.727272727265</v>
      </c>
      <c r="W262" s="65">
        <f>IF(H262=재고내역!$F$9,출고요청서_raw!G262*1,IF(H262=재고내역!$F$10,출고요청서_raw!G262*2,IF(출고요청서_raw!H262=재고내역!$F$11,출고요청서_raw!G262*4,IF(출고요청서_raw!H262=재고내역!$F$12,출고요청서_raw!G262*6,IF(출고요청서_raw!H262=재고내역!$F$13,출고요청서_raw!G262*8)))))</f>
        <v>6</v>
      </c>
      <c r="X262" s="355"/>
      <c r="Y262" s="355"/>
      <c r="Z262" s="56">
        <f>W262*재고내역!$M$6</f>
        <v>46122</v>
      </c>
      <c r="AA262" s="56">
        <f t="shared" si="27"/>
        <v>4550</v>
      </c>
      <c r="AB262" s="56">
        <f t="shared" ref="AB262:AB325" si="29">V262-Z262-AA262-Y262</f>
        <v>6600.7272727272648</v>
      </c>
      <c r="AC262" s="376">
        <f t="shared" ref="AC262:AC325" si="30">AB262/V262</f>
        <v>0.11525079365079353</v>
      </c>
      <c r="AD262" s="74"/>
      <c r="AE262" s="74"/>
    </row>
    <row r="263" spans="1:31" s="72" customFormat="1" ht="15.75" customHeight="1">
      <c r="A263" s="425" t="s">
        <v>1450</v>
      </c>
      <c r="B263" s="425" t="s">
        <v>1451</v>
      </c>
      <c r="C263" s="426"/>
      <c r="D263" s="427"/>
      <c r="E263" s="425" t="s">
        <v>1452</v>
      </c>
      <c r="F263" s="425" t="s">
        <v>1453</v>
      </c>
      <c r="G263" s="60">
        <v>1</v>
      </c>
      <c r="H263" s="72" t="s">
        <v>74</v>
      </c>
      <c r="L263" s="366" t="s">
        <v>163</v>
      </c>
      <c r="N263" s="366" t="s">
        <v>1454</v>
      </c>
      <c r="P263" s="353" t="s">
        <v>41</v>
      </c>
      <c r="Q263" s="61">
        <v>46058</v>
      </c>
      <c r="R263" s="55" t="s">
        <v>41</v>
      </c>
      <c r="S263" s="354">
        <v>63000</v>
      </c>
      <c r="T263" s="56" t="str">
        <f t="shared" si="28"/>
        <v>0</v>
      </c>
      <c r="U263" s="354">
        <v>63000</v>
      </c>
      <c r="V263" s="56">
        <f t="shared" si="26"/>
        <v>57272.727272727265</v>
      </c>
      <c r="W263" s="65">
        <f>IF(H263=재고내역!$F$9,출고요청서_raw!G263*1,IF(H263=재고내역!$F$10,출고요청서_raw!G263*2,IF(출고요청서_raw!H263=재고내역!$F$11,출고요청서_raw!G263*4,IF(출고요청서_raw!H263=재고내역!$F$12,출고요청서_raw!G263*6,IF(출고요청서_raw!H263=재고내역!$F$13,출고요청서_raw!G263*8)))))</f>
        <v>6</v>
      </c>
      <c r="X263" s="355"/>
      <c r="Y263" s="355"/>
      <c r="Z263" s="56">
        <f>W263*재고내역!$M$6</f>
        <v>46122</v>
      </c>
      <c r="AA263" s="56">
        <f t="shared" si="27"/>
        <v>4550</v>
      </c>
      <c r="AB263" s="56">
        <f t="shared" si="29"/>
        <v>6600.7272727272648</v>
      </c>
      <c r="AC263" s="376">
        <f t="shared" si="30"/>
        <v>0.11525079365079353</v>
      </c>
      <c r="AD263" s="74"/>
      <c r="AE263" s="74"/>
    </row>
    <row r="264" spans="1:31" s="72" customFormat="1" ht="15.75" customHeight="1">
      <c r="A264" s="425" t="s">
        <v>1455</v>
      </c>
      <c r="B264" s="425" t="s">
        <v>1456</v>
      </c>
      <c r="C264" s="426"/>
      <c r="D264" s="427"/>
      <c r="E264" s="425" t="s">
        <v>1457</v>
      </c>
      <c r="F264" s="425" t="s">
        <v>1458</v>
      </c>
      <c r="G264" s="60">
        <v>1</v>
      </c>
      <c r="H264" s="72" t="s">
        <v>74</v>
      </c>
      <c r="L264" s="366" t="s">
        <v>163</v>
      </c>
      <c r="N264" s="366" t="s">
        <v>1459</v>
      </c>
      <c r="P264" s="353" t="s">
        <v>41</v>
      </c>
      <c r="Q264" s="61">
        <v>46058</v>
      </c>
      <c r="R264" s="55" t="s">
        <v>41</v>
      </c>
      <c r="S264" s="354">
        <v>63000</v>
      </c>
      <c r="T264" s="56" t="str">
        <f t="shared" si="28"/>
        <v>0</v>
      </c>
      <c r="U264" s="354">
        <v>63000</v>
      </c>
      <c r="V264" s="56">
        <f t="shared" si="26"/>
        <v>57272.727272727265</v>
      </c>
      <c r="W264" s="65">
        <f>IF(H264=재고내역!$F$9,출고요청서_raw!G264*1,IF(H264=재고내역!$F$10,출고요청서_raw!G264*2,IF(출고요청서_raw!H264=재고내역!$F$11,출고요청서_raw!G264*4,IF(출고요청서_raw!H264=재고내역!$F$12,출고요청서_raw!G264*6,IF(출고요청서_raw!H264=재고내역!$F$13,출고요청서_raw!G264*8)))))</f>
        <v>6</v>
      </c>
      <c r="X264" s="355"/>
      <c r="Y264" s="355"/>
      <c r="Z264" s="56">
        <f>W264*재고내역!$M$6</f>
        <v>46122</v>
      </c>
      <c r="AA264" s="56">
        <f t="shared" si="27"/>
        <v>4550</v>
      </c>
      <c r="AB264" s="56">
        <f t="shared" si="29"/>
        <v>6600.7272727272648</v>
      </c>
      <c r="AC264" s="376">
        <f t="shared" si="30"/>
        <v>0.11525079365079353</v>
      </c>
      <c r="AD264" s="74"/>
      <c r="AE264" s="74"/>
    </row>
    <row r="265" spans="1:31" s="72" customFormat="1" ht="15.75" customHeight="1">
      <c r="A265" s="425" t="s">
        <v>1460</v>
      </c>
      <c r="B265" s="425" t="s">
        <v>1461</v>
      </c>
      <c r="C265" s="426"/>
      <c r="D265" s="427"/>
      <c r="E265" s="425" t="s">
        <v>1462</v>
      </c>
      <c r="F265" s="425" t="s">
        <v>1463</v>
      </c>
      <c r="G265" s="60">
        <v>1</v>
      </c>
      <c r="H265" s="72" t="s">
        <v>74</v>
      </c>
      <c r="L265" s="366" t="s">
        <v>163</v>
      </c>
      <c r="N265" s="366" t="s">
        <v>1464</v>
      </c>
      <c r="P265" s="353" t="s">
        <v>41</v>
      </c>
      <c r="Q265" s="61">
        <v>46058</v>
      </c>
      <c r="R265" s="55" t="s">
        <v>41</v>
      </c>
      <c r="S265" s="354">
        <v>63000</v>
      </c>
      <c r="T265" s="56" t="str">
        <f t="shared" si="28"/>
        <v>0</v>
      </c>
      <c r="U265" s="354">
        <v>63000</v>
      </c>
      <c r="V265" s="56">
        <f t="shared" si="26"/>
        <v>57272.727272727265</v>
      </c>
      <c r="W265" s="65">
        <f>IF(H265=재고내역!$F$9,출고요청서_raw!G265*1,IF(H265=재고내역!$F$10,출고요청서_raw!G265*2,IF(출고요청서_raw!H265=재고내역!$F$11,출고요청서_raw!G265*4,IF(출고요청서_raw!H265=재고내역!$F$12,출고요청서_raw!G265*6,IF(출고요청서_raw!H265=재고내역!$F$13,출고요청서_raw!G265*8)))))</f>
        <v>6</v>
      </c>
      <c r="X265" s="355"/>
      <c r="Y265" s="355"/>
      <c r="Z265" s="56">
        <f>W265*재고내역!$M$6</f>
        <v>46122</v>
      </c>
      <c r="AA265" s="56">
        <f t="shared" si="27"/>
        <v>4550</v>
      </c>
      <c r="AB265" s="56">
        <f t="shared" si="29"/>
        <v>6600.7272727272648</v>
      </c>
      <c r="AC265" s="376">
        <f t="shared" si="30"/>
        <v>0.11525079365079353</v>
      </c>
      <c r="AD265" s="74"/>
      <c r="AE265" s="74"/>
    </row>
    <row r="266" spans="1:31" s="72" customFormat="1" ht="15.75" customHeight="1">
      <c r="A266" s="425" t="s">
        <v>1465</v>
      </c>
      <c r="B266" s="425" t="s">
        <v>1466</v>
      </c>
      <c r="C266" s="426"/>
      <c r="D266" s="427"/>
      <c r="E266" s="425" t="s">
        <v>1467</v>
      </c>
      <c r="F266" s="425" t="s">
        <v>1468</v>
      </c>
      <c r="G266" s="60">
        <v>1</v>
      </c>
      <c r="H266" s="72" t="s">
        <v>74</v>
      </c>
      <c r="L266" s="366" t="s">
        <v>163</v>
      </c>
      <c r="N266" s="366" t="s">
        <v>1469</v>
      </c>
      <c r="P266" s="353" t="s">
        <v>41</v>
      </c>
      <c r="Q266" s="61">
        <v>46058</v>
      </c>
      <c r="R266" s="55" t="s">
        <v>41</v>
      </c>
      <c r="S266" s="354">
        <v>63000</v>
      </c>
      <c r="T266" s="56" t="str">
        <f t="shared" si="28"/>
        <v>0</v>
      </c>
      <c r="U266" s="354">
        <v>63000</v>
      </c>
      <c r="V266" s="56">
        <f t="shared" si="26"/>
        <v>57272.727272727265</v>
      </c>
      <c r="W266" s="65">
        <f>IF(H266=재고내역!$F$9,출고요청서_raw!G266*1,IF(H266=재고내역!$F$10,출고요청서_raw!G266*2,IF(출고요청서_raw!H266=재고내역!$F$11,출고요청서_raw!G266*4,IF(출고요청서_raw!H266=재고내역!$F$12,출고요청서_raw!G266*6,IF(출고요청서_raw!H266=재고내역!$F$13,출고요청서_raw!G266*8)))))</f>
        <v>6</v>
      </c>
      <c r="X266" s="355"/>
      <c r="Y266" s="355"/>
      <c r="Z266" s="56">
        <f>W266*재고내역!$M$6</f>
        <v>46122</v>
      </c>
      <c r="AA266" s="56">
        <f t="shared" si="27"/>
        <v>4550</v>
      </c>
      <c r="AB266" s="56">
        <f t="shared" si="29"/>
        <v>6600.7272727272648</v>
      </c>
      <c r="AC266" s="376">
        <f t="shared" si="30"/>
        <v>0.11525079365079353</v>
      </c>
      <c r="AD266" s="74"/>
      <c r="AE266" s="74"/>
    </row>
    <row r="267" spans="1:31" s="72" customFormat="1" ht="15.75" customHeight="1">
      <c r="A267" s="425" t="s">
        <v>1470</v>
      </c>
      <c r="B267" s="425" t="s">
        <v>1471</v>
      </c>
      <c r="C267" s="426"/>
      <c r="D267" s="427"/>
      <c r="E267" s="425" t="s">
        <v>1472</v>
      </c>
      <c r="F267" s="425" t="s">
        <v>1473</v>
      </c>
      <c r="G267" s="60">
        <v>1</v>
      </c>
      <c r="H267" s="72" t="s">
        <v>74</v>
      </c>
      <c r="L267" s="366" t="s">
        <v>163</v>
      </c>
      <c r="N267" s="366" t="s">
        <v>1474</v>
      </c>
      <c r="P267" s="353" t="s">
        <v>41</v>
      </c>
      <c r="Q267" s="61">
        <v>46058</v>
      </c>
      <c r="R267" s="55" t="s">
        <v>41</v>
      </c>
      <c r="S267" s="354">
        <v>63000</v>
      </c>
      <c r="T267" s="56" t="str">
        <f t="shared" si="28"/>
        <v>0</v>
      </c>
      <c r="U267" s="354">
        <v>63000</v>
      </c>
      <c r="V267" s="56">
        <f t="shared" si="26"/>
        <v>57272.727272727265</v>
      </c>
      <c r="W267" s="65">
        <f>IF(H267=재고내역!$F$9,출고요청서_raw!G267*1,IF(H267=재고내역!$F$10,출고요청서_raw!G267*2,IF(출고요청서_raw!H267=재고내역!$F$11,출고요청서_raw!G267*4,IF(출고요청서_raw!H267=재고내역!$F$12,출고요청서_raw!G267*6,IF(출고요청서_raw!H267=재고내역!$F$13,출고요청서_raw!G267*8)))))</f>
        <v>6</v>
      </c>
      <c r="X267" s="355"/>
      <c r="Y267" s="355"/>
      <c r="Z267" s="56">
        <f>W267*재고내역!$M$6</f>
        <v>46122</v>
      </c>
      <c r="AA267" s="56">
        <f t="shared" si="27"/>
        <v>4550</v>
      </c>
      <c r="AB267" s="56">
        <f t="shared" si="29"/>
        <v>6600.7272727272648</v>
      </c>
      <c r="AC267" s="376">
        <f t="shared" si="30"/>
        <v>0.11525079365079353</v>
      </c>
      <c r="AD267" s="74"/>
      <c r="AE267" s="74"/>
    </row>
    <row r="268" spans="1:31" s="72" customFormat="1" ht="15.75" customHeight="1">
      <c r="A268" s="425" t="s">
        <v>1475</v>
      </c>
      <c r="B268" s="425" t="s">
        <v>1476</v>
      </c>
      <c r="C268" s="426"/>
      <c r="D268" s="427"/>
      <c r="E268" s="425" t="s">
        <v>1477</v>
      </c>
      <c r="F268" s="425" t="s">
        <v>1478</v>
      </c>
      <c r="G268" s="60">
        <v>1</v>
      </c>
      <c r="H268" s="72" t="s">
        <v>74</v>
      </c>
      <c r="L268" s="366" t="s">
        <v>163</v>
      </c>
      <c r="N268" s="366" t="s">
        <v>1479</v>
      </c>
      <c r="P268" s="353" t="s">
        <v>41</v>
      </c>
      <c r="Q268" s="61">
        <v>46058</v>
      </c>
      <c r="R268" s="55" t="s">
        <v>41</v>
      </c>
      <c r="S268" s="354">
        <v>63000</v>
      </c>
      <c r="T268" s="56" t="str">
        <f t="shared" si="28"/>
        <v>0</v>
      </c>
      <c r="U268" s="354">
        <v>63000</v>
      </c>
      <c r="V268" s="56">
        <f t="shared" ref="V268:V269" si="31">U268/1.1</f>
        <v>57272.727272727265</v>
      </c>
      <c r="W268" s="65">
        <f>IF(H268=재고내역!$F$9,출고요청서_raw!G268*1,IF(H268=재고내역!$F$10,출고요청서_raw!G268*2,IF(출고요청서_raw!H268=재고내역!$F$11,출고요청서_raw!G268*4,IF(출고요청서_raw!H268=재고내역!$F$12,출고요청서_raw!G268*6,IF(출고요청서_raw!H268=재고내역!$F$13,출고요청서_raw!G268*8)))))</f>
        <v>6</v>
      </c>
      <c r="X268" s="355"/>
      <c r="Y268" s="355"/>
      <c r="Z268" s="56">
        <f>W268*재고내역!$M$6</f>
        <v>46122</v>
      </c>
      <c r="AA268" s="56">
        <f t="shared" si="27"/>
        <v>4550</v>
      </c>
      <c r="AB268" s="56">
        <f t="shared" si="29"/>
        <v>6600.7272727272648</v>
      </c>
      <c r="AC268" s="376">
        <f t="shared" si="30"/>
        <v>0.11525079365079353</v>
      </c>
      <c r="AD268" s="74"/>
      <c r="AE268" s="74"/>
    </row>
    <row r="269" spans="1:31" s="72" customFormat="1" ht="15.75" customHeight="1">
      <c r="A269" s="425" t="s">
        <v>1480</v>
      </c>
      <c r="B269" s="425" t="s">
        <v>1481</v>
      </c>
      <c r="C269" s="426"/>
      <c r="D269" s="427"/>
      <c r="E269" s="425" t="s">
        <v>1482</v>
      </c>
      <c r="F269" s="425" t="s">
        <v>1483</v>
      </c>
      <c r="G269" s="60">
        <v>1</v>
      </c>
      <c r="H269" s="72" t="s">
        <v>74</v>
      </c>
      <c r="L269" s="366" t="s">
        <v>163</v>
      </c>
      <c r="N269" s="366" t="s">
        <v>1484</v>
      </c>
      <c r="P269" s="353" t="s">
        <v>41</v>
      </c>
      <c r="Q269" s="61">
        <v>46058</v>
      </c>
      <c r="R269" s="55" t="s">
        <v>41</v>
      </c>
      <c r="S269" s="354">
        <v>63000</v>
      </c>
      <c r="T269" s="56" t="str">
        <f t="shared" si="28"/>
        <v>0</v>
      </c>
      <c r="U269" s="354">
        <v>63000</v>
      </c>
      <c r="V269" s="56">
        <f t="shared" si="31"/>
        <v>57272.727272727265</v>
      </c>
      <c r="W269" s="65">
        <f>IF(H269=재고내역!$F$9,출고요청서_raw!G269*1,IF(H269=재고내역!$F$10,출고요청서_raw!G269*2,IF(출고요청서_raw!H269=재고내역!$F$11,출고요청서_raw!G269*4,IF(출고요청서_raw!H269=재고내역!$F$12,출고요청서_raw!G269*6,IF(출고요청서_raw!H269=재고내역!$F$13,출고요청서_raw!G269*8)))))</f>
        <v>6</v>
      </c>
      <c r="X269" s="355"/>
      <c r="Y269" s="355"/>
      <c r="Z269" s="56">
        <f>W269*재고내역!$M$6</f>
        <v>46122</v>
      </c>
      <c r="AA269" s="56">
        <f t="shared" si="27"/>
        <v>4550</v>
      </c>
      <c r="AB269" s="56">
        <f t="shared" si="29"/>
        <v>6600.7272727272648</v>
      </c>
      <c r="AC269" s="376">
        <f t="shared" si="30"/>
        <v>0.11525079365079353</v>
      </c>
      <c r="AD269" s="74"/>
      <c r="AE269" s="74"/>
    </row>
    <row r="270" spans="1:31" ht="15.75" customHeight="1">
      <c r="A270" s="55" t="s">
        <v>1485</v>
      </c>
      <c r="B270" s="418" t="s">
        <v>1486</v>
      </c>
      <c r="F270" s="55" t="s">
        <v>1487</v>
      </c>
      <c r="G270" s="60">
        <v>1</v>
      </c>
      <c r="H270" s="72" t="s">
        <v>75</v>
      </c>
      <c r="P270" s="57" t="s">
        <v>11</v>
      </c>
      <c r="Q270" s="61">
        <v>46058</v>
      </c>
      <c r="R270" s="55" t="s">
        <v>11</v>
      </c>
      <c r="S270" s="56">
        <v>89000</v>
      </c>
      <c r="T270" s="56" t="str">
        <f t="shared" si="28"/>
        <v>0</v>
      </c>
      <c r="U270" s="456">
        <f t="shared" ref="U270:U282" si="32">S270</f>
        <v>89000</v>
      </c>
      <c r="V270" s="56">
        <f t="shared" ref="V270:V284" si="33">U270/1.1</f>
        <v>80909.090909090897</v>
      </c>
      <c r="W270" s="65">
        <f>IF(H270=재고내역!$F$9,출고요청서_raw!G270*1,IF(H270=재고내역!$F$10,출고요청서_raw!G270*2,IF(출고요청서_raw!H270=재고내역!$F$11,출고요청서_raw!G270*4,IF(출고요청서_raw!H270=재고내역!$F$12,출고요청서_raw!G270*6,IF(출고요청서_raw!H270=재고내역!$F$13,출고요청서_raw!G270*8)))))</f>
        <v>8</v>
      </c>
      <c r="X270" s="53"/>
      <c r="Y270" s="53"/>
      <c r="Z270" s="56">
        <f>W270*재고내역!$M$6</f>
        <v>61496</v>
      </c>
      <c r="AA270" s="56">
        <f t="shared" si="27"/>
        <v>4550</v>
      </c>
      <c r="AB270" s="56">
        <f t="shared" si="29"/>
        <v>14863.090909090897</v>
      </c>
      <c r="AC270" s="376">
        <f t="shared" si="30"/>
        <v>0.1837011235955055</v>
      </c>
    </row>
    <row r="271" spans="1:31" ht="15.75" customHeight="1">
      <c r="A271" s="55" t="s">
        <v>1485</v>
      </c>
      <c r="B271" s="418" t="s">
        <v>1488</v>
      </c>
      <c r="F271" s="55" t="s">
        <v>1489</v>
      </c>
      <c r="G271" s="60">
        <v>1</v>
      </c>
      <c r="H271" s="72" t="s">
        <v>75</v>
      </c>
      <c r="P271" s="57" t="s">
        <v>11</v>
      </c>
      <c r="Q271" s="61">
        <v>46058</v>
      </c>
      <c r="R271" s="55" t="s">
        <v>11</v>
      </c>
      <c r="S271" s="56">
        <v>89000</v>
      </c>
      <c r="T271" s="56" t="str">
        <f t="shared" si="28"/>
        <v>0</v>
      </c>
      <c r="U271" s="456">
        <f t="shared" si="32"/>
        <v>89000</v>
      </c>
      <c r="V271" s="56">
        <f t="shared" si="33"/>
        <v>80909.090909090897</v>
      </c>
      <c r="W271" s="65">
        <f>IF(H271=재고내역!$F$9,출고요청서_raw!G271*1,IF(H271=재고내역!$F$10,출고요청서_raw!G271*2,IF(출고요청서_raw!H271=재고내역!$F$11,출고요청서_raw!G271*4,IF(출고요청서_raw!H271=재고내역!$F$12,출고요청서_raw!G271*6,IF(출고요청서_raw!H271=재고내역!$F$13,출고요청서_raw!G271*8)))))</f>
        <v>8</v>
      </c>
      <c r="X271" s="53"/>
      <c r="Y271" s="53"/>
      <c r="Z271" s="56">
        <f>W271*재고내역!$M$6</f>
        <v>61496</v>
      </c>
      <c r="AA271" s="56">
        <f t="shared" si="27"/>
        <v>4550</v>
      </c>
      <c r="AB271" s="56">
        <f t="shared" si="29"/>
        <v>14863.090909090897</v>
      </c>
      <c r="AC271" s="376">
        <f t="shared" si="30"/>
        <v>0.1837011235955055</v>
      </c>
    </row>
    <row r="272" spans="1:31" ht="15.75" customHeight="1">
      <c r="A272" s="55" t="s">
        <v>1485</v>
      </c>
      <c r="B272" s="418" t="s">
        <v>1488</v>
      </c>
      <c r="F272" s="55" t="s">
        <v>1490</v>
      </c>
      <c r="G272" s="60">
        <v>1</v>
      </c>
      <c r="H272" s="72" t="s">
        <v>75</v>
      </c>
      <c r="P272" s="57" t="s">
        <v>11</v>
      </c>
      <c r="Q272" s="61">
        <v>46058</v>
      </c>
      <c r="R272" s="55" t="s">
        <v>11</v>
      </c>
      <c r="S272" s="56">
        <v>89000</v>
      </c>
      <c r="T272" s="56" t="str">
        <f t="shared" si="28"/>
        <v>0</v>
      </c>
      <c r="U272" s="456">
        <f t="shared" si="32"/>
        <v>89000</v>
      </c>
      <c r="V272" s="56">
        <f t="shared" si="33"/>
        <v>80909.090909090897</v>
      </c>
      <c r="W272" s="65">
        <f>IF(H272=재고내역!$F$9,출고요청서_raw!G272*1,IF(H272=재고내역!$F$10,출고요청서_raw!G272*2,IF(출고요청서_raw!H272=재고내역!$F$11,출고요청서_raw!G272*4,IF(출고요청서_raw!H272=재고내역!$F$12,출고요청서_raw!G272*6,IF(출고요청서_raw!H272=재고내역!$F$13,출고요청서_raw!G272*8)))))</f>
        <v>8</v>
      </c>
      <c r="X272" s="53"/>
      <c r="Y272" s="53"/>
      <c r="Z272" s="56">
        <f>W272*재고내역!$M$6</f>
        <v>61496</v>
      </c>
      <c r="AA272" s="56">
        <f t="shared" si="27"/>
        <v>4550</v>
      </c>
      <c r="AB272" s="56">
        <f t="shared" si="29"/>
        <v>14863.090909090897</v>
      </c>
      <c r="AC272" s="376">
        <f t="shared" si="30"/>
        <v>0.1837011235955055</v>
      </c>
    </row>
    <row r="273" spans="1:31" ht="15.75" customHeight="1">
      <c r="A273" s="55" t="s">
        <v>1485</v>
      </c>
      <c r="B273" s="418" t="s">
        <v>1488</v>
      </c>
      <c r="F273" s="55" t="s">
        <v>1491</v>
      </c>
      <c r="G273" s="60">
        <v>1</v>
      </c>
      <c r="H273" s="72" t="s">
        <v>75</v>
      </c>
      <c r="P273" s="57" t="s">
        <v>11</v>
      </c>
      <c r="Q273" s="61">
        <v>46058</v>
      </c>
      <c r="R273" s="55" t="s">
        <v>11</v>
      </c>
      <c r="S273" s="56">
        <v>89000</v>
      </c>
      <c r="T273" s="56" t="str">
        <f t="shared" si="28"/>
        <v>0</v>
      </c>
      <c r="U273" s="456">
        <f t="shared" si="32"/>
        <v>89000</v>
      </c>
      <c r="V273" s="56">
        <f t="shared" si="33"/>
        <v>80909.090909090897</v>
      </c>
      <c r="W273" s="65">
        <f>IF(H273=재고내역!$F$9,출고요청서_raw!G273*1,IF(H273=재고내역!$F$10,출고요청서_raw!G273*2,IF(출고요청서_raw!H273=재고내역!$F$11,출고요청서_raw!G273*4,IF(출고요청서_raw!H273=재고내역!$F$12,출고요청서_raw!G273*6,IF(출고요청서_raw!H273=재고내역!$F$13,출고요청서_raw!G273*8)))))</f>
        <v>8</v>
      </c>
      <c r="X273" s="53"/>
      <c r="Y273" s="53"/>
      <c r="Z273" s="56">
        <f>W273*재고내역!$M$6</f>
        <v>61496</v>
      </c>
      <c r="AA273" s="56">
        <f t="shared" si="27"/>
        <v>4550</v>
      </c>
      <c r="AB273" s="56">
        <f t="shared" si="29"/>
        <v>14863.090909090897</v>
      </c>
      <c r="AC273" s="376">
        <f t="shared" si="30"/>
        <v>0.1837011235955055</v>
      </c>
    </row>
    <row r="274" spans="1:31" ht="15.75" customHeight="1">
      <c r="A274" s="55" t="s">
        <v>1492</v>
      </c>
      <c r="B274" s="418" t="s">
        <v>1493</v>
      </c>
      <c r="F274" s="55" t="s">
        <v>1494</v>
      </c>
      <c r="G274" s="60">
        <v>1</v>
      </c>
      <c r="H274" s="72" t="s">
        <v>75</v>
      </c>
      <c r="P274" s="57" t="s">
        <v>11</v>
      </c>
      <c r="Q274" s="61">
        <v>46058</v>
      </c>
      <c r="R274" s="55" t="s">
        <v>11</v>
      </c>
      <c r="S274" s="56">
        <v>89000</v>
      </c>
      <c r="T274" s="56" t="str">
        <f t="shared" si="28"/>
        <v>0</v>
      </c>
      <c r="U274" s="456">
        <f t="shared" si="32"/>
        <v>89000</v>
      </c>
      <c r="V274" s="56">
        <f t="shared" si="33"/>
        <v>80909.090909090897</v>
      </c>
      <c r="W274" s="65">
        <f>IF(H274=재고내역!$F$9,출고요청서_raw!G274*1,IF(H274=재고내역!$F$10,출고요청서_raw!G274*2,IF(출고요청서_raw!H274=재고내역!$F$11,출고요청서_raw!G274*4,IF(출고요청서_raw!H274=재고내역!$F$12,출고요청서_raw!G274*6,IF(출고요청서_raw!H274=재고내역!$F$13,출고요청서_raw!G274*8)))))</f>
        <v>8</v>
      </c>
      <c r="X274" s="53"/>
      <c r="Y274" s="53"/>
      <c r="Z274" s="56">
        <f>W274*재고내역!$M$6</f>
        <v>61496</v>
      </c>
      <c r="AA274" s="56">
        <f t="shared" si="27"/>
        <v>4550</v>
      </c>
      <c r="AB274" s="56">
        <f t="shared" si="29"/>
        <v>14863.090909090897</v>
      </c>
      <c r="AC274" s="376">
        <f t="shared" si="30"/>
        <v>0.1837011235955055</v>
      </c>
    </row>
    <row r="275" spans="1:31" ht="15.75" customHeight="1">
      <c r="A275" s="55" t="s">
        <v>1495</v>
      </c>
      <c r="B275" s="418" t="s">
        <v>1496</v>
      </c>
      <c r="F275" s="55" t="s">
        <v>1497</v>
      </c>
      <c r="G275" s="60">
        <v>2</v>
      </c>
      <c r="H275" s="72" t="s">
        <v>75</v>
      </c>
      <c r="P275" s="57" t="s">
        <v>11</v>
      </c>
      <c r="Q275" s="61">
        <v>46058</v>
      </c>
      <c r="R275" s="55" t="s">
        <v>11</v>
      </c>
      <c r="S275" s="56">
        <f>89000*2</f>
        <v>178000</v>
      </c>
      <c r="T275" s="56" t="str">
        <f t="shared" si="28"/>
        <v>0</v>
      </c>
      <c r="U275" s="456">
        <f t="shared" si="32"/>
        <v>178000</v>
      </c>
      <c r="V275" s="56">
        <f t="shared" si="33"/>
        <v>161818.18181818179</v>
      </c>
      <c r="W275" s="65">
        <f>IF(H275=재고내역!$F$9,출고요청서_raw!G275*1,IF(H275=재고내역!$F$10,출고요청서_raw!G275*2,IF(출고요청서_raw!H275=재고내역!$F$11,출고요청서_raw!G275*4,IF(출고요청서_raw!H275=재고내역!$F$12,출고요청서_raw!G275*6,IF(출고요청서_raw!H275=재고내역!$F$13,출고요청서_raw!G275*8)))))</f>
        <v>16</v>
      </c>
      <c r="X275" s="53"/>
      <c r="Y275" s="53"/>
      <c r="Z275" s="56">
        <f>W275*재고내역!$M$6</f>
        <v>122992</v>
      </c>
      <c r="AA275" s="56">
        <f>IF(W275&gt;8,4550*2,4550)</f>
        <v>9100</v>
      </c>
      <c r="AB275" s="56">
        <f t="shared" si="29"/>
        <v>29726.181818181794</v>
      </c>
      <c r="AC275" s="376">
        <f t="shared" si="30"/>
        <v>0.1837011235955055</v>
      </c>
    </row>
    <row r="276" spans="1:31" ht="15.75" customHeight="1">
      <c r="A276" s="55" t="s">
        <v>1498</v>
      </c>
      <c r="B276" s="418" t="s">
        <v>1499</v>
      </c>
      <c r="E276" s="418" t="s">
        <v>1500</v>
      </c>
      <c r="F276" s="55" t="s">
        <v>1501</v>
      </c>
      <c r="G276" s="60">
        <v>1</v>
      </c>
      <c r="H276" s="82" t="s">
        <v>75</v>
      </c>
      <c r="P276" s="57" t="s">
        <v>11</v>
      </c>
      <c r="Q276" s="61">
        <v>46059</v>
      </c>
      <c r="R276" s="55" t="s">
        <v>11</v>
      </c>
      <c r="S276" s="56">
        <v>89000</v>
      </c>
      <c r="T276" s="56" t="str">
        <f t="shared" si="28"/>
        <v>0</v>
      </c>
      <c r="U276" s="456">
        <f t="shared" si="32"/>
        <v>89000</v>
      </c>
      <c r="V276" s="56">
        <f t="shared" si="33"/>
        <v>80909.090909090897</v>
      </c>
      <c r="W276" s="65">
        <f>IF(H276=재고내역!$F$9,출고요청서_raw!G276*1,IF(H276=재고내역!$F$10,출고요청서_raw!G276*2,IF(출고요청서_raw!H276=재고내역!$F$11,출고요청서_raw!G276*4,IF(출고요청서_raw!H276=재고내역!$F$12,출고요청서_raw!G276*6,IF(출고요청서_raw!H276=재고내역!$F$13,출고요청서_raw!G276*8)))))</f>
        <v>8</v>
      </c>
      <c r="X276" s="53"/>
      <c r="Y276" s="53"/>
      <c r="Z276" s="56">
        <f>W276*재고내역!$M$6</f>
        <v>61496</v>
      </c>
      <c r="AA276" s="56">
        <f t="shared" si="27"/>
        <v>4550</v>
      </c>
      <c r="AB276" s="56">
        <f t="shared" si="29"/>
        <v>14863.090909090897</v>
      </c>
      <c r="AC276" s="376">
        <f t="shared" si="30"/>
        <v>0.1837011235955055</v>
      </c>
    </row>
    <row r="277" spans="1:31" ht="15.75" customHeight="1">
      <c r="A277" s="55" t="s">
        <v>1502</v>
      </c>
      <c r="B277" s="418" t="s">
        <v>1503</v>
      </c>
      <c r="C277" s="428"/>
      <c r="E277" s="418" t="s">
        <v>1504</v>
      </c>
      <c r="F277" s="55" t="s">
        <v>1505</v>
      </c>
      <c r="G277" s="60">
        <v>1</v>
      </c>
      <c r="H277" s="82" t="s">
        <v>75</v>
      </c>
      <c r="P277" s="57" t="s">
        <v>11</v>
      </c>
      <c r="Q277" s="61">
        <v>46059</v>
      </c>
      <c r="R277" s="55" t="s">
        <v>11</v>
      </c>
      <c r="S277" s="56">
        <v>89000</v>
      </c>
      <c r="T277" s="56" t="str">
        <f t="shared" si="28"/>
        <v>0</v>
      </c>
      <c r="U277" s="456">
        <f t="shared" si="32"/>
        <v>89000</v>
      </c>
      <c r="V277" s="56">
        <f t="shared" si="33"/>
        <v>80909.090909090897</v>
      </c>
      <c r="W277" s="65">
        <f>IF(H277=재고내역!$F$9,출고요청서_raw!G277*1,IF(H277=재고내역!$F$10,출고요청서_raw!G277*2,IF(출고요청서_raw!H277=재고내역!$F$11,출고요청서_raw!G277*4,IF(출고요청서_raw!H277=재고내역!$F$12,출고요청서_raw!G277*6,IF(출고요청서_raw!H277=재고내역!$F$13,출고요청서_raw!G277*8)))))</f>
        <v>8</v>
      </c>
      <c r="X277" s="53"/>
      <c r="Y277" s="53"/>
      <c r="Z277" s="56">
        <f>W277*재고내역!$M$6</f>
        <v>61496</v>
      </c>
      <c r="AA277" s="56">
        <f t="shared" si="27"/>
        <v>4550</v>
      </c>
      <c r="AB277" s="56">
        <f t="shared" si="29"/>
        <v>14863.090909090897</v>
      </c>
      <c r="AC277" s="376">
        <f t="shared" si="30"/>
        <v>0.1837011235955055</v>
      </c>
    </row>
    <row r="278" spans="1:31" ht="15.75" customHeight="1">
      <c r="A278" s="55" t="s">
        <v>1506</v>
      </c>
      <c r="B278" s="418" t="s">
        <v>1507</v>
      </c>
      <c r="E278" s="418" t="s">
        <v>1508</v>
      </c>
      <c r="F278" s="55" t="s">
        <v>1509</v>
      </c>
      <c r="G278" s="60">
        <v>1</v>
      </c>
      <c r="H278" s="82" t="s">
        <v>75</v>
      </c>
      <c r="P278" s="57" t="s">
        <v>11</v>
      </c>
      <c r="Q278" s="61">
        <v>46059</v>
      </c>
      <c r="R278" s="55" t="s">
        <v>11</v>
      </c>
      <c r="S278" s="56">
        <v>89000</v>
      </c>
      <c r="T278" s="56" t="str">
        <f t="shared" si="28"/>
        <v>0</v>
      </c>
      <c r="U278" s="456">
        <f t="shared" si="32"/>
        <v>89000</v>
      </c>
      <c r="V278" s="56">
        <f t="shared" si="33"/>
        <v>80909.090909090897</v>
      </c>
      <c r="W278" s="65">
        <f>IF(H278=재고내역!$F$9,출고요청서_raw!G278*1,IF(H278=재고내역!$F$10,출고요청서_raw!G278*2,IF(출고요청서_raw!H278=재고내역!$F$11,출고요청서_raw!G278*4,IF(출고요청서_raw!H278=재고내역!$F$12,출고요청서_raw!G278*6,IF(출고요청서_raw!H278=재고내역!$F$13,출고요청서_raw!G278*8)))))</f>
        <v>8</v>
      </c>
      <c r="X278" s="53"/>
      <c r="Y278" s="53"/>
      <c r="Z278" s="56">
        <f>W278*재고내역!$M$6</f>
        <v>61496</v>
      </c>
      <c r="AA278" s="56">
        <f t="shared" si="27"/>
        <v>4550</v>
      </c>
      <c r="AB278" s="56">
        <f t="shared" si="29"/>
        <v>14863.090909090897</v>
      </c>
      <c r="AC278" s="376">
        <f t="shared" si="30"/>
        <v>0.1837011235955055</v>
      </c>
    </row>
    <row r="279" spans="1:31" ht="15.75" customHeight="1">
      <c r="A279" s="55" t="s">
        <v>1510</v>
      </c>
      <c r="B279" s="418" t="s">
        <v>1511</v>
      </c>
      <c r="E279" s="418" t="s">
        <v>1512</v>
      </c>
      <c r="F279" s="55" t="s">
        <v>1513</v>
      </c>
      <c r="G279" s="60">
        <v>1</v>
      </c>
      <c r="H279" s="82" t="s">
        <v>75</v>
      </c>
      <c r="P279" s="57" t="s">
        <v>11</v>
      </c>
      <c r="Q279" s="61">
        <v>46059</v>
      </c>
      <c r="R279" s="55" t="s">
        <v>11</v>
      </c>
      <c r="S279" s="56">
        <v>89000</v>
      </c>
      <c r="T279" s="56" t="str">
        <f t="shared" si="28"/>
        <v>0</v>
      </c>
      <c r="U279" s="456">
        <f t="shared" si="32"/>
        <v>89000</v>
      </c>
      <c r="V279" s="56">
        <f t="shared" si="33"/>
        <v>80909.090909090897</v>
      </c>
      <c r="W279" s="65">
        <f>IF(H279=재고내역!$F$9,출고요청서_raw!G279*1,IF(H279=재고내역!$F$10,출고요청서_raw!G279*2,IF(출고요청서_raw!H279=재고내역!$F$11,출고요청서_raw!G279*4,IF(출고요청서_raw!H279=재고내역!$F$12,출고요청서_raw!G279*6,IF(출고요청서_raw!H279=재고내역!$F$13,출고요청서_raw!G279*8)))))</f>
        <v>8</v>
      </c>
      <c r="X279" s="53"/>
      <c r="Y279" s="53"/>
      <c r="Z279" s="56">
        <f>W279*재고내역!$M$6</f>
        <v>61496</v>
      </c>
      <c r="AA279" s="56">
        <f t="shared" si="27"/>
        <v>4550</v>
      </c>
      <c r="AB279" s="56">
        <f t="shared" si="29"/>
        <v>14863.090909090897</v>
      </c>
      <c r="AC279" s="376">
        <f t="shared" si="30"/>
        <v>0.1837011235955055</v>
      </c>
    </row>
    <row r="280" spans="1:31" ht="15.75" customHeight="1">
      <c r="A280" s="55" t="s">
        <v>1514</v>
      </c>
      <c r="B280" s="418" t="s">
        <v>1515</v>
      </c>
      <c r="E280" s="418" t="s">
        <v>1516</v>
      </c>
      <c r="F280" s="55" t="s">
        <v>1517</v>
      </c>
      <c r="G280" s="60">
        <v>1</v>
      </c>
      <c r="H280" s="82" t="s">
        <v>75</v>
      </c>
      <c r="P280" s="57" t="s">
        <v>11</v>
      </c>
      <c r="Q280" s="61">
        <v>46059</v>
      </c>
      <c r="R280" s="55" t="s">
        <v>11</v>
      </c>
      <c r="S280" s="56">
        <v>89000</v>
      </c>
      <c r="T280" s="56" t="str">
        <f t="shared" si="28"/>
        <v>0</v>
      </c>
      <c r="U280" s="456">
        <f t="shared" si="32"/>
        <v>89000</v>
      </c>
      <c r="V280" s="56">
        <f t="shared" si="33"/>
        <v>80909.090909090897</v>
      </c>
      <c r="W280" s="65">
        <f>IF(H280=재고내역!$F$9,출고요청서_raw!G280*1,IF(H280=재고내역!$F$10,출고요청서_raw!G280*2,IF(출고요청서_raw!H280=재고내역!$F$11,출고요청서_raw!G280*4,IF(출고요청서_raw!H280=재고내역!$F$12,출고요청서_raw!G280*6,IF(출고요청서_raw!H280=재고내역!$F$13,출고요청서_raw!G280*8)))))</f>
        <v>8</v>
      </c>
      <c r="X280" s="53"/>
      <c r="Y280" s="53"/>
      <c r="Z280" s="56">
        <f>W280*재고내역!$M$6</f>
        <v>61496</v>
      </c>
      <c r="AA280" s="56">
        <f>IF(W280&gt;8,4550*2,4550)</f>
        <v>4550</v>
      </c>
      <c r="AB280" s="56">
        <f t="shared" si="29"/>
        <v>14863.090909090897</v>
      </c>
      <c r="AC280" s="376">
        <f t="shared" si="30"/>
        <v>0.1837011235955055</v>
      </c>
    </row>
    <row r="281" spans="1:31" ht="15.75" customHeight="1">
      <c r="A281" s="55" t="s">
        <v>1518</v>
      </c>
      <c r="B281" s="418" t="s">
        <v>1519</v>
      </c>
      <c r="E281" s="418" t="s">
        <v>1520</v>
      </c>
      <c r="F281" s="55" t="s">
        <v>1521</v>
      </c>
      <c r="G281" s="60">
        <v>3</v>
      </c>
      <c r="H281" s="82" t="s">
        <v>75</v>
      </c>
      <c r="P281" s="57" t="s">
        <v>11</v>
      </c>
      <c r="Q281" s="61">
        <v>46059</v>
      </c>
      <c r="R281" s="55" t="s">
        <v>11</v>
      </c>
      <c r="S281" s="56">
        <f>89000*G281</f>
        <v>267000</v>
      </c>
      <c r="T281" s="56" t="str">
        <f t="shared" si="28"/>
        <v>0</v>
      </c>
      <c r="U281" s="456">
        <f t="shared" si="32"/>
        <v>267000</v>
      </c>
      <c r="V281" s="56">
        <f t="shared" si="33"/>
        <v>242727.27272727271</v>
      </c>
      <c r="W281" s="65">
        <f>IF(H281=재고내역!$F$9,출고요청서_raw!G281*1,IF(H281=재고내역!$F$10,출고요청서_raw!G281*2,IF(출고요청서_raw!H281=재고내역!$F$11,출고요청서_raw!G281*4,IF(출고요청서_raw!H281=재고내역!$F$12,출고요청서_raw!G281*6,IF(출고요청서_raw!H281=재고내역!$F$13,출고요청서_raw!G281*8)))))</f>
        <v>24</v>
      </c>
      <c r="X281" s="53"/>
      <c r="Y281" s="53"/>
      <c r="Z281" s="56">
        <f>W281*재고내역!$M$6</f>
        <v>184488</v>
      </c>
      <c r="AA281" s="377">
        <f>4550*3</f>
        <v>13650</v>
      </c>
      <c r="AB281" s="56">
        <f t="shared" si="29"/>
        <v>44589.272727272706</v>
      </c>
      <c r="AC281" s="376">
        <f t="shared" si="30"/>
        <v>0.18370112359550556</v>
      </c>
    </row>
    <row r="282" spans="1:31" ht="15.75" customHeight="1">
      <c r="A282" s="55" t="s">
        <v>1522</v>
      </c>
      <c r="B282" s="418" t="s">
        <v>1523</v>
      </c>
      <c r="E282" s="418" t="s">
        <v>1524</v>
      </c>
      <c r="F282" s="55" t="s">
        <v>1525</v>
      </c>
      <c r="G282" s="60">
        <v>1</v>
      </c>
      <c r="H282" s="82" t="s">
        <v>75</v>
      </c>
      <c r="P282" s="57" t="s">
        <v>11</v>
      </c>
      <c r="Q282" s="61">
        <v>46059</v>
      </c>
      <c r="R282" s="55" t="s">
        <v>11</v>
      </c>
      <c r="S282" s="56">
        <v>89000</v>
      </c>
      <c r="T282" s="56" t="str">
        <f t="shared" si="28"/>
        <v>0</v>
      </c>
      <c r="U282" s="456">
        <f t="shared" si="32"/>
        <v>89000</v>
      </c>
      <c r="V282" s="56">
        <f t="shared" si="33"/>
        <v>80909.090909090897</v>
      </c>
      <c r="W282" s="65">
        <f>IF(H282=재고내역!$F$9,출고요청서_raw!G282*1,IF(H282=재고내역!$F$10,출고요청서_raw!G282*2,IF(출고요청서_raw!H282=재고내역!$F$11,출고요청서_raw!G282*4,IF(출고요청서_raw!H282=재고내역!$F$12,출고요청서_raw!G282*6,IF(출고요청서_raw!H282=재고내역!$F$13,출고요청서_raw!G282*8)))))</f>
        <v>8</v>
      </c>
      <c r="X282" s="53"/>
      <c r="Y282" s="53"/>
      <c r="Z282" s="56">
        <f>W282*재고내역!$M$6</f>
        <v>61496</v>
      </c>
      <c r="AA282" s="56">
        <f>IF(W282&gt;8,4550*2,4550)</f>
        <v>4550</v>
      </c>
      <c r="AB282" s="56">
        <f t="shared" si="29"/>
        <v>14863.090909090897</v>
      </c>
      <c r="AC282" s="376">
        <f t="shared" si="30"/>
        <v>0.1837011235955055</v>
      </c>
    </row>
    <row r="283" spans="1:31" ht="15.75" customHeight="1">
      <c r="A283" s="418" t="s">
        <v>1526</v>
      </c>
      <c r="B283" s="418" t="s">
        <v>1527</v>
      </c>
      <c r="E283" s="418" t="s">
        <v>1528</v>
      </c>
      <c r="F283" s="418" t="s">
        <v>1529</v>
      </c>
      <c r="G283" s="60">
        <v>1</v>
      </c>
      <c r="H283" s="54" t="s">
        <v>71</v>
      </c>
      <c r="L283" s="81" t="s">
        <v>145</v>
      </c>
      <c r="M283" s="467" t="s">
        <v>1530</v>
      </c>
      <c r="N283" s="81" t="s">
        <v>1531</v>
      </c>
      <c r="O283" s="54" t="s">
        <v>148</v>
      </c>
      <c r="P283" s="57" t="s">
        <v>8</v>
      </c>
      <c r="Q283" s="73">
        <v>46059</v>
      </c>
      <c r="R283" s="59" t="s">
        <v>8</v>
      </c>
      <c r="S283" s="60">
        <v>20900</v>
      </c>
      <c r="T283" s="56">
        <f t="shared" si="28"/>
        <v>1100</v>
      </c>
      <c r="U283" s="461">
        <f>S283-T283</f>
        <v>19800</v>
      </c>
      <c r="V283" s="360">
        <f t="shared" si="33"/>
        <v>18000</v>
      </c>
      <c r="W283" s="65">
        <f>IF(H283=재고내역!$F$9,출고요청서_raw!G283*1,IF(H283=재고내역!$F$10,출고요청서_raw!G283*2,IF(출고요청서_raw!H283=재고내역!$F$11,출고요청서_raw!G283*4,IF(출고요청서_raw!H283=재고내역!$F$12,출고요청서_raw!G283*6,IF(출고요청서_raw!H283=재고내역!$F$13,출고요청서_raw!G283*8)))))</f>
        <v>1</v>
      </c>
      <c r="X283" s="462">
        <f>Y283/U283</f>
        <v>0.11656565656565657</v>
      </c>
      <c r="Y283" s="60">
        <v>2308</v>
      </c>
      <c r="Z283" s="56">
        <f>W283*재고내역!$M$6</f>
        <v>7687</v>
      </c>
      <c r="AA283" s="56">
        <f>IF(W283&gt;8,4550*2,4550)</f>
        <v>4550</v>
      </c>
      <c r="AB283" s="56">
        <f>V283-Z283-AA283-Y283</f>
        <v>3455</v>
      </c>
      <c r="AC283" s="376">
        <f>AB283/V283</f>
        <v>0.19194444444444445</v>
      </c>
      <c r="AE283" s="60">
        <f>U283-Y283</f>
        <v>17492</v>
      </c>
    </row>
    <row r="284" spans="1:31" ht="15.75" customHeight="1">
      <c r="A284" s="418" t="s">
        <v>1532</v>
      </c>
      <c r="B284" s="418" t="s">
        <v>1533</v>
      </c>
      <c r="E284" s="418" t="s">
        <v>1534</v>
      </c>
      <c r="F284" s="418" t="s">
        <v>1535</v>
      </c>
      <c r="G284" s="60">
        <v>1</v>
      </c>
      <c r="H284" s="54" t="s">
        <v>72</v>
      </c>
      <c r="L284" s="81" t="s">
        <v>145</v>
      </c>
      <c r="M284" s="467" t="s">
        <v>1536</v>
      </c>
      <c r="N284" s="81" t="s">
        <v>1537</v>
      </c>
      <c r="O284" s="54" t="s">
        <v>1538</v>
      </c>
      <c r="P284" s="57" t="s">
        <v>8</v>
      </c>
      <c r="Q284" s="73">
        <v>46059</v>
      </c>
      <c r="R284" s="59" t="s">
        <v>8</v>
      </c>
      <c r="S284" s="60">
        <v>40000</v>
      </c>
      <c r="T284" s="56">
        <f t="shared" si="28"/>
        <v>4100</v>
      </c>
      <c r="U284" s="461">
        <f>S284-T284</f>
        <v>35900</v>
      </c>
      <c r="V284" s="360">
        <f t="shared" si="33"/>
        <v>32636.363636363632</v>
      </c>
      <c r="W284" s="65">
        <f>IF(H284=재고내역!$F$9,출고요청서_raw!G284*1,IF(H284=재고내역!$F$10,출고요청서_raw!G284*2,IF(출고요청서_raw!H284=재고내역!$F$11,출고요청서_raw!G284*4,IF(출고요청서_raw!H284=재고내역!$F$12,출고요청서_raw!G284*6,IF(출고요청서_raw!H284=재고내역!$F$13,출고요청서_raw!G284*8)))))</f>
        <v>2</v>
      </c>
      <c r="X284" s="69">
        <v>0.1166</v>
      </c>
      <c r="Y284" s="60">
        <f>U284*X284</f>
        <v>4185.9399999999996</v>
      </c>
      <c r="Z284" s="56">
        <f>W284*재고내역!$M$6</f>
        <v>15374</v>
      </c>
      <c r="AA284" s="56">
        <f>IF(W284&gt;8,4550*2,4550)</f>
        <v>4550</v>
      </c>
      <c r="AB284" s="56">
        <f>V284-Z284-AA284-Y284</f>
        <v>8526.4236363636337</v>
      </c>
      <c r="AC284" s="376">
        <f t="shared" si="30"/>
        <v>0.2612553203342618</v>
      </c>
      <c r="AE284" s="60">
        <f>U284-Y284</f>
        <v>31714.06</v>
      </c>
    </row>
    <row r="285" spans="1:31" ht="15.75" customHeight="1">
      <c r="A285" s="423" t="s">
        <v>1539</v>
      </c>
      <c r="B285" s="423" t="s">
        <v>1540</v>
      </c>
      <c r="E285" s="423" t="s">
        <v>1541</v>
      </c>
      <c r="F285" s="423" t="s">
        <v>1542</v>
      </c>
      <c r="G285" s="60">
        <v>1</v>
      </c>
      <c r="H285" s="54" t="s">
        <v>73</v>
      </c>
      <c r="L285" s="356" t="s">
        <v>163</v>
      </c>
      <c r="M285" s="96" t="s">
        <v>1543</v>
      </c>
      <c r="N285" s="96" t="s">
        <v>1544</v>
      </c>
      <c r="O285" s="96" t="s">
        <v>1545</v>
      </c>
      <c r="P285" s="57" t="s">
        <v>41</v>
      </c>
      <c r="Q285" s="61">
        <v>46059</v>
      </c>
      <c r="R285" s="59" t="s">
        <v>41</v>
      </c>
      <c r="S285" s="60">
        <v>45500</v>
      </c>
      <c r="T285" s="56" t="str">
        <f t="shared" si="28"/>
        <v>0</v>
      </c>
      <c r="U285" s="463">
        <f t="shared" ref="U285:U292" si="34">S285*G285</f>
        <v>45500</v>
      </c>
      <c r="V285" s="56">
        <f t="shared" ref="V285:V299" si="35">U285/1.1</f>
        <v>41363.63636363636</v>
      </c>
      <c r="W285" s="65">
        <f>IF(H285=재고내역!$F$9,출고요청서_raw!G285*1,IF(H285=재고내역!$F$10,출고요청서_raw!G285*2,IF(출고요청서_raw!H285=재고내역!$F$11,출고요청서_raw!G285*4,IF(출고요청서_raw!H285=재고내역!$F$12,출고요청서_raw!G285*6,IF(출고요청서_raw!H285=재고내역!$F$13,출고요청서_raw!G285*8)))))</f>
        <v>4</v>
      </c>
      <c r="Z285" s="56">
        <f>W285*재고내역!$M$6</f>
        <v>30748</v>
      </c>
      <c r="AA285" s="56">
        <f t="shared" ref="AA285:AA316" si="36">IF(W285&gt;8,4550*2,4550)</f>
        <v>4550</v>
      </c>
      <c r="AB285" s="56">
        <f t="shared" si="29"/>
        <v>6065.6363636363603</v>
      </c>
      <c r="AC285" s="376">
        <f t="shared" si="30"/>
        <v>0.14664175824175818</v>
      </c>
    </row>
    <row r="286" spans="1:31" ht="15.75" customHeight="1">
      <c r="A286" s="423" t="s">
        <v>1546</v>
      </c>
      <c r="B286" s="423" t="s">
        <v>1547</v>
      </c>
      <c r="E286" s="423" t="s">
        <v>1548</v>
      </c>
      <c r="F286" s="423" t="s">
        <v>1549</v>
      </c>
      <c r="G286" s="60">
        <v>1</v>
      </c>
      <c r="H286" s="54" t="s">
        <v>73</v>
      </c>
      <c r="L286" s="356" t="s">
        <v>163</v>
      </c>
      <c r="M286" s="96" t="s">
        <v>1550</v>
      </c>
      <c r="N286" s="96" t="s">
        <v>1551</v>
      </c>
      <c r="O286" s="96" t="s">
        <v>1545</v>
      </c>
      <c r="P286" s="57" t="s">
        <v>41</v>
      </c>
      <c r="Q286" s="61">
        <v>46059</v>
      </c>
      <c r="R286" s="59" t="s">
        <v>41</v>
      </c>
      <c r="S286" s="60">
        <v>45500</v>
      </c>
      <c r="T286" s="56" t="str">
        <f t="shared" si="28"/>
        <v>0</v>
      </c>
      <c r="U286" s="463">
        <f t="shared" si="34"/>
        <v>45500</v>
      </c>
      <c r="V286" s="56">
        <f t="shared" si="35"/>
        <v>41363.63636363636</v>
      </c>
      <c r="W286" s="65">
        <f>IF(H286=재고내역!$F$9,출고요청서_raw!G286*1,IF(H286=재고내역!$F$10,출고요청서_raw!G286*2,IF(출고요청서_raw!H286=재고내역!$F$11,출고요청서_raw!G286*4,IF(출고요청서_raw!H286=재고내역!$F$12,출고요청서_raw!G286*6,IF(출고요청서_raw!H286=재고내역!$F$13,출고요청서_raw!G286*8)))))</f>
        <v>4</v>
      </c>
      <c r="Z286" s="56">
        <f>W286*재고내역!$M$6</f>
        <v>30748</v>
      </c>
      <c r="AA286" s="56">
        <f t="shared" si="36"/>
        <v>4550</v>
      </c>
      <c r="AB286" s="56">
        <f t="shared" si="29"/>
        <v>6065.6363636363603</v>
      </c>
      <c r="AC286" s="376">
        <f t="shared" si="30"/>
        <v>0.14664175824175818</v>
      </c>
    </row>
    <row r="287" spans="1:31" ht="15.75" customHeight="1">
      <c r="A287" s="423" t="s">
        <v>1552</v>
      </c>
      <c r="B287" s="423" t="s">
        <v>1553</v>
      </c>
      <c r="E287" s="423" t="s">
        <v>1554</v>
      </c>
      <c r="F287" s="423" t="s">
        <v>1555</v>
      </c>
      <c r="G287" s="60">
        <v>1</v>
      </c>
      <c r="H287" s="54" t="s">
        <v>73</v>
      </c>
      <c r="L287" s="356" t="s">
        <v>163</v>
      </c>
      <c r="M287" s="96" t="s">
        <v>1556</v>
      </c>
      <c r="N287" s="96" t="s">
        <v>1557</v>
      </c>
      <c r="O287" s="96" t="s">
        <v>1545</v>
      </c>
      <c r="P287" s="57" t="s">
        <v>41</v>
      </c>
      <c r="Q287" s="61">
        <v>46059</v>
      </c>
      <c r="R287" s="59" t="s">
        <v>41</v>
      </c>
      <c r="S287" s="60">
        <v>45500</v>
      </c>
      <c r="T287" s="56" t="str">
        <f t="shared" si="28"/>
        <v>0</v>
      </c>
      <c r="U287" s="463">
        <f t="shared" si="34"/>
        <v>45500</v>
      </c>
      <c r="V287" s="56">
        <f t="shared" si="35"/>
        <v>41363.63636363636</v>
      </c>
      <c r="W287" s="65">
        <f>IF(H287=재고내역!$F$9,출고요청서_raw!G287*1,IF(H287=재고내역!$F$10,출고요청서_raw!G287*2,IF(출고요청서_raw!H287=재고내역!$F$11,출고요청서_raw!G287*4,IF(출고요청서_raw!H287=재고내역!$F$12,출고요청서_raw!G287*6,IF(출고요청서_raw!H287=재고내역!$F$13,출고요청서_raw!G287*8)))))</f>
        <v>4</v>
      </c>
      <c r="Z287" s="56">
        <f>W287*재고내역!$M$6</f>
        <v>30748</v>
      </c>
      <c r="AA287" s="56">
        <f t="shared" si="36"/>
        <v>4550</v>
      </c>
      <c r="AB287" s="56">
        <f t="shared" si="29"/>
        <v>6065.6363636363603</v>
      </c>
      <c r="AC287" s="376">
        <f t="shared" si="30"/>
        <v>0.14664175824175818</v>
      </c>
    </row>
    <row r="288" spans="1:31" ht="15.75" customHeight="1">
      <c r="A288" s="423" t="s">
        <v>1558</v>
      </c>
      <c r="B288" s="423" t="s">
        <v>1559</v>
      </c>
      <c r="E288" s="423" t="s">
        <v>1560</v>
      </c>
      <c r="F288" s="423" t="s">
        <v>1561</v>
      </c>
      <c r="G288" s="370">
        <v>2</v>
      </c>
      <c r="H288" s="54" t="s">
        <v>73</v>
      </c>
      <c r="L288" s="356" t="s">
        <v>163</v>
      </c>
      <c r="M288" s="96" t="s">
        <v>1562</v>
      </c>
      <c r="N288" s="96" t="s">
        <v>1563</v>
      </c>
      <c r="O288" s="96" t="s">
        <v>1545</v>
      </c>
      <c r="P288" s="57" t="s">
        <v>41</v>
      </c>
      <c r="Q288" s="61">
        <v>46059</v>
      </c>
      <c r="R288" s="59" t="s">
        <v>41</v>
      </c>
      <c r="S288" s="60">
        <v>45500</v>
      </c>
      <c r="T288" s="56" t="str">
        <f t="shared" si="28"/>
        <v>0</v>
      </c>
      <c r="U288" s="463">
        <f t="shared" si="34"/>
        <v>91000</v>
      </c>
      <c r="V288" s="56">
        <f t="shared" si="35"/>
        <v>82727.272727272721</v>
      </c>
      <c r="W288" s="65">
        <f>IF(H288=재고내역!$F$9,출고요청서_raw!G288*1,IF(H288=재고내역!$F$10,출고요청서_raw!G288*2,IF(출고요청서_raw!H288=재고내역!$F$11,출고요청서_raw!G288*4,IF(출고요청서_raw!H288=재고내역!$F$12,출고요청서_raw!G288*6,IF(출고요청서_raw!H288=재고내역!$F$13,출고요청서_raw!G288*8)))))</f>
        <v>8</v>
      </c>
      <c r="Z288" s="56">
        <f>W288*재고내역!$M$6</f>
        <v>61496</v>
      </c>
      <c r="AA288" s="56">
        <f t="shared" si="36"/>
        <v>4550</v>
      </c>
      <c r="AB288" s="56">
        <f t="shared" si="29"/>
        <v>16681.272727272721</v>
      </c>
      <c r="AC288" s="376">
        <f t="shared" si="30"/>
        <v>0.20164175824175817</v>
      </c>
    </row>
    <row r="289" spans="1:29" ht="15.75" customHeight="1">
      <c r="A289" s="423" t="s">
        <v>1564</v>
      </c>
      <c r="B289" s="423" t="s">
        <v>1565</v>
      </c>
      <c r="E289" s="423" t="s">
        <v>1566</v>
      </c>
      <c r="F289" s="423" t="s">
        <v>1567</v>
      </c>
      <c r="G289" s="60">
        <v>1</v>
      </c>
      <c r="H289" s="54" t="s">
        <v>73</v>
      </c>
      <c r="L289" s="356" t="s">
        <v>163</v>
      </c>
      <c r="M289" s="96" t="s">
        <v>1568</v>
      </c>
      <c r="N289" s="96" t="s">
        <v>1569</v>
      </c>
      <c r="O289" s="96" t="s">
        <v>1545</v>
      </c>
      <c r="P289" s="57" t="s">
        <v>41</v>
      </c>
      <c r="Q289" s="61">
        <v>46059</v>
      </c>
      <c r="R289" s="59" t="s">
        <v>41</v>
      </c>
      <c r="S289" s="60">
        <v>45500</v>
      </c>
      <c r="T289" s="56" t="str">
        <f t="shared" si="28"/>
        <v>0</v>
      </c>
      <c r="U289" s="463">
        <f t="shared" si="34"/>
        <v>45500</v>
      </c>
      <c r="V289" s="56">
        <f t="shared" si="35"/>
        <v>41363.63636363636</v>
      </c>
      <c r="W289" s="65">
        <f>IF(H289=재고내역!$F$9,출고요청서_raw!G289*1,IF(H289=재고내역!$F$10,출고요청서_raw!G289*2,IF(출고요청서_raw!H289=재고내역!$F$11,출고요청서_raw!G289*4,IF(출고요청서_raw!H289=재고내역!$F$12,출고요청서_raw!G289*6,IF(출고요청서_raw!H289=재고내역!$F$13,출고요청서_raw!G289*8)))))</f>
        <v>4</v>
      </c>
      <c r="Z289" s="56">
        <f>W289*재고내역!$M$6</f>
        <v>30748</v>
      </c>
      <c r="AA289" s="56">
        <f t="shared" si="36"/>
        <v>4550</v>
      </c>
      <c r="AB289" s="56">
        <f t="shared" si="29"/>
        <v>6065.6363636363603</v>
      </c>
      <c r="AC289" s="376">
        <f t="shared" si="30"/>
        <v>0.14664175824175818</v>
      </c>
    </row>
    <row r="290" spans="1:29" ht="15.75" customHeight="1">
      <c r="A290" s="423" t="s">
        <v>1570</v>
      </c>
      <c r="B290" s="423" t="s">
        <v>1571</v>
      </c>
      <c r="E290" s="423" t="s">
        <v>1572</v>
      </c>
      <c r="F290" s="423" t="s">
        <v>1573</v>
      </c>
      <c r="G290" s="60">
        <v>1</v>
      </c>
      <c r="H290" s="54" t="s">
        <v>73</v>
      </c>
      <c r="L290" s="356" t="s">
        <v>163</v>
      </c>
      <c r="M290" s="96" t="s">
        <v>1574</v>
      </c>
      <c r="N290" s="96" t="s">
        <v>1575</v>
      </c>
      <c r="O290" s="96" t="s">
        <v>1545</v>
      </c>
      <c r="P290" s="57" t="s">
        <v>41</v>
      </c>
      <c r="Q290" s="61">
        <v>46059</v>
      </c>
      <c r="R290" s="59" t="s">
        <v>41</v>
      </c>
      <c r="S290" s="60">
        <v>45500</v>
      </c>
      <c r="T290" s="56" t="str">
        <f t="shared" si="28"/>
        <v>0</v>
      </c>
      <c r="U290" s="463">
        <f t="shared" si="34"/>
        <v>45500</v>
      </c>
      <c r="V290" s="56">
        <f t="shared" si="35"/>
        <v>41363.63636363636</v>
      </c>
      <c r="W290" s="65">
        <f>IF(H290=재고내역!$F$9,출고요청서_raw!G290*1,IF(H290=재고내역!$F$10,출고요청서_raw!G290*2,IF(출고요청서_raw!H290=재고내역!$F$11,출고요청서_raw!G290*4,IF(출고요청서_raw!H290=재고내역!$F$12,출고요청서_raw!G290*6,IF(출고요청서_raw!H290=재고내역!$F$13,출고요청서_raw!G290*8)))))</f>
        <v>4</v>
      </c>
      <c r="Z290" s="56">
        <f>W290*재고내역!$M$6</f>
        <v>30748</v>
      </c>
      <c r="AA290" s="56">
        <f t="shared" si="36"/>
        <v>4550</v>
      </c>
      <c r="AB290" s="56">
        <f t="shared" si="29"/>
        <v>6065.6363636363603</v>
      </c>
      <c r="AC290" s="376">
        <f t="shared" si="30"/>
        <v>0.14664175824175818</v>
      </c>
    </row>
    <row r="291" spans="1:29" ht="15.75" customHeight="1">
      <c r="A291" s="423" t="s">
        <v>1576</v>
      </c>
      <c r="B291" s="423" t="s">
        <v>1577</v>
      </c>
      <c r="E291" s="423" t="s">
        <v>1578</v>
      </c>
      <c r="F291" s="423" t="s">
        <v>1579</v>
      </c>
      <c r="G291" s="60">
        <v>1</v>
      </c>
      <c r="H291" s="54" t="s">
        <v>73</v>
      </c>
      <c r="L291" s="356" t="s">
        <v>163</v>
      </c>
      <c r="M291" s="96" t="s">
        <v>1580</v>
      </c>
      <c r="N291" s="96" t="s">
        <v>1581</v>
      </c>
      <c r="O291" s="96" t="s">
        <v>1545</v>
      </c>
      <c r="P291" s="57" t="s">
        <v>41</v>
      </c>
      <c r="Q291" s="61">
        <v>46059</v>
      </c>
      <c r="R291" s="59" t="s">
        <v>41</v>
      </c>
      <c r="S291" s="60">
        <v>45500</v>
      </c>
      <c r="T291" s="56" t="str">
        <f t="shared" si="28"/>
        <v>0</v>
      </c>
      <c r="U291" s="463">
        <f t="shared" si="34"/>
        <v>45500</v>
      </c>
      <c r="V291" s="56">
        <f t="shared" si="35"/>
        <v>41363.63636363636</v>
      </c>
      <c r="W291" s="65">
        <f>IF(H291=재고내역!$F$9,출고요청서_raw!G291*1,IF(H291=재고내역!$F$10,출고요청서_raw!G291*2,IF(출고요청서_raw!H291=재고내역!$F$11,출고요청서_raw!G291*4,IF(출고요청서_raw!H291=재고내역!$F$12,출고요청서_raw!G291*6,IF(출고요청서_raw!H291=재고내역!$F$13,출고요청서_raw!G291*8)))))</f>
        <v>4</v>
      </c>
      <c r="Z291" s="56">
        <f>W291*재고내역!$M$6</f>
        <v>30748</v>
      </c>
      <c r="AA291" s="56">
        <f t="shared" si="36"/>
        <v>4550</v>
      </c>
      <c r="AB291" s="56">
        <f t="shared" si="29"/>
        <v>6065.6363636363603</v>
      </c>
      <c r="AC291" s="376">
        <f t="shared" si="30"/>
        <v>0.14664175824175818</v>
      </c>
    </row>
    <row r="292" spans="1:29" ht="15.75" customHeight="1">
      <c r="A292" s="423" t="s">
        <v>1582</v>
      </c>
      <c r="B292" s="423" t="s">
        <v>1583</v>
      </c>
      <c r="E292" s="423" t="s">
        <v>1584</v>
      </c>
      <c r="F292" s="423" t="s">
        <v>1585</v>
      </c>
      <c r="G292" s="60">
        <v>1</v>
      </c>
      <c r="H292" s="54" t="s">
        <v>73</v>
      </c>
      <c r="L292" s="356" t="s">
        <v>163</v>
      </c>
      <c r="M292" s="96" t="s">
        <v>1586</v>
      </c>
      <c r="N292" s="96" t="s">
        <v>1587</v>
      </c>
      <c r="O292" s="96" t="s">
        <v>1545</v>
      </c>
      <c r="P292" s="57" t="s">
        <v>41</v>
      </c>
      <c r="Q292" s="61">
        <v>46059</v>
      </c>
      <c r="R292" s="59" t="s">
        <v>41</v>
      </c>
      <c r="S292" s="60">
        <v>45500</v>
      </c>
      <c r="T292" s="56" t="str">
        <f t="shared" si="28"/>
        <v>0</v>
      </c>
      <c r="U292" s="463">
        <f t="shared" si="34"/>
        <v>45500</v>
      </c>
      <c r="V292" s="56">
        <f t="shared" si="35"/>
        <v>41363.63636363636</v>
      </c>
      <c r="W292" s="65">
        <f>IF(H292=재고내역!$F$9,출고요청서_raw!G292*1,IF(H292=재고내역!$F$10,출고요청서_raw!G292*2,IF(출고요청서_raw!H292=재고내역!$F$11,출고요청서_raw!G292*4,IF(출고요청서_raw!H292=재고내역!$F$12,출고요청서_raw!G292*6,IF(출고요청서_raw!H292=재고내역!$F$13,출고요청서_raw!G292*8)))))</f>
        <v>4</v>
      </c>
      <c r="Z292" s="56">
        <f>W292*재고내역!$M$6</f>
        <v>30748</v>
      </c>
      <c r="AA292" s="56">
        <f t="shared" si="36"/>
        <v>4550</v>
      </c>
      <c r="AB292" s="56">
        <f t="shared" si="29"/>
        <v>6065.6363636363603</v>
      </c>
      <c r="AC292" s="376">
        <f t="shared" si="30"/>
        <v>0.14664175824175818</v>
      </c>
    </row>
    <row r="293" spans="1:29" ht="15.75" customHeight="1">
      <c r="A293" s="423" t="s">
        <v>1588</v>
      </c>
      <c r="B293" s="423" t="s">
        <v>1589</v>
      </c>
      <c r="E293" s="423" t="s">
        <v>1590</v>
      </c>
      <c r="F293" s="423" t="s">
        <v>1591</v>
      </c>
      <c r="G293" s="60">
        <v>1</v>
      </c>
      <c r="H293" s="54" t="s">
        <v>73</v>
      </c>
      <c r="L293" s="356" t="s">
        <v>163</v>
      </c>
      <c r="M293" s="96" t="s">
        <v>1592</v>
      </c>
      <c r="N293" s="96" t="s">
        <v>1593</v>
      </c>
      <c r="O293" s="96" t="s">
        <v>1545</v>
      </c>
      <c r="P293" s="57" t="s">
        <v>41</v>
      </c>
      <c r="Q293" s="61">
        <v>46059</v>
      </c>
      <c r="R293" s="59" t="s">
        <v>41</v>
      </c>
      <c r="S293" s="60">
        <v>45500</v>
      </c>
      <c r="T293" s="56" t="str">
        <f t="shared" si="28"/>
        <v>0</v>
      </c>
      <c r="U293" s="357">
        <f t="shared" ref="U293:U316" si="37">S293*G293</f>
        <v>45500</v>
      </c>
      <c r="V293" s="56">
        <f t="shared" si="35"/>
        <v>41363.63636363636</v>
      </c>
      <c r="W293" s="65">
        <f>IF(H293=재고내역!$F$9,출고요청서_raw!G293*1,IF(H293=재고내역!$F$10,출고요청서_raw!G293*2,IF(출고요청서_raw!H293=재고내역!$F$11,출고요청서_raw!G293*4,IF(출고요청서_raw!H293=재고내역!$F$12,출고요청서_raw!G293*6,IF(출고요청서_raw!H293=재고내역!$F$13,출고요청서_raw!G293*8)))))</f>
        <v>4</v>
      </c>
      <c r="Z293" s="56">
        <f>W293*재고내역!$M$6</f>
        <v>30748</v>
      </c>
      <c r="AA293" s="56">
        <f t="shared" si="36"/>
        <v>4550</v>
      </c>
      <c r="AB293" s="56">
        <f t="shared" si="29"/>
        <v>6065.6363636363603</v>
      </c>
      <c r="AC293" s="376">
        <f t="shared" si="30"/>
        <v>0.14664175824175818</v>
      </c>
    </row>
    <row r="294" spans="1:29" ht="15.75" customHeight="1">
      <c r="A294" s="423" t="s">
        <v>1594</v>
      </c>
      <c r="B294" s="423" t="s">
        <v>1595</v>
      </c>
      <c r="E294" s="423" t="s">
        <v>1596</v>
      </c>
      <c r="F294" s="423" t="s">
        <v>1597</v>
      </c>
      <c r="G294" s="60">
        <v>1</v>
      </c>
      <c r="H294" s="54" t="s">
        <v>73</v>
      </c>
      <c r="L294" s="356" t="s">
        <v>163</v>
      </c>
      <c r="M294" s="96" t="s">
        <v>1598</v>
      </c>
      <c r="N294" s="96" t="s">
        <v>1599</v>
      </c>
      <c r="O294" s="96" t="s">
        <v>1545</v>
      </c>
      <c r="P294" s="57" t="s">
        <v>41</v>
      </c>
      <c r="Q294" s="61">
        <v>46059</v>
      </c>
      <c r="R294" s="59" t="s">
        <v>41</v>
      </c>
      <c r="S294" s="60">
        <v>45500</v>
      </c>
      <c r="T294" s="56" t="str">
        <f t="shared" si="28"/>
        <v>0</v>
      </c>
      <c r="U294" s="357">
        <f t="shared" si="37"/>
        <v>45500</v>
      </c>
      <c r="V294" s="56">
        <f t="shared" si="35"/>
        <v>41363.63636363636</v>
      </c>
      <c r="W294" s="65">
        <f>IF(H294=재고내역!$F$9,출고요청서_raw!G294*1,IF(H294=재고내역!$F$10,출고요청서_raw!G294*2,IF(출고요청서_raw!H294=재고내역!$F$11,출고요청서_raw!G294*4,IF(출고요청서_raw!H294=재고내역!$F$12,출고요청서_raw!G294*6,IF(출고요청서_raw!H294=재고내역!$F$13,출고요청서_raw!G294*8)))))</f>
        <v>4</v>
      </c>
      <c r="Z294" s="56">
        <f>W294*재고내역!$M$6</f>
        <v>30748</v>
      </c>
      <c r="AA294" s="56">
        <f t="shared" si="36"/>
        <v>4550</v>
      </c>
      <c r="AB294" s="56">
        <f t="shared" si="29"/>
        <v>6065.6363636363603</v>
      </c>
      <c r="AC294" s="376">
        <f t="shared" si="30"/>
        <v>0.14664175824175818</v>
      </c>
    </row>
    <row r="295" spans="1:29" ht="15.75" customHeight="1">
      <c r="A295" s="423" t="s">
        <v>1600</v>
      </c>
      <c r="B295" s="423" t="s">
        <v>1601</v>
      </c>
      <c r="E295" s="423" t="s">
        <v>1602</v>
      </c>
      <c r="F295" s="423" t="s">
        <v>1603</v>
      </c>
      <c r="G295" s="60">
        <v>1</v>
      </c>
      <c r="H295" s="54" t="s">
        <v>73</v>
      </c>
      <c r="L295" s="356" t="s">
        <v>163</v>
      </c>
      <c r="M295" s="96" t="s">
        <v>1604</v>
      </c>
      <c r="N295" s="96" t="s">
        <v>1605</v>
      </c>
      <c r="O295" s="96" t="s">
        <v>1545</v>
      </c>
      <c r="P295" s="57" t="s">
        <v>41</v>
      </c>
      <c r="Q295" s="61">
        <v>46059</v>
      </c>
      <c r="R295" s="59" t="s">
        <v>41</v>
      </c>
      <c r="S295" s="60">
        <v>45500</v>
      </c>
      <c r="T295" s="56" t="str">
        <f t="shared" si="28"/>
        <v>0</v>
      </c>
      <c r="U295" s="357">
        <f t="shared" si="37"/>
        <v>45500</v>
      </c>
      <c r="V295" s="56">
        <f t="shared" si="35"/>
        <v>41363.63636363636</v>
      </c>
      <c r="W295" s="65">
        <f>IF(H295=재고내역!$F$9,출고요청서_raw!G295*1,IF(H295=재고내역!$F$10,출고요청서_raw!G295*2,IF(출고요청서_raw!H295=재고내역!$F$11,출고요청서_raw!G295*4,IF(출고요청서_raw!H295=재고내역!$F$12,출고요청서_raw!G295*6,IF(출고요청서_raw!H295=재고내역!$F$13,출고요청서_raw!G295*8)))))</f>
        <v>4</v>
      </c>
      <c r="Z295" s="56">
        <f>W295*재고내역!$M$6</f>
        <v>30748</v>
      </c>
      <c r="AA295" s="56">
        <f t="shared" si="36"/>
        <v>4550</v>
      </c>
      <c r="AB295" s="56">
        <f t="shared" si="29"/>
        <v>6065.6363636363603</v>
      </c>
      <c r="AC295" s="376">
        <f t="shared" si="30"/>
        <v>0.14664175824175818</v>
      </c>
    </row>
    <row r="296" spans="1:29" ht="15.75" customHeight="1">
      <c r="A296" s="423" t="s">
        <v>1606</v>
      </c>
      <c r="B296" s="423" t="s">
        <v>1607</v>
      </c>
      <c r="E296" s="423" t="s">
        <v>1608</v>
      </c>
      <c r="F296" s="423" t="s">
        <v>1609</v>
      </c>
      <c r="G296" s="60">
        <v>1</v>
      </c>
      <c r="H296" s="54" t="s">
        <v>73</v>
      </c>
      <c r="L296" s="356" t="s">
        <v>163</v>
      </c>
      <c r="M296" s="96" t="s">
        <v>1610</v>
      </c>
      <c r="N296" s="96" t="s">
        <v>1611</v>
      </c>
      <c r="O296" s="96" t="s">
        <v>1545</v>
      </c>
      <c r="P296" s="57" t="s">
        <v>41</v>
      </c>
      <c r="Q296" s="61">
        <v>46059</v>
      </c>
      <c r="R296" s="59" t="s">
        <v>41</v>
      </c>
      <c r="S296" s="60">
        <v>45500</v>
      </c>
      <c r="T296" s="56" t="str">
        <f t="shared" si="28"/>
        <v>0</v>
      </c>
      <c r="U296" s="357">
        <f t="shared" si="37"/>
        <v>45500</v>
      </c>
      <c r="V296" s="56">
        <f t="shared" si="35"/>
        <v>41363.63636363636</v>
      </c>
      <c r="W296" s="65">
        <f>IF(H296=재고내역!$F$9,출고요청서_raw!G296*1,IF(H296=재고내역!$F$10,출고요청서_raw!G296*2,IF(출고요청서_raw!H296=재고내역!$F$11,출고요청서_raw!G296*4,IF(출고요청서_raw!H296=재고내역!$F$12,출고요청서_raw!G296*6,IF(출고요청서_raw!H296=재고내역!$F$13,출고요청서_raw!G296*8)))))</f>
        <v>4</v>
      </c>
      <c r="Z296" s="56">
        <f>W296*재고내역!$M$6</f>
        <v>30748</v>
      </c>
      <c r="AA296" s="56">
        <f t="shared" si="36"/>
        <v>4550</v>
      </c>
      <c r="AB296" s="56">
        <f t="shared" si="29"/>
        <v>6065.6363636363603</v>
      </c>
      <c r="AC296" s="376">
        <f t="shared" si="30"/>
        <v>0.14664175824175818</v>
      </c>
    </row>
    <row r="297" spans="1:29" ht="15.75" customHeight="1">
      <c r="A297" s="423" t="s">
        <v>1612</v>
      </c>
      <c r="B297" s="423" t="s">
        <v>1613</v>
      </c>
      <c r="E297" s="423" t="s">
        <v>1614</v>
      </c>
      <c r="F297" s="423" t="s">
        <v>1615</v>
      </c>
      <c r="G297" s="60">
        <v>1</v>
      </c>
      <c r="H297" s="54" t="s">
        <v>73</v>
      </c>
      <c r="L297" s="356" t="s">
        <v>163</v>
      </c>
      <c r="M297" s="96" t="s">
        <v>1616</v>
      </c>
      <c r="N297" s="96" t="s">
        <v>1617</v>
      </c>
      <c r="O297" s="96" t="s">
        <v>1545</v>
      </c>
      <c r="P297" s="57" t="s">
        <v>41</v>
      </c>
      <c r="Q297" s="61">
        <v>46059</v>
      </c>
      <c r="R297" s="59" t="s">
        <v>41</v>
      </c>
      <c r="S297" s="60">
        <v>45500</v>
      </c>
      <c r="T297" s="56" t="str">
        <f t="shared" si="28"/>
        <v>0</v>
      </c>
      <c r="U297" s="357">
        <f t="shared" si="37"/>
        <v>45500</v>
      </c>
      <c r="V297" s="56">
        <f t="shared" si="35"/>
        <v>41363.63636363636</v>
      </c>
      <c r="W297" s="65">
        <f>IF(H297=재고내역!$F$9,출고요청서_raw!G297*1,IF(H297=재고내역!$F$10,출고요청서_raw!G297*2,IF(출고요청서_raw!H297=재고내역!$F$11,출고요청서_raw!G297*4,IF(출고요청서_raw!H297=재고내역!$F$12,출고요청서_raw!G297*6,IF(출고요청서_raw!H297=재고내역!$F$13,출고요청서_raw!G297*8)))))</f>
        <v>4</v>
      </c>
      <c r="Z297" s="56">
        <f>W297*재고내역!$M$6</f>
        <v>30748</v>
      </c>
      <c r="AA297" s="56">
        <f t="shared" si="36"/>
        <v>4550</v>
      </c>
      <c r="AB297" s="56">
        <f t="shared" si="29"/>
        <v>6065.6363636363603</v>
      </c>
      <c r="AC297" s="376">
        <f t="shared" si="30"/>
        <v>0.14664175824175818</v>
      </c>
    </row>
    <row r="298" spans="1:29" ht="15.75" customHeight="1">
      <c r="A298" s="423" t="s">
        <v>1618</v>
      </c>
      <c r="B298" s="423" t="s">
        <v>1619</v>
      </c>
      <c r="E298" s="423" t="s">
        <v>1620</v>
      </c>
      <c r="F298" s="423" t="s">
        <v>1621</v>
      </c>
      <c r="G298" s="60">
        <v>1</v>
      </c>
      <c r="H298" s="54" t="s">
        <v>73</v>
      </c>
      <c r="L298" s="356" t="s">
        <v>163</v>
      </c>
      <c r="M298" s="96" t="s">
        <v>1622</v>
      </c>
      <c r="N298" s="96" t="s">
        <v>1623</v>
      </c>
      <c r="O298" s="96" t="s">
        <v>1545</v>
      </c>
      <c r="P298" s="57" t="s">
        <v>41</v>
      </c>
      <c r="Q298" s="61">
        <v>46059</v>
      </c>
      <c r="R298" s="59" t="s">
        <v>41</v>
      </c>
      <c r="S298" s="60">
        <v>45500</v>
      </c>
      <c r="T298" s="56" t="str">
        <f t="shared" si="28"/>
        <v>0</v>
      </c>
      <c r="U298" s="357">
        <f t="shared" si="37"/>
        <v>45500</v>
      </c>
      <c r="V298" s="56">
        <f t="shared" si="35"/>
        <v>41363.63636363636</v>
      </c>
      <c r="W298" s="65">
        <f>IF(H298=재고내역!$F$9,출고요청서_raw!G298*1,IF(H298=재고내역!$F$10,출고요청서_raw!G298*2,IF(출고요청서_raw!H298=재고내역!$F$11,출고요청서_raw!G298*4,IF(출고요청서_raw!H298=재고내역!$F$12,출고요청서_raw!G298*6,IF(출고요청서_raw!H298=재고내역!$F$13,출고요청서_raw!G298*8)))))</f>
        <v>4</v>
      </c>
      <c r="Z298" s="56">
        <f>W298*재고내역!$M$6</f>
        <v>30748</v>
      </c>
      <c r="AA298" s="56">
        <f t="shared" si="36"/>
        <v>4550</v>
      </c>
      <c r="AB298" s="56">
        <f t="shared" si="29"/>
        <v>6065.6363636363603</v>
      </c>
      <c r="AC298" s="376">
        <f t="shared" si="30"/>
        <v>0.14664175824175818</v>
      </c>
    </row>
    <row r="299" spans="1:29" ht="15.75" customHeight="1">
      <c r="A299" s="423" t="s">
        <v>1624</v>
      </c>
      <c r="B299" s="423" t="s">
        <v>1625</v>
      </c>
      <c r="E299" s="423" t="s">
        <v>1626</v>
      </c>
      <c r="F299" s="423" t="s">
        <v>1627</v>
      </c>
      <c r="G299" s="60">
        <v>1</v>
      </c>
      <c r="H299" s="54" t="s">
        <v>73</v>
      </c>
      <c r="L299" s="356" t="s">
        <v>163</v>
      </c>
      <c r="M299" s="96" t="s">
        <v>1628</v>
      </c>
      <c r="N299" s="96" t="s">
        <v>1629</v>
      </c>
      <c r="O299" s="96" t="s">
        <v>1545</v>
      </c>
      <c r="P299" s="57" t="s">
        <v>41</v>
      </c>
      <c r="Q299" s="61">
        <v>46059</v>
      </c>
      <c r="R299" s="59" t="s">
        <v>41</v>
      </c>
      <c r="S299" s="60">
        <v>45500</v>
      </c>
      <c r="T299" s="56" t="str">
        <f t="shared" si="28"/>
        <v>0</v>
      </c>
      <c r="U299" s="357">
        <f t="shared" si="37"/>
        <v>45500</v>
      </c>
      <c r="V299" s="56">
        <f t="shared" si="35"/>
        <v>41363.63636363636</v>
      </c>
      <c r="W299" s="65">
        <f>IF(H299=재고내역!$F$9,출고요청서_raw!G299*1,IF(H299=재고내역!$F$10,출고요청서_raw!G299*2,IF(출고요청서_raw!H299=재고내역!$F$11,출고요청서_raw!G299*4,IF(출고요청서_raw!H299=재고내역!$F$12,출고요청서_raw!G299*6,IF(출고요청서_raw!H299=재고내역!$F$13,출고요청서_raw!G299*8)))))</f>
        <v>4</v>
      </c>
      <c r="Z299" s="56">
        <f>W299*재고내역!$M$6</f>
        <v>30748</v>
      </c>
      <c r="AA299" s="56">
        <f t="shared" si="36"/>
        <v>4550</v>
      </c>
      <c r="AB299" s="56">
        <f t="shared" si="29"/>
        <v>6065.6363636363603</v>
      </c>
      <c r="AC299" s="376">
        <f t="shared" si="30"/>
        <v>0.14664175824175818</v>
      </c>
    </row>
    <row r="300" spans="1:29" ht="15.75" customHeight="1">
      <c r="A300" s="423" t="s">
        <v>1630</v>
      </c>
      <c r="B300" s="423" t="s">
        <v>1631</v>
      </c>
      <c r="E300" s="423" t="s">
        <v>1632</v>
      </c>
      <c r="F300" s="423" t="s">
        <v>1633</v>
      </c>
      <c r="G300" s="60">
        <v>1</v>
      </c>
      <c r="H300" s="54" t="s">
        <v>73</v>
      </c>
      <c r="L300" s="356" t="s">
        <v>1634</v>
      </c>
      <c r="M300" s="96" t="s">
        <v>1635</v>
      </c>
      <c r="N300" s="96" t="s">
        <v>1636</v>
      </c>
      <c r="O300" s="96" t="s">
        <v>1545</v>
      </c>
      <c r="P300" s="57" t="s">
        <v>41</v>
      </c>
      <c r="Q300" s="61">
        <v>46059</v>
      </c>
      <c r="R300" s="59" t="s">
        <v>41</v>
      </c>
      <c r="S300" s="60">
        <v>45500</v>
      </c>
      <c r="T300" s="56" t="str">
        <f t="shared" si="28"/>
        <v>0</v>
      </c>
      <c r="U300" s="357">
        <f t="shared" si="37"/>
        <v>45500</v>
      </c>
      <c r="V300" s="56">
        <f t="shared" ref="V300:V363" si="38">U300/1.1</f>
        <v>41363.63636363636</v>
      </c>
      <c r="W300" s="65">
        <f>IF(H300=재고내역!$F$9,출고요청서_raw!G300*1,IF(H300=재고내역!$F$10,출고요청서_raw!G300*2,IF(출고요청서_raw!H300=재고내역!$F$11,출고요청서_raw!G300*4,IF(출고요청서_raw!H300=재고내역!$F$12,출고요청서_raw!G300*6,IF(출고요청서_raw!H300=재고내역!$F$13,출고요청서_raw!G300*8)))))</f>
        <v>4</v>
      </c>
      <c r="Z300" s="56">
        <f>W300*재고내역!$M$6</f>
        <v>30748</v>
      </c>
      <c r="AA300" s="56">
        <f t="shared" si="36"/>
        <v>4550</v>
      </c>
      <c r="AB300" s="56">
        <f t="shared" si="29"/>
        <v>6065.6363636363603</v>
      </c>
      <c r="AC300" s="376">
        <f t="shared" si="30"/>
        <v>0.14664175824175818</v>
      </c>
    </row>
    <row r="301" spans="1:29" ht="15.75" customHeight="1">
      <c r="A301" s="423" t="s">
        <v>1637</v>
      </c>
      <c r="B301" s="423" t="s">
        <v>1638</v>
      </c>
      <c r="E301" s="423" t="s">
        <v>1639</v>
      </c>
      <c r="F301" s="423" t="s">
        <v>1640</v>
      </c>
      <c r="G301" s="60">
        <v>1</v>
      </c>
      <c r="H301" s="54" t="s">
        <v>73</v>
      </c>
      <c r="L301" s="356" t="s">
        <v>163</v>
      </c>
      <c r="M301" s="96" t="s">
        <v>1641</v>
      </c>
      <c r="N301" s="96" t="s">
        <v>1642</v>
      </c>
      <c r="O301" s="96" t="s">
        <v>1545</v>
      </c>
      <c r="P301" s="57" t="s">
        <v>41</v>
      </c>
      <c r="Q301" s="61">
        <v>46059</v>
      </c>
      <c r="R301" s="59" t="s">
        <v>41</v>
      </c>
      <c r="S301" s="60">
        <v>45500</v>
      </c>
      <c r="T301" s="56" t="str">
        <f t="shared" si="28"/>
        <v>0</v>
      </c>
      <c r="U301" s="357">
        <f t="shared" si="37"/>
        <v>45500</v>
      </c>
      <c r="V301" s="56">
        <f t="shared" si="38"/>
        <v>41363.63636363636</v>
      </c>
      <c r="W301" s="65">
        <f>IF(H301=재고내역!$F$9,출고요청서_raw!G301*1,IF(H301=재고내역!$F$10,출고요청서_raw!G301*2,IF(출고요청서_raw!H301=재고내역!$F$11,출고요청서_raw!G301*4,IF(출고요청서_raw!H301=재고내역!$F$12,출고요청서_raw!G301*6,IF(출고요청서_raw!H301=재고내역!$F$13,출고요청서_raw!G301*8)))))</f>
        <v>4</v>
      </c>
      <c r="Z301" s="56">
        <f>W301*재고내역!$M$6</f>
        <v>30748</v>
      </c>
      <c r="AA301" s="56">
        <f t="shared" si="36"/>
        <v>4550</v>
      </c>
      <c r="AB301" s="56">
        <f t="shared" si="29"/>
        <v>6065.6363636363603</v>
      </c>
      <c r="AC301" s="376">
        <f t="shared" si="30"/>
        <v>0.14664175824175818</v>
      </c>
    </row>
    <row r="302" spans="1:29" ht="15.75" customHeight="1">
      <c r="A302" s="423" t="s">
        <v>1643</v>
      </c>
      <c r="B302" s="423" t="s">
        <v>1644</v>
      </c>
      <c r="E302" s="423" t="s">
        <v>1645</v>
      </c>
      <c r="F302" s="423" t="s">
        <v>1646</v>
      </c>
      <c r="G302" s="60">
        <v>1</v>
      </c>
      <c r="H302" s="54" t="s">
        <v>73</v>
      </c>
      <c r="L302" s="356" t="s">
        <v>163</v>
      </c>
      <c r="M302" s="96" t="s">
        <v>1647</v>
      </c>
      <c r="N302" s="96" t="s">
        <v>1648</v>
      </c>
      <c r="O302" s="96" t="s">
        <v>1545</v>
      </c>
      <c r="P302" s="57" t="s">
        <v>41</v>
      </c>
      <c r="Q302" s="61">
        <v>46059</v>
      </c>
      <c r="R302" s="59" t="s">
        <v>41</v>
      </c>
      <c r="S302" s="60">
        <v>45500</v>
      </c>
      <c r="T302" s="56" t="str">
        <f t="shared" si="28"/>
        <v>0</v>
      </c>
      <c r="U302" s="357">
        <f t="shared" si="37"/>
        <v>45500</v>
      </c>
      <c r="V302" s="56">
        <f t="shared" si="38"/>
        <v>41363.63636363636</v>
      </c>
      <c r="W302" s="65">
        <f>IF(H302=재고내역!$F$9,출고요청서_raw!G302*1,IF(H302=재고내역!$F$10,출고요청서_raw!G302*2,IF(출고요청서_raw!H302=재고내역!$F$11,출고요청서_raw!G302*4,IF(출고요청서_raw!H302=재고내역!$F$12,출고요청서_raw!G302*6,IF(출고요청서_raw!H302=재고내역!$F$13,출고요청서_raw!G302*8)))))</f>
        <v>4</v>
      </c>
      <c r="Z302" s="56">
        <f>W302*재고내역!$M$6</f>
        <v>30748</v>
      </c>
      <c r="AA302" s="56">
        <f t="shared" si="36"/>
        <v>4550</v>
      </c>
      <c r="AB302" s="56">
        <f t="shared" si="29"/>
        <v>6065.6363636363603</v>
      </c>
      <c r="AC302" s="376">
        <f t="shared" si="30"/>
        <v>0.14664175824175818</v>
      </c>
    </row>
    <row r="303" spans="1:29" ht="15.75" customHeight="1">
      <c r="A303" s="423" t="s">
        <v>1649</v>
      </c>
      <c r="B303" s="423" t="s">
        <v>1650</v>
      </c>
      <c r="E303" s="423" t="s">
        <v>1651</v>
      </c>
      <c r="F303" s="423" t="s">
        <v>1652</v>
      </c>
      <c r="G303" s="60">
        <v>1</v>
      </c>
      <c r="H303" s="54" t="s">
        <v>73</v>
      </c>
      <c r="L303" s="356" t="s">
        <v>163</v>
      </c>
      <c r="M303" s="96" t="s">
        <v>1653</v>
      </c>
      <c r="N303" s="96" t="s">
        <v>1654</v>
      </c>
      <c r="O303" s="96" t="s">
        <v>1545</v>
      </c>
      <c r="P303" s="57" t="s">
        <v>41</v>
      </c>
      <c r="Q303" s="61">
        <v>46059</v>
      </c>
      <c r="R303" s="59" t="s">
        <v>41</v>
      </c>
      <c r="S303" s="60">
        <v>45500</v>
      </c>
      <c r="T303" s="56" t="str">
        <f t="shared" si="28"/>
        <v>0</v>
      </c>
      <c r="U303" s="357">
        <f t="shared" si="37"/>
        <v>45500</v>
      </c>
      <c r="V303" s="56">
        <f t="shared" si="38"/>
        <v>41363.63636363636</v>
      </c>
      <c r="W303" s="65">
        <f>IF(H303=재고내역!$F$9,출고요청서_raw!G303*1,IF(H303=재고내역!$F$10,출고요청서_raw!G303*2,IF(출고요청서_raw!H303=재고내역!$F$11,출고요청서_raw!G303*4,IF(출고요청서_raw!H303=재고내역!$F$12,출고요청서_raw!G303*6,IF(출고요청서_raw!H303=재고내역!$F$13,출고요청서_raw!G303*8)))))</f>
        <v>4</v>
      </c>
      <c r="Z303" s="56">
        <f>W303*재고내역!$M$6</f>
        <v>30748</v>
      </c>
      <c r="AA303" s="56">
        <f t="shared" si="36"/>
        <v>4550</v>
      </c>
      <c r="AB303" s="56">
        <f t="shared" si="29"/>
        <v>6065.6363636363603</v>
      </c>
      <c r="AC303" s="376">
        <f t="shared" si="30"/>
        <v>0.14664175824175818</v>
      </c>
    </row>
    <row r="304" spans="1:29" ht="15.75" customHeight="1">
      <c r="A304" s="423" t="s">
        <v>1655</v>
      </c>
      <c r="B304" s="423" t="s">
        <v>1656</v>
      </c>
      <c r="E304" s="423" t="s">
        <v>1657</v>
      </c>
      <c r="F304" s="423" t="s">
        <v>1658</v>
      </c>
      <c r="G304" s="60">
        <v>1</v>
      </c>
      <c r="H304" s="54" t="s">
        <v>73</v>
      </c>
      <c r="L304" s="356" t="s">
        <v>163</v>
      </c>
      <c r="M304" s="96" t="s">
        <v>1659</v>
      </c>
      <c r="N304" s="96" t="s">
        <v>1660</v>
      </c>
      <c r="O304" s="96" t="s">
        <v>1545</v>
      </c>
      <c r="P304" s="57" t="s">
        <v>41</v>
      </c>
      <c r="Q304" s="61">
        <v>46059</v>
      </c>
      <c r="R304" s="59" t="s">
        <v>41</v>
      </c>
      <c r="S304" s="60">
        <v>45500</v>
      </c>
      <c r="T304" s="56" t="str">
        <f t="shared" si="28"/>
        <v>0</v>
      </c>
      <c r="U304" s="357">
        <f t="shared" si="37"/>
        <v>45500</v>
      </c>
      <c r="V304" s="56">
        <f t="shared" si="38"/>
        <v>41363.63636363636</v>
      </c>
      <c r="W304" s="65">
        <f>IF(H304=재고내역!$F$9,출고요청서_raw!G304*1,IF(H304=재고내역!$F$10,출고요청서_raw!G304*2,IF(출고요청서_raw!H304=재고내역!$F$11,출고요청서_raw!G304*4,IF(출고요청서_raw!H304=재고내역!$F$12,출고요청서_raw!G304*6,IF(출고요청서_raw!H304=재고내역!$F$13,출고요청서_raw!G304*8)))))</f>
        <v>4</v>
      </c>
      <c r="Z304" s="56">
        <f>W304*재고내역!$M$6</f>
        <v>30748</v>
      </c>
      <c r="AA304" s="56">
        <f t="shared" si="36"/>
        <v>4550</v>
      </c>
      <c r="AB304" s="56">
        <f t="shared" si="29"/>
        <v>6065.6363636363603</v>
      </c>
      <c r="AC304" s="376">
        <f t="shared" si="30"/>
        <v>0.14664175824175818</v>
      </c>
    </row>
    <row r="305" spans="1:29" ht="15.75" customHeight="1">
      <c r="A305" s="423" t="s">
        <v>1661</v>
      </c>
      <c r="B305" s="423" t="s">
        <v>1662</v>
      </c>
      <c r="E305" s="423" t="s">
        <v>1663</v>
      </c>
      <c r="F305" s="423" t="s">
        <v>1664</v>
      </c>
      <c r="G305" s="60">
        <v>1</v>
      </c>
      <c r="H305" s="54" t="s">
        <v>73</v>
      </c>
      <c r="L305" s="356" t="s">
        <v>163</v>
      </c>
      <c r="M305" s="96" t="s">
        <v>1665</v>
      </c>
      <c r="N305" s="96" t="s">
        <v>1666</v>
      </c>
      <c r="O305" s="96" t="s">
        <v>1545</v>
      </c>
      <c r="P305" s="57" t="s">
        <v>41</v>
      </c>
      <c r="Q305" s="61">
        <v>46059</v>
      </c>
      <c r="R305" s="59" t="s">
        <v>41</v>
      </c>
      <c r="S305" s="60">
        <v>45500</v>
      </c>
      <c r="T305" s="56" t="str">
        <f t="shared" si="28"/>
        <v>0</v>
      </c>
      <c r="U305" s="357">
        <f t="shared" si="37"/>
        <v>45500</v>
      </c>
      <c r="V305" s="56">
        <f t="shared" si="38"/>
        <v>41363.63636363636</v>
      </c>
      <c r="W305" s="65">
        <f>IF(H305=재고내역!$F$9,출고요청서_raw!G305*1,IF(H305=재고내역!$F$10,출고요청서_raw!G305*2,IF(출고요청서_raw!H305=재고내역!$F$11,출고요청서_raw!G305*4,IF(출고요청서_raw!H305=재고내역!$F$12,출고요청서_raw!G305*6,IF(출고요청서_raw!H305=재고내역!$F$13,출고요청서_raw!G305*8)))))</f>
        <v>4</v>
      </c>
      <c r="Z305" s="56">
        <f>W305*재고내역!$M$6</f>
        <v>30748</v>
      </c>
      <c r="AA305" s="56">
        <f t="shared" si="36"/>
        <v>4550</v>
      </c>
      <c r="AB305" s="56">
        <f t="shared" si="29"/>
        <v>6065.6363636363603</v>
      </c>
      <c r="AC305" s="376">
        <f t="shared" si="30"/>
        <v>0.14664175824175818</v>
      </c>
    </row>
    <row r="306" spans="1:29" ht="15.75" customHeight="1">
      <c r="A306" s="423" t="s">
        <v>1667</v>
      </c>
      <c r="B306" s="423" t="s">
        <v>1668</v>
      </c>
      <c r="E306" s="423" t="s">
        <v>1669</v>
      </c>
      <c r="F306" s="423" t="s">
        <v>1670</v>
      </c>
      <c r="G306" s="60">
        <v>1</v>
      </c>
      <c r="H306" s="54" t="s">
        <v>73</v>
      </c>
      <c r="L306" s="356" t="s">
        <v>163</v>
      </c>
      <c r="M306" s="96" t="s">
        <v>1671</v>
      </c>
      <c r="N306" s="96" t="s">
        <v>1672</v>
      </c>
      <c r="O306" s="96" t="s">
        <v>1545</v>
      </c>
      <c r="P306" s="57" t="s">
        <v>41</v>
      </c>
      <c r="Q306" s="61">
        <v>46059</v>
      </c>
      <c r="R306" s="59" t="s">
        <v>41</v>
      </c>
      <c r="S306" s="60">
        <v>45500</v>
      </c>
      <c r="T306" s="56" t="str">
        <f t="shared" si="28"/>
        <v>0</v>
      </c>
      <c r="U306" s="357">
        <f t="shared" si="37"/>
        <v>45500</v>
      </c>
      <c r="V306" s="56">
        <f t="shared" si="38"/>
        <v>41363.63636363636</v>
      </c>
      <c r="W306" s="65">
        <f>IF(H306=재고내역!$F$9,출고요청서_raw!G306*1,IF(H306=재고내역!$F$10,출고요청서_raw!G306*2,IF(출고요청서_raw!H306=재고내역!$F$11,출고요청서_raw!G306*4,IF(출고요청서_raw!H306=재고내역!$F$12,출고요청서_raw!G306*6,IF(출고요청서_raw!H306=재고내역!$F$13,출고요청서_raw!G306*8)))))</f>
        <v>4</v>
      </c>
      <c r="Z306" s="56">
        <f>W306*재고내역!$M$6</f>
        <v>30748</v>
      </c>
      <c r="AA306" s="56">
        <f t="shared" si="36"/>
        <v>4550</v>
      </c>
      <c r="AB306" s="56">
        <f t="shared" si="29"/>
        <v>6065.6363636363603</v>
      </c>
      <c r="AC306" s="376">
        <f t="shared" si="30"/>
        <v>0.14664175824175818</v>
      </c>
    </row>
    <row r="307" spans="1:29" ht="15.75" customHeight="1">
      <c r="A307" s="423" t="s">
        <v>1673</v>
      </c>
      <c r="B307" s="423" t="s">
        <v>1674</v>
      </c>
      <c r="E307" s="423" t="s">
        <v>1675</v>
      </c>
      <c r="F307" s="423" t="s">
        <v>1676</v>
      </c>
      <c r="G307" s="60">
        <v>1</v>
      </c>
      <c r="H307" s="54" t="s">
        <v>73</v>
      </c>
      <c r="L307" s="356" t="s">
        <v>163</v>
      </c>
      <c r="M307" s="96" t="s">
        <v>1677</v>
      </c>
      <c r="N307" s="96" t="s">
        <v>1678</v>
      </c>
      <c r="O307" s="96" t="s">
        <v>1545</v>
      </c>
      <c r="P307" s="57" t="s">
        <v>41</v>
      </c>
      <c r="Q307" s="61">
        <v>46059</v>
      </c>
      <c r="R307" s="59" t="s">
        <v>41</v>
      </c>
      <c r="S307" s="60">
        <v>45500</v>
      </c>
      <c r="T307" s="56" t="str">
        <f t="shared" si="28"/>
        <v>0</v>
      </c>
      <c r="U307" s="357">
        <f t="shared" si="37"/>
        <v>45500</v>
      </c>
      <c r="V307" s="56">
        <f t="shared" si="38"/>
        <v>41363.63636363636</v>
      </c>
      <c r="W307" s="65">
        <f>IF(H307=재고내역!$F$9,출고요청서_raw!G307*1,IF(H307=재고내역!$F$10,출고요청서_raw!G307*2,IF(출고요청서_raw!H307=재고내역!$F$11,출고요청서_raw!G307*4,IF(출고요청서_raw!H307=재고내역!$F$12,출고요청서_raw!G307*6,IF(출고요청서_raw!H307=재고내역!$F$13,출고요청서_raw!G307*8)))))</f>
        <v>4</v>
      </c>
      <c r="Z307" s="56">
        <f>W307*재고내역!$M$6</f>
        <v>30748</v>
      </c>
      <c r="AA307" s="56">
        <f t="shared" si="36"/>
        <v>4550</v>
      </c>
      <c r="AB307" s="56">
        <f t="shared" si="29"/>
        <v>6065.6363636363603</v>
      </c>
      <c r="AC307" s="376">
        <f t="shared" si="30"/>
        <v>0.14664175824175818</v>
      </c>
    </row>
    <row r="308" spans="1:29" ht="15.75" customHeight="1">
      <c r="A308" s="423" t="s">
        <v>1679</v>
      </c>
      <c r="B308" s="423" t="s">
        <v>1680</v>
      </c>
      <c r="E308" s="423" t="s">
        <v>1681</v>
      </c>
      <c r="F308" s="423" t="s">
        <v>1682</v>
      </c>
      <c r="G308" s="60">
        <v>1</v>
      </c>
      <c r="H308" s="54" t="s">
        <v>73</v>
      </c>
      <c r="L308" s="356" t="s">
        <v>163</v>
      </c>
      <c r="M308" s="96" t="s">
        <v>1683</v>
      </c>
      <c r="N308" s="96" t="s">
        <v>1684</v>
      </c>
      <c r="O308" s="96" t="s">
        <v>1545</v>
      </c>
      <c r="P308" s="57" t="s">
        <v>41</v>
      </c>
      <c r="Q308" s="61">
        <v>46059</v>
      </c>
      <c r="R308" s="59" t="s">
        <v>41</v>
      </c>
      <c r="S308" s="60">
        <v>45500</v>
      </c>
      <c r="T308" s="56" t="str">
        <f t="shared" si="28"/>
        <v>0</v>
      </c>
      <c r="U308" s="357">
        <f t="shared" si="37"/>
        <v>45500</v>
      </c>
      <c r="V308" s="56">
        <f t="shared" si="38"/>
        <v>41363.63636363636</v>
      </c>
      <c r="W308" s="65">
        <f>IF(H308=재고내역!$F$9,출고요청서_raw!G308*1,IF(H308=재고내역!$F$10,출고요청서_raw!G308*2,IF(출고요청서_raw!H308=재고내역!$F$11,출고요청서_raw!G308*4,IF(출고요청서_raw!H308=재고내역!$F$12,출고요청서_raw!G308*6,IF(출고요청서_raw!H308=재고내역!$F$13,출고요청서_raw!G308*8)))))</f>
        <v>4</v>
      </c>
      <c r="Z308" s="56">
        <f>W308*재고내역!$M$6</f>
        <v>30748</v>
      </c>
      <c r="AA308" s="56">
        <f t="shared" si="36"/>
        <v>4550</v>
      </c>
      <c r="AB308" s="56">
        <f t="shared" si="29"/>
        <v>6065.6363636363603</v>
      </c>
      <c r="AC308" s="376">
        <f t="shared" si="30"/>
        <v>0.14664175824175818</v>
      </c>
    </row>
    <row r="309" spans="1:29" ht="15.75" customHeight="1">
      <c r="A309" s="423" t="s">
        <v>1685</v>
      </c>
      <c r="B309" s="423" t="s">
        <v>1686</v>
      </c>
      <c r="E309" s="423" t="s">
        <v>1687</v>
      </c>
      <c r="F309" s="423" t="s">
        <v>1688</v>
      </c>
      <c r="G309" s="60">
        <v>3</v>
      </c>
      <c r="H309" s="54" t="s">
        <v>73</v>
      </c>
      <c r="L309" s="356" t="s">
        <v>608</v>
      </c>
      <c r="M309" s="96" t="s">
        <v>1689</v>
      </c>
      <c r="N309" s="96" t="s">
        <v>1690</v>
      </c>
      <c r="O309" s="96" t="s">
        <v>1545</v>
      </c>
      <c r="P309" s="57" t="s">
        <v>41</v>
      </c>
      <c r="Q309" s="61">
        <v>46059</v>
      </c>
      <c r="R309" s="59" t="s">
        <v>41</v>
      </c>
      <c r="S309" s="60">
        <v>45500</v>
      </c>
      <c r="T309" s="56" t="str">
        <f t="shared" si="28"/>
        <v>0</v>
      </c>
      <c r="U309" s="357">
        <f t="shared" si="37"/>
        <v>136500</v>
      </c>
      <c r="V309" s="56">
        <f t="shared" si="38"/>
        <v>124090.90909090907</v>
      </c>
      <c r="W309" s="65">
        <f>IF(H309=재고내역!$F$9,출고요청서_raw!G309*1,IF(H309=재고내역!$F$10,출고요청서_raw!G309*2,IF(출고요청서_raw!H309=재고내역!$F$11,출고요청서_raw!G309*4,IF(출고요청서_raw!H309=재고내역!$F$12,출고요청서_raw!G309*6,IF(출고요청서_raw!H309=재고내역!$F$13,출고요청서_raw!G309*8)))))</f>
        <v>12</v>
      </c>
      <c r="Z309" s="56">
        <f>W309*재고내역!$M$6</f>
        <v>92244</v>
      </c>
      <c r="AA309" s="56">
        <f t="shared" si="36"/>
        <v>9100</v>
      </c>
      <c r="AB309" s="56">
        <f t="shared" si="29"/>
        <v>22746.909090909074</v>
      </c>
      <c r="AC309" s="376">
        <f t="shared" si="30"/>
        <v>0.18330842490842481</v>
      </c>
    </row>
    <row r="310" spans="1:29" ht="15.75" customHeight="1">
      <c r="A310" s="423" t="s">
        <v>1691</v>
      </c>
      <c r="B310" s="423" t="s">
        <v>1692</v>
      </c>
      <c r="E310" s="423" t="s">
        <v>1693</v>
      </c>
      <c r="F310" s="423" t="s">
        <v>1694</v>
      </c>
      <c r="G310" s="60">
        <v>1</v>
      </c>
      <c r="H310" s="54" t="s">
        <v>73</v>
      </c>
      <c r="L310" s="356" t="s">
        <v>163</v>
      </c>
      <c r="M310" s="96" t="s">
        <v>1695</v>
      </c>
      <c r="N310" s="96" t="s">
        <v>1696</v>
      </c>
      <c r="O310" s="96" t="s">
        <v>1545</v>
      </c>
      <c r="P310" s="57" t="s">
        <v>41</v>
      </c>
      <c r="Q310" s="61">
        <v>46059</v>
      </c>
      <c r="R310" s="59" t="s">
        <v>41</v>
      </c>
      <c r="S310" s="60">
        <v>45500</v>
      </c>
      <c r="T310" s="56" t="str">
        <f t="shared" si="28"/>
        <v>0</v>
      </c>
      <c r="U310" s="357">
        <f t="shared" si="37"/>
        <v>45500</v>
      </c>
      <c r="V310" s="56">
        <f t="shared" si="38"/>
        <v>41363.63636363636</v>
      </c>
      <c r="W310" s="65">
        <f>IF(H310=재고내역!$F$9,출고요청서_raw!G310*1,IF(H310=재고내역!$F$10,출고요청서_raw!G310*2,IF(출고요청서_raw!H310=재고내역!$F$11,출고요청서_raw!G310*4,IF(출고요청서_raw!H310=재고내역!$F$12,출고요청서_raw!G310*6,IF(출고요청서_raw!H310=재고내역!$F$13,출고요청서_raw!G310*8)))))</f>
        <v>4</v>
      </c>
      <c r="Z310" s="56">
        <f>W310*재고내역!$M$6</f>
        <v>30748</v>
      </c>
      <c r="AA310" s="56">
        <f t="shared" si="36"/>
        <v>4550</v>
      </c>
      <c r="AB310" s="56">
        <f t="shared" si="29"/>
        <v>6065.6363636363603</v>
      </c>
      <c r="AC310" s="376">
        <f t="shared" si="30"/>
        <v>0.14664175824175818</v>
      </c>
    </row>
    <row r="311" spans="1:29" ht="15.75" customHeight="1">
      <c r="A311" s="423" t="s">
        <v>1697</v>
      </c>
      <c r="B311" s="423" t="s">
        <v>1698</v>
      </c>
      <c r="E311" s="423" t="s">
        <v>1699</v>
      </c>
      <c r="F311" s="423" t="s">
        <v>1700</v>
      </c>
      <c r="G311" s="60">
        <v>1</v>
      </c>
      <c r="H311" s="54" t="s">
        <v>73</v>
      </c>
      <c r="L311" s="356" t="s">
        <v>163</v>
      </c>
      <c r="M311" s="96" t="s">
        <v>1701</v>
      </c>
      <c r="N311" s="96" t="s">
        <v>1702</v>
      </c>
      <c r="O311" s="96" t="s">
        <v>1545</v>
      </c>
      <c r="P311" s="57" t="s">
        <v>41</v>
      </c>
      <c r="Q311" s="61">
        <v>46059</v>
      </c>
      <c r="R311" s="59" t="s">
        <v>41</v>
      </c>
      <c r="S311" s="60">
        <v>45500</v>
      </c>
      <c r="T311" s="56" t="str">
        <f t="shared" si="28"/>
        <v>0</v>
      </c>
      <c r="U311" s="357">
        <f t="shared" si="37"/>
        <v>45500</v>
      </c>
      <c r="V311" s="56">
        <f t="shared" si="38"/>
        <v>41363.63636363636</v>
      </c>
      <c r="W311" s="65">
        <f>IF(H311=재고내역!$F$9,출고요청서_raw!G311*1,IF(H311=재고내역!$F$10,출고요청서_raw!G311*2,IF(출고요청서_raw!H311=재고내역!$F$11,출고요청서_raw!G311*4,IF(출고요청서_raw!H311=재고내역!$F$12,출고요청서_raw!G311*6,IF(출고요청서_raw!H311=재고내역!$F$13,출고요청서_raw!G311*8)))))</f>
        <v>4</v>
      </c>
      <c r="Z311" s="56">
        <f>W311*재고내역!$M$6</f>
        <v>30748</v>
      </c>
      <c r="AA311" s="56">
        <f t="shared" si="36"/>
        <v>4550</v>
      </c>
      <c r="AB311" s="56">
        <f t="shared" si="29"/>
        <v>6065.6363636363603</v>
      </c>
      <c r="AC311" s="376">
        <f t="shared" si="30"/>
        <v>0.14664175824175818</v>
      </c>
    </row>
    <row r="312" spans="1:29" ht="15.75" customHeight="1">
      <c r="A312" s="423" t="s">
        <v>1703</v>
      </c>
      <c r="B312" s="423" t="s">
        <v>1704</v>
      </c>
      <c r="E312" s="423" t="s">
        <v>1705</v>
      </c>
      <c r="F312" s="423" t="s">
        <v>1706</v>
      </c>
      <c r="G312" s="60">
        <v>1</v>
      </c>
      <c r="H312" s="54" t="s">
        <v>73</v>
      </c>
      <c r="L312" s="356" t="s">
        <v>163</v>
      </c>
      <c r="M312" s="96" t="s">
        <v>1707</v>
      </c>
      <c r="N312" s="96" t="s">
        <v>1708</v>
      </c>
      <c r="O312" s="96" t="s">
        <v>1545</v>
      </c>
      <c r="P312" s="57" t="s">
        <v>41</v>
      </c>
      <c r="Q312" s="61">
        <v>46059</v>
      </c>
      <c r="R312" s="59" t="s">
        <v>41</v>
      </c>
      <c r="S312" s="60">
        <v>45500</v>
      </c>
      <c r="T312" s="56" t="str">
        <f t="shared" si="28"/>
        <v>0</v>
      </c>
      <c r="U312" s="357">
        <f t="shared" si="37"/>
        <v>45500</v>
      </c>
      <c r="V312" s="56">
        <f t="shared" si="38"/>
        <v>41363.63636363636</v>
      </c>
      <c r="W312" s="65">
        <f>IF(H312=재고내역!$F$9,출고요청서_raw!G312*1,IF(H312=재고내역!$F$10,출고요청서_raw!G312*2,IF(출고요청서_raw!H312=재고내역!$F$11,출고요청서_raw!G312*4,IF(출고요청서_raw!H312=재고내역!$F$12,출고요청서_raw!G312*6,IF(출고요청서_raw!H312=재고내역!$F$13,출고요청서_raw!G312*8)))))</f>
        <v>4</v>
      </c>
      <c r="Z312" s="56">
        <f>W312*재고내역!$M$6</f>
        <v>30748</v>
      </c>
      <c r="AA312" s="56">
        <f t="shared" si="36"/>
        <v>4550</v>
      </c>
      <c r="AB312" s="56">
        <f t="shared" si="29"/>
        <v>6065.6363636363603</v>
      </c>
      <c r="AC312" s="376">
        <f t="shared" si="30"/>
        <v>0.14664175824175818</v>
      </c>
    </row>
    <row r="313" spans="1:29" ht="15.75" customHeight="1">
      <c r="A313" s="423" t="s">
        <v>1709</v>
      </c>
      <c r="B313" s="423" t="s">
        <v>1710</v>
      </c>
      <c r="E313" s="423" t="s">
        <v>1711</v>
      </c>
      <c r="F313" s="423" t="s">
        <v>1712</v>
      </c>
      <c r="G313" s="60">
        <v>1</v>
      </c>
      <c r="H313" s="54" t="s">
        <v>73</v>
      </c>
      <c r="L313" s="356" t="s">
        <v>163</v>
      </c>
      <c r="M313" s="96" t="s">
        <v>1713</v>
      </c>
      <c r="N313" s="96" t="s">
        <v>1714</v>
      </c>
      <c r="O313" s="96" t="s">
        <v>1545</v>
      </c>
      <c r="P313" s="57" t="s">
        <v>41</v>
      </c>
      <c r="Q313" s="61">
        <v>46059</v>
      </c>
      <c r="R313" s="59" t="s">
        <v>41</v>
      </c>
      <c r="S313" s="60">
        <v>45500</v>
      </c>
      <c r="T313" s="56" t="str">
        <f t="shared" si="28"/>
        <v>0</v>
      </c>
      <c r="U313" s="357">
        <f t="shared" si="37"/>
        <v>45500</v>
      </c>
      <c r="V313" s="56">
        <f t="shared" si="38"/>
        <v>41363.63636363636</v>
      </c>
      <c r="W313" s="65">
        <f>IF(H313=재고내역!$F$9,출고요청서_raw!G313*1,IF(H313=재고내역!$F$10,출고요청서_raw!G313*2,IF(출고요청서_raw!H313=재고내역!$F$11,출고요청서_raw!G313*4,IF(출고요청서_raw!H313=재고내역!$F$12,출고요청서_raw!G313*6,IF(출고요청서_raw!H313=재고내역!$F$13,출고요청서_raw!G313*8)))))</f>
        <v>4</v>
      </c>
      <c r="Z313" s="56">
        <f>W313*재고내역!$M$6</f>
        <v>30748</v>
      </c>
      <c r="AA313" s="56">
        <f t="shared" si="36"/>
        <v>4550</v>
      </c>
      <c r="AB313" s="56">
        <f t="shared" si="29"/>
        <v>6065.6363636363603</v>
      </c>
      <c r="AC313" s="376">
        <f t="shared" si="30"/>
        <v>0.14664175824175818</v>
      </c>
    </row>
    <row r="314" spans="1:29" ht="15.75" customHeight="1">
      <c r="A314" s="423" t="s">
        <v>1715</v>
      </c>
      <c r="B314" s="423" t="s">
        <v>1716</v>
      </c>
      <c r="E314" s="423" t="s">
        <v>1717</v>
      </c>
      <c r="F314" s="423" t="s">
        <v>1718</v>
      </c>
      <c r="G314" s="60">
        <v>1</v>
      </c>
      <c r="H314" s="54" t="s">
        <v>73</v>
      </c>
      <c r="L314" s="356" t="s">
        <v>163</v>
      </c>
      <c r="M314" s="96" t="s">
        <v>1719</v>
      </c>
      <c r="N314" s="96" t="s">
        <v>1720</v>
      </c>
      <c r="O314" s="96" t="s">
        <v>1545</v>
      </c>
      <c r="P314" s="57" t="s">
        <v>41</v>
      </c>
      <c r="Q314" s="61">
        <v>46059</v>
      </c>
      <c r="R314" s="59" t="s">
        <v>41</v>
      </c>
      <c r="S314" s="60">
        <v>45500</v>
      </c>
      <c r="T314" s="56" t="str">
        <f t="shared" si="28"/>
        <v>0</v>
      </c>
      <c r="U314" s="357">
        <f t="shared" si="37"/>
        <v>45500</v>
      </c>
      <c r="V314" s="56">
        <f t="shared" si="38"/>
        <v>41363.63636363636</v>
      </c>
      <c r="W314" s="65">
        <f>IF(H314=재고내역!$F$9,출고요청서_raw!G314*1,IF(H314=재고내역!$F$10,출고요청서_raw!G314*2,IF(출고요청서_raw!H314=재고내역!$F$11,출고요청서_raw!G314*4,IF(출고요청서_raw!H314=재고내역!$F$12,출고요청서_raw!G314*6,IF(출고요청서_raw!H314=재고내역!$F$13,출고요청서_raw!G314*8)))))</f>
        <v>4</v>
      </c>
      <c r="Z314" s="56">
        <f>W314*재고내역!$M$6</f>
        <v>30748</v>
      </c>
      <c r="AA314" s="56">
        <f t="shared" si="36"/>
        <v>4550</v>
      </c>
      <c r="AB314" s="56">
        <f t="shared" si="29"/>
        <v>6065.6363636363603</v>
      </c>
      <c r="AC314" s="376">
        <f t="shared" si="30"/>
        <v>0.14664175824175818</v>
      </c>
    </row>
    <row r="315" spans="1:29" ht="15.75" customHeight="1">
      <c r="A315" s="423" t="s">
        <v>1721</v>
      </c>
      <c r="B315" s="423" t="s">
        <v>1722</v>
      </c>
      <c r="E315" s="423" t="s">
        <v>1723</v>
      </c>
      <c r="F315" s="423" t="s">
        <v>1724</v>
      </c>
      <c r="G315" s="60">
        <v>1</v>
      </c>
      <c r="H315" s="54" t="s">
        <v>73</v>
      </c>
      <c r="L315" s="356" t="s">
        <v>163</v>
      </c>
      <c r="M315" s="96" t="s">
        <v>1725</v>
      </c>
      <c r="N315" s="96" t="s">
        <v>1726</v>
      </c>
      <c r="O315" s="96" t="s">
        <v>1545</v>
      </c>
      <c r="P315" s="57" t="s">
        <v>41</v>
      </c>
      <c r="Q315" s="61">
        <v>46059</v>
      </c>
      <c r="R315" s="59" t="s">
        <v>41</v>
      </c>
      <c r="S315" s="60">
        <v>45500</v>
      </c>
      <c r="T315" s="56" t="str">
        <f t="shared" si="28"/>
        <v>0</v>
      </c>
      <c r="U315" s="357">
        <f t="shared" si="37"/>
        <v>45500</v>
      </c>
      <c r="V315" s="56">
        <f t="shared" si="38"/>
        <v>41363.63636363636</v>
      </c>
      <c r="W315" s="65">
        <f>IF(H315=재고내역!$F$9,출고요청서_raw!G315*1,IF(H315=재고내역!$F$10,출고요청서_raw!G315*2,IF(출고요청서_raw!H315=재고내역!$F$11,출고요청서_raw!G315*4,IF(출고요청서_raw!H315=재고내역!$F$12,출고요청서_raw!G315*6,IF(출고요청서_raw!H315=재고내역!$F$13,출고요청서_raw!G315*8)))))</f>
        <v>4</v>
      </c>
      <c r="Z315" s="56">
        <f>W315*재고내역!$M$6</f>
        <v>30748</v>
      </c>
      <c r="AA315" s="56">
        <f t="shared" si="36"/>
        <v>4550</v>
      </c>
      <c r="AB315" s="56">
        <f t="shared" si="29"/>
        <v>6065.6363636363603</v>
      </c>
      <c r="AC315" s="376">
        <f t="shared" si="30"/>
        <v>0.14664175824175818</v>
      </c>
    </row>
    <row r="316" spans="1:29" ht="15.75" customHeight="1">
      <c r="A316" s="423" t="s">
        <v>1727</v>
      </c>
      <c r="B316" s="423" t="s">
        <v>1728</v>
      </c>
      <c r="E316" s="423" t="s">
        <v>1729</v>
      </c>
      <c r="F316" s="423" t="s">
        <v>1730</v>
      </c>
      <c r="G316" s="60">
        <v>1</v>
      </c>
      <c r="H316" s="54" t="s">
        <v>73</v>
      </c>
      <c r="L316" s="356" t="s">
        <v>163</v>
      </c>
      <c r="M316" s="96" t="s">
        <v>1731</v>
      </c>
      <c r="N316" s="96" t="s">
        <v>1732</v>
      </c>
      <c r="O316" s="96" t="s">
        <v>1545</v>
      </c>
      <c r="P316" s="57" t="s">
        <v>41</v>
      </c>
      <c r="Q316" s="61">
        <v>46059</v>
      </c>
      <c r="R316" s="59" t="s">
        <v>41</v>
      </c>
      <c r="S316" s="60">
        <v>45500</v>
      </c>
      <c r="T316" s="56" t="str">
        <f t="shared" si="28"/>
        <v>0</v>
      </c>
      <c r="U316" s="357">
        <f t="shared" si="37"/>
        <v>45500</v>
      </c>
      <c r="V316" s="56">
        <f t="shared" si="38"/>
        <v>41363.63636363636</v>
      </c>
      <c r="W316" s="65">
        <f>IF(H316=재고내역!$F$9,출고요청서_raw!G316*1,IF(H316=재고내역!$F$10,출고요청서_raw!G316*2,IF(출고요청서_raw!H316=재고내역!$F$11,출고요청서_raw!G316*4,IF(출고요청서_raw!H316=재고내역!$F$12,출고요청서_raw!G316*6,IF(출고요청서_raw!H316=재고내역!$F$13,출고요청서_raw!G316*8)))))</f>
        <v>4</v>
      </c>
      <c r="Z316" s="56">
        <f>W316*재고내역!$M$6</f>
        <v>30748</v>
      </c>
      <c r="AA316" s="56">
        <f t="shared" si="36"/>
        <v>4550</v>
      </c>
      <c r="AB316" s="56">
        <f t="shared" si="29"/>
        <v>6065.6363636363603</v>
      </c>
      <c r="AC316" s="376">
        <f t="shared" si="30"/>
        <v>0.14664175824175818</v>
      </c>
    </row>
    <row r="317" spans="1:29" ht="15.75" customHeight="1">
      <c r="A317" s="423" t="s">
        <v>1733</v>
      </c>
      <c r="B317" s="423" t="s">
        <v>1734</v>
      </c>
      <c r="E317" s="423" t="s">
        <v>1735</v>
      </c>
      <c r="F317" s="423" t="s">
        <v>1736</v>
      </c>
      <c r="G317" s="60">
        <v>1</v>
      </c>
      <c r="H317" s="54" t="s">
        <v>73</v>
      </c>
      <c r="L317" s="356" t="s">
        <v>163</v>
      </c>
      <c r="M317" s="96" t="s">
        <v>1737</v>
      </c>
      <c r="N317" s="96" t="s">
        <v>1738</v>
      </c>
      <c r="O317" s="96" t="s">
        <v>1545</v>
      </c>
      <c r="P317" s="57" t="s">
        <v>41</v>
      </c>
      <c r="Q317" s="61">
        <v>46059</v>
      </c>
      <c r="R317" s="59" t="s">
        <v>41</v>
      </c>
      <c r="S317" s="60">
        <v>45500</v>
      </c>
      <c r="T317" s="56" t="str">
        <f t="shared" si="28"/>
        <v>0</v>
      </c>
      <c r="U317" s="357">
        <f t="shared" ref="U317:U348" si="39">S317*G317</f>
        <v>45500</v>
      </c>
      <c r="V317" s="56">
        <f t="shared" si="38"/>
        <v>41363.63636363636</v>
      </c>
      <c r="W317" s="65">
        <f>IF(H317=재고내역!$F$9,출고요청서_raw!G317*1,IF(H317=재고내역!$F$10,출고요청서_raw!G317*2,IF(출고요청서_raw!H317=재고내역!$F$11,출고요청서_raw!G317*4,IF(출고요청서_raw!H317=재고내역!$F$12,출고요청서_raw!G317*6,IF(출고요청서_raw!H317=재고내역!$F$13,출고요청서_raw!G317*8)))))</f>
        <v>4</v>
      </c>
      <c r="Z317" s="56">
        <f>W317*재고내역!$M$6</f>
        <v>30748</v>
      </c>
      <c r="AA317" s="56">
        <f t="shared" ref="AA317:AA348" si="40">IF(W317&gt;8,4550*2,4550)</f>
        <v>4550</v>
      </c>
      <c r="AB317" s="56">
        <f t="shared" si="29"/>
        <v>6065.6363636363603</v>
      </c>
      <c r="AC317" s="376">
        <f t="shared" si="30"/>
        <v>0.14664175824175818</v>
      </c>
    </row>
    <row r="318" spans="1:29" ht="15.75" customHeight="1">
      <c r="A318" s="423" t="s">
        <v>1739</v>
      </c>
      <c r="B318" s="423" t="s">
        <v>1740</v>
      </c>
      <c r="E318" s="423" t="s">
        <v>1741</v>
      </c>
      <c r="F318" s="423" t="s">
        <v>1742</v>
      </c>
      <c r="G318" s="60">
        <v>1</v>
      </c>
      <c r="H318" s="54" t="s">
        <v>73</v>
      </c>
      <c r="L318" s="356" t="s">
        <v>1743</v>
      </c>
      <c r="M318" s="96" t="s">
        <v>1744</v>
      </c>
      <c r="N318" s="96" t="s">
        <v>1745</v>
      </c>
      <c r="O318" s="96" t="s">
        <v>1545</v>
      </c>
      <c r="P318" s="57" t="s">
        <v>41</v>
      </c>
      <c r="Q318" s="61">
        <v>46059</v>
      </c>
      <c r="R318" s="59" t="s">
        <v>41</v>
      </c>
      <c r="S318" s="60">
        <v>45500</v>
      </c>
      <c r="T318" s="56" t="str">
        <f t="shared" si="28"/>
        <v>0</v>
      </c>
      <c r="U318" s="357">
        <f t="shared" si="39"/>
        <v>45500</v>
      </c>
      <c r="V318" s="56">
        <f t="shared" si="38"/>
        <v>41363.63636363636</v>
      </c>
      <c r="W318" s="65">
        <f>IF(H318=재고내역!$F$9,출고요청서_raw!G318*1,IF(H318=재고내역!$F$10,출고요청서_raw!G318*2,IF(출고요청서_raw!H318=재고내역!$F$11,출고요청서_raw!G318*4,IF(출고요청서_raw!H318=재고내역!$F$12,출고요청서_raw!G318*6,IF(출고요청서_raw!H318=재고내역!$F$13,출고요청서_raw!G318*8)))))</f>
        <v>4</v>
      </c>
      <c r="Z318" s="56">
        <f>W318*재고내역!$M$6</f>
        <v>30748</v>
      </c>
      <c r="AA318" s="56">
        <f t="shared" si="40"/>
        <v>4550</v>
      </c>
      <c r="AB318" s="56">
        <f t="shared" si="29"/>
        <v>6065.6363636363603</v>
      </c>
      <c r="AC318" s="376">
        <f t="shared" si="30"/>
        <v>0.14664175824175818</v>
      </c>
    </row>
    <row r="319" spans="1:29" ht="15.75" customHeight="1">
      <c r="A319" s="423" t="s">
        <v>1746</v>
      </c>
      <c r="B319" s="423" t="s">
        <v>1747</v>
      </c>
      <c r="E319" s="423" t="s">
        <v>1748</v>
      </c>
      <c r="F319" s="423" t="s">
        <v>1749</v>
      </c>
      <c r="G319" s="60">
        <v>1</v>
      </c>
      <c r="H319" s="54" t="s">
        <v>73</v>
      </c>
      <c r="L319" s="356" t="s">
        <v>1750</v>
      </c>
      <c r="M319" s="96" t="s">
        <v>1751</v>
      </c>
      <c r="N319" s="96" t="s">
        <v>1752</v>
      </c>
      <c r="O319" s="96" t="s">
        <v>1545</v>
      </c>
      <c r="P319" s="57" t="s">
        <v>41</v>
      </c>
      <c r="Q319" s="61">
        <v>46059</v>
      </c>
      <c r="R319" s="59" t="s">
        <v>41</v>
      </c>
      <c r="S319" s="60">
        <v>45500</v>
      </c>
      <c r="T319" s="56" t="str">
        <f t="shared" si="28"/>
        <v>0</v>
      </c>
      <c r="U319" s="357">
        <f t="shared" si="39"/>
        <v>45500</v>
      </c>
      <c r="V319" s="56">
        <f t="shared" si="38"/>
        <v>41363.63636363636</v>
      </c>
      <c r="W319" s="65">
        <f>IF(H319=재고내역!$F$9,출고요청서_raw!G319*1,IF(H319=재고내역!$F$10,출고요청서_raw!G319*2,IF(출고요청서_raw!H319=재고내역!$F$11,출고요청서_raw!G319*4,IF(출고요청서_raw!H319=재고내역!$F$12,출고요청서_raw!G319*6,IF(출고요청서_raw!H319=재고내역!$F$13,출고요청서_raw!G319*8)))))</f>
        <v>4</v>
      </c>
      <c r="Z319" s="56">
        <f>W319*재고내역!$M$6</f>
        <v>30748</v>
      </c>
      <c r="AA319" s="56">
        <f t="shared" si="40"/>
        <v>4550</v>
      </c>
      <c r="AB319" s="56">
        <f t="shared" si="29"/>
        <v>6065.6363636363603</v>
      </c>
      <c r="AC319" s="376">
        <f t="shared" si="30"/>
        <v>0.14664175824175818</v>
      </c>
    </row>
    <row r="320" spans="1:29" ht="15.75" customHeight="1">
      <c r="A320" s="423" t="s">
        <v>1753</v>
      </c>
      <c r="B320" s="423" t="s">
        <v>1754</v>
      </c>
      <c r="E320" s="423" t="s">
        <v>1755</v>
      </c>
      <c r="F320" s="423" t="s">
        <v>1756</v>
      </c>
      <c r="G320" s="60">
        <v>1</v>
      </c>
      <c r="H320" s="54" t="s">
        <v>73</v>
      </c>
      <c r="L320" s="356" t="s">
        <v>163</v>
      </c>
      <c r="M320" s="96" t="s">
        <v>1757</v>
      </c>
      <c r="N320" s="96" t="s">
        <v>1758</v>
      </c>
      <c r="O320" s="96" t="s">
        <v>1545</v>
      </c>
      <c r="P320" s="57" t="s">
        <v>41</v>
      </c>
      <c r="Q320" s="61">
        <v>46059</v>
      </c>
      <c r="R320" s="59" t="s">
        <v>41</v>
      </c>
      <c r="S320" s="60">
        <v>45500</v>
      </c>
      <c r="T320" s="56" t="str">
        <f t="shared" si="28"/>
        <v>0</v>
      </c>
      <c r="U320" s="357">
        <f t="shared" si="39"/>
        <v>45500</v>
      </c>
      <c r="V320" s="56">
        <f t="shared" si="38"/>
        <v>41363.63636363636</v>
      </c>
      <c r="W320" s="65">
        <f>IF(H320=재고내역!$F$9,출고요청서_raw!G320*1,IF(H320=재고내역!$F$10,출고요청서_raw!G320*2,IF(출고요청서_raw!H320=재고내역!$F$11,출고요청서_raw!G320*4,IF(출고요청서_raw!H320=재고내역!$F$12,출고요청서_raw!G320*6,IF(출고요청서_raw!H320=재고내역!$F$13,출고요청서_raw!G320*8)))))</f>
        <v>4</v>
      </c>
      <c r="Z320" s="56">
        <f>W320*재고내역!$M$6</f>
        <v>30748</v>
      </c>
      <c r="AA320" s="56">
        <f t="shared" si="40"/>
        <v>4550</v>
      </c>
      <c r="AB320" s="56">
        <f t="shared" si="29"/>
        <v>6065.6363636363603</v>
      </c>
      <c r="AC320" s="376">
        <f t="shared" si="30"/>
        <v>0.14664175824175818</v>
      </c>
    </row>
    <row r="321" spans="1:29" ht="15.75" customHeight="1">
      <c r="A321" s="423" t="s">
        <v>1759</v>
      </c>
      <c r="B321" s="423" t="s">
        <v>1760</v>
      </c>
      <c r="E321" s="423" t="s">
        <v>1761</v>
      </c>
      <c r="F321" s="423" t="s">
        <v>1762</v>
      </c>
      <c r="G321" s="60">
        <v>1</v>
      </c>
      <c r="H321" s="54" t="s">
        <v>73</v>
      </c>
      <c r="L321" s="356" t="s">
        <v>163</v>
      </c>
      <c r="M321" s="96" t="s">
        <v>1763</v>
      </c>
      <c r="N321" s="96" t="s">
        <v>1764</v>
      </c>
      <c r="O321" s="96" t="s">
        <v>1545</v>
      </c>
      <c r="P321" s="57" t="s">
        <v>41</v>
      </c>
      <c r="Q321" s="61">
        <v>46059</v>
      </c>
      <c r="R321" s="59" t="s">
        <v>41</v>
      </c>
      <c r="S321" s="60">
        <v>45500</v>
      </c>
      <c r="T321" s="56" t="str">
        <f t="shared" si="28"/>
        <v>0</v>
      </c>
      <c r="U321" s="357">
        <f t="shared" si="39"/>
        <v>45500</v>
      </c>
      <c r="V321" s="56">
        <f t="shared" si="38"/>
        <v>41363.63636363636</v>
      </c>
      <c r="W321" s="65">
        <f>IF(H321=재고내역!$F$9,출고요청서_raw!G321*1,IF(H321=재고내역!$F$10,출고요청서_raw!G321*2,IF(출고요청서_raw!H321=재고내역!$F$11,출고요청서_raw!G321*4,IF(출고요청서_raw!H321=재고내역!$F$12,출고요청서_raw!G321*6,IF(출고요청서_raw!H321=재고내역!$F$13,출고요청서_raw!G321*8)))))</f>
        <v>4</v>
      </c>
      <c r="Z321" s="56">
        <f>W321*재고내역!$M$6</f>
        <v>30748</v>
      </c>
      <c r="AA321" s="56">
        <f t="shared" si="40"/>
        <v>4550</v>
      </c>
      <c r="AB321" s="56">
        <f t="shared" si="29"/>
        <v>6065.6363636363603</v>
      </c>
      <c r="AC321" s="376">
        <f t="shared" si="30"/>
        <v>0.14664175824175818</v>
      </c>
    </row>
    <row r="322" spans="1:29" ht="15.75" customHeight="1">
      <c r="A322" s="423" t="s">
        <v>1765</v>
      </c>
      <c r="B322" s="423" t="s">
        <v>1766</v>
      </c>
      <c r="E322" s="423" t="s">
        <v>1767</v>
      </c>
      <c r="F322" s="423" t="s">
        <v>1768</v>
      </c>
      <c r="G322" s="60">
        <v>1</v>
      </c>
      <c r="H322" s="54" t="s">
        <v>73</v>
      </c>
      <c r="L322" s="356" t="s">
        <v>163</v>
      </c>
      <c r="M322" s="96" t="s">
        <v>1769</v>
      </c>
      <c r="N322" s="96" t="s">
        <v>1770</v>
      </c>
      <c r="O322" s="96" t="s">
        <v>1545</v>
      </c>
      <c r="P322" s="57" t="s">
        <v>41</v>
      </c>
      <c r="Q322" s="61">
        <v>46059</v>
      </c>
      <c r="R322" s="59" t="s">
        <v>41</v>
      </c>
      <c r="S322" s="60">
        <v>45500</v>
      </c>
      <c r="T322" s="56" t="str">
        <f t="shared" si="28"/>
        <v>0</v>
      </c>
      <c r="U322" s="357">
        <f t="shared" si="39"/>
        <v>45500</v>
      </c>
      <c r="V322" s="56">
        <f t="shared" si="38"/>
        <v>41363.63636363636</v>
      </c>
      <c r="W322" s="65">
        <f>IF(H322=재고내역!$F$9,출고요청서_raw!G322*1,IF(H322=재고내역!$F$10,출고요청서_raw!G322*2,IF(출고요청서_raw!H322=재고내역!$F$11,출고요청서_raw!G322*4,IF(출고요청서_raw!H322=재고내역!$F$12,출고요청서_raw!G322*6,IF(출고요청서_raw!H322=재고내역!$F$13,출고요청서_raw!G322*8)))))</f>
        <v>4</v>
      </c>
      <c r="Z322" s="56">
        <f>W322*재고내역!$M$6</f>
        <v>30748</v>
      </c>
      <c r="AA322" s="56">
        <f t="shared" si="40"/>
        <v>4550</v>
      </c>
      <c r="AB322" s="56">
        <f t="shared" si="29"/>
        <v>6065.6363636363603</v>
      </c>
      <c r="AC322" s="376">
        <f t="shared" si="30"/>
        <v>0.14664175824175818</v>
      </c>
    </row>
    <row r="323" spans="1:29" ht="15.75" customHeight="1">
      <c r="A323" s="423" t="s">
        <v>1771</v>
      </c>
      <c r="B323" s="423" t="s">
        <v>1772</v>
      </c>
      <c r="E323" s="423" t="s">
        <v>559</v>
      </c>
      <c r="F323" s="423" t="s">
        <v>1773</v>
      </c>
      <c r="G323" s="60">
        <v>1</v>
      </c>
      <c r="H323" s="54" t="s">
        <v>73</v>
      </c>
      <c r="L323" s="356" t="s">
        <v>163</v>
      </c>
      <c r="M323" s="96" t="s">
        <v>1774</v>
      </c>
      <c r="N323" s="96" t="s">
        <v>1775</v>
      </c>
      <c r="O323" s="96" t="s">
        <v>1545</v>
      </c>
      <c r="P323" s="57" t="s">
        <v>41</v>
      </c>
      <c r="Q323" s="61">
        <v>46059</v>
      </c>
      <c r="R323" s="59" t="s">
        <v>41</v>
      </c>
      <c r="S323" s="60">
        <v>45500</v>
      </c>
      <c r="T323" s="56" t="str">
        <f t="shared" si="28"/>
        <v>0</v>
      </c>
      <c r="U323" s="357">
        <f t="shared" si="39"/>
        <v>45500</v>
      </c>
      <c r="V323" s="56">
        <f t="shared" si="38"/>
        <v>41363.63636363636</v>
      </c>
      <c r="W323" s="65">
        <f>IF(H323=재고내역!$F$9,출고요청서_raw!G323*1,IF(H323=재고내역!$F$10,출고요청서_raw!G323*2,IF(출고요청서_raw!H323=재고내역!$F$11,출고요청서_raw!G323*4,IF(출고요청서_raw!H323=재고내역!$F$12,출고요청서_raw!G323*6,IF(출고요청서_raw!H323=재고내역!$F$13,출고요청서_raw!G323*8)))))</f>
        <v>4</v>
      </c>
      <c r="Z323" s="56">
        <f>W323*재고내역!$M$6</f>
        <v>30748</v>
      </c>
      <c r="AA323" s="56">
        <f t="shared" si="40"/>
        <v>4550</v>
      </c>
      <c r="AB323" s="56">
        <f t="shared" si="29"/>
        <v>6065.6363636363603</v>
      </c>
      <c r="AC323" s="376">
        <f t="shared" si="30"/>
        <v>0.14664175824175818</v>
      </c>
    </row>
    <row r="324" spans="1:29" ht="15.75" customHeight="1">
      <c r="A324" s="423" t="s">
        <v>1776</v>
      </c>
      <c r="B324" s="423" t="s">
        <v>1777</v>
      </c>
      <c r="E324" s="423" t="s">
        <v>1778</v>
      </c>
      <c r="F324" s="423" t="s">
        <v>1779</v>
      </c>
      <c r="G324" s="60">
        <v>1</v>
      </c>
      <c r="H324" s="54" t="s">
        <v>73</v>
      </c>
      <c r="L324" s="356" t="s">
        <v>163</v>
      </c>
      <c r="M324" s="96" t="s">
        <v>1780</v>
      </c>
      <c r="N324" s="96" t="s">
        <v>1781</v>
      </c>
      <c r="O324" s="96" t="s">
        <v>1545</v>
      </c>
      <c r="P324" s="57" t="s">
        <v>41</v>
      </c>
      <c r="Q324" s="61">
        <v>46059</v>
      </c>
      <c r="R324" s="59" t="s">
        <v>41</v>
      </c>
      <c r="S324" s="60">
        <v>45500</v>
      </c>
      <c r="T324" s="56" t="str">
        <f t="shared" si="28"/>
        <v>0</v>
      </c>
      <c r="U324" s="357">
        <f t="shared" si="39"/>
        <v>45500</v>
      </c>
      <c r="V324" s="56">
        <f t="shared" si="38"/>
        <v>41363.63636363636</v>
      </c>
      <c r="W324" s="65">
        <f>IF(H324=재고내역!$F$9,출고요청서_raw!G324*1,IF(H324=재고내역!$F$10,출고요청서_raw!G324*2,IF(출고요청서_raw!H324=재고내역!$F$11,출고요청서_raw!G324*4,IF(출고요청서_raw!H324=재고내역!$F$12,출고요청서_raw!G324*6,IF(출고요청서_raw!H324=재고내역!$F$13,출고요청서_raw!G324*8)))))</f>
        <v>4</v>
      </c>
      <c r="Z324" s="56">
        <f>W324*재고내역!$M$6</f>
        <v>30748</v>
      </c>
      <c r="AA324" s="56">
        <f t="shared" si="40"/>
        <v>4550</v>
      </c>
      <c r="AB324" s="56">
        <f t="shared" si="29"/>
        <v>6065.6363636363603</v>
      </c>
      <c r="AC324" s="376">
        <f t="shared" si="30"/>
        <v>0.14664175824175818</v>
      </c>
    </row>
    <row r="325" spans="1:29" ht="15.75" customHeight="1">
      <c r="A325" s="423" t="s">
        <v>1782</v>
      </c>
      <c r="B325" s="423" t="s">
        <v>1783</v>
      </c>
      <c r="E325" s="423" t="s">
        <v>1784</v>
      </c>
      <c r="F325" s="423" t="s">
        <v>1785</v>
      </c>
      <c r="G325" s="60">
        <v>1</v>
      </c>
      <c r="H325" s="54" t="s">
        <v>73</v>
      </c>
      <c r="L325" s="356" t="s">
        <v>163</v>
      </c>
      <c r="M325" s="96" t="s">
        <v>1786</v>
      </c>
      <c r="N325" s="96" t="s">
        <v>1787</v>
      </c>
      <c r="O325" s="96" t="s">
        <v>1545</v>
      </c>
      <c r="P325" s="57" t="s">
        <v>41</v>
      </c>
      <c r="Q325" s="61">
        <v>46059</v>
      </c>
      <c r="R325" s="59" t="s">
        <v>41</v>
      </c>
      <c r="S325" s="60">
        <v>45500</v>
      </c>
      <c r="T325" s="56" t="str">
        <f t="shared" si="28"/>
        <v>0</v>
      </c>
      <c r="U325" s="357">
        <f t="shared" si="39"/>
        <v>45500</v>
      </c>
      <c r="V325" s="56">
        <f t="shared" si="38"/>
        <v>41363.63636363636</v>
      </c>
      <c r="W325" s="65">
        <f>IF(H325=재고내역!$F$9,출고요청서_raw!G325*1,IF(H325=재고내역!$F$10,출고요청서_raw!G325*2,IF(출고요청서_raw!H325=재고내역!$F$11,출고요청서_raw!G325*4,IF(출고요청서_raw!H325=재고내역!$F$12,출고요청서_raw!G325*6,IF(출고요청서_raw!H325=재고내역!$F$13,출고요청서_raw!G325*8)))))</f>
        <v>4</v>
      </c>
      <c r="Z325" s="56">
        <f>W325*재고내역!$M$6</f>
        <v>30748</v>
      </c>
      <c r="AA325" s="56">
        <f t="shared" si="40"/>
        <v>4550</v>
      </c>
      <c r="AB325" s="56">
        <f t="shared" si="29"/>
        <v>6065.6363636363603</v>
      </c>
      <c r="AC325" s="376">
        <f t="shared" si="30"/>
        <v>0.14664175824175818</v>
      </c>
    </row>
    <row r="326" spans="1:29" ht="15.75" customHeight="1">
      <c r="A326" s="423" t="s">
        <v>1788</v>
      </c>
      <c r="B326" s="423" t="s">
        <v>1789</v>
      </c>
      <c r="E326" s="423" t="s">
        <v>1790</v>
      </c>
      <c r="F326" s="423" t="s">
        <v>1791</v>
      </c>
      <c r="G326" s="60">
        <v>1</v>
      </c>
      <c r="H326" s="54" t="s">
        <v>73</v>
      </c>
      <c r="L326" s="356" t="s">
        <v>163</v>
      </c>
      <c r="M326" s="96" t="s">
        <v>1792</v>
      </c>
      <c r="N326" s="96" t="s">
        <v>1793</v>
      </c>
      <c r="O326" s="96" t="s">
        <v>1545</v>
      </c>
      <c r="P326" s="57" t="s">
        <v>41</v>
      </c>
      <c r="Q326" s="61">
        <v>46059</v>
      </c>
      <c r="R326" s="59" t="s">
        <v>41</v>
      </c>
      <c r="S326" s="60">
        <v>45500</v>
      </c>
      <c r="T326" s="56" t="str">
        <f t="shared" ref="T326:T389" si="41">IF(R326="쿠팡",VLOOKUP(H326,$AF$7:$AG$10,2,0)*G326,"0")</f>
        <v>0</v>
      </c>
      <c r="U326" s="357">
        <f t="shared" si="39"/>
        <v>45500</v>
      </c>
      <c r="V326" s="56">
        <f t="shared" si="38"/>
        <v>41363.63636363636</v>
      </c>
      <c r="W326" s="65">
        <f>IF(H326=재고내역!$F$9,출고요청서_raw!G326*1,IF(H326=재고내역!$F$10,출고요청서_raw!G326*2,IF(출고요청서_raw!H326=재고내역!$F$11,출고요청서_raw!G326*4,IF(출고요청서_raw!H326=재고내역!$F$12,출고요청서_raw!G326*6,IF(출고요청서_raw!H326=재고내역!$F$13,출고요청서_raw!G326*8)))))</f>
        <v>4</v>
      </c>
      <c r="Z326" s="56">
        <f>W326*재고내역!$M$6</f>
        <v>30748</v>
      </c>
      <c r="AA326" s="56">
        <f t="shared" si="40"/>
        <v>4550</v>
      </c>
      <c r="AB326" s="56">
        <f t="shared" ref="AB326:AB389" si="42">V326-Z326-AA326-Y326</f>
        <v>6065.6363636363603</v>
      </c>
      <c r="AC326" s="376">
        <f t="shared" ref="AC326:AC389" si="43">AB326/V326</f>
        <v>0.14664175824175818</v>
      </c>
    </row>
    <row r="327" spans="1:29" ht="15.75" customHeight="1">
      <c r="A327" s="423" t="s">
        <v>1794</v>
      </c>
      <c r="B327" s="423" t="s">
        <v>1795</v>
      </c>
      <c r="E327" s="423" t="s">
        <v>1796</v>
      </c>
      <c r="F327" s="423" t="s">
        <v>1797</v>
      </c>
      <c r="G327" s="60">
        <v>1</v>
      </c>
      <c r="H327" s="54" t="s">
        <v>73</v>
      </c>
      <c r="L327" s="356" t="s">
        <v>163</v>
      </c>
      <c r="M327" s="96" t="s">
        <v>1798</v>
      </c>
      <c r="N327" s="96" t="s">
        <v>1799</v>
      </c>
      <c r="O327" s="96" t="s">
        <v>1545</v>
      </c>
      <c r="P327" s="57" t="s">
        <v>41</v>
      </c>
      <c r="Q327" s="61">
        <v>46059</v>
      </c>
      <c r="R327" s="59" t="s">
        <v>41</v>
      </c>
      <c r="S327" s="60">
        <v>45500</v>
      </c>
      <c r="T327" s="56" t="str">
        <f t="shared" si="41"/>
        <v>0</v>
      </c>
      <c r="U327" s="357">
        <f t="shared" si="39"/>
        <v>45500</v>
      </c>
      <c r="V327" s="56">
        <f t="shared" si="38"/>
        <v>41363.63636363636</v>
      </c>
      <c r="W327" s="65">
        <f>IF(H327=재고내역!$F$9,출고요청서_raw!G327*1,IF(H327=재고내역!$F$10,출고요청서_raw!G327*2,IF(출고요청서_raw!H327=재고내역!$F$11,출고요청서_raw!G327*4,IF(출고요청서_raw!H327=재고내역!$F$12,출고요청서_raw!G327*6,IF(출고요청서_raw!H327=재고내역!$F$13,출고요청서_raw!G327*8)))))</f>
        <v>4</v>
      </c>
      <c r="Z327" s="56">
        <f>W327*재고내역!$M$6</f>
        <v>30748</v>
      </c>
      <c r="AA327" s="56">
        <f t="shared" si="40"/>
        <v>4550</v>
      </c>
      <c r="AB327" s="56">
        <f t="shared" si="42"/>
        <v>6065.6363636363603</v>
      </c>
      <c r="AC327" s="376">
        <f t="shared" si="43"/>
        <v>0.14664175824175818</v>
      </c>
    </row>
    <row r="328" spans="1:29" ht="15.75" customHeight="1">
      <c r="A328" s="423" t="s">
        <v>1800</v>
      </c>
      <c r="B328" s="423" t="s">
        <v>1801</v>
      </c>
      <c r="E328" s="423" t="s">
        <v>1802</v>
      </c>
      <c r="F328" s="423" t="s">
        <v>1803</v>
      </c>
      <c r="G328" s="60">
        <v>1</v>
      </c>
      <c r="H328" s="54" t="s">
        <v>73</v>
      </c>
      <c r="L328" s="356" t="s">
        <v>163</v>
      </c>
      <c r="M328" s="96" t="s">
        <v>1804</v>
      </c>
      <c r="N328" s="96" t="s">
        <v>1805</v>
      </c>
      <c r="O328" s="96" t="s">
        <v>1545</v>
      </c>
      <c r="P328" s="57" t="s">
        <v>41</v>
      </c>
      <c r="Q328" s="61">
        <v>46059</v>
      </c>
      <c r="R328" s="59" t="s">
        <v>41</v>
      </c>
      <c r="S328" s="60">
        <v>45500</v>
      </c>
      <c r="T328" s="56" t="str">
        <f t="shared" si="41"/>
        <v>0</v>
      </c>
      <c r="U328" s="357">
        <f t="shared" si="39"/>
        <v>45500</v>
      </c>
      <c r="V328" s="56">
        <f t="shared" si="38"/>
        <v>41363.63636363636</v>
      </c>
      <c r="W328" s="65">
        <f>IF(H328=재고내역!$F$9,출고요청서_raw!G328*1,IF(H328=재고내역!$F$10,출고요청서_raw!G328*2,IF(출고요청서_raw!H328=재고내역!$F$11,출고요청서_raw!G328*4,IF(출고요청서_raw!H328=재고내역!$F$12,출고요청서_raw!G328*6,IF(출고요청서_raw!H328=재고내역!$F$13,출고요청서_raw!G328*8)))))</f>
        <v>4</v>
      </c>
      <c r="Z328" s="56">
        <f>W328*재고내역!$M$6</f>
        <v>30748</v>
      </c>
      <c r="AA328" s="56">
        <f t="shared" si="40"/>
        <v>4550</v>
      </c>
      <c r="AB328" s="56">
        <f t="shared" si="42"/>
        <v>6065.6363636363603</v>
      </c>
      <c r="AC328" s="376">
        <f t="shared" si="43"/>
        <v>0.14664175824175818</v>
      </c>
    </row>
    <row r="329" spans="1:29" ht="15.75" customHeight="1">
      <c r="A329" s="423" t="s">
        <v>1806</v>
      </c>
      <c r="B329" s="423" t="s">
        <v>1807</v>
      </c>
      <c r="E329" s="423" t="s">
        <v>1808</v>
      </c>
      <c r="F329" s="423" t="s">
        <v>1809</v>
      </c>
      <c r="G329" s="370">
        <v>2</v>
      </c>
      <c r="H329" s="54" t="s">
        <v>73</v>
      </c>
      <c r="L329" s="356" t="s">
        <v>163</v>
      </c>
      <c r="M329" s="96" t="s">
        <v>1810</v>
      </c>
      <c r="N329" s="96" t="s">
        <v>1811</v>
      </c>
      <c r="O329" s="96" t="s">
        <v>1545</v>
      </c>
      <c r="P329" s="57" t="s">
        <v>41</v>
      </c>
      <c r="Q329" s="61">
        <v>46059</v>
      </c>
      <c r="R329" s="59" t="s">
        <v>41</v>
      </c>
      <c r="S329" s="60">
        <v>45500</v>
      </c>
      <c r="T329" s="56" t="str">
        <f t="shared" si="41"/>
        <v>0</v>
      </c>
      <c r="U329" s="357">
        <f t="shared" si="39"/>
        <v>91000</v>
      </c>
      <c r="V329" s="56">
        <f t="shared" si="38"/>
        <v>82727.272727272721</v>
      </c>
      <c r="W329" s="65">
        <f>IF(H329=재고내역!$F$9,출고요청서_raw!G329*1,IF(H329=재고내역!$F$10,출고요청서_raw!G329*2,IF(출고요청서_raw!H329=재고내역!$F$11,출고요청서_raw!G329*4,IF(출고요청서_raw!H329=재고내역!$F$12,출고요청서_raw!G329*6,IF(출고요청서_raw!H329=재고내역!$F$13,출고요청서_raw!G329*8)))))</f>
        <v>8</v>
      </c>
      <c r="Z329" s="56">
        <f>W329*재고내역!$M$6</f>
        <v>61496</v>
      </c>
      <c r="AA329" s="56">
        <f t="shared" si="40"/>
        <v>4550</v>
      </c>
      <c r="AB329" s="56">
        <f t="shared" si="42"/>
        <v>16681.272727272721</v>
      </c>
      <c r="AC329" s="376">
        <f t="shared" si="43"/>
        <v>0.20164175824175817</v>
      </c>
    </row>
    <row r="330" spans="1:29" ht="15.75" customHeight="1">
      <c r="A330" s="423" t="s">
        <v>1812</v>
      </c>
      <c r="B330" s="423" t="s">
        <v>1813</v>
      </c>
      <c r="E330" s="423" t="s">
        <v>1814</v>
      </c>
      <c r="F330" s="423" t="s">
        <v>1815</v>
      </c>
      <c r="G330" s="60">
        <v>1</v>
      </c>
      <c r="H330" s="54" t="s">
        <v>73</v>
      </c>
      <c r="L330" s="356" t="s">
        <v>163</v>
      </c>
      <c r="M330" s="96" t="s">
        <v>1816</v>
      </c>
      <c r="N330" s="96" t="s">
        <v>1817</v>
      </c>
      <c r="O330" s="96" t="s">
        <v>1545</v>
      </c>
      <c r="P330" s="57" t="s">
        <v>41</v>
      </c>
      <c r="Q330" s="61">
        <v>46059</v>
      </c>
      <c r="R330" s="59" t="s">
        <v>41</v>
      </c>
      <c r="S330" s="60">
        <v>45500</v>
      </c>
      <c r="T330" s="56" t="str">
        <f t="shared" si="41"/>
        <v>0</v>
      </c>
      <c r="U330" s="357">
        <f t="shared" si="39"/>
        <v>45500</v>
      </c>
      <c r="V330" s="56">
        <f t="shared" si="38"/>
        <v>41363.63636363636</v>
      </c>
      <c r="W330" s="65">
        <f>IF(H330=재고내역!$F$9,출고요청서_raw!G330*1,IF(H330=재고내역!$F$10,출고요청서_raw!G330*2,IF(출고요청서_raw!H330=재고내역!$F$11,출고요청서_raw!G330*4,IF(출고요청서_raw!H330=재고내역!$F$12,출고요청서_raw!G330*6,IF(출고요청서_raw!H330=재고내역!$F$13,출고요청서_raw!G330*8)))))</f>
        <v>4</v>
      </c>
      <c r="Z330" s="56">
        <f>W330*재고내역!$M$6</f>
        <v>30748</v>
      </c>
      <c r="AA330" s="56">
        <f t="shared" si="40"/>
        <v>4550</v>
      </c>
      <c r="AB330" s="56">
        <f t="shared" si="42"/>
        <v>6065.6363636363603</v>
      </c>
      <c r="AC330" s="376">
        <f t="shared" si="43"/>
        <v>0.14664175824175818</v>
      </c>
    </row>
    <row r="331" spans="1:29" ht="15.75" customHeight="1">
      <c r="A331" s="423" t="s">
        <v>1818</v>
      </c>
      <c r="B331" s="423" t="s">
        <v>1819</v>
      </c>
      <c r="E331" s="423" t="s">
        <v>1820</v>
      </c>
      <c r="F331" s="423" t="s">
        <v>1821</v>
      </c>
      <c r="G331" s="60">
        <v>1</v>
      </c>
      <c r="H331" s="54" t="s">
        <v>73</v>
      </c>
      <c r="L331" s="356" t="s">
        <v>1822</v>
      </c>
      <c r="M331" s="96" t="s">
        <v>1823</v>
      </c>
      <c r="N331" s="96" t="s">
        <v>1824</v>
      </c>
      <c r="O331" s="96" t="s">
        <v>1545</v>
      </c>
      <c r="P331" s="57" t="s">
        <v>41</v>
      </c>
      <c r="Q331" s="61">
        <v>46059</v>
      </c>
      <c r="R331" s="59" t="s">
        <v>41</v>
      </c>
      <c r="S331" s="60">
        <v>45500</v>
      </c>
      <c r="T331" s="56" t="str">
        <f t="shared" si="41"/>
        <v>0</v>
      </c>
      <c r="U331" s="357">
        <f t="shared" si="39"/>
        <v>45500</v>
      </c>
      <c r="V331" s="56">
        <f t="shared" si="38"/>
        <v>41363.63636363636</v>
      </c>
      <c r="W331" s="65">
        <f>IF(H331=재고내역!$F$9,출고요청서_raw!G331*1,IF(H331=재고내역!$F$10,출고요청서_raw!G331*2,IF(출고요청서_raw!H331=재고내역!$F$11,출고요청서_raw!G331*4,IF(출고요청서_raw!H331=재고내역!$F$12,출고요청서_raw!G331*6,IF(출고요청서_raw!H331=재고내역!$F$13,출고요청서_raw!G331*8)))))</f>
        <v>4</v>
      </c>
      <c r="Z331" s="56">
        <f>W331*재고내역!$M$6</f>
        <v>30748</v>
      </c>
      <c r="AA331" s="56">
        <f t="shared" si="40"/>
        <v>4550</v>
      </c>
      <c r="AB331" s="56">
        <f t="shared" si="42"/>
        <v>6065.6363636363603</v>
      </c>
      <c r="AC331" s="376">
        <f t="shared" si="43"/>
        <v>0.14664175824175818</v>
      </c>
    </row>
    <row r="332" spans="1:29" ht="15.75" customHeight="1">
      <c r="A332" s="423" t="s">
        <v>1825</v>
      </c>
      <c r="B332" s="423" t="s">
        <v>1826</v>
      </c>
      <c r="E332" s="423" t="s">
        <v>1520</v>
      </c>
      <c r="F332" s="423" t="s">
        <v>1827</v>
      </c>
      <c r="G332" s="60">
        <v>1</v>
      </c>
      <c r="H332" s="54" t="s">
        <v>73</v>
      </c>
      <c r="L332" s="356" t="s">
        <v>163</v>
      </c>
      <c r="M332" s="96" t="s">
        <v>1828</v>
      </c>
      <c r="N332" s="96" t="s">
        <v>1829</v>
      </c>
      <c r="O332" s="96" t="s">
        <v>1545</v>
      </c>
      <c r="P332" s="57" t="s">
        <v>41</v>
      </c>
      <c r="Q332" s="61">
        <v>46059</v>
      </c>
      <c r="R332" s="59" t="s">
        <v>41</v>
      </c>
      <c r="S332" s="60">
        <v>45500</v>
      </c>
      <c r="T332" s="56" t="str">
        <f t="shared" si="41"/>
        <v>0</v>
      </c>
      <c r="U332" s="357">
        <f t="shared" si="39"/>
        <v>45500</v>
      </c>
      <c r="V332" s="56">
        <f t="shared" si="38"/>
        <v>41363.63636363636</v>
      </c>
      <c r="W332" s="65">
        <f>IF(H332=재고내역!$F$9,출고요청서_raw!G332*1,IF(H332=재고내역!$F$10,출고요청서_raw!G332*2,IF(출고요청서_raw!H332=재고내역!$F$11,출고요청서_raw!G332*4,IF(출고요청서_raw!H332=재고내역!$F$12,출고요청서_raw!G332*6,IF(출고요청서_raw!H332=재고내역!$F$13,출고요청서_raw!G332*8)))))</f>
        <v>4</v>
      </c>
      <c r="Z332" s="56">
        <f>W332*재고내역!$M$6</f>
        <v>30748</v>
      </c>
      <c r="AA332" s="56">
        <f t="shared" si="40"/>
        <v>4550</v>
      </c>
      <c r="AB332" s="56">
        <f t="shared" si="42"/>
        <v>6065.6363636363603</v>
      </c>
      <c r="AC332" s="376">
        <f t="shared" si="43"/>
        <v>0.14664175824175818</v>
      </c>
    </row>
    <row r="333" spans="1:29" ht="15.75" customHeight="1">
      <c r="A333" s="423" t="s">
        <v>1830</v>
      </c>
      <c r="B333" s="423" t="s">
        <v>1831</v>
      </c>
      <c r="E333" s="423" t="s">
        <v>1832</v>
      </c>
      <c r="F333" s="423" t="s">
        <v>1833</v>
      </c>
      <c r="G333" s="60">
        <v>1</v>
      </c>
      <c r="H333" s="54" t="s">
        <v>73</v>
      </c>
      <c r="L333" s="356" t="s">
        <v>163</v>
      </c>
      <c r="M333" s="96" t="s">
        <v>1834</v>
      </c>
      <c r="N333" s="96" t="s">
        <v>1835</v>
      </c>
      <c r="O333" s="96" t="s">
        <v>1545</v>
      </c>
      <c r="P333" s="57" t="s">
        <v>41</v>
      </c>
      <c r="Q333" s="61">
        <v>46059</v>
      </c>
      <c r="R333" s="59" t="s">
        <v>41</v>
      </c>
      <c r="S333" s="60">
        <v>45500</v>
      </c>
      <c r="T333" s="56" t="str">
        <f t="shared" si="41"/>
        <v>0</v>
      </c>
      <c r="U333" s="357">
        <f t="shared" si="39"/>
        <v>45500</v>
      </c>
      <c r="V333" s="56">
        <f t="shared" si="38"/>
        <v>41363.63636363636</v>
      </c>
      <c r="W333" s="65">
        <f>IF(H333=재고내역!$F$9,출고요청서_raw!G333*1,IF(H333=재고내역!$F$10,출고요청서_raw!G333*2,IF(출고요청서_raw!H333=재고내역!$F$11,출고요청서_raw!G333*4,IF(출고요청서_raw!H333=재고내역!$F$12,출고요청서_raw!G333*6,IF(출고요청서_raw!H333=재고내역!$F$13,출고요청서_raw!G333*8)))))</f>
        <v>4</v>
      </c>
      <c r="Z333" s="56">
        <f>W333*재고내역!$M$6</f>
        <v>30748</v>
      </c>
      <c r="AA333" s="56">
        <f t="shared" si="40"/>
        <v>4550</v>
      </c>
      <c r="AB333" s="56">
        <f t="shared" si="42"/>
        <v>6065.6363636363603</v>
      </c>
      <c r="AC333" s="376">
        <f t="shared" si="43"/>
        <v>0.14664175824175818</v>
      </c>
    </row>
    <row r="334" spans="1:29" ht="15.75" customHeight="1">
      <c r="A334" s="423" t="s">
        <v>1836</v>
      </c>
      <c r="B334" s="423" t="s">
        <v>1837</v>
      </c>
      <c r="E334" s="423" t="s">
        <v>1838</v>
      </c>
      <c r="F334" s="423" t="s">
        <v>1839</v>
      </c>
      <c r="G334" s="60">
        <v>1</v>
      </c>
      <c r="H334" s="54" t="s">
        <v>73</v>
      </c>
      <c r="L334" s="356" t="s">
        <v>1840</v>
      </c>
      <c r="M334" s="96" t="s">
        <v>1841</v>
      </c>
      <c r="N334" s="96" t="s">
        <v>1842</v>
      </c>
      <c r="O334" s="96" t="s">
        <v>1545</v>
      </c>
      <c r="P334" s="57" t="s">
        <v>41</v>
      </c>
      <c r="Q334" s="61">
        <v>46059</v>
      </c>
      <c r="R334" s="59" t="s">
        <v>41</v>
      </c>
      <c r="S334" s="60">
        <v>45500</v>
      </c>
      <c r="T334" s="56" t="str">
        <f t="shared" si="41"/>
        <v>0</v>
      </c>
      <c r="U334" s="357">
        <f t="shared" si="39"/>
        <v>45500</v>
      </c>
      <c r="V334" s="56">
        <f t="shared" si="38"/>
        <v>41363.63636363636</v>
      </c>
      <c r="W334" s="65">
        <f>IF(H334=재고내역!$F$9,출고요청서_raw!G334*1,IF(H334=재고내역!$F$10,출고요청서_raw!G334*2,IF(출고요청서_raw!H334=재고내역!$F$11,출고요청서_raw!G334*4,IF(출고요청서_raw!H334=재고내역!$F$12,출고요청서_raw!G334*6,IF(출고요청서_raw!H334=재고내역!$F$13,출고요청서_raw!G334*8)))))</f>
        <v>4</v>
      </c>
      <c r="Z334" s="56">
        <f>W334*재고내역!$M$6</f>
        <v>30748</v>
      </c>
      <c r="AA334" s="56">
        <f t="shared" si="40"/>
        <v>4550</v>
      </c>
      <c r="AB334" s="56">
        <f t="shared" si="42"/>
        <v>6065.6363636363603</v>
      </c>
      <c r="AC334" s="376">
        <f t="shared" si="43"/>
        <v>0.14664175824175818</v>
      </c>
    </row>
    <row r="335" spans="1:29" ht="15.75" customHeight="1">
      <c r="A335" s="423" t="s">
        <v>1843</v>
      </c>
      <c r="B335" s="423" t="s">
        <v>1844</v>
      </c>
      <c r="E335" s="423" t="s">
        <v>1845</v>
      </c>
      <c r="F335" s="423" t="s">
        <v>1846</v>
      </c>
      <c r="G335" s="60">
        <v>1</v>
      </c>
      <c r="H335" s="54" t="s">
        <v>73</v>
      </c>
      <c r="L335" s="356" t="s">
        <v>163</v>
      </c>
      <c r="M335" s="96" t="s">
        <v>1847</v>
      </c>
      <c r="N335" s="96" t="s">
        <v>1848</v>
      </c>
      <c r="O335" s="96" t="s">
        <v>1545</v>
      </c>
      <c r="P335" s="57" t="s">
        <v>41</v>
      </c>
      <c r="Q335" s="61">
        <v>46059</v>
      </c>
      <c r="R335" s="59" t="s">
        <v>41</v>
      </c>
      <c r="S335" s="60">
        <v>45500</v>
      </c>
      <c r="T335" s="56" t="str">
        <f t="shared" si="41"/>
        <v>0</v>
      </c>
      <c r="U335" s="357">
        <f t="shared" si="39"/>
        <v>45500</v>
      </c>
      <c r="V335" s="56">
        <f t="shared" si="38"/>
        <v>41363.63636363636</v>
      </c>
      <c r="W335" s="65">
        <f>IF(H335=재고내역!$F$9,출고요청서_raw!G335*1,IF(H335=재고내역!$F$10,출고요청서_raw!G335*2,IF(출고요청서_raw!H335=재고내역!$F$11,출고요청서_raw!G335*4,IF(출고요청서_raw!H335=재고내역!$F$12,출고요청서_raw!G335*6,IF(출고요청서_raw!H335=재고내역!$F$13,출고요청서_raw!G335*8)))))</f>
        <v>4</v>
      </c>
      <c r="Z335" s="56">
        <f>W335*재고내역!$M$6</f>
        <v>30748</v>
      </c>
      <c r="AA335" s="56">
        <f t="shared" si="40"/>
        <v>4550</v>
      </c>
      <c r="AB335" s="56">
        <f t="shared" si="42"/>
        <v>6065.6363636363603</v>
      </c>
      <c r="AC335" s="376">
        <f t="shared" si="43"/>
        <v>0.14664175824175818</v>
      </c>
    </row>
    <row r="336" spans="1:29" ht="15.75" customHeight="1">
      <c r="A336" s="423" t="s">
        <v>1849</v>
      </c>
      <c r="B336" s="423" t="s">
        <v>1850</v>
      </c>
      <c r="E336" s="423" t="s">
        <v>1851</v>
      </c>
      <c r="F336" s="423" t="s">
        <v>1852</v>
      </c>
      <c r="G336" s="60">
        <v>1</v>
      </c>
      <c r="H336" s="54" t="s">
        <v>73</v>
      </c>
      <c r="L336" s="356" t="s">
        <v>1853</v>
      </c>
      <c r="M336" s="96" t="s">
        <v>1854</v>
      </c>
      <c r="N336" s="96" t="s">
        <v>1855</v>
      </c>
      <c r="O336" s="96" t="s">
        <v>1545</v>
      </c>
      <c r="P336" s="57" t="s">
        <v>41</v>
      </c>
      <c r="Q336" s="61">
        <v>46059</v>
      </c>
      <c r="R336" s="59" t="s">
        <v>41</v>
      </c>
      <c r="S336" s="60">
        <v>45500</v>
      </c>
      <c r="T336" s="56" t="str">
        <f t="shared" si="41"/>
        <v>0</v>
      </c>
      <c r="U336" s="357">
        <f t="shared" si="39"/>
        <v>45500</v>
      </c>
      <c r="V336" s="56">
        <f t="shared" si="38"/>
        <v>41363.63636363636</v>
      </c>
      <c r="W336" s="65">
        <f>IF(H336=재고내역!$F$9,출고요청서_raw!G336*1,IF(H336=재고내역!$F$10,출고요청서_raw!G336*2,IF(출고요청서_raw!H336=재고내역!$F$11,출고요청서_raw!G336*4,IF(출고요청서_raw!H336=재고내역!$F$12,출고요청서_raw!G336*6,IF(출고요청서_raw!H336=재고내역!$F$13,출고요청서_raw!G336*8)))))</f>
        <v>4</v>
      </c>
      <c r="Z336" s="56">
        <f>W336*재고내역!$M$6</f>
        <v>30748</v>
      </c>
      <c r="AA336" s="56">
        <f t="shared" si="40"/>
        <v>4550</v>
      </c>
      <c r="AB336" s="56">
        <f t="shared" si="42"/>
        <v>6065.6363636363603</v>
      </c>
      <c r="AC336" s="376">
        <f t="shared" si="43"/>
        <v>0.14664175824175818</v>
      </c>
    </row>
    <row r="337" spans="1:29" ht="15.75" customHeight="1">
      <c r="A337" s="423" t="s">
        <v>1856</v>
      </c>
      <c r="B337" s="423" t="s">
        <v>1857</v>
      </c>
      <c r="E337" s="423" t="s">
        <v>1858</v>
      </c>
      <c r="F337" s="423" t="s">
        <v>1859</v>
      </c>
      <c r="G337" s="60">
        <v>1</v>
      </c>
      <c r="H337" s="54" t="s">
        <v>73</v>
      </c>
      <c r="L337" s="356" t="s">
        <v>163</v>
      </c>
      <c r="M337" s="96" t="s">
        <v>1860</v>
      </c>
      <c r="N337" s="96" t="s">
        <v>1861</v>
      </c>
      <c r="O337" s="96" t="s">
        <v>1545</v>
      </c>
      <c r="P337" s="57" t="s">
        <v>41</v>
      </c>
      <c r="Q337" s="61">
        <v>46059</v>
      </c>
      <c r="R337" s="59" t="s">
        <v>41</v>
      </c>
      <c r="S337" s="60">
        <v>45500</v>
      </c>
      <c r="T337" s="56" t="str">
        <f t="shared" si="41"/>
        <v>0</v>
      </c>
      <c r="U337" s="357">
        <f t="shared" si="39"/>
        <v>45500</v>
      </c>
      <c r="V337" s="56">
        <f t="shared" si="38"/>
        <v>41363.63636363636</v>
      </c>
      <c r="W337" s="65">
        <f>IF(H337=재고내역!$F$9,출고요청서_raw!G337*1,IF(H337=재고내역!$F$10,출고요청서_raw!G337*2,IF(출고요청서_raw!H337=재고내역!$F$11,출고요청서_raw!G337*4,IF(출고요청서_raw!H337=재고내역!$F$12,출고요청서_raw!G337*6,IF(출고요청서_raw!H337=재고내역!$F$13,출고요청서_raw!G337*8)))))</f>
        <v>4</v>
      </c>
      <c r="Z337" s="56">
        <f>W337*재고내역!$M$6</f>
        <v>30748</v>
      </c>
      <c r="AA337" s="56">
        <f t="shared" si="40"/>
        <v>4550</v>
      </c>
      <c r="AB337" s="56">
        <f t="shared" si="42"/>
        <v>6065.6363636363603</v>
      </c>
      <c r="AC337" s="376">
        <f t="shared" si="43"/>
        <v>0.14664175824175818</v>
      </c>
    </row>
    <row r="338" spans="1:29" ht="15.75" customHeight="1">
      <c r="A338" s="423" t="s">
        <v>1862</v>
      </c>
      <c r="B338" s="423" t="s">
        <v>1863</v>
      </c>
      <c r="E338" s="423" t="s">
        <v>1864</v>
      </c>
      <c r="F338" s="423" t="s">
        <v>1865</v>
      </c>
      <c r="G338" s="60">
        <v>1</v>
      </c>
      <c r="H338" s="54" t="s">
        <v>73</v>
      </c>
      <c r="L338" s="356" t="s">
        <v>163</v>
      </c>
      <c r="M338" s="96" t="s">
        <v>1866</v>
      </c>
      <c r="N338" s="96" t="s">
        <v>1867</v>
      </c>
      <c r="O338" s="96" t="s">
        <v>1545</v>
      </c>
      <c r="P338" s="57" t="s">
        <v>41</v>
      </c>
      <c r="Q338" s="61">
        <v>46059</v>
      </c>
      <c r="R338" s="59" t="s">
        <v>41</v>
      </c>
      <c r="S338" s="60">
        <v>45500</v>
      </c>
      <c r="T338" s="56" t="str">
        <f t="shared" si="41"/>
        <v>0</v>
      </c>
      <c r="U338" s="357">
        <f t="shared" si="39"/>
        <v>45500</v>
      </c>
      <c r="V338" s="56">
        <f t="shared" si="38"/>
        <v>41363.63636363636</v>
      </c>
      <c r="W338" s="65">
        <f>IF(H338=재고내역!$F$9,출고요청서_raw!G338*1,IF(H338=재고내역!$F$10,출고요청서_raw!G338*2,IF(출고요청서_raw!H338=재고내역!$F$11,출고요청서_raw!G338*4,IF(출고요청서_raw!H338=재고내역!$F$12,출고요청서_raw!G338*6,IF(출고요청서_raw!H338=재고내역!$F$13,출고요청서_raw!G338*8)))))</f>
        <v>4</v>
      </c>
      <c r="Z338" s="56">
        <f>W338*재고내역!$M$6</f>
        <v>30748</v>
      </c>
      <c r="AA338" s="56">
        <f t="shared" si="40"/>
        <v>4550</v>
      </c>
      <c r="AB338" s="56">
        <f t="shared" si="42"/>
        <v>6065.6363636363603</v>
      </c>
      <c r="AC338" s="376">
        <f t="shared" si="43"/>
        <v>0.14664175824175818</v>
      </c>
    </row>
    <row r="339" spans="1:29" ht="15.75" customHeight="1">
      <c r="A339" s="423" t="s">
        <v>1868</v>
      </c>
      <c r="B339" s="423" t="s">
        <v>1869</v>
      </c>
      <c r="E339" s="423" t="s">
        <v>1870</v>
      </c>
      <c r="F339" s="423" t="s">
        <v>1871</v>
      </c>
      <c r="G339" s="60">
        <v>1</v>
      </c>
      <c r="H339" s="54" t="s">
        <v>73</v>
      </c>
      <c r="L339" s="356" t="s">
        <v>163</v>
      </c>
      <c r="M339" s="96" t="s">
        <v>1872</v>
      </c>
      <c r="N339" s="96" t="s">
        <v>1873</v>
      </c>
      <c r="O339" s="96" t="s">
        <v>1545</v>
      </c>
      <c r="P339" s="57" t="s">
        <v>41</v>
      </c>
      <c r="Q339" s="61">
        <v>46059</v>
      </c>
      <c r="R339" s="59" t="s">
        <v>41</v>
      </c>
      <c r="S339" s="60">
        <v>45500</v>
      </c>
      <c r="T339" s="56" t="str">
        <f t="shared" si="41"/>
        <v>0</v>
      </c>
      <c r="U339" s="357">
        <f t="shared" si="39"/>
        <v>45500</v>
      </c>
      <c r="V339" s="56">
        <f t="shared" si="38"/>
        <v>41363.63636363636</v>
      </c>
      <c r="W339" s="65">
        <f>IF(H339=재고내역!$F$9,출고요청서_raw!G339*1,IF(H339=재고내역!$F$10,출고요청서_raw!G339*2,IF(출고요청서_raw!H339=재고내역!$F$11,출고요청서_raw!G339*4,IF(출고요청서_raw!H339=재고내역!$F$12,출고요청서_raw!G339*6,IF(출고요청서_raw!H339=재고내역!$F$13,출고요청서_raw!G339*8)))))</f>
        <v>4</v>
      </c>
      <c r="Z339" s="56">
        <f>W339*재고내역!$M$6</f>
        <v>30748</v>
      </c>
      <c r="AA339" s="56">
        <f t="shared" si="40"/>
        <v>4550</v>
      </c>
      <c r="AB339" s="56">
        <f t="shared" si="42"/>
        <v>6065.6363636363603</v>
      </c>
      <c r="AC339" s="376">
        <f t="shared" si="43"/>
        <v>0.14664175824175818</v>
      </c>
    </row>
    <row r="340" spans="1:29" ht="15.75" customHeight="1">
      <c r="A340" s="423" t="s">
        <v>1874</v>
      </c>
      <c r="B340" s="423" t="s">
        <v>1875</v>
      </c>
      <c r="E340" s="423" t="s">
        <v>1876</v>
      </c>
      <c r="F340" s="423" t="s">
        <v>1877</v>
      </c>
      <c r="G340" s="370">
        <v>4</v>
      </c>
      <c r="H340" s="54" t="s">
        <v>73</v>
      </c>
      <c r="L340" s="356" t="s">
        <v>163</v>
      </c>
      <c r="M340" s="96" t="s">
        <v>1878</v>
      </c>
      <c r="N340" s="96" t="s">
        <v>1879</v>
      </c>
      <c r="O340" s="96" t="s">
        <v>1545</v>
      </c>
      <c r="P340" s="57" t="s">
        <v>41</v>
      </c>
      <c r="Q340" s="61">
        <v>46059</v>
      </c>
      <c r="R340" s="59" t="s">
        <v>41</v>
      </c>
      <c r="S340" s="60">
        <v>45500</v>
      </c>
      <c r="T340" s="56" t="str">
        <f t="shared" si="41"/>
        <v>0</v>
      </c>
      <c r="U340" s="357">
        <f t="shared" si="39"/>
        <v>182000</v>
      </c>
      <c r="V340" s="56">
        <f t="shared" si="38"/>
        <v>165454.54545454544</v>
      </c>
      <c r="W340" s="65">
        <f>IF(H340=재고내역!$F$9,출고요청서_raw!G340*1,IF(H340=재고내역!$F$10,출고요청서_raw!G340*2,IF(출고요청서_raw!H340=재고내역!$F$11,출고요청서_raw!G340*4,IF(출고요청서_raw!H340=재고내역!$F$12,출고요청서_raw!G340*6,IF(출고요청서_raw!H340=재고내역!$F$13,출고요청서_raw!G340*8)))))</f>
        <v>16</v>
      </c>
      <c r="Z340" s="56">
        <f>W340*재고내역!$M$6</f>
        <v>122992</v>
      </c>
      <c r="AA340" s="56">
        <f t="shared" si="40"/>
        <v>9100</v>
      </c>
      <c r="AB340" s="56">
        <f t="shared" si="42"/>
        <v>33362.545454545441</v>
      </c>
      <c r="AC340" s="376">
        <f t="shared" si="43"/>
        <v>0.20164175824175817</v>
      </c>
    </row>
    <row r="341" spans="1:29" ht="15.75" customHeight="1">
      <c r="A341" s="423" t="s">
        <v>1880</v>
      </c>
      <c r="B341" s="423" t="s">
        <v>1881</v>
      </c>
      <c r="E341" s="423" t="s">
        <v>1882</v>
      </c>
      <c r="F341" s="423" t="s">
        <v>1883</v>
      </c>
      <c r="G341" s="60">
        <v>1</v>
      </c>
      <c r="H341" s="54" t="s">
        <v>73</v>
      </c>
      <c r="L341" s="356" t="s">
        <v>203</v>
      </c>
      <c r="M341" s="96" t="s">
        <v>1884</v>
      </c>
      <c r="N341" s="96" t="s">
        <v>1885</v>
      </c>
      <c r="O341" s="96" t="s">
        <v>1545</v>
      </c>
      <c r="P341" s="57" t="s">
        <v>41</v>
      </c>
      <c r="Q341" s="61">
        <v>46059</v>
      </c>
      <c r="R341" s="59" t="s">
        <v>41</v>
      </c>
      <c r="S341" s="60">
        <v>45500</v>
      </c>
      <c r="T341" s="56" t="str">
        <f t="shared" si="41"/>
        <v>0</v>
      </c>
      <c r="U341" s="357">
        <f t="shared" si="39"/>
        <v>45500</v>
      </c>
      <c r="V341" s="56">
        <f t="shared" si="38"/>
        <v>41363.63636363636</v>
      </c>
      <c r="W341" s="65">
        <f>IF(H341=재고내역!$F$9,출고요청서_raw!G341*1,IF(H341=재고내역!$F$10,출고요청서_raw!G341*2,IF(출고요청서_raw!H341=재고내역!$F$11,출고요청서_raw!G341*4,IF(출고요청서_raw!H341=재고내역!$F$12,출고요청서_raw!G341*6,IF(출고요청서_raw!H341=재고내역!$F$13,출고요청서_raw!G341*8)))))</f>
        <v>4</v>
      </c>
      <c r="Z341" s="56">
        <f>W341*재고내역!$M$6</f>
        <v>30748</v>
      </c>
      <c r="AA341" s="56">
        <f t="shared" si="40"/>
        <v>4550</v>
      </c>
      <c r="AB341" s="56">
        <f t="shared" si="42"/>
        <v>6065.6363636363603</v>
      </c>
      <c r="AC341" s="376">
        <f t="shared" si="43"/>
        <v>0.14664175824175818</v>
      </c>
    </row>
    <row r="342" spans="1:29" ht="15.75" customHeight="1">
      <c r="A342" s="423" t="s">
        <v>1886</v>
      </c>
      <c r="B342" s="423" t="s">
        <v>1887</v>
      </c>
      <c r="E342" s="423" t="s">
        <v>1888</v>
      </c>
      <c r="F342" s="423" t="s">
        <v>1889</v>
      </c>
      <c r="G342" s="60">
        <v>1</v>
      </c>
      <c r="H342" s="54" t="s">
        <v>73</v>
      </c>
      <c r="L342" s="356" t="s">
        <v>1890</v>
      </c>
      <c r="M342" s="96" t="s">
        <v>1891</v>
      </c>
      <c r="N342" s="96" t="s">
        <v>1892</v>
      </c>
      <c r="O342" s="96" t="s">
        <v>1545</v>
      </c>
      <c r="P342" s="57" t="s">
        <v>41</v>
      </c>
      <c r="Q342" s="61">
        <v>46059</v>
      </c>
      <c r="R342" s="59" t="s">
        <v>41</v>
      </c>
      <c r="S342" s="60">
        <v>45500</v>
      </c>
      <c r="T342" s="56" t="str">
        <f t="shared" si="41"/>
        <v>0</v>
      </c>
      <c r="U342" s="357">
        <f t="shared" si="39"/>
        <v>45500</v>
      </c>
      <c r="V342" s="56">
        <f t="shared" si="38"/>
        <v>41363.63636363636</v>
      </c>
      <c r="W342" s="65">
        <f>IF(H342=재고내역!$F$9,출고요청서_raw!G342*1,IF(H342=재고내역!$F$10,출고요청서_raw!G342*2,IF(출고요청서_raw!H342=재고내역!$F$11,출고요청서_raw!G342*4,IF(출고요청서_raw!H342=재고내역!$F$12,출고요청서_raw!G342*6,IF(출고요청서_raw!H342=재고내역!$F$13,출고요청서_raw!G342*8)))))</f>
        <v>4</v>
      </c>
      <c r="Z342" s="56">
        <f>W342*재고내역!$M$6</f>
        <v>30748</v>
      </c>
      <c r="AA342" s="56">
        <f t="shared" si="40"/>
        <v>4550</v>
      </c>
      <c r="AB342" s="56">
        <f t="shared" si="42"/>
        <v>6065.6363636363603</v>
      </c>
      <c r="AC342" s="376">
        <f t="shared" si="43"/>
        <v>0.14664175824175818</v>
      </c>
    </row>
    <row r="343" spans="1:29" ht="15.75" customHeight="1">
      <c r="A343" s="423" t="s">
        <v>1893</v>
      </c>
      <c r="B343" s="423" t="s">
        <v>1894</v>
      </c>
      <c r="E343" s="423" t="s">
        <v>1895</v>
      </c>
      <c r="F343" s="423" t="s">
        <v>1896</v>
      </c>
      <c r="G343" s="60">
        <v>1</v>
      </c>
      <c r="H343" s="54" t="s">
        <v>73</v>
      </c>
      <c r="L343" s="356" t="s">
        <v>163</v>
      </c>
      <c r="M343" s="96" t="s">
        <v>1897</v>
      </c>
      <c r="N343" s="96" t="s">
        <v>1898</v>
      </c>
      <c r="O343" s="96" t="s">
        <v>1545</v>
      </c>
      <c r="P343" s="57" t="s">
        <v>41</v>
      </c>
      <c r="Q343" s="61">
        <v>46059</v>
      </c>
      <c r="R343" s="59" t="s">
        <v>41</v>
      </c>
      <c r="S343" s="60">
        <v>45500</v>
      </c>
      <c r="T343" s="56" t="str">
        <f t="shared" si="41"/>
        <v>0</v>
      </c>
      <c r="U343" s="357">
        <f t="shared" si="39"/>
        <v>45500</v>
      </c>
      <c r="V343" s="56">
        <f t="shared" si="38"/>
        <v>41363.63636363636</v>
      </c>
      <c r="W343" s="65">
        <f>IF(H343=재고내역!$F$9,출고요청서_raw!G343*1,IF(H343=재고내역!$F$10,출고요청서_raw!G343*2,IF(출고요청서_raw!H343=재고내역!$F$11,출고요청서_raw!G343*4,IF(출고요청서_raw!H343=재고내역!$F$12,출고요청서_raw!G343*6,IF(출고요청서_raw!H343=재고내역!$F$13,출고요청서_raw!G343*8)))))</f>
        <v>4</v>
      </c>
      <c r="Z343" s="56">
        <f>W343*재고내역!$M$6</f>
        <v>30748</v>
      </c>
      <c r="AA343" s="56">
        <f t="shared" si="40"/>
        <v>4550</v>
      </c>
      <c r="AB343" s="56">
        <f t="shared" si="42"/>
        <v>6065.6363636363603</v>
      </c>
      <c r="AC343" s="376">
        <f t="shared" si="43"/>
        <v>0.14664175824175818</v>
      </c>
    </row>
    <row r="344" spans="1:29" ht="15.75" customHeight="1">
      <c r="A344" s="423" t="s">
        <v>1899</v>
      </c>
      <c r="B344" s="423" t="s">
        <v>1900</v>
      </c>
      <c r="E344" s="423" t="s">
        <v>1901</v>
      </c>
      <c r="F344" s="423" t="s">
        <v>1902</v>
      </c>
      <c r="G344" s="60">
        <v>1</v>
      </c>
      <c r="H344" s="54" t="s">
        <v>73</v>
      </c>
      <c r="L344" s="356" t="s">
        <v>689</v>
      </c>
      <c r="M344" s="96" t="s">
        <v>1903</v>
      </c>
      <c r="N344" s="96" t="s">
        <v>1904</v>
      </c>
      <c r="O344" s="96" t="s">
        <v>1545</v>
      </c>
      <c r="P344" s="57" t="s">
        <v>41</v>
      </c>
      <c r="Q344" s="61">
        <v>46059</v>
      </c>
      <c r="R344" s="59" t="s">
        <v>41</v>
      </c>
      <c r="S344" s="60">
        <v>45500</v>
      </c>
      <c r="T344" s="56" t="str">
        <f t="shared" si="41"/>
        <v>0</v>
      </c>
      <c r="U344" s="357">
        <f t="shared" si="39"/>
        <v>45500</v>
      </c>
      <c r="V344" s="56">
        <f t="shared" si="38"/>
        <v>41363.63636363636</v>
      </c>
      <c r="W344" s="65">
        <f>IF(H344=재고내역!$F$9,출고요청서_raw!G344*1,IF(H344=재고내역!$F$10,출고요청서_raw!G344*2,IF(출고요청서_raw!H344=재고내역!$F$11,출고요청서_raw!G344*4,IF(출고요청서_raw!H344=재고내역!$F$12,출고요청서_raw!G344*6,IF(출고요청서_raw!H344=재고내역!$F$13,출고요청서_raw!G344*8)))))</f>
        <v>4</v>
      </c>
      <c r="Z344" s="56">
        <f>W344*재고내역!$M$6</f>
        <v>30748</v>
      </c>
      <c r="AA344" s="56">
        <f t="shared" si="40"/>
        <v>4550</v>
      </c>
      <c r="AB344" s="56">
        <f t="shared" si="42"/>
        <v>6065.6363636363603</v>
      </c>
      <c r="AC344" s="376">
        <f t="shared" si="43"/>
        <v>0.14664175824175818</v>
      </c>
    </row>
    <row r="345" spans="1:29" ht="15.75" customHeight="1">
      <c r="A345" s="423" t="s">
        <v>1905</v>
      </c>
      <c r="B345" s="423" t="s">
        <v>1906</v>
      </c>
      <c r="E345" s="423" t="s">
        <v>1907</v>
      </c>
      <c r="F345" s="423" t="s">
        <v>1908</v>
      </c>
      <c r="G345" s="60">
        <v>1</v>
      </c>
      <c r="H345" s="54" t="s">
        <v>73</v>
      </c>
      <c r="L345" s="356" t="s">
        <v>163</v>
      </c>
      <c r="M345" s="96" t="s">
        <v>1909</v>
      </c>
      <c r="N345" s="96" t="s">
        <v>1910</v>
      </c>
      <c r="O345" s="96" t="s">
        <v>1545</v>
      </c>
      <c r="P345" s="57" t="s">
        <v>41</v>
      </c>
      <c r="Q345" s="61">
        <v>46059</v>
      </c>
      <c r="R345" s="59" t="s">
        <v>41</v>
      </c>
      <c r="S345" s="60">
        <v>45500</v>
      </c>
      <c r="T345" s="56" t="str">
        <f t="shared" si="41"/>
        <v>0</v>
      </c>
      <c r="U345" s="357">
        <f t="shared" si="39"/>
        <v>45500</v>
      </c>
      <c r="V345" s="56">
        <f t="shared" si="38"/>
        <v>41363.63636363636</v>
      </c>
      <c r="W345" s="65">
        <f>IF(H345=재고내역!$F$9,출고요청서_raw!G345*1,IF(H345=재고내역!$F$10,출고요청서_raw!G345*2,IF(출고요청서_raw!H345=재고내역!$F$11,출고요청서_raw!G345*4,IF(출고요청서_raw!H345=재고내역!$F$12,출고요청서_raw!G345*6,IF(출고요청서_raw!H345=재고내역!$F$13,출고요청서_raw!G345*8)))))</f>
        <v>4</v>
      </c>
      <c r="Z345" s="56">
        <f>W345*재고내역!$M$6</f>
        <v>30748</v>
      </c>
      <c r="AA345" s="56">
        <f t="shared" si="40"/>
        <v>4550</v>
      </c>
      <c r="AB345" s="56">
        <f t="shared" si="42"/>
        <v>6065.6363636363603</v>
      </c>
      <c r="AC345" s="376">
        <f t="shared" si="43"/>
        <v>0.14664175824175818</v>
      </c>
    </row>
    <row r="346" spans="1:29" ht="15.75" customHeight="1">
      <c r="A346" s="423" t="s">
        <v>1911</v>
      </c>
      <c r="B346" s="423" t="s">
        <v>1912</v>
      </c>
      <c r="E346" s="423" t="s">
        <v>1913</v>
      </c>
      <c r="F346" s="423" t="s">
        <v>1914</v>
      </c>
      <c r="G346" s="60">
        <v>1</v>
      </c>
      <c r="H346" s="54" t="s">
        <v>73</v>
      </c>
      <c r="L346" s="356" t="s">
        <v>163</v>
      </c>
      <c r="M346" s="96" t="s">
        <v>1915</v>
      </c>
      <c r="N346" s="96" t="s">
        <v>1916</v>
      </c>
      <c r="O346" s="96" t="s">
        <v>1545</v>
      </c>
      <c r="P346" s="57" t="s">
        <v>41</v>
      </c>
      <c r="Q346" s="61">
        <v>46059</v>
      </c>
      <c r="R346" s="59" t="s">
        <v>41</v>
      </c>
      <c r="S346" s="60">
        <v>45500</v>
      </c>
      <c r="T346" s="56" t="str">
        <f t="shared" si="41"/>
        <v>0</v>
      </c>
      <c r="U346" s="357">
        <f t="shared" si="39"/>
        <v>45500</v>
      </c>
      <c r="V346" s="56">
        <f t="shared" si="38"/>
        <v>41363.63636363636</v>
      </c>
      <c r="W346" s="65">
        <f>IF(H346=재고내역!$F$9,출고요청서_raw!G346*1,IF(H346=재고내역!$F$10,출고요청서_raw!G346*2,IF(출고요청서_raw!H346=재고내역!$F$11,출고요청서_raw!G346*4,IF(출고요청서_raw!H346=재고내역!$F$12,출고요청서_raw!G346*6,IF(출고요청서_raw!H346=재고내역!$F$13,출고요청서_raw!G346*8)))))</f>
        <v>4</v>
      </c>
      <c r="Z346" s="56">
        <f>W346*재고내역!$M$6</f>
        <v>30748</v>
      </c>
      <c r="AA346" s="56">
        <f t="shared" si="40"/>
        <v>4550</v>
      </c>
      <c r="AB346" s="56">
        <f t="shared" si="42"/>
        <v>6065.6363636363603</v>
      </c>
      <c r="AC346" s="376">
        <f t="shared" si="43"/>
        <v>0.14664175824175818</v>
      </c>
    </row>
    <row r="347" spans="1:29" ht="15.75" customHeight="1">
      <c r="A347" s="423" t="s">
        <v>1911</v>
      </c>
      <c r="B347" s="423" t="s">
        <v>1912</v>
      </c>
      <c r="E347" s="423" t="s">
        <v>1917</v>
      </c>
      <c r="F347" s="423" t="s">
        <v>1918</v>
      </c>
      <c r="G347" s="60">
        <v>1</v>
      </c>
      <c r="H347" s="54" t="s">
        <v>73</v>
      </c>
      <c r="L347" s="356" t="s">
        <v>163</v>
      </c>
      <c r="M347" s="96" t="s">
        <v>1919</v>
      </c>
      <c r="N347" s="96" t="s">
        <v>1920</v>
      </c>
      <c r="O347" s="96" t="s">
        <v>1545</v>
      </c>
      <c r="P347" s="57" t="s">
        <v>41</v>
      </c>
      <c r="Q347" s="61">
        <v>46059</v>
      </c>
      <c r="R347" s="59" t="s">
        <v>41</v>
      </c>
      <c r="S347" s="60">
        <v>45500</v>
      </c>
      <c r="T347" s="56" t="str">
        <f t="shared" si="41"/>
        <v>0</v>
      </c>
      <c r="U347" s="357">
        <f t="shared" si="39"/>
        <v>45500</v>
      </c>
      <c r="V347" s="56">
        <f t="shared" si="38"/>
        <v>41363.63636363636</v>
      </c>
      <c r="W347" s="65">
        <f>IF(H347=재고내역!$F$9,출고요청서_raw!G347*1,IF(H347=재고내역!$F$10,출고요청서_raw!G347*2,IF(출고요청서_raw!H347=재고내역!$F$11,출고요청서_raw!G347*4,IF(출고요청서_raw!H347=재고내역!$F$12,출고요청서_raw!G347*6,IF(출고요청서_raw!H347=재고내역!$F$13,출고요청서_raw!G347*8)))))</f>
        <v>4</v>
      </c>
      <c r="Z347" s="56">
        <f>W347*재고내역!$M$6</f>
        <v>30748</v>
      </c>
      <c r="AA347" s="56">
        <f t="shared" si="40"/>
        <v>4550</v>
      </c>
      <c r="AB347" s="56">
        <f t="shared" si="42"/>
        <v>6065.6363636363603</v>
      </c>
      <c r="AC347" s="376">
        <f t="shared" si="43"/>
        <v>0.14664175824175818</v>
      </c>
    </row>
    <row r="348" spans="1:29" ht="15.75" customHeight="1">
      <c r="A348" s="423" t="s">
        <v>1921</v>
      </c>
      <c r="B348" s="423" t="s">
        <v>1922</v>
      </c>
      <c r="E348" s="423" t="s">
        <v>1923</v>
      </c>
      <c r="F348" s="423" t="s">
        <v>1924</v>
      </c>
      <c r="G348" s="60">
        <v>1</v>
      </c>
      <c r="H348" s="54" t="s">
        <v>73</v>
      </c>
      <c r="L348" s="356" t="s">
        <v>163</v>
      </c>
      <c r="M348" s="96" t="s">
        <v>1925</v>
      </c>
      <c r="N348" s="96" t="s">
        <v>1926</v>
      </c>
      <c r="O348" s="96" t="s">
        <v>1545</v>
      </c>
      <c r="P348" s="57" t="s">
        <v>41</v>
      </c>
      <c r="Q348" s="61">
        <v>46059</v>
      </c>
      <c r="R348" s="59" t="s">
        <v>41</v>
      </c>
      <c r="S348" s="60">
        <v>45500</v>
      </c>
      <c r="T348" s="56" t="str">
        <f t="shared" si="41"/>
        <v>0</v>
      </c>
      <c r="U348" s="357">
        <f t="shared" si="39"/>
        <v>45500</v>
      </c>
      <c r="V348" s="56">
        <f t="shared" si="38"/>
        <v>41363.63636363636</v>
      </c>
      <c r="W348" s="65">
        <f>IF(H348=재고내역!$F$9,출고요청서_raw!G348*1,IF(H348=재고내역!$F$10,출고요청서_raw!G348*2,IF(출고요청서_raw!H348=재고내역!$F$11,출고요청서_raw!G348*4,IF(출고요청서_raw!H348=재고내역!$F$12,출고요청서_raw!G348*6,IF(출고요청서_raw!H348=재고내역!$F$13,출고요청서_raw!G348*8)))))</f>
        <v>4</v>
      </c>
      <c r="Z348" s="56">
        <f>W348*재고내역!$M$6</f>
        <v>30748</v>
      </c>
      <c r="AA348" s="56">
        <f t="shared" si="40"/>
        <v>4550</v>
      </c>
      <c r="AB348" s="56">
        <f t="shared" si="42"/>
        <v>6065.6363636363603</v>
      </c>
      <c r="AC348" s="376">
        <f t="shared" si="43"/>
        <v>0.14664175824175818</v>
      </c>
    </row>
    <row r="349" spans="1:29" ht="15.75" customHeight="1">
      <c r="A349" s="423" t="s">
        <v>1927</v>
      </c>
      <c r="B349" s="423" t="s">
        <v>1928</v>
      </c>
      <c r="E349" s="423" t="s">
        <v>1929</v>
      </c>
      <c r="F349" s="423" t="s">
        <v>1930</v>
      </c>
      <c r="G349" s="60">
        <v>1</v>
      </c>
      <c r="H349" s="54" t="s">
        <v>73</v>
      </c>
      <c r="L349" s="356" t="s">
        <v>163</v>
      </c>
      <c r="M349" s="96" t="s">
        <v>1931</v>
      </c>
      <c r="N349" s="96" t="s">
        <v>1932</v>
      </c>
      <c r="O349" s="96" t="s">
        <v>1545</v>
      </c>
      <c r="P349" s="57" t="s">
        <v>41</v>
      </c>
      <c r="Q349" s="61">
        <v>46059</v>
      </c>
      <c r="R349" s="59" t="s">
        <v>41</v>
      </c>
      <c r="S349" s="60">
        <v>45500</v>
      </c>
      <c r="T349" s="56" t="str">
        <f t="shared" si="41"/>
        <v>0</v>
      </c>
      <c r="U349" s="357">
        <f t="shared" ref="U349:U380" si="44">S349*G349</f>
        <v>45500</v>
      </c>
      <c r="V349" s="56">
        <f t="shared" si="38"/>
        <v>41363.63636363636</v>
      </c>
      <c r="W349" s="65">
        <f>IF(H349=재고내역!$F$9,출고요청서_raw!G349*1,IF(H349=재고내역!$F$10,출고요청서_raw!G349*2,IF(출고요청서_raw!H349=재고내역!$F$11,출고요청서_raw!G349*4,IF(출고요청서_raw!H349=재고내역!$F$12,출고요청서_raw!G349*6,IF(출고요청서_raw!H349=재고내역!$F$13,출고요청서_raw!G349*8)))))</f>
        <v>4</v>
      </c>
      <c r="Z349" s="56">
        <f>W349*재고내역!$M$6</f>
        <v>30748</v>
      </c>
      <c r="AA349" s="56">
        <f t="shared" ref="AA349:AA380" si="45">IF(W349&gt;8,4550*2,4550)</f>
        <v>4550</v>
      </c>
      <c r="AB349" s="56">
        <f t="shared" si="42"/>
        <v>6065.6363636363603</v>
      </c>
      <c r="AC349" s="376">
        <f t="shared" si="43"/>
        <v>0.14664175824175818</v>
      </c>
    </row>
    <row r="350" spans="1:29" ht="15.75" customHeight="1">
      <c r="A350" s="423" t="s">
        <v>1933</v>
      </c>
      <c r="B350" s="423" t="s">
        <v>1934</v>
      </c>
      <c r="E350" s="423" t="s">
        <v>1935</v>
      </c>
      <c r="F350" s="423" t="s">
        <v>1936</v>
      </c>
      <c r="G350" s="60">
        <v>1</v>
      </c>
      <c r="H350" s="54" t="s">
        <v>73</v>
      </c>
      <c r="L350" s="356" t="s">
        <v>163</v>
      </c>
      <c r="M350" s="96" t="s">
        <v>1937</v>
      </c>
      <c r="N350" s="96" t="s">
        <v>1938</v>
      </c>
      <c r="O350" s="96" t="s">
        <v>1545</v>
      </c>
      <c r="P350" s="57" t="s">
        <v>41</v>
      </c>
      <c r="Q350" s="61">
        <v>46059</v>
      </c>
      <c r="R350" s="59" t="s">
        <v>41</v>
      </c>
      <c r="S350" s="60">
        <v>45500</v>
      </c>
      <c r="T350" s="56" t="str">
        <f t="shared" si="41"/>
        <v>0</v>
      </c>
      <c r="U350" s="357">
        <f t="shared" si="44"/>
        <v>45500</v>
      </c>
      <c r="V350" s="56">
        <f t="shared" si="38"/>
        <v>41363.63636363636</v>
      </c>
      <c r="W350" s="65">
        <f>IF(H350=재고내역!$F$9,출고요청서_raw!G350*1,IF(H350=재고내역!$F$10,출고요청서_raw!G350*2,IF(출고요청서_raw!H350=재고내역!$F$11,출고요청서_raw!G350*4,IF(출고요청서_raw!H350=재고내역!$F$12,출고요청서_raw!G350*6,IF(출고요청서_raw!H350=재고내역!$F$13,출고요청서_raw!G350*8)))))</f>
        <v>4</v>
      </c>
      <c r="Z350" s="56">
        <f>W350*재고내역!$M$6</f>
        <v>30748</v>
      </c>
      <c r="AA350" s="56">
        <f t="shared" si="45"/>
        <v>4550</v>
      </c>
      <c r="AB350" s="56">
        <f t="shared" si="42"/>
        <v>6065.6363636363603</v>
      </c>
      <c r="AC350" s="376">
        <f t="shared" si="43"/>
        <v>0.14664175824175818</v>
      </c>
    </row>
    <row r="351" spans="1:29" ht="15.75" customHeight="1">
      <c r="A351" s="423" t="s">
        <v>1939</v>
      </c>
      <c r="B351" s="423" t="s">
        <v>1940</v>
      </c>
      <c r="E351" s="423" t="s">
        <v>1941</v>
      </c>
      <c r="F351" s="423" t="s">
        <v>1942</v>
      </c>
      <c r="G351" s="60">
        <v>1</v>
      </c>
      <c r="H351" s="54" t="s">
        <v>73</v>
      </c>
      <c r="L351" s="356" t="s">
        <v>1056</v>
      </c>
      <c r="M351" s="96" t="s">
        <v>1943</v>
      </c>
      <c r="N351" s="96" t="s">
        <v>1944</v>
      </c>
      <c r="O351" s="96" t="s">
        <v>1545</v>
      </c>
      <c r="P351" s="57" t="s">
        <v>41</v>
      </c>
      <c r="Q351" s="61">
        <v>46059</v>
      </c>
      <c r="R351" s="59" t="s">
        <v>41</v>
      </c>
      <c r="S351" s="60">
        <v>45500</v>
      </c>
      <c r="T351" s="56" t="str">
        <f t="shared" si="41"/>
        <v>0</v>
      </c>
      <c r="U351" s="357">
        <f t="shared" si="44"/>
        <v>45500</v>
      </c>
      <c r="V351" s="56">
        <f t="shared" si="38"/>
        <v>41363.63636363636</v>
      </c>
      <c r="W351" s="65">
        <f>IF(H351=재고내역!$F$9,출고요청서_raw!G351*1,IF(H351=재고내역!$F$10,출고요청서_raw!G351*2,IF(출고요청서_raw!H351=재고내역!$F$11,출고요청서_raw!G351*4,IF(출고요청서_raw!H351=재고내역!$F$12,출고요청서_raw!G351*6,IF(출고요청서_raw!H351=재고내역!$F$13,출고요청서_raw!G351*8)))))</f>
        <v>4</v>
      </c>
      <c r="Z351" s="56">
        <f>W351*재고내역!$M$6</f>
        <v>30748</v>
      </c>
      <c r="AA351" s="56">
        <f t="shared" si="45"/>
        <v>4550</v>
      </c>
      <c r="AB351" s="56">
        <f t="shared" si="42"/>
        <v>6065.6363636363603</v>
      </c>
      <c r="AC351" s="376">
        <f t="shared" si="43"/>
        <v>0.14664175824175818</v>
      </c>
    </row>
    <row r="352" spans="1:29" ht="15.75" customHeight="1">
      <c r="A352" s="423" t="s">
        <v>1945</v>
      </c>
      <c r="B352" s="423" t="s">
        <v>1946</v>
      </c>
      <c r="E352" s="423" t="s">
        <v>1947</v>
      </c>
      <c r="F352" s="423" t="s">
        <v>1948</v>
      </c>
      <c r="G352" s="60">
        <v>1</v>
      </c>
      <c r="H352" s="54" t="s">
        <v>73</v>
      </c>
      <c r="L352" s="356" t="s">
        <v>163</v>
      </c>
      <c r="M352" s="96" t="s">
        <v>1949</v>
      </c>
      <c r="N352" s="96" t="s">
        <v>1950</v>
      </c>
      <c r="O352" s="96" t="s">
        <v>1545</v>
      </c>
      <c r="P352" s="57" t="s">
        <v>41</v>
      </c>
      <c r="Q352" s="61">
        <v>46059</v>
      </c>
      <c r="R352" s="59" t="s">
        <v>41</v>
      </c>
      <c r="S352" s="60">
        <v>45500</v>
      </c>
      <c r="T352" s="56" t="str">
        <f t="shared" si="41"/>
        <v>0</v>
      </c>
      <c r="U352" s="357">
        <f t="shared" si="44"/>
        <v>45500</v>
      </c>
      <c r="V352" s="56">
        <f t="shared" si="38"/>
        <v>41363.63636363636</v>
      </c>
      <c r="W352" s="65">
        <f>IF(H352=재고내역!$F$9,출고요청서_raw!G352*1,IF(H352=재고내역!$F$10,출고요청서_raw!G352*2,IF(출고요청서_raw!H352=재고내역!$F$11,출고요청서_raw!G352*4,IF(출고요청서_raw!H352=재고내역!$F$12,출고요청서_raw!G352*6,IF(출고요청서_raw!H352=재고내역!$F$13,출고요청서_raw!G352*8)))))</f>
        <v>4</v>
      </c>
      <c r="Z352" s="56">
        <f>W352*재고내역!$M$6</f>
        <v>30748</v>
      </c>
      <c r="AA352" s="56">
        <f t="shared" si="45"/>
        <v>4550</v>
      </c>
      <c r="AB352" s="56">
        <f t="shared" si="42"/>
        <v>6065.6363636363603</v>
      </c>
      <c r="AC352" s="376">
        <f t="shared" si="43"/>
        <v>0.14664175824175818</v>
      </c>
    </row>
    <row r="353" spans="1:29" ht="15.75" customHeight="1">
      <c r="A353" s="423" t="s">
        <v>1951</v>
      </c>
      <c r="B353" s="423" t="s">
        <v>1952</v>
      </c>
      <c r="E353" s="423" t="s">
        <v>1953</v>
      </c>
      <c r="F353" s="423" t="s">
        <v>1954</v>
      </c>
      <c r="G353" s="60">
        <v>1</v>
      </c>
      <c r="H353" s="54" t="s">
        <v>73</v>
      </c>
      <c r="L353" s="356" t="s">
        <v>163</v>
      </c>
      <c r="M353" s="96" t="s">
        <v>1955</v>
      </c>
      <c r="N353" s="96" t="s">
        <v>1956</v>
      </c>
      <c r="O353" s="96" t="s">
        <v>1545</v>
      </c>
      <c r="P353" s="57" t="s">
        <v>41</v>
      </c>
      <c r="Q353" s="61">
        <v>46059</v>
      </c>
      <c r="R353" s="59" t="s">
        <v>41</v>
      </c>
      <c r="S353" s="60">
        <v>45500</v>
      </c>
      <c r="T353" s="56" t="str">
        <f t="shared" si="41"/>
        <v>0</v>
      </c>
      <c r="U353" s="357">
        <f t="shared" si="44"/>
        <v>45500</v>
      </c>
      <c r="V353" s="56">
        <f t="shared" si="38"/>
        <v>41363.63636363636</v>
      </c>
      <c r="W353" s="65">
        <f>IF(H353=재고내역!$F$9,출고요청서_raw!G353*1,IF(H353=재고내역!$F$10,출고요청서_raw!G353*2,IF(출고요청서_raw!H353=재고내역!$F$11,출고요청서_raw!G353*4,IF(출고요청서_raw!H353=재고내역!$F$12,출고요청서_raw!G353*6,IF(출고요청서_raw!H353=재고내역!$F$13,출고요청서_raw!G353*8)))))</f>
        <v>4</v>
      </c>
      <c r="Z353" s="56">
        <f>W353*재고내역!$M$6</f>
        <v>30748</v>
      </c>
      <c r="AA353" s="56">
        <f t="shared" si="45"/>
        <v>4550</v>
      </c>
      <c r="AB353" s="56">
        <f t="shared" si="42"/>
        <v>6065.6363636363603</v>
      </c>
      <c r="AC353" s="376">
        <f t="shared" si="43"/>
        <v>0.14664175824175818</v>
      </c>
    </row>
    <row r="354" spans="1:29" ht="15.75" customHeight="1">
      <c r="A354" s="423" t="s">
        <v>1957</v>
      </c>
      <c r="B354" s="423" t="s">
        <v>1958</v>
      </c>
      <c r="E354" s="423" t="s">
        <v>1959</v>
      </c>
      <c r="F354" s="423" t="s">
        <v>1960</v>
      </c>
      <c r="G354" s="60">
        <v>1</v>
      </c>
      <c r="H354" s="54" t="s">
        <v>73</v>
      </c>
      <c r="L354" s="356" t="s">
        <v>163</v>
      </c>
      <c r="M354" s="96" t="s">
        <v>1961</v>
      </c>
      <c r="N354" s="96" t="s">
        <v>1962</v>
      </c>
      <c r="O354" s="96" t="s">
        <v>1545</v>
      </c>
      <c r="P354" s="57" t="s">
        <v>41</v>
      </c>
      <c r="Q354" s="61">
        <v>46059</v>
      </c>
      <c r="R354" s="59" t="s">
        <v>41</v>
      </c>
      <c r="S354" s="60">
        <v>45500</v>
      </c>
      <c r="T354" s="56" t="str">
        <f t="shared" si="41"/>
        <v>0</v>
      </c>
      <c r="U354" s="357">
        <f t="shared" si="44"/>
        <v>45500</v>
      </c>
      <c r="V354" s="56">
        <f t="shared" si="38"/>
        <v>41363.63636363636</v>
      </c>
      <c r="W354" s="65">
        <f>IF(H354=재고내역!$F$9,출고요청서_raw!G354*1,IF(H354=재고내역!$F$10,출고요청서_raw!G354*2,IF(출고요청서_raw!H354=재고내역!$F$11,출고요청서_raw!G354*4,IF(출고요청서_raw!H354=재고내역!$F$12,출고요청서_raw!G354*6,IF(출고요청서_raw!H354=재고내역!$F$13,출고요청서_raw!G354*8)))))</f>
        <v>4</v>
      </c>
      <c r="Z354" s="56">
        <f>W354*재고내역!$M$6</f>
        <v>30748</v>
      </c>
      <c r="AA354" s="56">
        <f t="shared" si="45"/>
        <v>4550</v>
      </c>
      <c r="AB354" s="56">
        <f t="shared" si="42"/>
        <v>6065.6363636363603</v>
      </c>
      <c r="AC354" s="376">
        <f t="shared" si="43"/>
        <v>0.14664175824175818</v>
      </c>
    </row>
    <row r="355" spans="1:29" ht="15.75" customHeight="1">
      <c r="A355" s="423" t="s">
        <v>1963</v>
      </c>
      <c r="B355" s="423" t="s">
        <v>1964</v>
      </c>
      <c r="E355" s="423" t="s">
        <v>1965</v>
      </c>
      <c r="F355" s="423" t="s">
        <v>1966</v>
      </c>
      <c r="G355" s="60">
        <v>1</v>
      </c>
      <c r="H355" s="54" t="s">
        <v>73</v>
      </c>
      <c r="L355" s="356" t="s">
        <v>163</v>
      </c>
      <c r="M355" s="96" t="s">
        <v>1967</v>
      </c>
      <c r="N355" s="96" t="s">
        <v>1968</v>
      </c>
      <c r="O355" s="96" t="s">
        <v>1545</v>
      </c>
      <c r="P355" s="57" t="s">
        <v>41</v>
      </c>
      <c r="Q355" s="61">
        <v>46059</v>
      </c>
      <c r="R355" s="59" t="s">
        <v>41</v>
      </c>
      <c r="S355" s="60">
        <v>45500</v>
      </c>
      <c r="T355" s="56" t="str">
        <f t="shared" si="41"/>
        <v>0</v>
      </c>
      <c r="U355" s="357">
        <f t="shared" si="44"/>
        <v>45500</v>
      </c>
      <c r="V355" s="56">
        <f t="shared" si="38"/>
        <v>41363.63636363636</v>
      </c>
      <c r="W355" s="65">
        <f>IF(H355=재고내역!$F$9,출고요청서_raw!G355*1,IF(H355=재고내역!$F$10,출고요청서_raw!G355*2,IF(출고요청서_raw!H355=재고내역!$F$11,출고요청서_raw!G355*4,IF(출고요청서_raw!H355=재고내역!$F$12,출고요청서_raw!G355*6,IF(출고요청서_raw!H355=재고내역!$F$13,출고요청서_raw!G355*8)))))</f>
        <v>4</v>
      </c>
      <c r="Z355" s="56">
        <f>W355*재고내역!$M$6</f>
        <v>30748</v>
      </c>
      <c r="AA355" s="56">
        <f t="shared" si="45"/>
        <v>4550</v>
      </c>
      <c r="AB355" s="56">
        <f t="shared" si="42"/>
        <v>6065.6363636363603</v>
      </c>
      <c r="AC355" s="376">
        <f t="shared" si="43"/>
        <v>0.14664175824175818</v>
      </c>
    </row>
    <row r="356" spans="1:29" ht="15.75" customHeight="1">
      <c r="A356" s="423" t="s">
        <v>1969</v>
      </c>
      <c r="B356" s="423" t="s">
        <v>1970</v>
      </c>
      <c r="E356" s="423" t="s">
        <v>1971</v>
      </c>
      <c r="F356" s="423" t="s">
        <v>1972</v>
      </c>
      <c r="G356" s="60">
        <v>1</v>
      </c>
      <c r="H356" s="54" t="s">
        <v>73</v>
      </c>
      <c r="L356" s="356" t="s">
        <v>163</v>
      </c>
      <c r="M356" s="96" t="s">
        <v>1973</v>
      </c>
      <c r="N356" s="96" t="s">
        <v>1974</v>
      </c>
      <c r="O356" s="96" t="s">
        <v>1545</v>
      </c>
      <c r="P356" s="57" t="s">
        <v>41</v>
      </c>
      <c r="Q356" s="61">
        <v>46059</v>
      </c>
      <c r="R356" s="59" t="s">
        <v>41</v>
      </c>
      <c r="S356" s="60">
        <v>45500</v>
      </c>
      <c r="T356" s="56" t="str">
        <f t="shared" si="41"/>
        <v>0</v>
      </c>
      <c r="U356" s="357">
        <f t="shared" si="44"/>
        <v>45500</v>
      </c>
      <c r="V356" s="56">
        <f t="shared" si="38"/>
        <v>41363.63636363636</v>
      </c>
      <c r="W356" s="65">
        <f>IF(H356=재고내역!$F$9,출고요청서_raw!G356*1,IF(H356=재고내역!$F$10,출고요청서_raw!G356*2,IF(출고요청서_raw!H356=재고내역!$F$11,출고요청서_raw!G356*4,IF(출고요청서_raw!H356=재고내역!$F$12,출고요청서_raw!G356*6,IF(출고요청서_raw!H356=재고내역!$F$13,출고요청서_raw!G356*8)))))</f>
        <v>4</v>
      </c>
      <c r="Z356" s="56">
        <f>W356*재고내역!$M$6</f>
        <v>30748</v>
      </c>
      <c r="AA356" s="56">
        <f t="shared" si="45"/>
        <v>4550</v>
      </c>
      <c r="AB356" s="56">
        <f t="shared" si="42"/>
        <v>6065.6363636363603</v>
      </c>
      <c r="AC356" s="376">
        <f t="shared" si="43"/>
        <v>0.14664175824175818</v>
      </c>
    </row>
    <row r="357" spans="1:29" ht="15.75" customHeight="1">
      <c r="A357" s="423" t="s">
        <v>1975</v>
      </c>
      <c r="B357" s="423" t="s">
        <v>1976</v>
      </c>
      <c r="E357" s="423" t="s">
        <v>1977</v>
      </c>
      <c r="F357" s="423" t="s">
        <v>1978</v>
      </c>
      <c r="G357" s="370">
        <v>2</v>
      </c>
      <c r="H357" s="54" t="s">
        <v>73</v>
      </c>
      <c r="L357" s="356" t="s">
        <v>163</v>
      </c>
      <c r="M357" s="96" t="s">
        <v>1979</v>
      </c>
      <c r="N357" s="96" t="s">
        <v>1980</v>
      </c>
      <c r="O357" s="96" t="s">
        <v>1545</v>
      </c>
      <c r="P357" s="57" t="s">
        <v>41</v>
      </c>
      <c r="Q357" s="61">
        <v>46059</v>
      </c>
      <c r="R357" s="59" t="s">
        <v>41</v>
      </c>
      <c r="S357" s="60">
        <v>45500</v>
      </c>
      <c r="T357" s="56" t="str">
        <f t="shared" si="41"/>
        <v>0</v>
      </c>
      <c r="U357" s="357">
        <f t="shared" si="44"/>
        <v>91000</v>
      </c>
      <c r="V357" s="56">
        <f t="shared" si="38"/>
        <v>82727.272727272721</v>
      </c>
      <c r="W357" s="65">
        <f>IF(H357=재고내역!$F$9,출고요청서_raw!G357*1,IF(H357=재고내역!$F$10,출고요청서_raw!G357*2,IF(출고요청서_raw!H357=재고내역!$F$11,출고요청서_raw!G357*4,IF(출고요청서_raw!H357=재고내역!$F$12,출고요청서_raw!G357*6,IF(출고요청서_raw!H357=재고내역!$F$13,출고요청서_raw!G357*8)))))</f>
        <v>8</v>
      </c>
      <c r="Z357" s="56">
        <f>W357*재고내역!$M$6</f>
        <v>61496</v>
      </c>
      <c r="AA357" s="56">
        <f t="shared" si="45"/>
        <v>4550</v>
      </c>
      <c r="AB357" s="56">
        <f t="shared" si="42"/>
        <v>16681.272727272721</v>
      </c>
      <c r="AC357" s="376">
        <f t="shared" si="43"/>
        <v>0.20164175824175817</v>
      </c>
    </row>
    <row r="358" spans="1:29" ht="15.75" customHeight="1">
      <c r="A358" s="423" t="s">
        <v>1981</v>
      </c>
      <c r="B358" s="423" t="s">
        <v>1982</v>
      </c>
      <c r="E358" s="423" t="s">
        <v>1983</v>
      </c>
      <c r="F358" s="423" t="s">
        <v>1984</v>
      </c>
      <c r="G358" s="60">
        <v>1</v>
      </c>
      <c r="H358" s="54" t="s">
        <v>73</v>
      </c>
      <c r="L358" s="356" t="s">
        <v>163</v>
      </c>
      <c r="M358" s="96" t="s">
        <v>1985</v>
      </c>
      <c r="N358" s="96" t="s">
        <v>1986</v>
      </c>
      <c r="O358" s="96" t="s">
        <v>1545</v>
      </c>
      <c r="P358" s="57" t="s">
        <v>41</v>
      </c>
      <c r="Q358" s="61">
        <v>46059</v>
      </c>
      <c r="R358" s="59" t="s">
        <v>41</v>
      </c>
      <c r="S358" s="60">
        <v>45500</v>
      </c>
      <c r="T358" s="56" t="str">
        <f t="shared" si="41"/>
        <v>0</v>
      </c>
      <c r="U358" s="357">
        <f t="shared" si="44"/>
        <v>45500</v>
      </c>
      <c r="V358" s="56">
        <f t="shared" si="38"/>
        <v>41363.63636363636</v>
      </c>
      <c r="W358" s="65">
        <f>IF(H358=재고내역!$F$9,출고요청서_raw!G358*1,IF(H358=재고내역!$F$10,출고요청서_raw!G358*2,IF(출고요청서_raw!H358=재고내역!$F$11,출고요청서_raw!G358*4,IF(출고요청서_raw!H358=재고내역!$F$12,출고요청서_raw!G358*6,IF(출고요청서_raw!H358=재고내역!$F$13,출고요청서_raw!G358*8)))))</f>
        <v>4</v>
      </c>
      <c r="Z358" s="56">
        <f>W358*재고내역!$M$6</f>
        <v>30748</v>
      </c>
      <c r="AA358" s="56">
        <f t="shared" si="45"/>
        <v>4550</v>
      </c>
      <c r="AB358" s="56">
        <f t="shared" si="42"/>
        <v>6065.6363636363603</v>
      </c>
      <c r="AC358" s="376">
        <f t="shared" si="43"/>
        <v>0.14664175824175818</v>
      </c>
    </row>
    <row r="359" spans="1:29" ht="15.75" customHeight="1">
      <c r="A359" s="423" t="s">
        <v>1987</v>
      </c>
      <c r="B359" s="423" t="s">
        <v>1988</v>
      </c>
      <c r="E359" s="423" t="s">
        <v>1989</v>
      </c>
      <c r="F359" s="423" t="s">
        <v>1990</v>
      </c>
      <c r="G359" s="60">
        <v>1</v>
      </c>
      <c r="H359" s="54" t="s">
        <v>73</v>
      </c>
      <c r="L359" s="356" t="s">
        <v>163</v>
      </c>
      <c r="M359" s="96" t="s">
        <v>1991</v>
      </c>
      <c r="N359" s="96" t="s">
        <v>1992</v>
      </c>
      <c r="O359" s="96" t="s">
        <v>1545</v>
      </c>
      <c r="P359" s="57" t="s">
        <v>41</v>
      </c>
      <c r="Q359" s="61">
        <v>46059</v>
      </c>
      <c r="R359" s="59" t="s">
        <v>41</v>
      </c>
      <c r="S359" s="60">
        <v>45500</v>
      </c>
      <c r="T359" s="56" t="str">
        <f t="shared" si="41"/>
        <v>0</v>
      </c>
      <c r="U359" s="357">
        <f t="shared" si="44"/>
        <v>45500</v>
      </c>
      <c r="V359" s="56">
        <f t="shared" si="38"/>
        <v>41363.63636363636</v>
      </c>
      <c r="W359" s="65">
        <f>IF(H359=재고내역!$F$9,출고요청서_raw!G359*1,IF(H359=재고내역!$F$10,출고요청서_raw!G359*2,IF(출고요청서_raw!H359=재고내역!$F$11,출고요청서_raw!G359*4,IF(출고요청서_raw!H359=재고내역!$F$12,출고요청서_raw!G359*6,IF(출고요청서_raw!H359=재고내역!$F$13,출고요청서_raw!G359*8)))))</f>
        <v>4</v>
      </c>
      <c r="Z359" s="56">
        <f>W359*재고내역!$M$6</f>
        <v>30748</v>
      </c>
      <c r="AA359" s="56">
        <f t="shared" si="45"/>
        <v>4550</v>
      </c>
      <c r="AB359" s="56">
        <f t="shared" si="42"/>
        <v>6065.6363636363603</v>
      </c>
      <c r="AC359" s="376">
        <f t="shared" si="43"/>
        <v>0.14664175824175818</v>
      </c>
    </row>
    <row r="360" spans="1:29" ht="15.75" customHeight="1">
      <c r="A360" s="423" t="s">
        <v>1993</v>
      </c>
      <c r="B360" s="423" t="s">
        <v>1994</v>
      </c>
      <c r="E360" s="423" t="s">
        <v>1566</v>
      </c>
      <c r="F360" s="423" t="s">
        <v>1995</v>
      </c>
      <c r="G360" s="60">
        <v>1</v>
      </c>
      <c r="H360" s="54" t="s">
        <v>73</v>
      </c>
      <c r="L360" s="356" t="s">
        <v>1996</v>
      </c>
      <c r="M360" s="96" t="s">
        <v>1997</v>
      </c>
      <c r="N360" s="96" t="s">
        <v>1998</v>
      </c>
      <c r="O360" s="96" t="s">
        <v>1545</v>
      </c>
      <c r="P360" s="57" t="s">
        <v>41</v>
      </c>
      <c r="Q360" s="61">
        <v>46059</v>
      </c>
      <c r="R360" s="59" t="s">
        <v>41</v>
      </c>
      <c r="S360" s="60">
        <v>45500</v>
      </c>
      <c r="T360" s="56" t="str">
        <f t="shared" si="41"/>
        <v>0</v>
      </c>
      <c r="U360" s="357">
        <f t="shared" si="44"/>
        <v>45500</v>
      </c>
      <c r="V360" s="56">
        <f t="shared" si="38"/>
        <v>41363.63636363636</v>
      </c>
      <c r="W360" s="65">
        <f>IF(H360=재고내역!$F$9,출고요청서_raw!G360*1,IF(H360=재고내역!$F$10,출고요청서_raw!G360*2,IF(출고요청서_raw!H360=재고내역!$F$11,출고요청서_raw!G360*4,IF(출고요청서_raw!H360=재고내역!$F$12,출고요청서_raw!G360*6,IF(출고요청서_raw!H360=재고내역!$F$13,출고요청서_raw!G360*8)))))</f>
        <v>4</v>
      </c>
      <c r="Z360" s="56">
        <f>W360*재고내역!$M$6</f>
        <v>30748</v>
      </c>
      <c r="AA360" s="56">
        <f t="shared" si="45"/>
        <v>4550</v>
      </c>
      <c r="AB360" s="56">
        <f t="shared" si="42"/>
        <v>6065.6363636363603</v>
      </c>
      <c r="AC360" s="376">
        <f t="shared" si="43"/>
        <v>0.14664175824175818</v>
      </c>
    </row>
    <row r="361" spans="1:29" ht="15.75" customHeight="1">
      <c r="A361" s="423" t="s">
        <v>1999</v>
      </c>
      <c r="B361" s="423" t="s">
        <v>2000</v>
      </c>
      <c r="E361" s="423" t="s">
        <v>2001</v>
      </c>
      <c r="F361" s="423" t="s">
        <v>2002</v>
      </c>
      <c r="G361" s="60">
        <v>1</v>
      </c>
      <c r="H361" s="54" t="s">
        <v>73</v>
      </c>
      <c r="L361" s="356" t="s">
        <v>163</v>
      </c>
      <c r="M361" s="96" t="s">
        <v>2003</v>
      </c>
      <c r="N361" s="96" t="s">
        <v>2004</v>
      </c>
      <c r="O361" s="96" t="s">
        <v>1545</v>
      </c>
      <c r="P361" s="57" t="s">
        <v>41</v>
      </c>
      <c r="Q361" s="61">
        <v>46059</v>
      </c>
      <c r="R361" s="59" t="s">
        <v>41</v>
      </c>
      <c r="S361" s="60">
        <v>45500</v>
      </c>
      <c r="T361" s="56" t="str">
        <f t="shared" si="41"/>
        <v>0</v>
      </c>
      <c r="U361" s="357">
        <f t="shared" si="44"/>
        <v>45500</v>
      </c>
      <c r="V361" s="56">
        <f t="shared" si="38"/>
        <v>41363.63636363636</v>
      </c>
      <c r="W361" s="65">
        <f>IF(H361=재고내역!$F$9,출고요청서_raw!G361*1,IF(H361=재고내역!$F$10,출고요청서_raw!G361*2,IF(출고요청서_raw!H361=재고내역!$F$11,출고요청서_raw!G361*4,IF(출고요청서_raw!H361=재고내역!$F$12,출고요청서_raw!G361*6,IF(출고요청서_raw!H361=재고내역!$F$13,출고요청서_raw!G361*8)))))</f>
        <v>4</v>
      </c>
      <c r="Z361" s="56">
        <f>W361*재고내역!$M$6</f>
        <v>30748</v>
      </c>
      <c r="AA361" s="56">
        <f t="shared" si="45"/>
        <v>4550</v>
      </c>
      <c r="AB361" s="56">
        <f t="shared" si="42"/>
        <v>6065.6363636363603</v>
      </c>
      <c r="AC361" s="376">
        <f t="shared" si="43"/>
        <v>0.14664175824175818</v>
      </c>
    </row>
    <row r="362" spans="1:29" ht="15.75" customHeight="1">
      <c r="A362" s="423" t="s">
        <v>2005</v>
      </c>
      <c r="B362" s="423" t="s">
        <v>2006</v>
      </c>
      <c r="E362" s="423" t="s">
        <v>2007</v>
      </c>
      <c r="F362" s="423" t="s">
        <v>2008</v>
      </c>
      <c r="G362" s="60">
        <v>1</v>
      </c>
      <c r="H362" s="54" t="s">
        <v>73</v>
      </c>
      <c r="L362" s="356" t="s">
        <v>163</v>
      </c>
      <c r="M362" s="96" t="s">
        <v>2009</v>
      </c>
      <c r="N362" s="96" t="s">
        <v>2010</v>
      </c>
      <c r="O362" s="96" t="s">
        <v>1545</v>
      </c>
      <c r="P362" s="57" t="s">
        <v>41</v>
      </c>
      <c r="Q362" s="61">
        <v>46059</v>
      </c>
      <c r="R362" s="59" t="s">
        <v>41</v>
      </c>
      <c r="S362" s="60">
        <v>45500</v>
      </c>
      <c r="T362" s="56" t="str">
        <f t="shared" si="41"/>
        <v>0</v>
      </c>
      <c r="U362" s="357">
        <f t="shared" si="44"/>
        <v>45500</v>
      </c>
      <c r="V362" s="56">
        <f t="shared" si="38"/>
        <v>41363.63636363636</v>
      </c>
      <c r="W362" s="65">
        <f>IF(H362=재고내역!$F$9,출고요청서_raw!G362*1,IF(H362=재고내역!$F$10,출고요청서_raw!G362*2,IF(출고요청서_raw!H362=재고내역!$F$11,출고요청서_raw!G362*4,IF(출고요청서_raw!H362=재고내역!$F$12,출고요청서_raw!G362*6,IF(출고요청서_raw!H362=재고내역!$F$13,출고요청서_raw!G362*8)))))</f>
        <v>4</v>
      </c>
      <c r="Z362" s="56">
        <f>W362*재고내역!$M$6</f>
        <v>30748</v>
      </c>
      <c r="AA362" s="56">
        <f t="shared" si="45"/>
        <v>4550</v>
      </c>
      <c r="AB362" s="56">
        <f t="shared" si="42"/>
        <v>6065.6363636363603</v>
      </c>
      <c r="AC362" s="376">
        <f t="shared" si="43"/>
        <v>0.14664175824175818</v>
      </c>
    </row>
    <row r="363" spans="1:29" ht="15.75" customHeight="1">
      <c r="A363" s="423" t="s">
        <v>2011</v>
      </c>
      <c r="B363" s="423" t="s">
        <v>2012</v>
      </c>
      <c r="E363" s="423" t="s">
        <v>2013</v>
      </c>
      <c r="F363" s="423" t="s">
        <v>2014</v>
      </c>
      <c r="G363" s="60">
        <v>1</v>
      </c>
      <c r="H363" s="54" t="s">
        <v>73</v>
      </c>
      <c r="L363" s="356" t="s">
        <v>163</v>
      </c>
      <c r="M363" s="96" t="s">
        <v>2015</v>
      </c>
      <c r="N363" s="96" t="s">
        <v>2016</v>
      </c>
      <c r="O363" s="96" t="s">
        <v>1545</v>
      </c>
      <c r="P363" s="57" t="s">
        <v>41</v>
      </c>
      <c r="Q363" s="61">
        <v>46059</v>
      </c>
      <c r="R363" s="59" t="s">
        <v>41</v>
      </c>
      <c r="S363" s="60">
        <v>45500</v>
      </c>
      <c r="T363" s="56" t="str">
        <f t="shared" si="41"/>
        <v>0</v>
      </c>
      <c r="U363" s="357">
        <f t="shared" si="44"/>
        <v>45500</v>
      </c>
      <c r="V363" s="56">
        <f t="shared" si="38"/>
        <v>41363.63636363636</v>
      </c>
      <c r="W363" s="65">
        <f>IF(H363=재고내역!$F$9,출고요청서_raw!G363*1,IF(H363=재고내역!$F$10,출고요청서_raw!G363*2,IF(출고요청서_raw!H363=재고내역!$F$11,출고요청서_raw!G363*4,IF(출고요청서_raw!H363=재고내역!$F$12,출고요청서_raw!G363*6,IF(출고요청서_raw!H363=재고내역!$F$13,출고요청서_raw!G363*8)))))</f>
        <v>4</v>
      </c>
      <c r="Z363" s="56">
        <f>W363*재고내역!$M$6</f>
        <v>30748</v>
      </c>
      <c r="AA363" s="56">
        <f t="shared" si="45"/>
        <v>4550</v>
      </c>
      <c r="AB363" s="56">
        <f t="shared" si="42"/>
        <v>6065.6363636363603</v>
      </c>
      <c r="AC363" s="376">
        <f t="shared" si="43"/>
        <v>0.14664175824175818</v>
      </c>
    </row>
    <row r="364" spans="1:29" ht="15.75" customHeight="1">
      <c r="A364" s="423" t="s">
        <v>2017</v>
      </c>
      <c r="B364" s="423" t="s">
        <v>2018</v>
      </c>
      <c r="E364" s="423" t="s">
        <v>2019</v>
      </c>
      <c r="F364" s="423" t="s">
        <v>2020</v>
      </c>
      <c r="G364" s="60">
        <v>1</v>
      </c>
      <c r="H364" s="54" t="s">
        <v>73</v>
      </c>
      <c r="L364" s="356" t="s">
        <v>163</v>
      </c>
      <c r="M364" s="96" t="s">
        <v>2021</v>
      </c>
      <c r="N364" s="96" t="s">
        <v>2022</v>
      </c>
      <c r="O364" s="96" t="s">
        <v>1545</v>
      </c>
      <c r="P364" s="57" t="s">
        <v>41</v>
      </c>
      <c r="Q364" s="61">
        <v>46059</v>
      </c>
      <c r="R364" s="59" t="s">
        <v>41</v>
      </c>
      <c r="S364" s="60">
        <v>45500</v>
      </c>
      <c r="T364" s="56" t="str">
        <f t="shared" si="41"/>
        <v>0</v>
      </c>
      <c r="U364" s="357">
        <f t="shared" si="44"/>
        <v>45500</v>
      </c>
      <c r="V364" s="56">
        <f t="shared" ref="V364:V409" si="46">U364/1.1</f>
        <v>41363.63636363636</v>
      </c>
      <c r="W364" s="65">
        <f>IF(H364=재고내역!$F$9,출고요청서_raw!G364*1,IF(H364=재고내역!$F$10,출고요청서_raw!G364*2,IF(출고요청서_raw!H364=재고내역!$F$11,출고요청서_raw!G364*4,IF(출고요청서_raw!H364=재고내역!$F$12,출고요청서_raw!G364*6,IF(출고요청서_raw!H364=재고내역!$F$13,출고요청서_raw!G364*8)))))</f>
        <v>4</v>
      </c>
      <c r="Z364" s="56">
        <f>W364*재고내역!$M$6</f>
        <v>30748</v>
      </c>
      <c r="AA364" s="56">
        <f t="shared" si="45"/>
        <v>4550</v>
      </c>
      <c r="AB364" s="56">
        <f t="shared" si="42"/>
        <v>6065.6363636363603</v>
      </c>
      <c r="AC364" s="376">
        <f t="shared" si="43"/>
        <v>0.14664175824175818</v>
      </c>
    </row>
    <row r="365" spans="1:29" ht="15.75" customHeight="1">
      <c r="A365" s="423" t="s">
        <v>2023</v>
      </c>
      <c r="B365" s="423" t="s">
        <v>2024</v>
      </c>
      <c r="E365" s="423" t="s">
        <v>2025</v>
      </c>
      <c r="F365" s="423" t="s">
        <v>2026</v>
      </c>
      <c r="G365" s="60">
        <v>1</v>
      </c>
      <c r="H365" s="54" t="s">
        <v>73</v>
      </c>
      <c r="L365" s="356" t="s">
        <v>2027</v>
      </c>
      <c r="M365" s="96" t="s">
        <v>2028</v>
      </c>
      <c r="N365" s="96" t="s">
        <v>2029</v>
      </c>
      <c r="O365" s="96" t="s">
        <v>1545</v>
      </c>
      <c r="P365" s="57" t="s">
        <v>41</v>
      </c>
      <c r="Q365" s="61">
        <v>46059</v>
      </c>
      <c r="R365" s="59" t="s">
        <v>41</v>
      </c>
      <c r="S365" s="60">
        <v>45500</v>
      </c>
      <c r="T365" s="56" t="str">
        <f t="shared" si="41"/>
        <v>0</v>
      </c>
      <c r="U365" s="357">
        <f t="shared" si="44"/>
        <v>45500</v>
      </c>
      <c r="V365" s="56">
        <f t="shared" si="46"/>
        <v>41363.63636363636</v>
      </c>
      <c r="W365" s="65">
        <f>IF(H365=재고내역!$F$9,출고요청서_raw!G365*1,IF(H365=재고내역!$F$10,출고요청서_raw!G365*2,IF(출고요청서_raw!H365=재고내역!$F$11,출고요청서_raw!G365*4,IF(출고요청서_raw!H365=재고내역!$F$12,출고요청서_raw!G365*6,IF(출고요청서_raw!H365=재고내역!$F$13,출고요청서_raw!G365*8)))))</f>
        <v>4</v>
      </c>
      <c r="Z365" s="56">
        <f>W365*재고내역!$M$6</f>
        <v>30748</v>
      </c>
      <c r="AA365" s="56">
        <f t="shared" si="45"/>
        <v>4550</v>
      </c>
      <c r="AB365" s="56">
        <f t="shared" si="42"/>
        <v>6065.6363636363603</v>
      </c>
      <c r="AC365" s="376">
        <f t="shared" si="43"/>
        <v>0.14664175824175818</v>
      </c>
    </row>
    <row r="366" spans="1:29" ht="15.75" customHeight="1">
      <c r="A366" s="423" t="s">
        <v>2030</v>
      </c>
      <c r="B366" s="423" t="s">
        <v>2031</v>
      </c>
      <c r="E366" s="423" t="s">
        <v>2032</v>
      </c>
      <c r="F366" s="423" t="s">
        <v>2033</v>
      </c>
      <c r="G366" s="60">
        <v>1</v>
      </c>
      <c r="H366" s="54" t="s">
        <v>73</v>
      </c>
      <c r="L366" s="356" t="s">
        <v>163</v>
      </c>
      <c r="M366" s="96" t="s">
        <v>2034</v>
      </c>
      <c r="N366" s="96" t="s">
        <v>2035</v>
      </c>
      <c r="O366" s="96" t="s">
        <v>1545</v>
      </c>
      <c r="P366" s="57" t="s">
        <v>41</v>
      </c>
      <c r="Q366" s="61">
        <v>46059</v>
      </c>
      <c r="R366" s="59" t="s">
        <v>41</v>
      </c>
      <c r="S366" s="60">
        <v>45500</v>
      </c>
      <c r="T366" s="56" t="str">
        <f t="shared" si="41"/>
        <v>0</v>
      </c>
      <c r="U366" s="357">
        <f t="shared" si="44"/>
        <v>45500</v>
      </c>
      <c r="V366" s="56">
        <f t="shared" si="46"/>
        <v>41363.63636363636</v>
      </c>
      <c r="W366" s="65">
        <f>IF(H366=재고내역!$F$9,출고요청서_raw!G366*1,IF(H366=재고내역!$F$10,출고요청서_raw!G366*2,IF(출고요청서_raw!H366=재고내역!$F$11,출고요청서_raw!G366*4,IF(출고요청서_raw!H366=재고내역!$F$12,출고요청서_raw!G366*6,IF(출고요청서_raw!H366=재고내역!$F$13,출고요청서_raw!G366*8)))))</f>
        <v>4</v>
      </c>
      <c r="Z366" s="56">
        <f>W366*재고내역!$M$6</f>
        <v>30748</v>
      </c>
      <c r="AA366" s="56">
        <f t="shared" si="45"/>
        <v>4550</v>
      </c>
      <c r="AB366" s="56">
        <f t="shared" si="42"/>
        <v>6065.6363636363603</v>
      </c>
      <c r="AC366" s="376">
        <f t="shared" si="43"/>
        <v>0.14664175824175818</v>
      </c>
    </row>
    <row r="367" spans="1:29" ht="15.75" customHeight="1">
      <c r="A367" s="423" t="s">
        <v>2036</v>
      </c>
      <c r="B367" s="423" t="s">
        <v>2037</v>
      </c>
      <c r="E367" s="423" t="s">
        <v>2038</v>
      </c>
      <c r="F367" s="423" t="s">
        <v>2039</v>
      </c>
      <c r="G367" s="60">
        <v>1</v>
      </c>
      <c r="H367" s="54" t="s">
        <v>73</v>
      </c>
      <c r="L367" s="356" t="s">
        <v>163</v>
      </c>
      <c r="M367" s="96" t="s">
        <v>2040</v>
      </c>
      <c r="N367" s="96" t="s">
        <v>2041</v>
      </c>
      <c r="O367" s="96" t="s">
        <v>1545</v>
      </c>
      <c r="P367" s="57" t="s">
        <v>41</v>
      </c>
      <c r="Q367" s="61">
        <v>46059</v>
      </c>
      <c r="R367" s="59" t="s">
        <v>41</v>
      </c>
      <c r="S367" s="60">
        <v>45500</v>
      </c>
      <c r="T367" s="56" t="str">
        <f t="shared" si="41"/>
        <v>0</v>
      </c>
      <c r="U367" s="357">
        <f t="shared" si="44"/>
        <v>45500</v>
      </c>
      <c r="V367" s="56">
        <f t="shared" si="46"/>
        <v>41363.63636363636</v>
      </c>
      <c r="W367" s="65">
        <f>IF(H367=재고내역!$F$9,출고요청서_raw!G367*1,IF(H367=재고내역!$F$10,출고요청서_raw!G367*2,IF(출고요청서_raw!H367=재고내역!$F$11,출고요청서_raw!G367*4,IF(출고요청서_raw!H367=재고내역!$F$12,출고요청서_raw!G367*6,IF(출고요청서_raw!H367=재고내역!$F$13,출고요청서_raw!G367*8)))))</f>
        <v>4</v>
      </c>
      <c r="Z367" s="56">
        <f>W367*재고내역!$M$6</f>
        <v>30748</v>
      </c>
      <c r="AA367" s="56">
        <f t="shared" si="45"/>
        <v>4550</v>
      </c>
      <c r="AB367" s="56">
        <f t="shared" si="42"/>
        <v>6065.6363636363603</v>
      </c>
      <c r="AC367" s="376">
        <f t="shared" si="43"/>
        <v>0.14664175824175818</v>
      </c>
    </row>
    <row r="368" spans="1:29" ht="15.75" customHeight="1">
      <c r="A368" s="423" t="s">
        <v>2042</v>
      </c>
      <c r="B368" s="423" t="s">
        <v>2043</v>
      </c>
      <c r="E368" s="423" t="s">
        <v>2044</v>
      </c>
      <c r="F368" s="423" t="s">
        <v>2045</v>
      </c>
      <c r="G368" s="60">
        <v>1</v>
      </c>
      <c r="H368" s="54" t="s">
        <v>73</v>
      </c>
      <c r="L368" s="356" t="s">
        <v>2046</v>
      </c>
      <c r="M368" s="96" t="s">
        <v>2047</v>
      </c>
      <c r="N368" s="96" t="s">
        <v>2048</v>
      </c>
      <c r="O368" s="96" t="s">
        <v>1545</v>
      </c>
      <c r="P368" s="57" t="s">
        <v>41</v>
      </c>
      <c r="Q368" s="61">
        <v>46059</v>
      </c>
      <c r="R368" s="59" t="s">
        <v>41</v>
      </c>
      <c r="S368" s="60">
        <v>45500</v>
      </c>
      <c r="T368" s="56" t="str">
        <f t="shared" si="41"/>
        <v>0</v>
      </c>
      <c r="U368" s="357">
        <f t="shared" si="44"/>
        <v>45500</v>
      </c>
      <c r="V368" s="56">
        <f t="shared" si="46"/>
        <v>41363.63636363636</v>
      </c>
      <c r="W368" s="65">
        <f>IF(H368=재고내역!$F$9,출고요청서_raw!G368*1,IF(H368=재고내역!$F$10,출고요청서_raw!G368*2,IF(출고요청서_raw!H368=재고내역!$F$11,출고요청서_raw!G368*4,IF(출고요청서_raw!H368=재고내역!$F$12,출고요청서_raw!G368*6,IF(출고요청서_raw!H368=재고내역!$F$13,출고요청서_raw!G368*8)))))</f>
        <v>4</v>
      </c>
      <c r="Z368" s="56">
        <f>W368*재고내역!$M$6</f>
        <v>30748</v>
      </c>
      <c r="AA368" s="56">
        <f t="shared" si="45"/>
        <v>4550</v>
      </c>
      <c r="AB368" s="56">
        <f t="shared" si="42"/>
        <v>6065.6363636363603</v>
      </c>
      <c r="AC368" s="376">
        <f t="shared" si="43"/>
        <v>0.14664175824175818</v>
      </c>
    </row>
    <row r="369" spans="1:29" ht="15.75" customHeight="1">
      <c r="A369" s="423" t="s">
        <v>2049</v>
      </c>
      <c r="B369" s="423" t="s">
        <v>2050</v>
      </c>
      <c r="E369" s="423" t="s">
        <v>2051</v>
      </c>
      <c r="F369" s="423" t="s">
        <v>2052</v>
      </c>
      <c r="G369" s="60">
        <v>1</v>
      </c>
      <c r="H369" s="54" t="s">
        <v>73</v>
      </c>
      <c r="L369" s="356" t="s">
        <v>163</v>
      </c>
      <c r="M369" s="96" t="s">
        <v>2053</v>
      </c>
      <c r="N369" s="96" t="s">
        <v>2054</v>
      </c>
      <c r="O369" s="96" t="s">
        <v>1545</v>
      </c>
      <c r="P369" s="57" t="s">
        <v>41</v>
      </c>
      <c r="Q369" s="61">
        <v>46059</v>
      </c>
      <c r="R369" s="59" t="s">
        <v>41</v>
      </c>
      <c r="S369" s="60">
        <v>45500</v>
      </c>
      <c r="T369" s="56" t="str">
        <f t="shared" si="41"/>
        <v>0</v>
      </c>
      <c r="U369" s="357">
        <f t="shared" si="44"/>
        <v>45500</v>
      </c>
      <c r="V369" s="56">
        <f t="shared" si="46"/>
        <v>41363.63636363636</v>
      </c>
      <c r="W369" s="65">
        <f>IF(H369=재고내역!$F$9,출고요청서_raw!G369*1,IF(H369=재고내역!$F$10,출고요청서_raw!G369*2,IF(출고요청서_raw!H369=재고내역!$F$11,출고요청서_raw!G369*4,IF(출고요청서_raw!H369=재고내역!$F$12,출고요청서_raw!G369*6,IF(출고요청서_raw!H369=재고내역!$F$13,출고요청서_raw!G369*8)))))</f>
        <v>4</v>
      </c>
      <c r="Z369" s="56">
        <f>W369*재고내역!$M$6</f>
        <v>30748</v>
      </c>
      <c r="AA369" s="56">
        <f t="shared" si="45"/>
        <v>4550</v>
      </c>
      <c r="AB369" s="56">
        <f t="shared" si="42"/>
        <v>6065.6363636363603</v>
      </c>
      <c r="AC369" s="376">
        <f t="shared" si="43"/>
        <v>0.14664175824175818</v>
      </c>
    </row>
    <row r="370" spans="1:29" ht="15.75" customHeight="1">
      <c r="A370" s="423" t="s">
        <v>2055</v>
      </c>
      <c r="B370" s="423" t="s">
        <v>2056</v>
      </c>
      <c r="E370" s="423" t="s">
        <v>2057</v>
      </c>
      <c r="F370" s="423" t="s">
        <v>2058</v>
      </c>
      <c r="G370" s="60">
        <v>1</v>
      </c>
      <c r="H370" s="54" t="s">
        <v>73</v>
      </c>
      <c r="L370" s="356" t="s">
        <v>2059</v>
      </c>
      <c r="M370" s="96" t="s">
        <v>2060</v>
      </c>
      <c r="N370" s="96" t="s">
        <v>2061</v>
      </c>
      <c r="O370" s="96" t="s">
        <v>1545</v>
      </c>
      <c r="P370" s="57" t="s">
        <v>41</v>
      </c>
      <c r="Q370" s="61">
        <v>46059</v>
      </c>
      <c r="R370" s="59" t="s">
        <v>41</v>
      </c>
      <c r="S370" s="60">
        <v>45500</v>
      </c>
      <c r="T370" s="56" t="str">
        <f t="shared" si="41"/>
        <v>0</v>
      </c>
      <c r="U370" s="357">
        <f t="shared" si="44"/>
        <v>45500</v>
      </c>
      <c r="V370" s="56">
        <f t="shared" si="46"/>
        <v>41363.63636363636</v>
      </c>
      <c r="W370" s="65">
        <f>IF(H370=재고내역!$F$9,출고요청서_raw!G370*1,IF(H370=재고내역!$F$10,출고요청서_raw!G370*2,IF(출고요청서_raw!H370=재고내역!$F$11,출고요청서_raw!G370*4,IF(출고요청서_raw!H370=재고내역!$F$12,출고요청서_raw!G370*6,IF(출고요청서_raw!H370=재고내역!$F$13,출고요청서_raw!G370*8)))))</f>
        <v>4</v>
      </c>
      <c r="Z370" s="56">
        <f>W370*재고내역!$M$6</f>
        <v>30748</v>
      </c>
      <c r="AA370" s="56">
        <f t="shared" si="45"/>
        <v>4550</v>
      </c>
      <c r="AB370" s="56">
        <f t="shared" si="42"/>
        <v>6065.6363636363603</v>
      </c>
      <c r="AC370" s="376">
        <f t="shared" si="43"/>
        <v>0.14664175824175818</v>
      </c>
    </row>
    <row r="371" spans="1:29" ht="15.75" customHeight="1">
      <c r="A371" s="423" t="s">
        <v>2062</v>
      </c>
      <c r="B371" s="423" t="s">
        <v>2063</v>
      </c>
      <c r="E371" s="423" t="s">
        <v>2064</v>
      </c>
      <c r="F371" s="423" t="s">
        <v>2065</v>
      </c>
      <c r="G371" s="60">
        <v>1</v>
      </c>
      <c r="H371" s="54" t="s">
        <v>73</v>
      </c>
      <c r="L371" s="356" t="s">
        <v>163</v>
      </c>
      <c r="M371" s="96" t="s">
        <v>2066</v>
      </c>
      <c r="N371" s="96" t="s">
        <v>2067</v>
      </c>
      <c r="O371" s="96" t="s">
        <v>1545</v>
      </c>
      <c r="P371" s="57" t="s">
        <v>41</v>
      </c>
      <c r="Q371" s="61">
        <v>46059</v>
      </c>
      <c r="R371" s="59" t="s">
        <v>41</v>
      </c>
      <c r="S371" s="60">
        <v>45500</v>
      </c>
      <c r="T371" s="56" t="str">
        <f t="shared" si="41"/>
        <v>0</v>
      </c>
      <c r="U371" s="357">
        <f t="shared" si="44"/>
        <v>45500</v>
      </c>
      <c r="V371" s="56">
        <f t="shared" si="46"/>
        <v>41363.63636363636</v>
      </c>
      <c r="W371" s="65">
        <f>IF(H371=재고내역!$F$9,출고요청서_raw!G371*1,IF(H371=재고내역!$F$10,출고요청서_raw!G371*2,IF(출고요청서_raw!H371=재고내역!$F$11,출고요청서_raw!G371*4,IF(출고요청서_raw!H371=재고내역!$F$12,출고요청서_raw!G371*6,IF(출고요청서_raw!H371=재고내역!$F$13,출고요청서_raw!G371*8)))))</f>
        <v>4</v>
      </c>
      <c r="Z371" s="56">
        <f>W371*재고내역!$M$6</f>
        <v>30748</v>
      </c>
      <c r="AA371" s="56">
        <f t="shared" si="45"/>
        <v>4550</v>
      </c>
      <c r="AB371" s="56">
        <f t="shared" si="42"/>
        <v>6065.6363636363603</v>
      </c>
      <c r="AC371" s="376">
        <f t="shared" si="43"/>
        <v>0.14664175824175818</v>
      </c>
    </row>
    <row r="372" spans="1:29" ht="15.75" customHeight="1">
      <c r="A372" s="423" t="s">
        <v>2068</v>
      </c>
      <c r="B372" s="423" t="s">
        <v>2069</v>
      </c>
      <c r="E372" s="423" t="s">
        <v>2070</v>
      </c>
      <c r="F372" s="423" t="s">
        <v>2071</v>
      </c>
      <c r="G372" s="60">
        <v>1</v>
      </c>
      <c r="H372" s="54" t="s">
        <v>73</v>
      </c>
      <c r="L372" s="356" t="s">
        <v>163</v>
      </c>
      <c r="M372" s="96" t="s">
        <v>2072</v>
      </c>
      <c r="N372" s="96" t="s">
        <v>2073</v>
      </c>
      <c r="O372" s="96" t="s">
        <v>1545</v>
      </c>
      <c r="P372" s="57" t="s">
        <v>41</v>
      </c>
      <c r="Q372" s="61">
        <v>46059</v>
      </c>
      <c r="R372" s="59" t="s">
        <v>41</v>
      </c>
      <c r="S372" s="60">
        <v>45500</v>
      </c>
      <c r="T372" s="56" t="str">
        <f t="shared" si="41"/>
        <v>0</v>
      </c>
      <c r="U372" s="357">
        <f t="shared" si="44"/>
        <v>45500</v>
      </c>
      <c r="V372" s="56">
        <f t="shared" si="46"/>
        <v>41363.63636363636</v>
      </c>
      <c r="W372" s="65">
        <f>IF(H372=재고내역!$F$9,출고요청서_raw!G372*1,IF(H372=재고내역!$F$10,출고요청서_raw!G372*2,IF(출고요청서_raw!H372=재고내역!$F$11,출고요청서_raw!G372*4,IF(출고요청서_raw!H372=재고내역!$F$12,출고요청서_raw!G372*6,IF(출고요청서_raw!H372=재고내역!$F$13,출고요청서_raw!G372*8)))))</f>
        <v>4</v>
      </c>
      <c r="Z372" s="56">
        <f>W372*재고내역!$M$6</f>
        <v>30748</v>
      </c>
      <c r="AA372" s="56">
        <f t="shared" si="45"/>
        <v>4550</v>
      </c>
      <c r="AB372" s="56">
        <f t="shared" si="42"/>
        <v>6065.6363636363603</v>
      </c>
      <c r="AC372" s="376">
        <f t="shared" si="43"/>
        <v>0.14664175824175818</v>
      </c>
    </row>
    <row r="373" spans="1:29" ht="15.75" customHeight="1">
      <c r="A373" s="423" t="s">
        <v>2074</v>
      </c>
      <c r="B373" s="423" t="s">
        <v>2075</v>
      </c>
      <c r="E373" s="423" t="s">
        <v>2076</v>
      </c>
      <c r="F373" s="423" t="s">
        <v>2077</v>
      </c>
      <c r="G373" s="60">
        <v>1</v>
      </c>
      <c r="H373" s="54" t="s">
        <v>73</v>
      </c>
      <c r="L373" s="356" t="s">
        <v>2078</v>
      </c>
      <c r="M373" s="96" t="s">
        <v>2079</v>
      </c>
      <c r="N373" s="96" t="s">
        <v>2080</v>
      </c>
      <c r="O373" s="96" t="s">
        <v>1545</v>
      </c>
      <c r="P373" s="57" t="s">
        <v>41</v>
      </c>
      <c r="Q373" s="61">
        <v>46059</v>
      </c>
      <c r="R373" s="59" t="s">
        <v>41</v>
      </c>
      <c r="S373" s="60">
        <v>45500</v>
      </c>
      <c r="T373" s="56" t="str">
        <f t="shared" si="41"/>
        <v>0</v>
      </c>
      <c r="U373" s="357">
        <f t="shared" si="44"/>
        <v>45500</v>
      </c>
      <c r="V373" s="56">
        <f t="shared" si="46"/>
        <v>41363.63636363636</v>
      </c>
      <c r="W373" s="65">
        <f>IF(H373=재고내역!$F$9,출고요청서_raw!G373*1,IF(H373=재고내역!$F$10,출고요청서_raw!G373*2,IF(출고요청서_raw!H373=재고내역!$F$11,출고요청서_raw!G373*4,IF(출고요청서_raw!H373=재고내역!$F$12,출고요청서_raw!G373*6,IF(출고요청서_raw!H373=재고내역!$F$13,출고요청서_raw!G373*8)))))</f>
        <v>4</v>
      </c>
      <c r="Z373" s="56">
        <f>W373*재고내역!$M$6</f>
        <v>30748</v>
      </c>
      <c r="AA373" s="56">
        <f t="shared" si="45"/>
        <v>4550</v>
      </c>
      <c r="AB373" s="56">
        <f t="shared" si="42"/>
        <v>6065.6363636363603</v>
      </c>
      <c r="AC373" s="376">
        <f t="shared" si="43"/>
        <v>0.14664175824175818</v>
      </c>
    </row>
    <row r="374" spans="1:29" ht="15.75" customHeight="1">
      <c r="A374" s="423" t="s">
        <v>2081</v>
      </c>
      <c r="B374" s="423" t="s">
        <v>2082</v>
      </c>
      <c r="E374" s="423" t="s">
        <v>2083</v>
      </c>
      <c r="F374" s="423" t="s">
        <v>2084</v>
      </c>
      <c r="G374" s="60">
        <v>1</v>
      </c>
      <c r="H374" s="54" t="s">
        <v>73</v>
      </c>
      <c r="L374" s="356" t="s">
        <v>163</v>
      </c>
      <c r="M374" s="96" t="s">
        <v>2085</v>
      </c>
      <c r="N374" s="96" t="s">
        <v>2086</v>
      </c>
      <c r="O374" s="96" t="s">
        <v>1545</v>
      </c>
      <c r="P374" s="57" t="s">
        <v>41</v>
      </c>
      <c r="Q374" s="61">
        <v>46059</v>
      </c>
      <c r="R374" s="59" t="s">
        <v>41</v>
      </c>
      <c r="S374" s="60">
        <v>45500</v>
      </c>
      <c r="T374" s="56" t="str">
        <f t="shared" si="41"/>
        <v>0</v>
      </c>
      <c r="U374" s="357">
        <f t="shared" si="44"/>
        <v>45500</v>
      </c>
      <c r="V374" s="56">
        <f t="shared" si="46"/>
        <v>41363.63636363636</v>
      </c>
      <c r="W374" s="65">
        <f>IF(H374=재고내역!$F$9,출고요청서_raw!G374*1,IF(H374=재고내역!$F$10,출고요청서_raw!G374*2,IF(출고요청서_raw!H374=재고내역!$F$11,출고요청서_raw!G374*4,IF(출고요청서_raw!H374=재고내역!$F$12,출고요청서_raw!G374*6,IF(출고요청서_raw!H374=재고내역!$F$13,출고요청서_raw!G374*8)))))</f>
        <v>4</v>
      </c>
      <c r="Z374" s="56">
        <f>W374*재고내역!$M$6</f>
        <v>30748</v>
      </c>
      <c r="AA374" s="56">
        <f t="shared" si="45"/>
        <v>4550</v>
      </c>
      <c r="AB374" s="56">
        <f t="shared" si="42"/>
        <v>6065.6363636363603</v>
      </c>
      <c r="AC374" s="376">
        <f t="shared" si="43"/>
        <v>0.14664175824175818</v>
      </c>
    </row>
    <row r="375" spans="1:29" ht="15.75" customHeight="1">
      <c r="A375" s="423" t="s">
        <v>2087</v>
      </c>
      <c r="B375" s="423" t="s">
        <v>2088</v>
      </c>
      <c r="E375" s="423" t="s">
        <v>2089</v>
      </c>
      <c r="F375" s="423" t="s">
        <v>2090</v>
      </c>
      <c r="G375" s="60">
        <v>3</v>
      </c>
      <c r="H375" s="54" t="s">
        <v>73</v>
      </c>
      <c r="L375" s="356" t="s">
        <v>163</v>
      </c>
      <c r="M375" s="96" t="s">
        <v>2091</v>
      </c>
      <c r="N375" s="96" t="s">
        <v>2092</v>
      </c>
      <c r="O375" s="96" t="s">
        <v>1545</v>
      </c>
      <c r="P375" s="57" t="s">
        <v>41</v>
      </c>
      <c r="Q375" s="61">
        <v>46059</v>
      </c>
      <c r="R375" s="59" t="s">
        <v>41</v>
      </c>
      <c r="S375" s="60">
        <v>45500</v>
      </c>
      <c r="T375" s="56" t="str">
        <f t="shared" si="41"/>
        <v>0</v>
      </c>
      <c r="U375" s="357">
        <f t="shared" si="44"/>
        <v>136500</v>
      </c>
      <c r="V375" s="56">
        <f t="shared" si="46"/>
        <v>124090.90909090907</v>
      </c>
      <c r="W375" s="65">
        <f>IF(H375=재고내역!$F$9,출고요청서_raw!G375*1,IF(H375=재고내역!$F$10,출고요청서_raw!G375*2,IF(출고요청서_raw!H375=재고내역!$F$11,출고요청서_raw!G375*4,IF(출고요청서_raw!H375=재고내역!$F$12,출고요청서_raw!G375*6,IF(출고요청서_raw!H375=재고내역!$F$13,출고요청서_raw!G375*8)))))</f>
        <v>12</v>
      </c>
      <c r="Z375" s="56">
        <f>W375*재고내역!$M$6</f>
        <v>92244</v>
      </c>
      <c r="AA375" s="56">
        <f t="shared" si="45"/>
        <v>9100</v>
      </c>
      <c r="AB375" s="56">
        <f t="shared" si="42"/>
        <v>22746.909090909074</v>
      </c>
      <c r="AC375" s="376">
        <f t="shared" si="43"/>
        <v>0.18330842490842481</v>
      </c>
    </row>
    <row r="376" spans="1:29" ht="15.75" customHeight="1">
      <c r="A376" s="423" t="s">
        <v>2093</v>
      </c>
      <c r="B376" s="423" t="s">
        <v>2094</v>
      </c>
      <c r="E376" s="423" t="s">
        <v>2070</v>
      </c>
      <c r="F376" s="423" t="s">
        <v>2095</v>
      </c>
      <c r="G376" s="60">
        <v>1</v>
      </c>
      <c r="H376" s="54" t="s">
        <v>73</v>
      </c>
      <c r="L376" s="356" t="s">
        <v>163</v>
      </c>
      <c r="M376" s="96" t="s">
        <v>2096</v>
      </c>
      <c r="N376" s="96" t="s">
        <v>2097</v>
      </c>
      <c r="O376" s="96" t="s">
        <v>1545</v>
      </c>
      <c r="P376" s="57" t="s">
        <v>41</v>
      </c>
      <c r="Q376" s="61">
        <v>46059</v>
      </c>
      <c r="R376" s="59" t="s">
        <v>41</v>
      </c>
      <c r="S376" s="60">
        <v>45500</v>
      </c>
      <c r="T376" s="56" t="str">
        <f t="shared" si="41"/>
        <v>0</v>
      </c>
      <c r="U376" s="357">
        <f t="shared" si="44"/>
        <v>45500</v>
      </c>
      <c r="V376" s="56">
        <f t="shared" si="46"/>
        <v>41363.63636363636</v>
      </c>
      <c r="W376" s="65">
        <f>IF(H376=재고내역!$F$9,출고요청서_raw!G376*1,IF(H376=재고내역!$F$10,출고요청서_raw!G376*2,IF(출고요청서_raw!H376=재고내역!$F$11,출고요청서_raw!G376*4,IF(출고요청서_raw!H376=재고내역!$F$12,출고요청서_raw!G376*6,IF(출고요청서_raw!H376=재고내역!$F$13,출고요청서_raw!G376*8)))))</f>
        <v>4</v>
      </c>
      <c r="Z376" s="56">
        <f>W376*재고내역!$M$6</f>
        <v>30748</v>
      </c>
      <c r="AA376" s="56">
        <f t="shared" si="45"/>
        <v>4550</v>
      </c>
      <c r="AB376" s="56">
        <f t="shared" si="42"/>
        <v>6065.6363636363603</v>
      </c>
      <c r="AC376" s="376">
        <f t="shared" si="43"/>
        <v>0.14664175824175818</v>
      </c>
    </row>
    <row r="377" spans="1:29" ht="15.75" customHeight="1">
      <c r="A377" s="423" t="s">
        <v>2098</v>
      </c>
      <c r="B377" s="423" t="s">
        <v>2099</v>
      </c>
      <c r="E377" s="423" t="s">
        <v>2100</v>
      </c>
      <c r="F377" s="423" t="s">
        <v>2101</v>
      </c>
      <c r="G377" s="60">
        <v>1</v>
      </c>
      <c r="H377" s="54" t="s">
        <v>73</v>
      </c>
      <c r="L377" s="356" t="s">
        <v>163</v>
      </c>
      <c r="M377" s="96" t="s">
        <v>2102</v>
      </c>
      <c r="N377" s="96" t="s">
        <v>2103</v>
      </c>
      <c r="O377" s="96" t="s">
        <v>1545</v>
      </c>
      <c r="P377" s="57" t="s">
        <v>41</v>
      </c>
      <c r="Q377" s="61">
        <v>46059</v>
      </c>
      <c r="R377" s="59" t="s">
        <v>41</v>
      </c>
      <c r="S377" s="60">
        <v>45500</v>
      </c>
      <c r="T377" s="56" t="str">
        <f t="shared" si="41"/>
        <v>0</v>
      </c>
      <c r="U377" s="357">
        <f t="shared" si="44"/>
        <v>45500</v>
      </c>
      <c r="V377" s="56">
        <f t="shared" si="46"/>
        <v>41363.63636363636</v>
      </c>
      <c r="W377" s="65">
        <f>IF(H377=재고내역!$F$9,출고요청서_raw!G377*1,IF(H377=재고내역!$F$10,출고요청서_raw!G377*2,IF(출고요청서_raw!H377=재고내역!$F$11,출고요청서_raw!G377*4,IF(출고요청서_raw!H377=재고내역!$F$12,출고요청서_raw!G377*6,IF(출고요청서_raw!H377=재고내역!$F$13,출고요청서_raw!G377*8)))))</f>
        <v>4</v>
      </c>
      <c r="Z377" s="56">
        <f>W377*재고내역!$M$6</f>
        <v>30748</v>
      </c>
      <c r="AA377" s="56">
        <f t="shared" si="45"/>
        <v>4550</v>
      </c>
      <c r="AB377" s="56">
        <f t="shared" si="42"/>
        <v>6065.6363636363603</v>
      </c>
      <c r="AC377" s="376">
        <f t="shared" si="43"/>
        <v>0.14664175824175818</v>
      </c>
    </row>
    <row r="378" spans="1:29" ht="15.75" customHeight="1">
      <c r="A378" s="423" t="s">
        <v>2104</v>
      </c>
      <c r="B378" s="423" t="s">
        <v>2105</v>
      </c>
      <c r="E378" s="423" t="s">
        <v>2106</v>
      </c>
      <c r="F378" s="423" t="s">
        <v>2107</v>
      </c>
      <c r="G378" s="60">
        <v>1</v>
      </c>
      <c r="H378" s="54" t="s">
        <v>73</v>
      </c>
      <c r="L378" s="356" t="s">
        <v>163</v>
      </c>
      <c r="M378" s="96" t="s">
        <v>2108</v>
      </c>
      <c r="N378" s="96" t="s">
        <v>2109</v>
      </c>
      <c r="O378" s="96" t="s">
        <v>1545</v>
      </c>
      <c r="P378" s="57" t="s">
        <v>41</v>
      </c>
      <c r="Q378" s="61">
        <v>46059</v>
      </c>
      <c r="R378" s="59" t="s">
        <v>41</v>
      </c>
      <c r="S378" s="60">
        <v>45500</v>
      </c>
      <c r="T378" s="56" t="str">
        <f t="shared" si="41"/>
        <v>0</v>
      </c>
      <c r="U378" s="357">
        <f t="shared" si="44"/>
        <v>45500</v>
      </c>
      <c r="V378" s="56">
        <f t="shared" si="46"/>
        <v>41363.63636363636</v>
      </c>
      <c r="W378" s="65">
        <f>IF(H378=재고내역!$F$9,출고요청서_raw!G378*1,IF(H378=재고내역!$F$10,출고요청서_raw!G378*2,IF(출고요청서_raw!H378=재고내역!$F$11,출고요청서_raw!G378*4,IF(출고요청서_raw!H378=재고내역!$F$12,출고요청서_raw!G378*6,IF(출고요청서_raw!H378=재고내역!$F$13,출고요청서_raw!G378*8)))))</f>
        <v>4</v>
      </c>
      <c r="Z378" s="56">
        <f>W378*재고내역!$M$6</f>
        <v>30748</v>
      </c>
      <c r="AA378" s="56">
        <f t="shared" si="45"/>
        <v>4550</v>
      </c>
      <c r="AB378" s="56">
        <f t="shared" si="42"/>
        <v>6065.6363636363603</v>
      </c>
      <c r="AC378" s="376">
        <f t="shared" si="43"/>
        <v>0.14664175824175818</v>
      </c>
    </row>
    <row r="379" spans="1:29" ht="15.75" customHeight="1">
      <c r="A379" s="423" t="s">
        <v>2110</v>
      </c>
      <c r="B379" s="423" t="s">
        <v>2111</v>
      </c>
      <c r="E379" s="423" t="s">
        <v>2112</v>
      </c>
      <c r="F379" s="423" t="s">
        <v>2113</v>
      </c>
      <c r="G379" s="60">
        <v>3</v>
      </c>
      <c r="H379" s="54" t="s">
        <v>73</v>
      </c>
      <c r="L379" s="356" t="s">
        <v>163</v>
      </c>
      <c r="M379" s="96" t="s">
        <v>2114</v>
      </c>
      <c r="N379" s="96" t="s">
        <v>2115</v>
      </c>
      <c r="O379" s="96" t="s">
        <v>1545</v>
      </c>
      <c r="P379" s="57" t="s">
        <v>41</v>
      </c>
      <c r="Q379" s="61">
        <v>46059</v>
      </c>
      <c r="R379" s="59" t="s">
        <v>41</v>
      </c>
      <c r="S379" s="60">
        <v>45500</v>
      </c>
      <c r="T379" s="56" t="str">
        <f t="shared" si="41"/>
        <v>0</v>
      </c>
      <c r="U379" s="357">
        <f t="shared" si="44"/>
        <v>136500</v>
      </c>
      <c r="V379" s="56">
        <f t="shared" si="46"/>
        <v>124090.90909090907</v>
      </c>
      <c r="W379" s="65">
        <f>IF(H379=재고내역!$F$9,출고요청서_raw!G379*1,IF(H379=재고내역!$F$10,출고요청서_raw!G379*2,IF(출고요청서_raw!H379=재고내역!$F$11,출고요청서_raw!G379*4,IF(출고요청서_raw!H379=재고내역!$F$12,출고요청서_raw!G379*6,IF(출고요청서_raw!H379=재고내역!$F$13,출고요청서_raw!G379*8)))))</f>
        <v>12</v>
      </c>
      <c r="Z379" s="56">
        <f>W379*재고내역!$M$6</f>
        <v>92244</v>
      </c>
      <c r="AA379" s="56">
        <f t="shared" si="45"/>
        <v>9100</v>
      </c>
      <c r="AB379" s="56">
        <f t="shared" si="42"/>
        <v>22746.909090909074</v>
      </c>
      <c r="AC379" s="376">
        <f t="shared" si="43"/>
        <v>0.18330842490842481</v>
      </c>
    </row>
    <row r="380" spans="1:29" ht="15.75" customHeight="1">
      <c r="A380" s="423" t="s">
        <v>2116</v>
      </c>
      <c r="B380" s="423" t="s">
        <v>2117</v>
      </c>
      <c r="E380" s="423" t="s">
        <v>2118</v>
      </c>
      <c r="F380" s="423" t="s">
        <v>2119</v>
      </c>
      <c r="G380" s="60">
        <v>1</v>
      </c>
      <c r="H380" s="54" t="s">
        <v>73</v>
      </c>
      <c r="L380" s="356" t="s">
        <v>163</v>
      </c>
      <c r="M380" s="96" t="s">
        <v>2120</v>
      </c>
      <c r="N380" s="96" t="s">
        <v>2121</v>
      </c>
      <c r="O380" s="96" t="s">
        <v>1545</v>
      </c>
      <c r="P380" s="57" t="s">
        <v>41</v>
      </c>
      <c r="Q380" s="61">
        <v>46059</v>
      </c>
      <c r="R380" s="59" t="s">
        <v>41</v>
      </c>
      <c r="S380" s="60">
        <v>45500</v>
      </c>
      <c r="T380" s="56" t="str">
        <f t="shared" si="41"/>
        <v>0</v>
      </c>
      <c r="U380" s="357">
        <f t="shared" si="44"/>
        <v>45500</v>
      </c>
      <c r="V380" s="56">
        <f t="shared" si="46"/>
        <v>41363.63636363636</v>
      </c>
      <c r="W380" s="65">
        <f>IF(H380=재고내역!$F$9,출고요청서_raw!G380*1,IF(H380=재고내역!$F$10,출고요청서_raw!G380*2,IF(출고요청서_raw!H380=재고내역!$F$11,출고요청서_raw!G380*4,IF(출고요청서_raw!H380=재고내역!$F$12,출고요청서_raw!G380*6,IF(출고요청서_raw!H380=재고내역!$F$13,출고요청서_raw!G380*8)))))</f>
        <v>4</v>
      </c>
      <c r="Z380" s="56">
        <f>W380*재고내역!$M$6</f>
        <v>30748</v>
      </c>
      <c r="AA380" s="56">
        <f t="shared" si="45"/>
        <v>4550</v>
      </c>
      <c r="AB380" s="56">
        <f t="shared" si="42"/>
        <v>6065.6363636363603</v>
      </c>
      <c r="AC380" s="376">
        <f t="shared" si="43"/>
        <v>0.14664175824175818</v>
      </c>
    </row>
    <row r="381" spans="1:29" ht="15.75" customHeight="1">
      <c r="A381" s="423" t="s">
        <v>2122</v>
      </c>
      <c r="B381" s="423" t="s">
        <v>2123</v>
      </c>
      <c r="E381" s="423" t="s">
        <v>2124</v>
      </c>
      <c r="F381" s="423" t="s">
        <v>2125</v>
      </c>
      <c r="G381" s="60">
        <v>1</v>
      </c>
      <c r="H381" s="54" t="s">
        <v>73</v>
      </c>
      <c r="L381" s="356" t="s">
        <v>163</v>
      </c>
      <c r="M381" s="96" t="s">
        <v>2126</v>
      </c>
      <c r="N381" s="96" t="s">
        <v>2127</v>
      </c>
      <c r="O381" s="96" t="s">
        <v>1545</v>
      </c>
      <c r="P381" s="57" t="s">
        <v>41</v>
      </c>
      <c r="Q381" s="61">
        <v>46059</v>
      </c>
      <c r="R381" s="59" t="s">
        <v>41</v>
      </c>
      <c r="S381" s="60">
        <v>45500</v>
      </c>
      <c r="T381" s="56" t="str">
        <f t="shared" si="41"/>
        <v>0</v>
      </c>
      <c r="U381" s="357">
        <f t="shared" ref="U381:U409" si="47">S381*G381</f>
        <v>45500</v>
      </c>
      <c r="V381" s="56">
        <f t="shared" si="46"/>
        <v>41363.63636363636</v>
      </c>
      <c r="W381" s="65">
        <f>IF(H381=재고내역!$F$9,출고요청서_raw!G381*1,IF(H381=재고내역!$F$10,출고요청서_raw!G381*2,IF(출고요청서_raw!H381=재고내역!$F$11,출고요청서_raw!G381*4,IF(출고요청서_raw!H381=재고내역!$F$12,출고요청서_raw!G381*6,IF(출고요청서_raw!H381=재고내역!$F$13,출고요청서_raw!G381*8)))))</f>
        <v>4</v>
      </c>
      <c r="Z381" s="56">
        <f>W381*재고내역!$M$6</f>
        <v>30748</v>
      </c>
      <c r="AA381" s="56">
        <f t="shared" ref="AA381:AA409" si="48">IF(W381&gt;8,4550*2,4550)</f>
        <v>4550</v>
      </c>
      <c r="AB381" s="56">
        <f t="shared" si="42"/>
        <v>6065.6363636363603</v>
      </c>
      <c r="AC381" s="376">
        <f t="shared" si="43"/>
        <v>0.14664175824175818</v>
      </c>
    </row>
    <row r="382" spans="1:29" ht="15.75" customHeight="1">
      <c r="A382" s="423" t="s">
        <v>2128</v>
      </c>
      <c r="B382" s="423" t="s">
        <v>2129</v>
      </c>
      <c r="E382" s="423" t="s">
        <v>2130</v>
      </c>
      <c r="F382" s="423" t="s">
        <v>2131</v>
      </c>
      <c r="G382" s="60">
        <v>1</v>
      </c>
      <c r="H382" s="54" t="s">
        <v>73</v>
      </c>
      <c r="L382" s="356" t="s">
        <v>163</v>
      </c>
      <c r="M382" s="96" t="s">
        <v>2132</v>
      </c>
      <c r="N382" s="96" t="s">
        <v>2133</v>
      </c>
      <c r="O382" s="96" t="s">
        <v>1545</v>
      </c>
      <c r="P382" s="57" t="s">
        <v>41</v>
      </c>
      <c r="Q382" s="61">
        <v>46059</v>
      </c>
      <c r="R382" s="59" t="s">
        <v>41</v>
      </c>
      <c r="S382" s="60">
        <v>45500</v>
      </c>
      <c r="T382" s="56" t="str">
        <f t="shared" si="41"/>
        <v>0</v>
      </c>
      <c r="U382" s="357">
        <f t="shared" si="47"/>
        <v>45500</v>
      </c>
      <c r="V382" s="56">
        <f t="shared" si="46"/>
        <v>41363.63636363636</v>
      </c>
      <c r="W382" s="65">
        <f>IF(H382=재고내역!$F$9,출고요청서_raw!G382*1,IF(H382=재고내역!$F$10,출고요청서_raw!G382*2,IF(출고요청서_raw!H382=재고내역!$F$11,출고요청서_raw!G382*4,IF(출고요청서_raw!H382=재고내역!$F$12,출고요청서_raw!G382*6,IF(출고요청서_raw!H382=재고내역!$F$13,출고요청서_raw!G382*8)))))</f>
        <v>4</v>
      </c>
      <c r="Z382" s="56">
        <f>W382*재고내역!$M$6</f>
        <v>30748</v>
      </c>
      <c r="AA382" s="56">
        <f t="shared" si="48"/>
        <v>4550</v>
      </c>
      <c r="AB382" s="56">
        <f t="shared" si="42"/>
        <v>6065.6363636363603</v>
      </c>
      <c r="AC382" s="376">
        <f t="shared" si="43"/>
        <v>0.14664175824175818</v>
      </c>
    </row>
    <row r="383" spans="1:29" ht="15.75" customHeight="1">
      <c r="A383" s="423" t="s">
        <v>2134</v>
      </c>
      <c r="B383" s="423" t="s">
        <v>2135</v>
      </c>
      <c r="E383" s="423" t="s">
        <v>2136</v>
      </c>
      <c r="F383" s="423" t="s">
        <v>2137</v>
      </c>
      <c r="G383" s="60">
        <v>1</v>
      </c>
      <c r="H383" s="54" t="s">
        <v>73</v>
      </c>
      <c r="L383" s="356" t="s">
        <v>163</v>
      </c>
      <c r="M383" s="96" t="s">
        <v>2138</v>
      </c>
      <c r="N383" s="96" t="s">
        <v>2139</v>
      </c>
      <c r="O383" s="96" t="s">
        <v>1545</v>
      </c>
      <c r="P383" s="57" t="s">
        <v>41</v>
      </c>
      <c r="Q383" s="61">
        <v>46059</v>
      </c>
      <c r="R383" s="59" t="s">
        <v>41</v>
      </c>
      <c r="S383" s="60">
        <v>45500</v>
      </c>
      <c r="T383" s="56" t="str">
        <f t="shared" si="41"/>
        <v>0</v>
      </c>
      <c r="U383" s="357">
        <f t="shared" si="47"/>
        <v>45500</v>
      </c>
      <c r="V383" s="56">
        <f t="shared" si="46"/>
        <v>41363.63636363636</v>
      </c>
      <c r="W383" s="65">
        <f>IF(H383=재고내역!$F$9,출고요청서_raw!G383*1,IF(H383=재고내역!$F$10,출고요청서_raw!G383*2,IF(출고요청서_raw!H383=재고내역!$F$11,출고요청서_raw!G383*4,IF(출고요청서_raw!H383=재고내역!$F$12,출고요청서_raw!G383*6,IF(출고요청서_raw!H383=재고내역!$F$13,출고요청서_raw!G383*8)))))</f>
        <v>4</v>
      </c>
      <c r="Z383" s="56">
        <f>W383*재고내역!$M$6</f>
        <v>30748</v>
      </c>
      <c r="AA383" s="56">
        <f t="shared" si="48"/>
        <v>4550</v>
      </c>
      <c r="AB383" s="56">
        <f t="shared" si="42"/>
        <v>6065.6363636363603</v>
      </c>
      <c r="AC383" s="376">
        <f t="shared" si="43"/>
        <v>0.14664175824175818</v>
      </c>
    </row>
    <row r="384" spans="1:29" ht="15.75" customHeight="1">
      <c r="A384" s="423" t="s">
        <v>2140</v>
      </c>
      <c r="B384" s="423" t="s">
        <v>2141</v>
      </c>
      <c r="E384" s="423" t="s">
        <v>2142</v>
      </c>
      <c r="F384" s="423" t="s">
        <v>2143</v>
      </c>
      <c r="G384" s="60">
        <v>1</v>
      </c>
      <c r="H384" s="54" t="s">
        <v>73</v>
      </c>
      <c r="L384" s="356" t="s">
        <v>163</v>
      </c>
      <c r="M384" s="96" t="s">
        <v>2144</v>
      </c>
      <c r="N384" s="96" t="s">
        <v>2145</v>
      </c>
      <c r="O384" s="96" t="s">
        <v>1545</v>
      </c>
      <c r="P384" s="57" t="s">
        <v>41</v>
      </c>
      <c r="Q384" s="61">
        <v>46059</v>
      </c>
      <c r="R384" s="59" t="s">
        <v>41</v>
      </c>
      <c r="S384" s="60">
        <v>45500</v>
      </c>
      <c r="T384" s="56" t="str">
        <f t="shared" si="41"/>
        <v>0</v>
      </c>
      <c r="U384" s="357">
        <f t="shared" si="47"/>
        <v>45500</v>
      </c>
      <c r="V384" s="56">
        <f t="shared" si="46"/>
        <v>41363.63636363636</v>
      </c>
      <c r="W384" s="65">
        <f>IF(H384=재고내역!$F$9,출고요청서_raw!G384*1,IF(H384=재고내역!$F$10,출고요청서_raw!G384*2,IF(출고요청서_raw!H384=재고내역!$F$11,출고요청서_raw!G384*4,IF(출고요청서_raw!H384=재고내역!$F$12,출고요청서_raw!G384*6,IF(출고요청서_raw!H384=재고내역!$F$13,출고요청서_raw!G384*8)))))</f>
        <v>4</v>
      </c>
      <c r="Z384" s="56">
        <f>W384*재고내역!$M$6</f>
        <v>30748</v>
      </c>
      <c r="AA384" s="56">
        <f t="shared" si="48"/>
        <v>4550</v>
      </c>
      <c r="AB384" s="56">
        <f t="shared" si="42"/>
        <v>6065.6363636363603</v>
      </c>
      <c r="AC384" s="376">
        <f t="shared" si="43"/>
        <v>0.14664175824175818</v>
      </c>
    </row>
    <row r="385" spans="1:29" ht="15.75" customHeight="1">
      <c r="A385" s="423" t="s">
        <v>2146</v>
      </c>
      <c r="B385" s="423" t="s">
        <v>2147</v>
      </c>
      <c r="E385" s="423" t="s">
        <v>2148</v>
      </c>
      <c r="F385" s="423" t="s">
        <v>2149</v>
      </c>
      <c r="G385" s="60">
        <v>1</v>
      </c>
      <c r="H385" s="54" t="s">
        <v>73</v>
      </c>
      <c r="L385" s="356" t="s">
        <v>163</v>
      </c>
      <c r="M385" s="96" t="s">
        <v>2150</v>
      </c>
      <c r="N385" s="96" t="s">
        <v>2151</v>
      </c>
      <c r="O385" s="96" t="s">
        <v>1545</v>
      </c>
      <c r="P385" s="57" t="s">
        <v>41</v>
      </c>
      <c r="Q385" s="61">
        <v>46059</v>
      </c>
      <c r="R385" s="59" t="s">
        <v>41</v>
      </c>
      <c r="S385" s="60">
        <v>45500</v>
      </c>
      <c r="T385" s="56" t="str">
        <f t="shared" si="41"/>
        <v>0</v>
      </c>
      <c r="U385" s="357">
        <f t="shared" si="47"/>
        <v>45500</v>
      </c>
      <c r="V385" s="56">
        <f t="shared" si="46"/>
        <v>41363.63636363636</v>
      </c>
      <c r="W385" s="65">
        <f>IF(H385=재고내역!$F$9,출고요청서_raw!G385*1,IF(H385=재고내역!$F$10,출고요청서_raw!G385*2,IF(출고요청서_raw!H385=재고내역!$F$11,출고요청서_raw!G385*4,IF(출고요청서_raw!H385=재고내역!$F$12,출고요청서_raw!G385*6,IF(출고요청서_raw!H385=재고내역!$F$13,출고요청서_raw!G385*8)))))</f>
        <v>4</v>
      </c>
      <c r="Z385" s="56">
        <f>W385*재고내역!$M$6</f>
        <v>30748</v>
      </c>
      <c r="AA385" s="56">
        <f t="shared" si="48"/>
        <v>4550</v>
      </c>
      <c r="AB385" s="56">
        <f t="shared" si="42"/>
        <v>6065.6363636363603</v>
      </c>
      <c r="AC385" s="376">
        <f t="shared" si="43"/>
        <v>0.14664175824175818</v>
      </c>
    </row>
    <row r="386" spans="1:29" ht="15.75" customHeight="1">
      <c r="A386" s="423" t="s">
        <v>2146</v>
      </c>
      <c r="B386" s="423" t="s">
        <v>2147</v>
      </c>
      <c r="E386" s="423" t="s">
        <v>2152</v>
      </c>
      <c r="F386" s="423" t="s">
        <v>2153</v>
      </c>
      <c r="G386" s="60">
        <v>1</v>
      </c>
      <c r="H386" s="54" t="s">
        <v>73</v>
      </c>
      <c r="L386" s="356" t="s">
        <v>163</v>
      </c>
      <c r="M386" s="96" t="s">
        <v>2154</v>
      </c>
      <c r="N386" s="96" t="s">
        <v>2155</v>
      </c>
      <c r="O386" s="96" t="s">
        <v>1545</v>
      </c>
      <c r="P386" s="57" t="s">
        <v>41</v>
      </c>
      <c r="Q386" s="61">
        <v>46059</v>
      </c>
      <c r="R386" s="59" t="s">
        <v>41</v>
      </c>
      <c r="S386" s="60">
        <v>45500</v>
      </c>
      <c r="T386" s="56" t="str">
        <f t="shared" si="41"/>
        <v>0</v>
      </c>
      <c r="U386" s="357">
        <f t="shared" si="47"/>
        <v>45500</v>
      </c>
      <c r="V386" s="56">
        <f t="shared" si="46"/>
        <v>41363.63636363636</v>
      </c>
      <c r="W386" s="65">
        <f>IF(H386=재고내역!$F$9,출고요청서_raw!G386*1,IF(H386=재고내역!$F$10,출고요청서_raw!G386*2,IF(출고요청서_raw!H386=재고내역!$F$11,출고요청서_raw!G386*4,IF(출고요청서_raw!H386=재고내역!$F$12,출고요청서_raw!G386*6,IF(출고요청서_raw!H386=재고내역!$F$13,출고요청서_raw!G386*8)))))</f>
        <v>4</v>
      </c>
      <c r="Z386" s="56">
        <f>W386*재고내역!$M$6</f>
        <v>30748</v>
      </c>
      <c r="AA386" s="56">
        <f t="shared" si="48"/>
        <v>4550</v>
      </c>
      <c r="AB386" s="56">
        <f t="shared" si="42"/>
        <v>6065.6363636363603</v>
      </c>
      <c r="AC386" s="376">
        <f t="shared" si="43"/>
        <v>0.14664175824175818</v>
      </c>
    </row>
    <row r="387" spans="1:29" ht="15.75" customHeight="1">
      <c r="A387" s="423" t="s">
        <v>2156</v>
      </c>
      <c r="B387" s="423" t="s">
        <v>2157</v>
      </c>
      <c r="E387" s="423" t="s">
        <v>2158</v>
      </c>
      <c r="F387" s="423" t="s">
        <v>2159</v>
      </c>
      <c r="G387" s="60">
        <v>1</v>
      </c>
      <c r="H387" s="54" t="s">
        <v>73</v>
      </c>
      <c r="L387" s="356" t="s">
        <v>163</v>
      </c>
      <c r="M387" s="96" t="s">
        <v>2160</v>
      </c>
      <c r="N387" s="96" t="s">
        <v>2161</v>
      </c>
      <c r="O387" s="96" t="s">
        <v>1545</v>
      </c>
      <c r="P387" s="57" t="s">
        <v>41</v>
      </c>
      <c r="Q387" s="61">
        <v>46059</v>
      </c>
      <c r="R387" s="59" t="s">
        <v>41</v>
      </c>
      <c r="S387" s="60">
        <v>45500</v>
      </c>
      <c r="T387" s="56" t="str">
        <f t="shared" si="41"/>
        <v>0</v>
      </c>
      <c r="U387" s="357">
        <f t="shared" si="47"/>
        <v>45500</v>
      </c>
      <c r="V387" s="56">
        <f t="shared" si="46"/>
        <v>41363.63636363636</v>
      </c>
      <c r="W387" s="65">
        <f>IF(H387=재고내역!$F$9,출고요청서_raw!G387*1,IF(H387=재고내역!$F$10,출고요청서_raw!G387*2,IF(출고요청서_raw!H387=재고내역!$F$11,출고요청서_raw!G387*4,IF(출고요청서_raw!H387=재고내역!$F$12,출고요청서_raw!G387*6,IF(출고요청서_raw!H387=재고내역!$F$13,출고요청서_raw!G387*8)))))</f>
        <v>4</v>
      </c>
      <c r="Z387" s="56">
        <f>W387*재고내역!$M$6</f>
        <v>30748</v>
      </c>
      <c r="AA387" s="56">
        <f t="shared" si="48"/>
        <v>4550</v>
      </c>
      <c r="AB387" s="56">
        <f t="shared" si="42"/>
        <v>6065.6363636363603</v>
      </c>
      <c r="AC387" s="376">
        <f t="shared" si="43"/>
        <v>0.14664175824175818</v>
      </c>
    </row>
    <row r="388" spans="1:29" ht="15.75" customHeight="1">
      <c r="A388" s="423" t="s">
        <v>2162</v>
      </c>
      <c r="B388" s="423" t="s">
        <v>2163</v>
      </c>
      <c r="E388" s="423" t="s">
        <v>2164</v>
      </c>
      <c r="F388" s="423" t="s">
        <v>2165</v>
      </c>
      <c r="G388" s="60">
        <v>1</v>
      </c>
      <c r="H388" s="54" t="s">
        <v>73</v>
      </c>
      <c r="L388" s="356" t="s">
        <v>163</v>
      </c>
      <c r="M388" s="96" t="s">
        <v>2166</v>
      </c>
      <c r="N388" s="96" t="s">
        <v>2167</v>
      </c>
      <c r="O388" s="96" t="s">
        <v>1545</v>
      </c>
      <c r="P388" s="57" t="s">
        <v>41</v>
      </c>
      <c r="Q388" s="61">
        <v>46059</v>
      </c>
      <c r="R388" s="59" t="s">
        <v>41</v>
      </c>
      <c r="S388" s="60">
        <v>45500</v>
      </c>
      <c r="T388" s="56" t="str">
        <f t="shared" si="41"/>
        <v>0</v>
      </c>
      <c r="U388" s="357">
        <f t="shared" si="47"/>
        <v>45500</v>
      </c>
      <c r="V388" s="56">
        <f t="shared" si="46"/>
        <v>41363.63636363636</v>
      </c>
      <c r="W388" s="65">
        <f>IF(H388=재고내역!$F$9,출고요청서_raw!G388*1,IF(H388=재고내역!$F$10,출고요청서_raw!G388*2,IF(출고요청서_raw!H388=재고내역!$F$11,출고요청서_raw!G388*4,IF(출고요청서_raw!H388=재고내역!$F$12,출고요청서_raw!G388*6,IF(출고요청서_raw!H388=재고내역!$F$13,출고요청서_raw!G388*8)))))</f>
        <v>4</v>
      </c>
      <c r="Z388" s="56">
        <f>W388*재고내역!$M$6</f>
        <v>30748</v>
      </c>
      <c r="AA388" s="56">
        <f t="shared" si="48"/>
        <v>4550</v>
      </c>
      <c r="AB388" s="56">
        <f t="shared" si="42"/>
        <v>6065.6363636363603</v>
      </c>
      <c r="AC388" s="376">
        <f t="shared" si="43"/>
        <v>0.14664175824175818</v>
      </c>
    </row>
    <row r="389" spans="1:29" ht="15.75" customHeight="1">
      <c r="A389" s="423" t="s">
        <v>2168</v>
      </c>
      <c r="B389" s="423" t="s">
        <v>2169</v>
      </c>
      <c r="E389" s="423" t="s">
        <v>2170</v>
      </c>
      <c r="F389" s="423" t="s">
        <v>2171</v>
      </c>
      <c r="G389" s="60">
        <v>1</v>
      </c>
      <c r="H389" s="54" t="s">
        <v>73</v>
      </c>
      <c r="L389" s="356" t="s">
        <v>163</v>
      </c>
      <c r="M389" s="96" t="s">
        <v>2172</v>
      </c>
      <c r="N389" s="96" t="s">
        <v>2173</v>
      </c>
      <c r="O389" s="96" t="s">
        <v>1545</v>
      </c>
      <c r="P389" s="57" t="s">
        <v>41</v>
      </c>
      <c r="Q389" s="61">
        <v>46059</v>
      </c>
      <c r="R389" s="59" t="s">
        <v>41</v>
      </c>
      <c r="S389" s="60">
        <v>45500</v>
      </c>
      <c r="T389" s="56" t="str">
        <f t="shared" si="41"/>
        <v>0</v>
      </c>
      <c r="U389" s="357">
        <f t="shared" si="47"/>
        <v>45500</v>
      </c>
      <c r="V389" s="56">
        <f t="shared" si="46"/>
        <v>41363.63636363636</v>
      </c>
      <c r="W389" s="65">
        <f>IF(H389=재고내역!$F$9,출고요청서_raw!G389*1,IF(H389=재고내역!$F$10,출고요청서_raw!G389*2,IF(출고요청서_raw!H389=재고내역!$F$11,출고요청서_raw!G389*4,IF(출고요청서_raw!H389=재고내역!$F$12,출고요청서_raw!G389*6,IF(출고요청서_raw!H389=재고내역!$F$13,출고요청서_raw!G389*8)))))</f>
        <v>4</v>
      </c>
      <c r="Z389" s="56">
        <f>W389*재고내역!$M$6</f>
        <v>30748</v>
      </c>
      <c r="AA389" s="56">
        <f t="shared" si="48"/>
        <v>4550</v>
      </c>
      <c r="AB389" s="56">
        <f t="shared" si="42"/>
        <v>6065.6363636363603</v>
      </c>
      <c r="AC389" s="376">
        <f t="shared" si="43"/>
        <v>0.14664175824175818</v>
      </c>
    </row>
    <row r="390" spans="1:29" ht="15.75" customHeight="1">
      <c r="A390" s="423" t="s">
        <v>2174</v>
      </c>
      <c r="B390" s="423" t="s">
        <v>2169</v>
      </c>
      <c r="E390" s="423" t="s">
        <v>2175</v>
      </c>
      <c r="F390" s="423" t="s">
        <v>2176</v>
      </c>
      <c r="G390" s="60">
        <v>1</v>
      </c>
      <c r="H390" s="54" t="s">
        <v>73</v>
      </c>
      <c r="L390" s="356" t="s">
        <v>163</v>
      </c>
      <c r="M390" s="96" t="s">
        <v>2177</v>
      </c>
      <c r="N390" s="96" t="s">
        <v>2178</v>
      </c>
      <c r="O390" s="96" t="s">
        <v>1545</v>
      </c>
      <c r="P390" s="57" t="s">
        <v>41</v>
      </c>
      <c r="Q390" s="61">
        <v>46059</v>
      </c>
      <c r="R390" s="59" t="s">
        <v>41</v>
      </c>
      <c r="S390" s="60">
        <v>45500</v>
      </c>
      <c r="T390" s="56" t="str">
        <f t="shared" ref="T390:T453" si="49">IF(R390="쿠팡",VLOOKUP(H390,$AF$7:$AG$10,2,0)*G390,"0")</f>
        <v>0</v>
      </c>
      <c r="U390" s="357">
        <f t="shared" si="47"/>
        <v>45500</v>
      </c>
      <c r="V390" s="56">
        <f t="shared" si="46"/>
        <v>41363.63636363636</v>
      </c>
      <c r="W390" s="65">
        <f>IF(H390=재고내역!$F$9,출고요청서_raw!G390*1,IF(H390=재고내역!$F$10,출고요청서_raw!G390*2,IF(출고요청서_raw!H390=재고내역!$F$11,출고요청서_raw!G390*4,IF(출고요청서_raw!H390=재고내역!$F$12,출고요청서_raw!G390*6,IF(출고요청서_raw!H390=재고내역!$F$13,출고요청서_raw!G390*8)))))</f>
        <v>4</v>
      </c>
      <c r="Z390" s="56">
        <f>W390*재고내역!$M$6</f>
        <v>30748</v>
      </c>
      <c r="AA390" s="56">
        <f t="shared" si="48"/>
        <v>4550</v>
      </c>
      <c r="AB390" s="56">
        <f t="shared" ref="AB390:AB453" si="50">V390-Z390-AA390-Y390</f>
        <v>6065.6363636363603</v>
      </c>
      <c r="AC390" s="376">
        <f t="shared" ref="AC390:AC453" si="51">AB390/V390</f>
        <v>0.14664175824175818</v>
      </c>
    </row>
    <row r="391" spans="1:29" ht="15.75" customHeight="1">
      <c r="A391" s="423" t="s">
        <v>2179</v>
      </c>
      <c r="B391" s="423" t="s">
        <v>2180</v>
      </c>
      <c r="E391" s="423" t="s">
        <v>2181</v>
      </c>
      <c r="F391" s="423" t="s">
        <v>2182</v>
      </c>
      <c r="G391" s="60">
        <v>1</v>
      </c>
      <c r="H391" s="54" t="s">
        <v>73</v>
      </c>
      <c r="L391" s="356" t="s">
        <v>163</v>
      </c>
      <c r="M391" s="96" t="s">
        <v>2183</v>
      </c>
      <c r="N391" s="96" t="s">
        <v>2184</v>
      </c>
      <c r="O391" s="96" t="s">
        <v>1545</v>
      </c>
      <c r="P391" s="57" t="s">
        <v>41</v>
      </c>
      <c r="Q391" s="61">
        <v>46059</v>
      </c>
      <c r="R391" s="59" t="s">
        <v>41</v>
      </c>
      <c r="S391" s="60">
        <v>45500</v>
      </c>
      <c r="T391" s="56" t="str">
        <f t="shared" si="49"/>
        <v>0</v>
      </c>
      <c r="U391" s="357">
        <f t="shared" si="47"/>
        <v>45500</v>
      </c>
      <c r="V391" s="56">
        <f t="shared" si="46"/>
        <v>41363.63636363636</v>
      </c>
      <c r="W391" s="65">
        <f>IF(H391=재고내역!$F$9,출고요청서_raw!G391*1,IF(H391=재고내역!$F$10,출고요청서_raw!G391*2,IF(출고요청서_raw!H391=재고내역!$F$11,출고요청서_raw!G391*4,IF(출고요청서_raw!H391=재고내역!$F$12,출고요청서_raw!G391*6,IF(출고요청서_raw!H391=재고내역!$F$13,출고요청서_raw!G391*8)))))</f>
        <v>4</v>
      </c>
      <c r="Z391" s="56">
        <f>W391*재고내역!$M$6</f>
        <v>30748</v>
      </c>
      <c r="AA391" s="56">
        <f t="shared" si="48"/>
        <v>4550</v>
      </c>
      <c r="AB391" s="56">
        <f t="shared" si="50"/>
        <v>6065.6363636363603</v>
      </c>
      <c r="AC391" s="376">
        <f t="shared" si="51"/>
        <v>0.14664175824175818</v>
      </c>
    </row>
    <row r="392" spans="1:29" ht="15.75" customHeight="1">
      <c r="A392" s="423" t="s">
        <v>2185</v>
      </c>
      <c r="B392" s="423" t="s">
        <v>2186</v>
      </c>
      <c r="E392" s="423" t="s">
        <v>2187</v>
      </c>
      <c r="F392" s="423" t="s">
        <v>2188</v>
      </c>
      <c r="G392" s="60">
        <v>1</v>
      </c>
      <c r="H392" s="54" t="s">
        <v>73</v>
      </c>
      <c r="L392" s="356" t="s">
        <v>163</v>
      </c>
      <c r="M392" s="96" t="s">
        <v>2189</v>
      </c>
      <c r="N392" s="96" t="s">
        <v>2190</v>
      </c>
      <c r="O392" s="96" t="s">
        <v>1545</v>
      </c>
      <c r="P392" s="57" t="s">
        <v>41</v>
      </c>
      <c r="Q392" s="61">
        <v>46059</v>
      </c>
      <c r="R392" s="59" t="s">
        <v>41</v>
      </c>
      <c r="S392" s="60">
        <v>45500</v>
      </c>
      <c r="T392" s="56" t="str">
        <f t="shared" si="49"/>
        <v>0</v>
      </c>
      <c r="U392" s="357">
        <f t="shared" si="47"/>
        <v>45500</v>
      </c>
      <c r="V392" s="56">
        <f t="shared" si="46"/>
        <v>41363.63636363636</v>
      </c>
      <c r="W392" s="65">
        <f>IF(H392=재고내역!$F$9,출고요청서_raw!G392*1,IF(H392=재고내역!$F$10,출고요청서_raw!G392*2,IF(출고요청서_raw!H392=재고내역!$F$11,출고요청서_raw!G392*4,IF(출고요청서_raw!H392=재고내역!$F$12,출고요청서_raw!G392*6,IF(출고요청서_raw!H392=재고내역!$F$13,출고요청서_raw!G392*8)))))</f>
        <v>4</v>
      </c>
      <c r="Z392" s="56">
        <f>W392*재고내역!$M$6</f>
        <v>30748</v>
      </c>
      <c r="AA392" s="56">
        <f t="shared" si="48"/>
        <v>4550</v>
      </c>
      <c r="AB392" s="56">
        <f t="shared" si="50"/>
        <v>6065.6363636363603</v>
      </c>
      <c r="AC392" s="376">
        <f t="shared" si="51"/>
        <v>0.14664175824175818</v>
      </c>
    </row>
    <row r="393" spans="1:29" ht="15.75" customHeight="1">
      <c r="A393" s="423" t="s">
        <v>2191</v>
      </c>
      <c r="B393" s="423" t="s">
        <v>2192</v>
      </c>
      <c r="E393" s="423" t="s">
        <v>2193</v>
      </c>
      <c r="F393" s="423" t="s">
        <v>2194</v>
      </c>
      <c r="G393" s="60">
        <v>1</v>
      </c>
      <c r="H393" s="54" t="s">
        <v>73</v>
      </c>
      <c r="L393" s="356" t="s">
        <v>163</v>
      </c>
      <c r="M393" s="96" t="s">
        <v>2195</v>
      </c>
      <c r="N393" s="96" t="s">
        <v>2196</v>
      </c>
      <c r="O393" s="96" t="s">
        <v>1545</v>
      </c>
      <c r="P393" s="57" t="s">
        <v>41</v>
      </c>
      <c r="Q393" s="61">
        <v>46059</v>
      </c>
      <c r="R393" s="59" t="s">
        <v>41</v>
      </c>
      <c r="S393" s="60">
        <v>45500</v>
      </c>
      <c r="T393" s="56" t="str">
        <f t="shared" si="49"/>
        <v>0</v>
      </c>
      <c r="U393" s="357">
        <f t="shared" si="47"/>
        <v>45500</v>
      </c>
      <c r="V393" s="56">
        <f t="shared" si="46"/>
        <v>41363.63636363636</v>
      </c>
      <c r="W393" s="65">
        <f>IF(H393=재고내역!$F$9,출고요청서_raw!G393*1,IF(H393=재고내역!$F$10,출고요청서_raw!G393*2,IF(출고요청서_raw!H393=재고내역!$F$11,출고요청서_raw!G393*4,IF(출고요청서_raw!H393=재고내역!$F$12,출고요청서_raw!G393*6,IF(출고요청서_raw!H393=재고내역!$F$13,출고요청서_raw!G393*8)))))</f>
        <v>4</v>
      </c>
      <c r="Z393" s="56">
        <f>W393*재고내역!$M$6</f>
        <v>30748</v>
      </c>
      <c r="AA393" s="56">
        <f t="shared" si="48"/>
        <v>4550</v>
      </c>
      <c r="AB393" s="56">
        <f t="shared" si="50"/>
        <v>6065.6363636363603</v>
      </c>
      <c r="AC393" s="376">
        <f t="shared" si="51"/>
        <v>0.14664175824175818</v>
      </c>
    </row>
    <row r="394" spans="1:29" ht="15.75" customHeight="1">
      <c r="A394" s="423" t="s">
        <v>2197</v>
      </c>
      <c r="B394" s="423" t="s">
        <v>2198</v>
      </c>
      <c r="E394" s="423" t="s">
        <v>2199</v>
      </c>
      <c r="F394" s="423" t="s">
        <v>2200</v>
      </c>
      <c r="G394" s="60">
        <v>1</v>
      </c>
      <c r="H394" s="54" t="s">
        <v>73</v>
      </c>
      <c r="L394" s="356" t="s">
        <v>163</v>
      </c>
      <c r="M394" s="96" t="s">
        <v>2201</v>
      </c>
      <c r="N394" s="96" t="s">
        <v>2202</v>
      </c>
      <c r="O394" s="96" t="s">
        <v>1545</v>
      </c>
      <c r="P394" s="57" t="s">
        <v>41</v>
      </c>
      <c r="Q394" s="61">
        <v>46059</v>
      </c>
      <c r="R394" s="59" t="s">
        <v>41</v>
      </c>
      <c r="S394" s="60">
        <v>45500</v>
      </c>
      <c r="T394" s="56" t="str">
        <f t="shared" si="49"/>
        <v>0</v>
      </c>
      <c r="U394" s="357">
        <f t="shared" si="47"/>
        <v>45500</v>
      </c>
      <c r="V394" s="56">
        <f t="shared" si="46"/>
        <v>41363.63636363636</v>
      </c>
      <c r="W394" s="65">
        <f>IF(H394=재고내역!$F$9,출고요청서_raw!G394*1,IF(H394=재고내역!$F$10,출고요청서_raw!G394*2,IF(출고요청서_raw!H394=재고내역!$F$11,출고요청서_raw!G394*4,IF(출고요청서_raw!H394=재고내역!$F$12,출고요청서_raw!G394*6,IF(출고요청서_raw!H394=재고내역!$F$13,출고요청서_raw!G394*8)))))</f>
        <v>4</v>
      </c>
      <c r="Z394" s="56">
        <f>W394*재고내역!$M$6</f>
        <v>30748</v>
      </c>
      <c r="AA394" s="56">
        <f t="shared" si="48"/>
        <v>4550</v>
      </c>
      <c r="AB394" s="56">
        <f t="shared" si="50"/>
        <v>6065.6363636363603</v>
      </c>
      <c r="AC394" s="376">
        <f t="shared" si="51"/>
        <v>0.14664175824175818</v>
      </c>
    </row>
    <row r="395" spans="1:29" ht="15.75" customHeight="1">
      <c r="A395" s="423" t="s">
        <v>2203</v>
      </c>
      <c r="B395" s="423" t="s">
        <v>2204</v>
      </c>
      <c r="E395" s="423" t="s">
        <v>2205</v>
      </c>
      <c r="F395" s="423" t="s">
        <v>2206</v>
      </c>
      <c r="G395" s="60">
        <v>1</v>
      </c>
      <c r="H395" s="54" t="s">
        <v>73</v>
      </c>
      <c r="L395" s="356" t="s">
        <v>2207</v>
      </c>
      <c r="M395" s="96" t="s">
        <v>2208</v>
      </c>
      <c r="N395" s="96" t="s">
        <v>2209</v>
      </c>
      <c r="O395" s="96" t="s">
        <v>1545</v>
      </c>
      <c r="P395" s="57" t="s">
        <v>41</v>
      </c>
      <c r="Q395" s="61">
        <v>46059</v>
      </c>
      <c r="R395" s="59" t="s">
        <v>41</v>
      </c>
      <c r="S395" s="60">
        <v>45500</v>
      </c>
      <c r="T395" s="56" t="str">
        <f t="shared" si="49"/>
        <v>0</v>
      </c>
      <c r="U395" s="357">
        <f t="shared" si="47"/>
        <v>45500</v>
      </c>
      <c r="V395" s="56">
        <f t="shared" si="46"/>
        <v>41363.63636363636</v>
      </c>
      <c r="W395" s="65">
        <f>IF(H395=재고내역!$F$9,출고요청서_raw!G395*1,IF(H395=재고내역!$F$10,출고요청서_raw!G395*2,IF(출고요청서_raw!H395=재고내역!$F$11,출고요청서_raw!G395*4,IF(출고요청서_raw!H395=재고내역!$F$12,출고요청서_raw!G395*6,IF(출고요청서_raw!H395=재고내역!$F$13,출고요청서_raw!G395*8)))))</f>
        <v>4</v>
      </c>
      <c r="Z395" s="56">
        <f>W395*재고내역!$M$6</f>
        <v>30748</v>
      </c>
      <c r="AA395" s="56">
        <f t="shared" si="48"/>
        <v>4550</v>
      </c>
      <c r="AB395" s="56">
        <f t="shared" si="50"/>
        <v>6065.6363636363603</v>
      </c>
      <c r="AC395" s="376">
        <f t="shared" si="51"/>
        <v>0.14664175824175818</v>
      </c>
    </row>
    <row r="396" spans="1:29" ht="15.75" customHeight="1">
      <c r="A396" s="423" t="s">
        <v>2210</v>
      </c>
      <c r="B396" s="423" t="s">
        <v>2211</v>
      </c>
      <c r="E396" s="423" t="s">
        <v>2212</v>
      </c>
      <c r="F396" s="423" t="s">
        <v>2213</v>
      </c>
      <c r="G396" s="370">
        <v>2</v>
      </c>
      <c r="H396" s="54" t="s">
        <v>73</v>
      </c>
      <c r="L396" s="356" t="s">
        <v>163</v>
      </c>
      <c r="M396" s="96" t="s">
        <v>2214</v>
      </c>
      <c r="N396" s="96" t="s">
        <v>2215</v>
      </c>
      <c r="O396" s="96" t="s">
        <v>1545</v>
      </c>
      <c r="P396" s="57" t="s">
        <v>41</v>
      </c>
      <c r="Q396" s="61">
        <v>46059</v>
      </c>
      <c r="R396" s="59" t="s">
        <v>41</v>
      </c>
      <c r="S396" s="60">
        <v>45500</v>
      </c>
      <c r="T396" s="56" t="str">
        <f t="shared" si="49"/>
        <v>0</v>
      </c>
      <c r="U396" s="357">
        <f t="shared" si="47"/>
        <v>91000</v>
      </c>
      <c r="V396" s="56">
        <f t="shared" si="46"/>
        <v>82727.272727272721</v>
      </c>
      <c r="W396" s="65">
        <f>IF(H396=재고내역!$F$9,출고요청서_raw!G396*1,IF(H396=재고내역!$F$10,출고요청서_raw!G396*2,IF(출고요청서_raw!H396=재고내역!$F$11,출고요청서_raw!G396*4,IF(출고요청서_raw!H396=재고내역!$F$12,출고요청서_raw!G396*6,IF(출고요청서_raw!H396=재고내역!$F$13,출고요청서_raw!G396*8)))))</f>
        <v>8</v>
      </c>
      <c r="Z396" s="56">
        <f>W396*재고내역!$M$6</f>
        <v>61496</v>
      </c>
      <c r="AA396" s="56">
        <f t="shared" si="48"/>
        <v>4550</v>
      </c>
      <c r="AB396" s="56">
        <f t="shared" si="50"/>
        <v>16681.272727272721</v>
      </c>
      <c r="AC396" s="376">
        <f t="shared" si="51"/>
        <v>0.20164175824175817</v>
      </c>
    </row>
    <row r="397" spans="1:29" ht="15.75" customHeight="1">
      <c r="A397" s="423" t="s">
        <v>2216</v>
      </c>
      <c r="B397" s="423" t="s">
        <v>2217</v>
      </c>
      <c r="E397" s="423" t="s">
        <v>2218</v>
      </c>
      <c r="F397" s="423" t="s">
        <v>2219</v>
      </c>
      <c r="G397" s="60">
        <v>1</v>
      </c>
      <c r="H397" s="54" t="s">
        <v>73</v>
      </c>
      <c r="L397" s="356" t="s">
        <v>163</v>
      </c>
      <c r="M397" s="96" t="s">
        <v>2220</v>
      </c>
      <c r="N397" s="96" t="s">
        <v>2221</v>
      </c>
      <c r="O397" s="96" t="s">
        <v>1545</v>
      </c>
      <c r="P397" s="57" t="s">
        <v>41</v>
      </c>
      <c r="Q397" s="61">
        <v>46059</v>
      </c>
      <c r="R397" s="59" t="s">
        <v>41</v>
      </c>
      <c r="S397" s="60">
        <v>45500</v>
      </c>
      <c r="T397" s="56" t="str">
        <f t="shared" si="49"/>
        <v>0</v>
      </c>
      <c r="U397" s="357">
        <f t="shared" si="47"/>
        <v>45500</v>
      </c>
      <c r="V397" s="56">
        <f t="shared" si="46"/>
        <v>41363.63636363636</v>
      </c>
      <c r="W397" s="65">
        <f>IF(H397=재고내역!$F$9,출고요청서_raw!G397*1,IF(H397=재고내역!$F$10,출고요청서_raw!G397*2,IF(출고요청서_raw!H397=재고내역!$F$11,출고요청서_raw!G397*4,IF(출고요청서_raw!H397=재고내역!$F$12,출고요청서_raw!G397*6,IF(출고요청서_raw!H397=재고내역!$F$13,출고요청서_raw!G397*8)))))</f>
        <v>4</v>
      </c>
      <c r="Z397" s="56">
        <f>W397*재고내역!$M$6</f>
        <v>30748</v>
      </c>
      <c r="AA397" s="56">
        <f t="shared" si="48"/>
        <v>4550</v>
      </c>
      <c r="AB397" s="56">
        <f t="shared" si="50"/>
        <v>6065.6363636363603</v>
      </c>
      <c r="AC397" s="376">
        <f t="shared" si="51"/>
        <v>0.14664175824175818</v>
      </c>
    </row>
    <row r="398" spans="1:29" ht="15.75" customHeight="1">
      <c r="A398" s="356" t="s">
        <v>261</v>
      </c>
      <c r="B398" s="356" t="s">
        <v>2222</v>
      </c>
      <c r="E398" s="356" t="s">
        <v>2223</v>
      </c>
      <c r="F398" s="356" t="s">
        <v>2224</v>
      </c>
      <c r="G398" s="60">
        <v>1</v>
      </c>
      <c r="H398" s="54" t="s">
        <v>73</v>
      </c>
      <c r="L398" s="356" t="s">
        <v>163</v>
      </c>
      <c r="M398" s="358" t="s">
        <v>2225</v>
      </c>
      <c r="N398" s="358" t="s">
        <v>2226</v>
      </c>
      <c r="O398" s="358" t="s">
        <v>1545</v>
      </c>
      <c r="P398" s="57" t="s">
        <v>41</v>
      </c>
      <c r="Q398" s="61">
        <v>46059</v>
      </c>
      <c r="R398" s="59" t="s">
        <v>41</v>
      </c>
      <c r="S398" s="60">
        <v>45500</v>
      </c>
      <c r="T398" s="56" t="str">
        <f t="shared" si="49"/>
        <v>0</v>
      </c>
      <c r="U398" s="357">
        <f t="shared" si="47"/>
        <v>45500</v>
      </c>
      <c r="V398" s="56">
        <f t="shared" si="46"/>
        <v>41363.63636363636</v>
      </c>
      <c r="W398" s="65">
        <f>IF(H398=재고내역!$F$9,출고요청서_raw!G398*1,IF(H398=재고내역!$F$10,출고요청서_raw!G398*2,IF(출고요청서_raw!H398=재고내역!$F$11,출고요청서_raw!G398*4,IF(출고요청서_raw!H398=재고내역!$F$12,출고요청서_raw!G398*6,IF(출고요청서_raw!H398=재고내역!$F$13,출고요청서_raw!G398*8)))))</f>
        <v>4</v>
      </c>
      <c r="Z398" s="56">
        <f>W398*재고내역!$M$6</f>
        <v>30748</v>
      </c>
      <c r="AA398" s="56">
        <f t="shared" si="48"/>
        <v>4550</v>
      </c>
      <c r="AB398" s="56">
        <f t="shared" si="50"/>
        <v>6065.6363636363603</v>
      </c>
      <c r="AC398" s="376">
        <f t="shared" si="51"/>
        <v>0.14664175824175818</v>
      </c>
    </row>
    <row r="399" spans="1:29" ht="15.75" customHeight="1">
      <c r="A399" s="356" t="s">
        <v>2227</v>
      </c>
      <c r="B399" s="356" t="s">
        <v>2228</v>
      </c>
      <c r="E399" s="356" t="s">
        <v>2229</v>
      </c>
      <c r="F399" s="356" t="s">
        <v>2230</v>
      </c>
      <c r="G399" s="60">
        <v>1</v>
      </c>
      <c r="H399" s="54" t="s">
        <v>74</v>
      </c>
      <c r="L399" s="356" t="s">
        <v>2231</v>
      </c>
      <c r="M399" s="358" t="s">
        <v>2232</v>
      </c>
      <c r="N399" s="358" t="s">
        <v>2233</v>
      </c>
      <c r="O399" s="358" t="s">
        <v>1545</v>
      </c>
      <c r="P399" s="57" t="s">
        <v>41</v>
      </c>
      <c r="Q399" s="61">
        <v>46059</v>
      </c>
      <c r="R399" s="59" t="s">
        <v>41</v>
      </c>
      <c r="S399" s="60">
        <v>63000</v>
      </c>
      <c r="T399" s="56" t="str">
        <f t="shared" si="49"/>
        <v>0</v>
      </c>
      <c r="U399" s="357">
        <f t="shared" si="47"/>
        <v>63000</v>
      </c>
      <c r="V399" s="56">
        <f t="shared" si="46"/>
        <v>57272.727272727265</v>
      </c>
      <c r="W399" s="65">
        <f>IF(H399=재고내역!$F$9,출고요청서_raw!G399*1,IF(H399=재고내역!$F$10,출고요청서_raw!G399*2,IF(출고요청서_raw!H399=재고내역!$F$11,출고요청서_raw!G399*4,IF(출고요청서_raw!H399=재고내역!$F$12,출고요청서_raw!G399*6,IF(출고요청서_raw!H399=재고내역!$F$13,출고요청서_raw!G399*8)))))</f>
        <v>6</v>
      </c>
      <c r="Z399" s="56">
        <f>W399*재고내역!$M$6</f>
        <v>46122</v>
      </c>
      <c r="AA399" s="56">
        <f t="shared" si="48"/>
        <v>4550</v>
      </c>
      <c r="AB399" s="56">
        <f t="shared" si="50"/>
        <v>6600.7272727272648</v>
      </c>
      <c r="AC399" s="376">
        <f t="shared" si="51"/>
        <v>0.11525079365079353</v>
      </c>
    </row>
    <row r="400" spans="1:29" ht="15.75" customHeight="1">
      <c r="A400" s="356" t="s">
        <v>2234</v>
      </c>
      <c r="B400" s="356" t="s">
        <v>2235</v>
      </c>
      <c r="E400" s="356" t="s">
        <v>2236</v>
      </c>
      <c r="F400" s="356" t="s">
        <v>2237</v>
      </c>
      <c r="G400" s="60">
        <v>1</v>
      </c>
      <c r="H400" s="54" t="s">
        <v>74</v>
      </c>
      <c r="L400" s="356" t="s">
        <v>163</v>
      </c>
      <c r="M400" s="358" t="s">
        <v>2238</v>
      </c>
      <c r="N400" s="358" t="s">
        <v>2239</v>
      </c>
      <c r="O400" s="358" t="s">
        <v>1545</v>
      </c>
      <c r="P400" s="57" t="s">
        <v>41</v>
      </c>
      <c r="Q400" s="61">
        <v>46059</v>
      </c>
      <c r="R400" s="59" t="s">
        <v>41</v>
      </c>
      <c r="S400" s="60">
        <v>63000</v>
      </c>
      <c r="T400" s="56" t="str">
        <f t="shared" si="49"/>
        <v>0</v>
      </c>
      <c r="U400" s="357">
        <f t="shared" si="47"/>
        <v>63000</v>
      </c>
      <c r="V400" s="56">
        <f t="shared" si="46"/>
        <v>57272.727272727265</v>
      </c>
      <c r="W400" s="65">
        <f>IF(H400=재고내역!$F$9,출고요청서_raw!G400*1,IF(H400=재고내역!$F$10,출고요청서_raw!G400*2,IF(출고요청서_raw!H400=재고내역!$F$11,출고요청서_raw!G400*4,IF(출고요청서_raw!H400=재고내역!$F$12,출고요청서_raw!G400*6,IF(출고요청서_raw!H400=재고내역!$F$13,출고요청서_raw!G400*8)))))</f>
        <v>6</v>
      </c>
      <c r="Z400" s="56">
        <f>W400*재고내역!$M$6</f>
        <v>46122</v>
      </c>
      <c r="AA400" s="56">
        <f t="shared" si="48"/>
        <v>4550</v>
      </c>
      <c r="AB400" s="56">
        <f t="shared" si="50"/>
        <v>6600.7272727272648</v>
      </c>
      <c r="AC400" s="376">
        <f t="shared" si="51"/>
        <v>0.11525079365079353</v>
      </c>
    </row>
    <row r="401" spans="1:31" ht="15.75" customHeight="1">
      <c r="A401" s="356" t="s">
        <v>2240</v>
      </c>
      <c r="B401" s="356" t="s">
        <v>2241</v>
      </c>
      <c r="E401" s="356" t="s">
        <v>2242</v>
      </c>
      <c r="F401" s="356" t="s">
        <v>2243</v>
      </c>
      <c r="G401" s="60">
        <v>1</v>
      </c>
      <c r="H401" s="54" t="s">
        <v>74</v>
      </c>
      <c r="L401" s="356" t="s">
        <v>163</v>
      </c>
      <c r="M401" s="358" t="s">
        <v>2244</v>
      </c>
      <c r="N401" s="358" t="s">
        <v>2245</v>
      </c>
      <c r="O401" s="358" t="s">
        <v>1545</v>
      </c>
      <c r="P401" s="57" t="s">
        <v>41</v>
      </c>
      <c r="Q401" s="61">
        <v>46059</v>
      </c>
      <c r="R401" s="59" t="s">
        <v>41</v>
      </c>
      <c r="S401" s="60">
        <v>63000</v>
      </c>
      <c r="T401" s="56" t="str">
        <f t="shared" si="49"/>
        <v>0</v>
      </c>
      <c r="U401" s="357">
        <f t="shared" si="47"/>
        <v>63000</v>
      </c>
      <c r="V401" s="56">
        <f t="shared" si="46"/>
        <v>57272.727272727265</v>
      </c>
      <c r="W401" s="65">
        <f>IF(H401=재고내역!$F$9,출고요청서_raw!G401*1,IF(H401=재고내역!$F$10,출고요청서_raw!G401*2,IF(출고요청서_raw!H401=재고내역!$F$11,출고요청서_raw!G401*4,IF(출고요청서_raw!H401=재고내역!$F$12,출고요청서_raw!G401*6,IF(출고요청서_raw!H401=재고내역!$F$13,출고요청서_raw!G401*8)))))</f>
        <v>6</v>
      </c>
      <c r="Z401" s="56">
        <f>W401*재고내역!$M$6</f>
        <v>46122</v>
      </c>
      <c r="AA401" s="56">
        <f t="shared" si="48"/>
        <v>4550</v>
      </c>
      <c r="AB401" s="56">
        <f t="shared" si="50"/>
        <v>6600.7272727272648</v>
      </c>
      <c r="AC401" s="376">
        <f t="shared" si="51"/>
        <v>0.11525079365079353</v>
      </c>
    </row>
    <row r="402" spans="1:31" ht="15.75" customHeight="1">
      <c r="A402" s="356" t="s">
        <v>2246</v>
      </c>
      <c r="B402" s="356" t="s">
        <v>2247</v>
      </c>
      <c r="E402" s="356" t="s">
        <v>2248</v>
      </c>
      <c r="F402" s="356" t="s">
        <v>2249</v>
      </c>
      <c r="G402" s="60">
        <v>1</v>
      </c>
      <c r="H402" s="54" t="s">
        <v>74</v>
      </c>
      <c r="L402" s="356" t="s">
        <v>163</v>
      </c>
      <c r="M402" s="358" t="s">
        <v>2250</v>
      </c>
      <c r="N402" s="358" t="s">
        <v>2251</v>
      </c>
      <c r="O402" s="358" t="s">
        <v>1545</v>
      </c>
      <c r="P402" s="57" t="s">
        <v>41</v>
      </c>
      <c r="Q402" s="61">
        <v>46059</v>
      </c>
      <c r="R402" s="59" t="s">
        <v>41</v>
      </c>
      <c r="S402" s="60">
        <v>63000</v>
      </c>
      <c r="T402" s="56" t="str">
        <f t="shared" si="49"/>
        <v>0</v>
      </c>
      <c r="U402" s="357">
        <f t="shared" si="47"/>
        <v>63000</v>
      </c>
      <c r="V402" s="56">
        <f t="shared" si="46"/>
        <v>57272.727272727265</v>
      </c>
      <c r="W402" s="65">
        <f>IF(H402=재고내역!$F$9,출고요청서_raw!G402*1,IF(H402=재고내역!$F$10,출고요청서_raw!G402*2,IF(출고요청서_raw!H402=재고내역!$F$11,출고요청서_raw!G402*4,IF(출고요청서_raw!H402=재고내역!$F$12,출고요청서_raw!G402*6,IF(출고요청서_raw!H402=재고내역!$F$13,출고요청서_raw!G402*8)))))</f>
        <v>6</v>
      </c>
      <c r="Z402" s="56">
        <f>W402*재고내역!$M$6</f>
        <v>46122</v>
      </c>
      <c r="AA402" s="56">
        <f t="shared" si="48"/>
        <v>4550</v>
      </c>
      <c r="AB402" s="56">
        <f t="shared" si="50"/>
        <v>6600.7272727272648</v>
      </c>
      <c r="AC402" s="376">
        <f t="shared" si="51"/>
        <v>0.11525079365079353</v>
      </c>
    </row>
    <row r="403" spans="1:31" ht="15.75" customHeight="1">
      <c r="A403" s="356" t="s">
        <v>2252</v>
      </c>
      <c r="B403" s="356" t="s">
        <v>2253</v>
      </c>
      <c r="E403" s="356" t="s">
        <v>2254</v>
      </c>
      <c r="F403" s="356" t="s">
        <v>2255</v>
      </c>
      <c r="G403" s="60">
        <v>1</v>
      </c>
      <c r="H403" s="54" t="s">
        <v>74</v>
      </c>
      <c r="L403" s="356" t="s">
        <v>163</v>
      </c>
      <c r="M403" s="358" t="s">
        <v>2256</v>
      </c>
      <c r="N403" s="358" t="s">
        <v>2257</v>
      </c>
      <c r="O403" s="358" t="s">
        <v>1545</v>
      </c>
      <c r="P403" s="57" t="s">
        <v>41</v>
      </c>
      <c r="Q403" s="61">
        <v>46059</v>
      </c>
      <c r="R403" s="59" t="s">
        <v>41</v>
      </c>
      <c r="S403" s="60">
        <v>63000</v>
      </c>
      <c r="T403" s="56" t="str">
        <f t="shared" si="49"/>
        <v>0</v>
      </c>
      <c r="U403" s="357">
        <f t="shared" si="47"/>
        <v>63000</v>
      </c>
      <c r="V403" s="56">
        <f t="shared" si="46"/>
        <v>57272.727272727265</v>
      </c>
      <c r="W403" s="65">
        <f>IF(H403=재고내역!$F$9,출고요청서_raw!G403*1,IF(H403=재고내역!$F$10,출고요청서_raw!G403*2,IF(출고요청서_raw!H403=재고내역!$F$11,출고요청서_raw!G403*4,IF(출고요청서_raw!H403=재고내역!$F$12,출고요청서_raw!G403*6,IF(출고요청서_raw!H403=재고내역!$F$13,출고요청서_raw!G403*8)))))</f>
        <v>6</v>
      </c>
      <c r="Z403" s="56">
        <f>W403*재고내역!$M$6</f>
        <v>46122</v>
      </c>
      <c r="AA403" s="56">
        <f t="shared" si="48"/>
        <v>4550</v>
      </c>
      <c r="AB403" s="56">
        <f t="shared" si="50"/>
        <v>6600.7272727272648</v>
      </c>
      <c r="AC403" s="376">
        <f t="shared" si="51"/>
        <v>0.11525079365079353</v>
      </c>
    </row>
    <row r="404" spans="1:31" ht="15.75" customHeight="1">
      <c r="A404" s="356" t="s">
        <v>2252</v>
      </c>
      <c r="B404" s="356" t="s">
        <v>2253</v>
      </c>
      <c r="E404" s="356" t="s">
        <v>2258</v>
      </c>
      <c r="F404" s="356" t="s">
        <v>2259</v>
      </c>
      <c r="G404" s="60">
        <v>1</v>
      </c>
      <c r="H404" s="54" t="s">
        <v>74</v>
      </c>
      <c r="L404" s="356" t="s">
        <v>163</v>
      </c>
      <c r="M404" s="358" t="s">
        <v>2260</v>
      </c>
      <c r="N404" s="358" t="s">
        <v>2261</v>
      </c>
      <c r="O404" s="358" t="s">
        <v>1545</v>
      </c>
      <c r="P404" s="57" t="s">
        <v>41</v>
      </c>
      <c r="Q404" s="61">
        <v>46059</v>
      </c>
      <c r="R404" s="59" t="s">
        <v>41</v>
      </c>
      <c r="S404" s="60">
        <v>63000</v>
      </c>
      <c r="T404" s="56" t="str">
        <f t="shared" si="49"/>
        <v>0</v>
      </c>
      <c r="U404" s="357">
        <f t="shared" si="47"/>
        <v>63000</v>
      </c>
      <c r="V404" s="56">
        <f t="shared" si="46"/>
        <v>57272.727272727265</v>
      </c>
      <c r="W404" s="65">
        <f>IF(H404=재고내역!$F$9,출고요청서_raw!G404*1,IF(H404=재고내역!$F$10,출고요청서_raw!G404*2,IF(출고요청서_raw!H404=재고내역!$F$11,출고요청서_raw!G404*4,IF(출고요청서_raw!H404=재고내역!$F$12,출고요청서_raw!G404*6,IF(출고요청서_raw!H404=재고내역!$F$13,출고요청서_raw!G404*8)))))</f>
        <v>6</v>
      </c>
      <c r="Z404" s="56">
        <f>W404*재고내역!$M$6</f>
        <v>46122</v>
      </c>
      <c r="AA404" s="56">
        <f t="shared" si="48"/>
        <v>4550</v>
      </c>
      <c r="AB404" s="56">
        <f t="shared" si="50"/>
        <v>6600.7272727272648</v>
      </c>
      <c r="AC404" s="376">
        <f t="shared" si="51"/>
        <v>0.11525079365079353</v>
      </c>
    </row>
    <row r="405" spans="1:31" ht="15.75" customHeight="1">
      <c r="A405" s="356" t="s">
        <v>2262</v>
      </c>
      <c r="B405" s="356" t="s">
        <v>2263</v>
      </c>
      <c r="E405" s="356" t="s">
        <v>2264</v>
      </c>
      <c r="F405" s="356" t="s">
        <v>2265</v>
      </c>
      <c r="G405" s="60">
        <v>1</v>
      </c>
      <c r="H405" s="54" t="s">
        <v>74</v>
      </c>
      <c r="L405" s="356" t="s">
        <v>163</v>
      </c>
      <c r="M405" s="358" t="s">
        <v>2266</v>
      </c>
      <c r="N405" s="358" t="s">
        <v>2267</v>
      </c>
      <c r="O405" s="358" t="s">
        <v>1545</v>
      </c>
      <c r="P405" s="57" t="s">
        <v>41</v>
      </c>
      <c r="Q405" s="61">
        <v>46059</v>
      </c>
      <c r="R405" s="59" t="s">
        <v>41</v>
      </c>
      <c r="S405" s="60">
        <v>63000</v>
      </c>
      <c r="T405" s="56" t="str">
        <f t="shared" si="49"/>
        <v>0</v>
      </c>
      <c r="U405" s="357">
        <f t="shared" si="47"/>
        <v>63000</v>
      </c>
      <c r="V405" s="56">
        <f t="shared" si="46"/>
        <v>57272.727272727265</v>
      </c>
      <c r="W405" s="65">
        <f>IF(H405=재고내역!$F$9,출고요청서_raw!G405*1,IF(H405=재고내역!$F$10,출고요청서_raw!G405*2,IF(출고요청서_raw!H405=재고내역!$F$11,출고요청서_raw!G405*4,IF(출고요청서_raw!H405=재고내역!$F$12,출고요청서_raw!G405*6,IF(출고요청서_raw!H405=재고내역!$F$13,출고요청서_raw!G405*8)))))</f>
        <v>6</v>
      </c>
      <c r="Z405" s="56">
        <f>W405*재고내역!$M$6</f>
        <v>46122</v>
      </c>
      <c r="AA405" s="56">
        <f t="shared" si="48"/>
        <v>4550</v>
      </c>
      <c r="AB405" s="56">
        <f t="shared" si="50"/>
        <v>6600.7272727272648</v>
      </c>
      <c r="AC405" s="376">
        <f t="shared" si="51"/>
        <v>0.11525079365079353</v>
      </c>
    </row>
    <row r="406" spans="1:31" ht="15.75" customHeight="1">
      <c r="A406" s="356" t="s">
        <v>2268</v>
      </c>
      <c r="B406" s="356" t="s">
        <v>2269</v>
      </c>
      <c r="E406" s="356" t="s">
        <v>2270</v>
      </c>
      <c r="F406" s="356" t="s">
        <v>2271</v>
      </c>
      <c r="G406" s="60">
        <v>1</v>
      </c>
      <c r="H406" s="54" t="s">
        <v>74</v>
      </c>
      <c r="L406" s="356" t="s">
        <v>163</v>
      </c>
      <c r="M406" s="358" t="s">
        <v>2272</v>
      </c>
      <c r="N406" s="358" t="s">
        <v>2273</v>
      </c>
      <c r="O406" s="358" t="s">
        <v>1545</v>
      </c>
      <c r="P406" s="57" t="s">
        <v>41</v>
      </c>
      <c r="Q406" s="61">
        <v>46059</v>
      </c>
      <c r="R406" s="59" t="s">
        <v>41</v>
      </c>
      <c r="S406" s="60">
        <v>63000</v>
      </c>
      <c r="T406" s="56" t="str">
        <f t="shared" si="49"/>
        <v>0</v>
      </c>
      <c r="U406" s="357">
        <f t="shared" si="47"/>
        <v>63000</v>
      </c>
      <c r="V406" s="56">
        <f t="shared" si="46"/>
        <v>57272.727272727265</v>
      </c>
      <c r="W406" s="65">
        <f>IF(H406=재고내역!$F$9,출고요청서_raw!G406*1,IF(H406=재고내역!$F$10,출고요청서_raw!G406*2,IF(출고요청서_raw!H406=재고내역!$F$11,출고요청서_raw!G406*4,IF(출고요청서_raw!H406=재고내역!$F$12,출고요청서_raw!G406*6,IF(출고요청서_raw!H406=재고내역!$F$13,출고요청서_raw!G406*8)))))</f>
        <v>6</v>
      </c>
      <c r="Z406" s="56">
        <f>W406*재고내역!$M$6</f>
        <v>46122</v>
      </c>
      <c r="AA406" s="56">
        <f t="shared" si="48"/>
        <v>4550</v>
      </c>
      <c r="AB406" s="56">
        <f t="shared" si="50"/>
        <v>6600.7272727272648</v>
      </c>
      <c r="AC406" s="376">
        <f t="shared" si="51"/>
        <v>0.11525079365079353</v>
      </c>
    </row>
    <row r="407" spans="1:31" ht="15.75" customHeight="1">
      <c r="A407" s="356" t="s">
        <v>2274</v>
      </c>
      <c r="B407" s="356" t="s">
        <v>2275</v>
      </c>
      <c r="E407" s="356" t="s">
        <v>2276</v>
      </c>
      <c r="F407" s="356" t="s">
        <v>2277</v>
      </c>
      <c r="G407" s="60">
        <v>1</v>
      </c>
      <c r="H407" s="54" t="s">
        <v>74</v>
      </c>
      <c r="L407" s="356" t="s">
        <v>163</v>
      </c>
      <c r="M407" s="358" t="s">
        <v>2278</v>
      </c>
      <c r="N407" s="358" t="s">
        <v>2279</v>
      </c>
      <c r="O407" s="358" t="s">
        <v>1545</v>
      </c>
      <c r="P407" s="57" t="s">
        <v>41</v>
      </c>
      <c r="Q407" s="61">
        <v>46059</v>
      </c>
      <c r="R407" s="59" t="s">
        <v>41</v>
      </c>
      <c r="S407" s="60">
        <v>63000</v>
      </c>
      <c r="T407" s="56" t="str">
        <f t="shared" si="49"/>
        <v>0</v>
      </c>
      <c r="U407" s="357">
        <f t="shared" si="47"/>
        <v>63000</v>
      </c>
      <c r="V407" s="56">
        <f t="shared" si="46"/>
        <v>57272.727272727265</v>
      </c>
      <c r="W407" s="65">
        <f>IF(H407=재고내역!$F$9,출고요청서_raw!G407*1,IF(H407=재고내역!$F$10,출고요청서_raw!G407*2,IF(출고요청서_raw!H407=재고내역!$F$11,출고요청서_raw!G407*4,IF(출고요청서_raw!H407=재고내역!$F$12,출고요청서_raw!G407*6,IF(출고요청서_raw!H407=재고내역!$F$13,출고요청서_raw!G407*8)))))</f>
        <v>6</v>
      </c>
      <c r="Z407" s="56">
        <f>W407*재고내역!$M$6</f>
        <v>46122</v>
      </c>
      <c r="AA407" s="56">
        <f t="shared" si="48"/>
        <v>4550</v>
      </c>
      <c r="AB407" s="56">
        <f t="shared" si="50"/>
        <v>6600.7272727272648</v>
      </c>
      <c r="AC407" s="376">
        <f t="shared" si="51"/>
        <v>0.11525079365079353</v>
      </c>
    </row>
    <row r="408" spans="1:31" ht="15.75" customHeight="1">
      <c r="A408" s="356" t="s">
        <v>2280</v>
      </c>
      <c r="B408" s="356" t="s">
        <v>2281</v>
      </c>
      <c r="E408" s="356" t="s">
        <v>2282</v>
      </c>
      <c r="F408" s="356" t="s">
        <v>2283</v>
      </c>
      <c r="G408" s="60">
        <v>1</v>
      </c>
      <c r="H408" s="54" t="s">
        <v>74</v>
      </c>
      <c r="L408" s="356" t="s">
        <v>163</v>
      </c>
      <c r="M408" s="358" t="s">
        <v>2284</v>
      </c>
      <c r="N408" s="358" t="s">
        <v>2285</v>
      </c>
      <c r="O408" s="358" t="s">
        <v>1545</v>
      </c>
      <c r="P408" s="57" t="s">
        <v>41</v>
      </c>
      <c r="Q408" s="61">
        <v>46059</v>
      </c>
      <c r="R408" s="59" t="s">
        <v>41</v>
      </c>
      <c r="S408" s="60">
        <v>63000</v>
      </c>
      <c r="T408" s="56" t="str">
        <f t="shared" si="49"/>
        <v>0</v>
      </c>
      <c r="U408" s="357">
        <f t="shared" si="47"/>
        <v>63000</v>
      </c>
      <c r="V408" s="56">
        <f t="shared" si="46"/>
        <v>57272.727272727265</v>
      </c>
      <c r="W408" s="65">
        <f>IF(H408=재고내역!$F$9,출고요청서_raw!G408*1,IF(H408=재고내역!$F$10,출고요청서_raw!G408*2,IF(출고요청서_raw!H408=재고내역!$F$11,출고요청서_raw!G408*4,IF(출고요청서_raw!H408=재고내역!$F$12,출고요청서_raw!G408*6,IF(출고요청서_raw!H408=재고내역!$F$13,출고요청서_raw!G408*8)))))</f>
        <v>6</v>
      </c>
      <c r="Z408" s="56">
        <f>W408*재고내역!$M$6</f>
        <v>46122</v>
      </c>
      <c r="AA408" s="56">
        <f t="shared" si="48"/>
        <v>4550</v>
      </c>
      <c r="AB408" s="56">
        <f t="shared" si="50"/>
        <v>6600.7272727272648</v>
      </c>
      <c r="AC408" s="376">
        <f t="shared" si="51"/>
        <v>0.11525079365079353</v>
      </c>
    </row>
    <row r="409" spans="1:31" ht="15.75" customHeight="1">
      <c r="A409" s="356" t="s">
        <v>2286</v>
      </c>
      <c r="B409" s="356" t="s">
        <v>2287</v>
      </c>
      <c r="E409" s="356" t="s">
        <v>1232</v>
      </c>
      <c r="F409" s="356" t="s">
        <v>2288</v>
      </c>
      <c r="G409" s="60">
        <v>1</v>
      </c>
      <c r="H409" s="54" t="s">
        <v>74</v>
      </c>
      <c r="L409" s="356" t="s">
        <v>2289</v>
      </c>
      <c r="M409" s="358" t="s">
        <v>2290</v>
      </c>
      <c r="N409" s="358" t="s">
        <v>2291</v>
      </c>
      <c r="O409" s="358" t="s">
        <v>1545</v>
      </c>
      <c r="P409" s="57" t="s">
        <v>41</v>
      </c>
      <c r="Q409" s="61">
        <v>46059</v>
      </c>
      <c r="R409" s="59" t="s">
        <v>41</v>
      </c>
      <c r="S409" s="60">
        <v>63000</v>
      </c>
      <c r="T409" s="56" t="str">
        <f t="shared" si="49"/>
        <v>0</v>
      </c>
      <c r="U409" s="357">
        <f t="shared" si="47"/>
        <v>63000</v>
      </c>
      <c r="V409" s="56">
        <f t="shared" si="46"/>
        <v>57272.727272727265</v>
      </c>
      <c r="W409" s="65">
        <f>IF(H409=재고내역!$F$9,출고요청서_raw!G409*1,IF(H409=재고내역!$F$10,출고요청서_raw!G409*2,IF(출고요청서_raw!H409=재고내역!$F$11,출고요청서_raw!G409*4,IF(출고요청서_raw!H409=재고내역!$F$12,출고요청서_raw!G409*6,IF(출고요청서_raw!H409=재고내역!$F$13,출고요청서_raw!G409*8)))))</f>
        <v>6</v>
      </c>
      <c r="Z409" s="56">
        <f>W409*재고내역!$M$6</f>
        <v>46122</v>
      </c>
      <c r="AA409" s="56">
        <f t="shared" si="48"/>
        <v>4550</v>
      </c>
      <c r="AB409" s="56">
        <f t="shared" si="50"/>
        <v>6600.7272727272648</v>
      </c>
      <c r="AC409" s="376">
        <f t="shared" si="51"/>
        <v>0.11525079365079353</v>
      </c>
    </row>
    <row r="410" spans="1:31" ht="15.75" customHeight="1">
      <c r="A410" s="362" t="s">
        <v>2292</v>
      </c>
      <c r="B410" s="362" t="s">
        <v>2293</v>
      </c>
      <c r="E410" s="429" t="s">
        <v>2294</v>
      </c>
      <c r="F410" s="362" t="s">
        <v>2295</v>
      </c>
      <c r="G410" s="60">
        <v>1</v>
      </c>
      <c r="H410" s="54" t="s">
        <v>73</v>
      </c>
      <c r="L410" s="82" t="s">
        <v>145</v>
      </c>
      <c r="M410" s="468">
        <v>7100170513612</v>
      </c>
      <c r="N410" s="82">
        <v>9361402632</v>
      </c>
      <c r="O410" s="82">
        <v>94659124878</v>
      </c>
      <c r="P410" s="57" t="s">
        <v>8</v>
      </c>
      <c r="Q410" s="73">
        <v>46062</v>
      </c>
      <c r="R410" s="59" t="s">
        <v>8</v>
      </c>
      <c r="S410" s="75">
        <v>78000</v>
      </c>
      <c r="T410" s="56">
        <f t="shared" si="49"/>
        <v>13000</v>
      </c>
      <c r="U410" s="461">
        <f>S410-T410</f>
        <v>65000</v>
      </c>
      <c r="V410" s="360">
        <f t="shared" ref="V410:V473" si="52">U410/1.1</f>
        <v>59090.909090909088</v>
      </c>
      <c r="W410" s="65">
        <f>IF(H410=재고내역!$F$9,출고요청서_raw!G410*1,IF(H410=재고내역!$F$10,출고요청서_raw!G410*2,IF(출고요청서_raw!H410=재고내역!$F$11,출고요청서_raw!G410*4,IF(출고요청서_raw!H410=재고내역!$F$12,출고요청서_raw!G410*6,IF(출고요청서_raw!H410=재고내역!$F$13,출고요청서_raw!G410*8)))))</f>
        <v>4</v>
      </c>
      <c r="X410" s="69">
        <v>0.1166</v>
      </c>
      <c r="Y410" s="60">
        <f>U410*X410</f>
        <v>7579</v>
      </c>
      <c r="Z410" s="56">
        <f>W410*재고내역!$M$6</f>
        <v>30748</v>
      </c>
      <c r="AA410" s="56">
        <f>IF(W410&gt;8,4550*2,4550)</f>
        <v>4550</v>
      </c>
      <c r="AB410" s="56">
        <f>V410-Z410-AA410-Y410</f>
        <v>16213.909090909088</v>
      </c>
      <c r="AC410" s="376">
        <f t="shared" si="51"/>
        <v>0.27438923076923072</v>
      </c>
      <c r="AE410" s="60">
        <f>U410-Y410</f>
        <v>57421</v>
      </c>
    </row>
    <row r="411" spans="1:31" ht="15.75" customHeight="1">
      <c r="A411" s="362" t="s">
        <v>2296</v>
      </c>
      <c r="B411" s="362" t="s">
        <v>2297</v>
      </c>
      <c r="E411" s="429" t="s">
        <v>2298</v>
      </c>
      <c r="F411" s="362" t="s">
        <v>2299</v>
      </c>
      <c r="G411" s="60">
        <v>1</v>
      </c>
      <c r="H411" s="54" t="s">
        <v>73</v>
      </c>
      <c r="L411" s="82" t="s">
        <v>145</v>
      </c>
      <c r="M411" s="468">
        <v>32100170207333</v>
      </c>
      <c r="N411" s="82">
        <v>9361402632</v>
      </c>
      <c r="O411" s="82">
        <v>94659124878</v>
      </c>
      <c r="P411" s="57" t="s">
        <v>8</v>
      </c>
      <c r="Q411" s="73">
        <v>46062</v>
      </c>
      <c r="R411" s="59" t="s">
        <v>8</v>
      </c>
      <c r="S411" s="75">
        <v>78000</v>
      </c>
      <c r="T411" s="56">
        <f t="shared" si="49"/>
        <v>13000</v>
      </c>
      <c r="U411" s="461">
        <f>S411-T411</f>
        <v>65000</v>
      </c>
      <c r="V411" s="360">
        <f t="shared" si="52"/>
        <v>59090.909090909088</v>
      </c>
      <c r="W411" s="65">
        <f>IF(H411=재고내역!$F$9,출고요청서_raw!G411*1,IF(H411=재고내역!$F$10,출고요청서_raw!G411*2,IF(출고요청서_raw!H411=재고내역!$F$11,출고요청서_raw!G411*4,IF(출고요청서_raw!H411=재고내역!$F$12,출고요청서_raw!G411*6,IF(출고요청서_raw!H411=재고내역!$F$13,출고요청서_raw!G411*8)))))</f>
        <v>4</v>
      </c>
      <c r="X411" s="69">
        <v>0.1166</v>
      </c>
      <c r="Y411" s="60">
        <f>U411*X411</f>
        <v>7579</v>
      </c>
      <c r="Z411" s="56">
        <f>W411*재고내역!$M$6</f>
        <v>30748</v>
      </c>
      <c r="AA411" s="56">
        <f t="shared" ref="AA411:AA473" si="53">IF(W411&gt;8,4550*2,4550)</f>
        <v>4550</v>
      </c>
      <c r="AB411" s="56">
        <f>V411-Z411-AA411-Y411</f>
        <v>16213.909090909088</v>
      </c>
      <c r="AC411" s="376">
        <f>AB411/V411</f>
        <v>0.27438923076923072</v>
      </c>
      <c r="AE411" s="60">
        <f>U411-Y411</f>
        <v>57421</v>
      </c>
    </row>
    <row r="412" spans="1:31" ht="15.75" customHeight="1">
      <c r="A412" s="362" t="s">
        <v>2300</v>
      </c>
      <c r="B412" s="362" t="s">
        <v>2301</v>
      </c>
      <c r="E412" s="362">
        <v>10543</v>
      </c>
      <c r="F412" s="362" t="s">
        <v>2302</v>
      </c>
      <c r="G412" s="60">
        <v>1</v>
      </c>
      <c r="H412" s="82" t="s">
        <v>72</v>
      </c>
      <c r="M412" s="82">
        <v>2026020662700250</v>
      </c>
      <c r="N412" s="82">
        <v>2026020641602910</v>
      </c>
      <c r="O412" s="82">
        <v>13026511254</v>
      </c>
      <c r="P412" s="57" t="s">
        <v>7</v>
      </c>
      <c r="Q412" s="73">
        <v>46062</v>
      </c>
      <c r="R412" s="59" t="s">
        <v>7</v>
      </c>
      <c r="S412" s="60">
        <v>45800</v>
      </c>
      <c r="T412" s="56">
        <f>S412-U412</f>
        <v>11900</v>
      </c>
      <c r="U412" s="60">
        <v>33900</v>
      </c>
      <c r="V412" s="360">
        <f>U412/1.1</f>
        <v>30818.181818181816</v>
      </c>
      <c r="W412" s="65">
        <f>IF(H412=재고내역!$F$9,출고요청서_raw!G412*1,IF(H412=재고내역!$F$10,출고요청서_raw!G412*2,IF(출고요청서_raw!H412=재고내역!$F$11,출고요청서_raw!G412*4,IF(출고요청서_raw!H412=재고내역!$F$12,출고요청서_raw!G412*6,IF(출고요청서_raw!H412=재고내역!$F$13,출고요청서_raw!G412*8)))))</f>
        <v>2</v>
      </c>
      <c r="X412" s="66">
        <f>Y412/U412</f>
        <v>6.628318584070797E-2</v>
      </c>
      <c r="Y412" s="58">
        <f>1230+1017</f>
        <v>2247</v>
      </c>
      <c r="Z412" s="56">
        <f>W412*재고내역!$M$6</f>
        <v>15374</v>
      </c>
      <c r="AA412" s="56">
        <f t="shared" si="53"/>
        <v>4550</v>
      </c>
      <c r="AB412" s="56">
        <f>V412-Z412-AA412-Y412</f>
        <v>8647.1818181818162</v>
      </c>
      <c r="AC412" s="376">
        <f t="shared" si="51"/>
        <v>0.28058702064896751</v>
      </c>
      <c r="AE412" s="60">
        <f>U412-Y412</f>
        <v>31653</v>
      </c>
    </row>
    <row r="413" spans="1:31" ht="15.75" customHeight="1">
      <c r="A413" s="430" t="s">
        <v>2303</v>
      </c>
      <c r="B413" s="430" t="s">
        <v>2304</v>
      </c>
      <c r="E413" s="430">
        <v>5672</v>
      </c>
      <c r="F413" s="430" t="s">
        <v>2305</v>
      </c>
      <c r="G413" s="371">
        <v>1</v>
      </c>
      <c r="H413" s="54" t="s">
        <v>73</v>
      </c>
      <c r="L413" s="351" t="s">
        <v>2306</v>
      </c>
      <c r="M413" s="351">
        <v>2.02602091006482E+18</v>
      </c>
      <c r="N413" s="351">
        <v>143790</v>
      </c>
      <c r="O413" s="351" t="s">
        <v>2307</v>
      </c>
      <c r="P413" s="57" t="s">
        <v>41</v>
      </c>
      <c r="Q413" s="73">
        <v>46062</v>
      </c>
      <c r="R413" s="59" t="s">
        <v>41</v>
      </c>
      <c r="S413" s="359">
        <v>45500</v>
      </c>
      <c r="T413" s="56" t="str">
        <f t="shared" si="49"/>
        <v>0</v>
      </c>
      <c r="U413" s="359">
        <v>45500</v>
      </c>
      <c r="V413" s="360">
        <f t="shared" si="52"/>
        <v>41363.63636363636</v>
      </c>
      <c r="W413" s="65">
        <f>IF(H413=재고내역!$F$9,출고요청서_raw!G413*1,IF(H413=재고내역!$F$10,출고요청서_raw!G413*2,IF(출고요청서_raw!H413=재고내역!$F$11,출고요청서_raw!G413*4,IF(출고요청서_raw!H413=재고내역!$F$12,출고요청서_raw!G413*6,IF(출고요청서_raw!H413=재고내역!$F$13,출고요청서_raw!G413*8)))))</f>
        <v>4</v>
      </c>
      <c r="Z413" s="56">
        <f>W413*재고내역!$M$6</f>
        <v>30748</v>
      </c>
      <c r="AA413" s="56">
        <f t="shared" si="53"/>
        <v>4550</v>
      </c>
      <c r="AB413" s="56">
        <f t="shared" si="50"/>
        <v>6065.6363636363603</v>
      </c>
      <c r="AC413" s="376">
        <f t="shared" si="51"/>
        <v>0.14664175824175818</v>
      </c>
    </row>
    <row r="414" spans="1:31" ht="15.75" customHeight="1">
      <c r="A414" s="430" t="s">
        <v>2308</v>
      </c>
      <c r="B414" s="430" t="s">
        <v>2309</v>
      </c>
      <c r="E414" s="430">
        <v>6276</v>
      </c>
      <c r="F414" s="430" t="s">
        <v>2310</v>
      </c>
      <c r="G414" s="371">
        <v>1</v>
      </c>
      <c r="H414" s="54" t="s">
        <v>73</v>
      </c>
      <c r="L414" s="351" t="s">
        <v>2306</v>
      </c>
      <c r="M414" s="351">
        <v>2.0260209080301801E+18</v>
      </c>
      <c r="N414" s="351">
        <v>143790</v>
      </c>
      <c r="O414" s="351" t="s">
        <v>2311</v>
      </c>
      <c r="P414" s="57" t="s">
        <v>41</v>
      </c>
      <c r="Q414" s="73">
        <v>46062</v>
      </c>
      <c r="R414" s="59" t="s">
        <v>41</v>
      </c>
      <c r="S414" s="359">
        <v>45500</v>
      </c>
      <c r="T414" s="56" t="str">
        <f t="shared" si="49"/>
        <v>0</v>
      </c>
      <c r="U414" s="359">
        <v>45500</v>
      </c>
      <c r="V414" s="360">
        <f t="shared" si="52"/>
        <v>41363.63636363636</v>
      </c>
      <c r="W414" s="65">
        <f>IF(H414=재고내역!$F$9,출고요청서_raw!G414*1,IF(H414=재고내역!$F$10,출고요청서_raw!G414*2,IF(출고요청서_raw!H414=재고내역!$F$11,출고요청서_raw!G414*4,IF(출고요청서_raw!H414=재고내역!$F$12,출고요청서_raw!G414*6,IF(출고요청서_raw!H414=재고내역!$F$13,출고요청서_raw!G414*8)))))</f>
        <v>4</v>
      </c>
      <c r="Z414" s="56">
        <f>W414*재고내역!$M$6</f>
        <v>30748</v>
      </c>
      <c r="AA414" s="56">
        <f t="shared" si="53"/>
        <v>4550</v>
      </c>
      <c r="AB414" s="56">
        <f t="shared" si="50"/>
        <v>6065.6363636363603</v>
      </c>
      <c r="AC414" s="376">
        <f t="shared" si="51"/>
        <v>0.14664175824175818</v>
      </c>
    </row>
    <row r="415" spans="1:31" ht="15.75" customHeight="1">
      <c r="A415" s="430" t="s">
        <v>2312</v>
      </c>
      <c r="B415" s="430" t="s">
        <v>2313</v>
      </c>
      <c r="E415" s="430">
        <v>17805</v>
      </c>
      <c r="F415" s="430" t="s">
        <v>2314</v>
      </c>
      <c r="G415" s="371">
        <v>1</v>
      </c>
      <c r="H415" s="54" t="s">
        <v>73</v>
      </c>
      <c r="L415" s="351" t="s">
        <v>2315</v>
      </c>
      <c r="M415" s="351">
        <v>2.0260209012113999E+18</v>
      </c>
      <c r="N415" s="351">
        <v>143790</v>
      </c>
      <c r="O415" s="351" t="s">
        <v>2316</v>
      </c>
      <c r="P415" s="57" t="s">
        <v>41</v>
      </c>
      <c r="Q415" s="73">
        <v>46062</v>
      </c>
      <c r="R415" s="59" t="s">
        <v>41</v>
      </c>
      <c r="S415" s="359">
        <v>45500</v>
      </c>
      <c r="T415" s="56" t="str">
        <f t="shared" si="49"/>
        <v>0</v>
      </c>
      <c r="U415" s="359">
        <v>45500</v>
      </c>
      <c r="V415" s="360">
        <f t="shared" si="52"/>
        <v>41363.63636363636</v>
      </c>
      <c r="W415" s="65">
        <f>IF(H415=재고내역!$F$9,출고요청서_raw!G415*1,IF(H415=재고내역!$F$10,출고요청서_raw!G415*2,IF(출고요청서_raw!H415=재고내역!$F$11,출고요청서_raw!G415*4,IF(출고요청서_raw!H415=재고내역!$F$12,출고요청서_raw!G415*6,IF(출고요청서_raw!H415=재고내역!$F$13,출고요청서_raw!G415*8)))))</f>
        <v>4</v>
      </c>
      <c r="Z415" s="56">
        <f>W415*재고내역!$M$6</f>
        <v>30748</v>
      </c>
      <c r="AA415" s="56">
        <f t="shared" si="53"/>
        <v>4550</v>
      </c>
      <c r="AB415" s="56">
        <f t="shared" si="50"/>
        <v>6065.6363636363603</v>
      </c>
      <c r="AC415" s="376">
        <f t="shared" si="51"/>
        <v>0.14664175824175818</v>
      </c>
    </row>
    <row r="416" spans="1:31" ht="15.75" customHeight="1">
      <c r="A416" s="430" t="s">
        <v>2317</v>
      </c>
      <c r="B416" s="430" t="s">
        <v>2318</v>
      </c>
      <c r="E416" s="430">
        <v>18322</v>
      </c>
      <c r="F416" s="430" t="s">
        <v>2319</v>
      </c>
      <c r="G416" s="371">
        <v>1</v>
      </c>
      <c r="H416" s="54" t="s">
        <v>73</v>
      </c>
      <c r="L416" s="351" t="s">
        <v>2306</v>
      </c>
      <c r="M416" s="351">
        <v>2.02602090014432E+18</v>
      </c>
      <c r="N416" s="351">
        <v>143790</v>
      </c>
      <c r="O416" s="351" t="s">
        <v>2320</v>
      </c>
      <c r="P416" s="57" t="s">
        <v>41</v>
      </c>
      <c r="Q416" s="73">
        <v>46062</v>
      </c>
      <c r="R416" s="59" t="s">
        <v>41</v>
      </c>
      <c r="S416" s="359">
        <v>45500</v>
      </c>
      <c r="T416" s="56" t="str">
        <f t="shared" si="49"/>
        <v>0</v>
      </c>
      <c r="U416" s="359">
        <v>45500</v>
      </c>
      <c r="V416" s="360">
        <f t="shared" si="52"/>
        <v>41363.63636363636</v>
      </c>
      <c r="W416" s="65">
        <f>IF(H416=재고내역!$F$9,출고요청서_raw!G416*1,IF(H416=재고내역!$F$10,출고요청서_raw!G416*2,IF(출고요청서_raw!H416=재고내역!$F$11,출고요청서_raw!G416*4,IF(출고요청서_raw!H416=재고내역!$F$12,출고요청서_raw!G416*6,IF(출고요청서_raw!H416=재고내역!$F$13,출고요청서_raw!G416*8)))))</f>
        <v>4</v>
      </c>
      <c r="Z416" s="56">
        <f>W416*재고내역!$M$6</f>
        <v>30748</v>
      </c>
      <c r="AA416" s="56">
        <f t="shared" si="53"/>
        <v>4550</v>
      </c>
      <c r="AB416" s="56">
        <f t="shared" si="50"/>
        <v>6065.6363636363603</v>
      </c>
      <c r="AC416" s="376">
        <f t="shared" si="51"/>
        <v>0.14664175824175818</v>
      </c>
    </row>
    <row r="417" spans="1:29" ht="15.75" customHeight="1">
      <c r="A417" s="430" t="s">
        <v>2321</v>
      </c>
      <c r="B417" s="430" t="s">
        <v>2322</v>
      </c>
      <c r="E417" s="430">
        <v>24886</v>
      </c>
      <c r="F417" s="430" t="s">
        <v>2323</v>
      </c>
      <c r="G417" s="371">
        <v>1</v>
      </c>
      <c r="H417" s="54" t="s">
        <v>73</v>
      </c>
      <c r="L417" s="351" t="s">
        <v>2306</v>
      </c>
      <c r="M417" s="351">
        <v>2.0260208234043899E+18</v>
      </c>
      <c r="N417" s="351">
        <v>143790</v>
      </c>
      <c r="O417" s="351" t="s">
        <v>2324</v>
      </c>
      <c r="P417" s="57" t="s">
        <v>41</v>
      </c>
      <c r="Q417" s="73">
        <v>46062</v>
      </c>
      <c r="R417" s="59" t="s">
        <v>41</v>
      </c>
      <c r="S417" s="359">
        <v>45500</v>
      </c>
      <c r="T417" s="56" t="str">
        <f t="shared" si="49"/>
        <v>0</v>
      </c>
      <c r="U417" s="359">
        <v>45500</v>
      </c>
      <c r="V417" s="360">
        <f t="shared" si="52"/>
        <v>41363.63636363636</v>
      </c>
      <c r="W417" s="65">
        <f>IF(H417=재고내역!$F$9,출고요청서_raw!G417*1,IF(H417=재고내역!$F$10,출고요청서_raw!G417*2,IF(출고요청서_raw!H417=재고내역!$F$11,출고요청서_raw!G417*4,IF(출고요청서_raw!H417=재고내역!$F$12,출고요청서_raw!G417*6,IF(출고요청서_raw!H417=재고내역!$F$13,출고요청서_raw!G417*8)))))</f>
        <v>4</v>
      </c>
      <c r="Z417" s="56">
        <f>W417*재고내역!$M$6</f>
        <v>30748</v>
      </c>
      <c r="AA417" s="56">
        <f t="shared" si="53"/>
        <v>4550</v>
      </c>
      <c r="AB417" s="56">
        <f t="shared" si="50"/>
        <v>6065.6363636363603</v>
      </c>
      <c r="AC417" s="376">
        <f t="shared" si="51"/>
        <v>0.14664175824175818</v>
      </c>
    </row>
    <row r="418" spans="1:29" ht="15.75" customHeight="1">
      <c r="A418" s="430" t="s">
        <v>2325</v>
      </c>
      <c r="B418" s="430" t="s">
        <v>2326</v>
      </c>
      <c r="E418" s="430">
        <v>3648</v>
      </c>
      <c r="F418" s="430" t="s">
        <v>2327</v>
      </c>
      <c r="G418" s="371">
        <v>1</v>
      </c>
      <c r="H418" s="54" t="s">
        <v>73</v>
      </c>
      <c r="L418" s="351" t="s">
        <v>2306</v>
      </c>
      <c r="M418" s="351">
        <v>2.0260208232315E+18</v>
      </c>
      <c r="N418" s="351">
        <v>143790</v>
      </c>
      <c r="O418" s="351" t="s">
        <v>2328</v>
      </c>
      <c r="P418" s="57" t="s">
        <v>41</v>
      </c>
      <c r="Q418" s="73">
        <v>46062</v>
      </c>
      <c r="R418" s="59" t="s">
        <v>41</v>
      </c>
      <c r="S418" s="359">
        <v>45500</v>
      </c>
      <c r="T418" s="56" t="str">
        <f t="shared" si="49"/>
        <v>0</v>
      </c>
      <c r="U418" s="359">
        <v>45500</v>
      </c>
      <c r="V418" s="360">
        <f t="shared" si="52"/>
        <v>41363.63636363636</v>
      </c>
      <c r="W418" s="65">
        <f>IF(H418=재고내역!$F$9,출고요청서_raw!G418*1,IF(H418=재고내역!$F$10,출고요청서_raw!G418*2,IF(출고요청서_raw!H418=재고내역!$F$11,출고요청서_raw!G418*4,IF(출고요청서_raw!H418=재고내역!$F$12,출고요청서_raw!G418*6,IF(출고요청서_raw!H418=재고내역!$F$13,출고요청서_raw!G418*8)))))</f>
        <v>4</v>
      </c>
      <c r="Z418" s="56">
        <f>W418*재고내역!$M$6</f>
        <v>30748</v>
      </c>
      <c r="AA418" s="56">
        <f t="shared" si="53"/>
        <v>4550</v>
      </c>
      <c r="AB418" s="56">
        <f t="shared" si="50"/>
        <v>6065.6363636363603</v>
      </c>
      <c r="AC418" s="376">
        <f t="shared" si="51"/>
        <v>0.14664175824175818</v>
      </c>
    </row>
    <row r="419" spans="1:29" ht="15.75" customHeight="1">
      <c r="A419" s="430" t="s">
        <v>2329</v>
      </c>
      <c r="B419" s="430" t="s">
        <v>2330</v>
      </c>
      <c r="E419" s="430">
        <v>44489</v>
      </c>
      <c r="F419" s="430" t="s">
        <v>2331</v>
      </c>
      <c r="G419" s="371">
        <v>1</v>
      </c>
      <c r="H419" s="54" t="s">
        <v>73</v>
      </c>
      <c r="L419" s="351" t="s">
        <v>2306</v>
      </c>
      <c r="M419" s="351">
        <v>2.02602082042015E+18</v>
      </c>
      <c r="N419" s="351">
        <v>143790</v>
      </c>
      <c r="O419" s="351" t="s">
        <v>2332</v>
      </c>
      <c r="P419" s="57" t="s">
        <v>41</v>
      </c>
      <c r="Q419" s="73">
        <v>46062</v>
      </c>
      <c r="R419" s="59" t="s">
        <v>41</v>
      </c>
      <c r="S419" s="359">
        <v>45500</v>
      </c>
      <c r="T419" s="56" t="str">
        <f t="shared" si="49"/>
        <v>0</v>
      </c>
      <c r="U419" s="359">
        <v>45500</v>
      </c>
      <c r="V419" s="360">
        <f t="shared" si="52"/>
        <v>41363.63636363636</v>
      </c>
      <c r="W419" s="65">
        <f>IF(H419=재고내역!$F$9,출고요청서_raw!G419*1,IF(H419=재고내역!$F$10,출고요청서_raw!G419*2,IF(출고요청서_raw!H419=재고내역!$F$11,출고요청서_raw!G419*4,IF(출고요청서_raw!H419=재고내역!$F$12,출고요청서_raw!G419*6,IF(출고요청서_raw!H419=재고내역!$F$13,출고요청서_raw!G419*8)))))</f>
        <v>4</v>
      </c>
      <c r="Z419" s="56">
        <f>W419*재고내역!$M$6</f>
        <v>30748</v>
      </c>
      <c r="AA419" s="56">
        <f t="shared" si="53"/>
        <v>4550</v>
      </c>
      <c r="AB419" s="56">
        <f t="shared" si="50"/>
        <v>6065.6363636363603</v>
      </c>
      <c r="AC419" s="376">
        <f t="shared" si="51"/>
        <v>0.14664175824175818</v>
      </c>
    </row>
    <row r="420" spans="1:29" ht="15.75" customHeight="1">
      <c r="A420" s="430" t="s">
        <v>2333</v>
      </c>
      <c r="B420" s="430" t="s">
        <v>2334</v>
      </c>
      <c r="E420" s="430">
        <v>5019</v>
      </c>
      <c r="F420" s="430" t="s">
        <v>2335</v>
      </c>
      <c r="G420" s="371">
        <v>1</v>
      </c>
      <c r="H420" s="54" t="s">
        <v>73</v>
      </c>
      <c r="L420" s="351" t="s">
        <v>2306</v>
      </c>
      <c r="M420" s="351">
        <v>2.0260208202021199E+18</v>
      </c>
      <c r="N420" s="351">
        <v>143790</v>
      </c>
      <c r="O420" s="351" t="s">
        <v>2336</v>
      </c>
      <c r="P420" s="57" t="s">
        <v>41</v>
      </c>
      <c r="Q420" s="73">
        <v>46062</v>
      </c>
      <c r="R420" s="59" t="s">
        <v>41</v>
      </c>
      <c r="S420" s="359">
        <v>45500</v>
      </c>
      <c r="T420" s="56" t="str">
        <f t="shared" si="49"/>
        <v>0</v>
      </c>
      <c r="U420" s="359">
        <v>45500</v>
      </c>
      <c r="V420" s="360">
        <f t="shared" si="52"/>
        <v>41363.63636363636</v>
      </c>
      <c r="W420" s="65">
        <f>IF(H420=재고내역!$F$9,출고요청서_raw!G420*1,IF(H420=재고내역!$F$10,출고요청서_raw!G420*2,IF(출고요청서_raw!H420=재고내역!$F$11,출고요청서_raw!G420*4,IF(출고요청서_raw!H420=재고내역!$F$12,출고요청서_raw!G420*6,IF(출고요청서_raw!H420=재고내역!$F$13,출고요청서_raw!G420*8)))))</f>
        <v>4</v>
      </c>
      <c r="Z420" s="56">
        <f>W420*재고내역!$M$6</f>
        <v>30748</v>
      </c>
      <c r="AA420" s="56">
        <f t="shared" si="53"/>
        <v>4550</v>
      </c>
      <c r="AB420" s="56">
        <f t="shared" si="50"/>
        <v>6065.6363636363603</v>
      </c>
      <c r="AC420" s="376">
        <f t="shared" si="51"/>
        <v>0.14664175824175818</v>
      </c>
    </row>
    <row r="421" spans="1:29" ht="15.75" customHeight="1">
      <c r="A421" s="430" t="s">
        <v>2337</v>
      </c>
      <c r="B421" s="430" t="s">
        <v>2338</v>
      </c>
      <c r="E421" s="430">
        <v>2785</v>
      </c>
      <c r="F421" s="430" t="s">
        <v>2339</v>
      </c>
      <c r="G421" s="371">
        <v>1</v>
      </c>
      <c r="H421" s="54" t="s">
        <v>73</v>
      </c>
      <c r="L421" s="351" t="s">
        <v>2306</v>
      </c>
      <c r="M421" s="351">
        <v>2.0260208192633201E+18</v>
      </c>
      <c r="N421" s="351">
        <v>143790</v>
      </c>
      <c r="O421" s="351" t="s">
        <v>2340</v>
      </c>
      <c r="P421" s="57" t="s">
        <v>41</v>
      </c>
      <c r="Q421" s="73">
        <v>46062</v>
      </c>
      <c r="R421" s="59" t="s">
        <v>41</v>
      </c>
      <c r="S421" s="359">
        <v>45500</v>
      </c>
      <c r="T421" s="56" t="str">
        <f t="shared" si="49"/>
        <v>0</v>
      </c>
      <c r="U421" s="359">
        <v>45500</v>
      </c>
      <c r="V421" s="360">
        <f t="shared" si="52"/>
        <v>41363.63636363636</v>
      </c>
      <c r="W421" s="65">
        <f>IF(H421=재고내역!$F$9,출고요청서_raw!G421*1,IF(H421=재고내역!$F$10,출고요청서_raw!G421*2,IF(출고요청서_raw!H421=재고내역!$F$11,출고요청서_raw!G421*4,IF(출고요청서_raw!H421=재고내역!$F$12,출고요청서_raw!G421*6,IF(출고요청서_raw!H421=재고내역!$F$13,출고요청서_raw!G421*8)))))</f>
        <v>4</v>
      </c>
      <c r="Z421" s="56">
        <f>W421*재고내역!$M$6</f>
        <v>30748</v>
      </c>
      <c r="AA421" s="56">
        <f t="shared" si="53"/>
        <v>4550</v>
      </c>
      <c r="AB421" s="56">
        <f t="shared" si="50"/>
        <v>6065.6363636363603</v>
      </c>
      <c r="AC421" s="376">
        <f t="shared" si="51"/>
        <v>0.14664175824175818</v>
      </c>
    </row>
    <row r="422" spans="1:29" ht="15.75" customHeight="1">
      <c r="A422" s="430" t="s">
        <v>2341</v>
      </c>
      <c r="B422" s="430" t="s">
        <v>2342</v>
      </c>
      <c r="E422" s="430">
        <v>16817</v>
      </c>
      <c r="F422" s="430" t="s">
        <v>2343</v>
      </c>
      <c r="G422" s="371">
        <v>1</v>
      </c>
      <c r="H422" s="54" t="s">
        <v>73</v>
      </c>
      <c r="L422" s="351" t="s">
        <v>2306</v>
      </c>
      <c r="M422" s="351">
        <v>2.02602081925375E+18</v>
      </c>
      <c r="N422" s="351">
        <v>143790</v>
      </c>
      <c r="O422" s="351" t="s">
        <v>2344</v>
      </c>
      <c r="P422" s="57" t="s">
        <v>41</v>
      </c>
      <c r="Q422" s="73">
        <v>46062</v>
      </c>
      <c r="R422" s="59" t="s">
        <v>41</v>
      </c>
      <c r="S422" s="359">
        <v>45500</v>
      </c>
      <c r="T422" s="56" t="str">
        <f t="shared" si="49"/>
        <v>0</v>
      </c>
      <c r="U422" s="359">
        <v>45500</v>
      </c>
      <c r="V422" s="360">
        <f t="shared" si="52"/>
        <v>41363.63636363636</v>
      </c>
      <c r="W422" s="65">
        <f>IF(H422=재고내역!$F$9,출고요청서_raw!G422*1,IF(H422=재고내역!$F$10,출고요청서_raw!G422*2,IF(출고요청서_raw!H422=재고내역!$F$11,출고요청서_raw!G422*4,IF(출고요청서_raw!H422=재고내역!$F$12,출고요청서_raw!G422*6,IF(출고요청서_raw!H422=재고내역!$F$13,출고요청서_raw!G422*8)))))</f>
        <v>4</v>
      </c>
      <c r="Z422" s="56">
        <f>W422*재고내역!$M$6</f>
        <v>30748</v>
      </c>
      <c r="AA422" s="56">
        <f t="shared" si="53"/>
        <v>4550</v>
      </c>
      <c r="AB422" s="56">
        <f t="shared" si="50"/>
        <v>6065.6363636363603</v>
      </c>
      <c r="AC422" s="376">
        <f t="shared" si="51"/>
        <v>0.14664175824175818</v>
      </c>
    </row>
    <row r="423" spans="1:29" ht="15.75" customHeight="1">
      <c r="A423" s="430" t="s">
        <v>2345</v>
      </c>
      <c r="B423" s="430" t="s">
        <v>1710</v>
      </c>
      <c r="E423" s="430">
        <v>41978</v>
      </c>
      <c r="F423" s="430" t="s">
        <v>2346</v>
      </c>
      <c r="G423" s="371">
        <v>2</v>
      </c>
      <c r="H423" s="54" t="s">
        <v>73</v>
      </c>
      <c r="L423" s="351" t="s">
        <v>2306</v>
      </c>
      <c r="M423" s="351">
        <v>2.0260208192229901E+18</v>
      </c>
      <c r="N423" s="351">
        <v>143790</v>
      </c>
      <c r="O423" s="351" t="s">
        <v>2347</v>
      </c>
      <c r="P423" s="57" t="s">
        <v>41</v>
      </c>
      <c r="Q423" s="73">
        <v>46062</v>
      </c>
      <c r="R423" s="59" t="s">
        <v>41</v>
      </c>
      <c r="S423" s="359">
        <v>91000</v>
      </c>
      <c r="T423" s="56" t="str">
        <f t="shared" si="49"/>
        <v>0</v>
      </c>
      <c r="U423" s="359">
        <v>91000</v>
      </c>
      <c r="V423" s="360">
        <f t="shared" si="52"/>
        <v>82727.272727272721</v>
      </c>
      <c r="W423" s="65">
        <f>IF(H423=재고내역!$F$9,출고요청서_raw!G423*1,IF(H423=재고내역!$F$10,출고요청서_raw!G423*2,IF(출고요청서_raw!H423=재고내역!$F$11,출고요청서_raw!G423*4,IF(출고요청서_raw!H423=재고내역!$F$12,출고요청서_raw!G423*6,IF(출고요청서_raw!H423=재고내역!$F$13,출고요청서_raw!G423*8)))))</f>
        <v>8</v>
      </c>
      <c r="Z423" s="56">
        <f>W423*재고내역!$M$6</f>
        <v>61496</v>
      </c>
      <c r="AA423" s="56">
        <f t="shared" si="53"/>
        <v>4550</v>
      </c>
      <c r="AB423" s="56">
        <f t="shared" si="50"/>
        <v>16681.272727272721</v>
      </c>
      <c r="AC423" s="376">
        <f t="shared" si="51"/>
        <v>0.20164175824175817</v>
      </c>
    </row>
    <row r="424" spans="1:29" ht="15.75" customHeight="1">
      <c r="A424" s="430" t="s">
        <v>2348</v>
      </c>
      <c r="B424" s="430" t="s">
        <v>2349</v>
      </c>
      <c r="E424" s="430">
        <v>11468</v>
      </c>
      <c r="F424" s="430" t="s">
        <v>2350</v>
      </c>
      <c r="G424" s="371">
        <v>1</v>
      </c>
      <c r="H424" s="54" t="s">
        <v>73</v>
      </c>
      <c r="L424" s="351" t="s">
        <v>2306</v>
      </c>
      <c r="M424" s="351">
        <v>2.0260208192118999E+18</v>
      </c>
      <c r="N424" s="351">
        <v>143790</v>
      </c>
      <c r="O424" s="351" t="s">
        <v>2351</v>
      </c>
      <c r="P424" s="57" t="s">
        <v>41</v>
      </c>
      <c r="Q424" s="73">
        <v>46062</v>
      </c>
      <c r="R424" s="59" t="s">
        <v>41</v>
      </c>
      <c r="S424" s="359">
        <v>45500</v>
      </c>
      <c r="T424" s="56" t="str">
        <f t="shared" si="49"/>
        <v>0</v>
      </c>
      <c r="U424" s="359">
        <v>45500</v>
      </c>
      <c r="V424" s="360">
        <f t="shared" si="52"/>
        <v>41363.63636363636</v>
      </c>
      <c r="W424" s="65">
        <f>IF(H424=재고내역!$F$9,출고요청서_raw!G424*1,IF(H424=재고내역!$F$10,출고요청서_raw!G424*2,IF(출고요청서_raw!H424=재고내역!$F$11,출고요청서_raw!G424*4,IF(출고요청서_raw!H424=재고내역!$F$12,출고요청서_raw!G424*6,IF(출고요청서_raw!H424=재고내역!$F$13,출고요청서_raw!G424*8)))))</f>
        <v>4</v>
      </c>
      <c r="Z424" s="56">
        <f>W424*재고내역!$M$6</f>
        <v>30748</v>
      </c>
      <c r="AA424" s="56">
        <f t="shared" si="53"/>
        <v>4550</v>
      </c>
      <c r="AB424" s="56">
        <f t="shared" si="50"/>
        <v>6065.6363636363603</v>
      </c>
      <c r="AC424" s="376">
        <f t="shared" si="51"/>
        <v>0.14664175824175818</v>
      </c>
    </row>
    <row r="425" spans="1:29" ht="15.75" customHeight="1">
      <c r="A425" s="430" t="s">
        <v>876</v>
      </c>
      <c r="B425" s="430" t="s">
        <v>877</v>
      </c>
      <c r="E425" s="430">
        <v>34023</v>
      </c>
      <c r="F425" s="430" t="s">
        <v>879</v>
      </c>
      <c r="G425" s="371">
        <v>2</v>
      </c>
      <c r="H425" s="54" t="s">
        <v>73</v>
      </c>
      <c r="L425" s="351" t="s">
        <v>2306</v>
      </c>
      <c r="M425" s="351">
        <v>2.0260208191306399E+18</v>
      </c>
      <c r="N425" s="351">
        <v>143790</v>
      </c>
      <c r="O425" s="351" t="s">
        <v>2352</v>
      </c>
      <c r="P425" s="57" t="s">
        <v>41</v>
      </c>
      <c r="Q425" s="73">
        <v>46062</v>
      </c>
      <c r="R425" s="59" t="s">
        <v>41</v>
      </c>
      <c r="S425" s="359">
        <v>91000</v>
      </c>
      <c r="T425" s="56" t="str">
        <f t="shared" si="49"/>
        <v>0</v>
      </c>
      <c r="U425" s="359">
        <v>91000</v>
      </c>
      <c r="V425" s="360">
        <f t="shared" si="52"/>
        <v>82727.272727272721</v>
      </c>
      <c r="W425" s="65">
        <f>IF(H425=재고내역!$F$9,출고요청서_raw!G425*1,IF(H425=재고내역!$F$10,출고요청서_raw!G425*2,IF(출고요청서_raw!H425=재고내역!$F$11,출고요청서_raw!G425*4,IF(출고요청서_raw!H425=재고내역!$F$12,출고요청서_raw!G425*6,IF(출고요청서_raw!H425=재고내역!$F$13,출고요청서_raw!G425*8)))))</f>
        <v>8</v>
      </c>
      <c r="Z425" s="56">
        <f>W425*재고내역!$M$6</f>
        <v>61496</v>
      </c>
      <c r="AA425" s="56">
        <f t="shared" si="53"/>
        <v>4550</v>
      </c>
      <c r="AB425" s="56">
        <f t="shared" si="50"/>
        <v>16681.272727272721</v>
      </c>
      <c r="AC425" s="376">
        <f t="shared" si="51"/>
        <v>0.20164175824175817</v>
      </c>
    </row>
    <row r="426" spans="1:29" ht="15.75" customHeight="1">
      <c r="A426" s="430" t="s">
        <v>2353</v>
      </c>
      <c r="B426" s="430" t="s">
        <v>2354</v>
      </c>
      <c r="E426" s="430">
        <v>17039</v>
      </c>
      <c r="F426" s="430" t="s">
        <v>2355</v>
      </c>
      <c r="G426" s="371">
        <v>1</v>
      </c>
      <c r="H426" s="54" t="s">
        <v>73</v>
      </c>
      <c r="L426" s="351" t="s">
        <v>2306</v>
      </c>
      <c r="M426" s="351">
        <v>2.0260208185549701E+18</v>
      </c>
      <c r="N426" s="351">
        <v>143790</v>
      </c>
      <c r="O426" s="351" t="s">
        <v>2356</v>
      </c>
      <c r="P426" s="57" t="s">
        <v>41</v>
      </c>
      <c r="Q426" s="73">
        <v>46062</v>
      </c>
      <c r="R426" s="59" t="s">
        <v>41</v>
      </c>
      <c r="S426" s="359">
        <v>45500</v>
      </c>
      <c r="T426" s="56" t="str">
        <f t="shared" si="49"/>
        <v>0</v>
      </c>
      <c r="U426" s="359">
        <v>45500</v>
      </c>
      <c r="V426" s="360">
        <f t="shared" si="52"/>
        <v>41363.63636363636</v>
      </c>
      <c r="W426" s="65">
        <f>IF(H426=재고내역!$F$9,출고요청서_raw!G426*1,IF(H426=재고내역!$F$10,출고요청서_raw!G426*2,IF(출고요청서_raw!H426=재고내역!$F$11,출고요청서_raw!G426*4,IF(출고요청서_raw!H426=재고내역!$F$12,출고요청서_raw!G426*6,IF(출고요청서_raw!H426=재고내역!$F$13,출고요청서_raw!G426*8)))))</f>
        <v>4</v>
      </c>
      <c r="Z426" s="56">
        <f>W426*재고내역!$M$6</f>
        <v>30748</v>
      </c>
      <c r="AA426" s="56">
        <f t="shared" si="53"/>
        <v>4550</v>
      </c>
      <c r="AB426" s="56">
        <f t="shared" si="50"/>
        <v>6065.6363636363603</v>
      </c>
      <c r="AC426" s="376">
        <f t="shared" si="51"/>
        <v>0.14664175824175818</v>
      </c>
    </row>
    <row r="427" spans="1:29" ht="15.75" customHeight="1">
      <c r="A427" s="430" t="s">
        <v>2357</v>
      </c>
      <c r="B427" s="430" t="s">
        <v>2358</v>
      </c>
      <c r="E427" s="430">
        <v>5323</v>
      </c>
      <c r="F427" s="430" t="s">
        <v>2359</v>
      </c>
      <c r="G427" s="371">
        <v>1</v>
      </c>
      <c r="H427" s="54" t="s">
        <v>73</v>
      </c>
      <c r="L427" s="351" t="s">
        <v>2306</v>
      </c>
      <c r="M427" s="351">
        <v>2.02602081851182E+18</v>
      </c>
      <c r="N427" s="351">
        <v>143790</v>
      </c>
      <c r="O427" s="351" t="s">
        <v>2360</v>
      </c>
      <c r="P427" s="57" t="s">
        <v>41</v>
      </c>
      <c r="Q427" s="73">
        <v>46062</v>
      </c>
      <c r="R427" s="59" t="s">
        <v>41</v>
      </c>
      <c r="S427" s="359">
        <v>45500</v>
      </c>
      <c r="T427" s="56" t="str">
        <f t="shared" si="49"/>
        <v>0</v>
      </c>
      <c r="U427" s="359">
        <v>45500</v>
      </c>
      <c r="V427" s="360">
        <f t="shared" si="52"/>
        <v>41363.63636363636</v>
      </c>
      <c r="W427" s="65">
        <f>IF(H427=재고내역!$F$9,출고요청서_raw!G427*1,IF(H427=재고내역!$F$10,출고요청서_raw!G427*2,IF(출고요청서_raw!H427=재고내역!$F$11,출고요청서_raw!G427*4,IF(출고요청서_raw!H427=재고내역!$F$12,출고요청서_raw!G427*6,IF(출고요청서_raw!H427=재고내역!$F$13,출고요청서_raw!G427*8)))))</f>
        <v>4</v>
      </c>
      <c r="Z427" s="56">
        <f>W427*재고내역!$M$6</f>
        <v>30748</v>
      </c>
      <c r="AA427" s="56">
        <f t="shared" si="53"/>
        <v>4550</v>
      </c>
      <c r="AB427" s="56">
        <f t="shared" si="50"/>
        <v>6065.6363636363603</v>
      </c>
      <c r="AC427" s="376">
        <f t="shared" si="51"/>
        <v>0.14664175824175818</v>
      </c>
    </row>
    <row r="428" spans="1:29" ht="15.75" customHeight="1">
      <c r="A428" s="430" t="s">
        <v>2361</v>
      </c>
      <c r="B428" s="430" t="s">
        <v>2362</v>
      </c>
      <c r="E428" s="430">
        <v>32558</v>
      </c>
      <c r="F428" s="430" t="s">
        <v>2363</v>
      </c>
      <c r="G428" s="371">
        <v>1</v>
      </c>
      <c r="H428" s="54" t="s">
        <v>73</v>
      </c>
      <c r="L428" s="351" t="s">
        <v>2306</v>
      </c>
      <c r="M428" s="351">
        <v>2.02602081842179E+18</v>
      </c>
      <c r="N428" s="351">
        <v>143790</v>
      </c>
      <c r="O428" s="351" t="s">
        <v>2364</v>
      </c>
      <c r="P428" s="57" t="s">
        <v>41</v>
      </c>
      <c r="Q428" s="73">
        <v>46062</v>
      </c>
      <c r="R428" s="59" t="s">
        <v>41</v>
      </c>
      <c r="S428" s="359">
        <v>45500</v>
      </c>
      <c r="T428" s="56" t="str">
        <f t="shared" si="49"/>
        <v>0</v>
      </c>
      <c r="U428" s="359">
        <v>45500</v>
      </c>
      <c r="V428" s="360">
        <f t="shared" si="52"/>
        <v>41363.63636363636</v>
      </c>
      <c r="W428" s="65">
        <f>IF(H428=재고내역!$F$9,출고요청서_raw!G428*1,IF(H428=재고내역!$F$10,출고요청서_raw!G428*2,IF(출고요청서_raw!H428=재고내역!$F$11,출고요청서_raw!G428*4,IF(출고요청서_raw!H428=재고내역!$F$12,출고요청서_raw!G428*6,IF(출고요청서_raw!H428=재고내역!$F$13,출고요청서_raw!G428*8)))))</f>
        <v>4</v>
      </c>
      <c r="Z428" s="56">
        <f>W428*재고내역!$M$6</f>
        <v>30748</v>
      </c>
      <c r="AA428" s="56">
        <f t="shared" si="53"/>
        <v>4550</v>
      </c>
      <c r="AB428" s="56">
        <f t="shared" si="50"/>
        <v>6065.6363636363603</v>
      </c>
      <c r="AC428" s="376">
        <f t="shared" si="51"/>
        <v>0.14664175824175818</v>
      </c>
    </row>
    <row r="429" spans="1:29" ht="15.75" customHeight="1">
      <c r="A429" s="430" t="s">
        <v>2365</v>
      </c>
      <c r="B429" s="430" t="s">
        <v>2366</v>
      </c>
      <c r="E429" s="430">
        <v>57237</v>
      </c>
      <c r="F429" s="430" t="s">
        <v>2367</v>
      </c>
      <c r="G429" s="371">
        <v>1</v>
      </c>
      <c r="H429" s="54" t="s">
        <v>73</v>
      </c>
      <c r="L429" s="351" t="s">
        <v>2306</v>
      </c>
      <c r="M429" s="351">
        <v>2.02602081819518E+18</v>
      </c>
      <c r="N429" s="351">
        <v>143790</v>
      </c>
      <c r="O429" s="351" t="s">
        <v>2368</v>
      </c>
      <c r="P429" s="57" t="s">
        <v>41</v>
      </c>
      <c r="Q429" s="73">
        <v>46062</v>
      </c>
      <c r="R429" s="59" t="s">
        <v>41</v>
      </c>
      <c r="S429" s="359">
        <v>45500</v>
      </c>
      <c r="T429" s="56" t="str">
        <f t="shared" si="49"/>
        <v>0</v>
      </c>
      <c r="U429" s="359">
        <v>45500</v>
      </c>
      <c r="V429" s="360">
        <f t="shared" si="52"/>
        <v>41363.63636363636</v>
      </c>
      <c r="W429" s="65">
        <f>IF(H429=재고내역!$F$9,출고요청서_raw!G429*1,IF(H429=재고내역!$F$10,출고요청서_raw!G429*2,IF(출고요청서_raw!H429=재고내역!$F$11,출고요청서_raw!G429*4,IF(출고요청서_raw!H429=재고내역!$F$12,출고요청서_raw!G429*6,IF(출고요청서_raw!H429=재고내역!$F$13,출고요청서_raw!G429*8)))))</f>
        <v>4</v>
      </c>
      <c r="Z429" s="56">
        <f>W429*재고내역!$M$6</f>
        <v>30748</v>
      </c>
      <c r="AA429" s="56">
        <f t="shared" si="53"/>
        <v>4550</v>
      </c>
      <c r="AB429" s="56">
        <f t="shared" si="50"/>
        <v>6065.6363636363603</v>
      </c>
      <c r="AC429" s="376">
        <f t="shared" si="51"/>
        <v>0.14664175824175818</v>
      </c>
    </row>
    <row r="430" spans="1:29" ht="15.75" customHeight="1">
      <c r="A430" s="430" t="s">
        <v>2369</v>
      </c>
      <c r="B430" s="430" t="s">
        <v>2370</v>
      </c>
      <c r="E430" s="430">
        <v>2803</v>
      </c>
      <c r="F430" s="430" t="s">
        <v>2371</v>
      </c>
      <c r="G430" s="371">
        <v>1</v>
      </c>
      <c r="H430" s="54" t="s">
        <v>73</v>
      </c>
      <c r="L430" s="351" t="s">
        <v>2306</v>
      </c>
      <c r="M430" s="351">
        <v>2.0260208181204301E+18</v>
      </c>
      <c r="N430" s="351">
        <v>143790</v>
      </c>
      <c r="O430" s="351" t="s">
        <v>2372</v>
      </c>
      <c r="P430" s="57" t="s">
        <v>41</v>
      </c>
      <c r="Q430" s="73">
        <v>46062</v>
      </c>
      <c r="R430" s="59" t="s">
        <v>41</v>
      </c>
      <c r="S430" s="359">
        <v>45500</v>
      </c>
      <c r="T430" s="56" t="str">
        <f t="shared" si="49"/>
        <v>0</v>
      </c>
      <c r="U430" s="359">
        <v>45500</v>
      </c>
      <c r="V430" s="360">
        <f t="shared" si="52"/>
        <v>41363.63636363636</v>
      </c>
      <c r="W430" s="65">
        <f>IF(H430=재고내역!$F$9,출고요청서_raw!G430*1,IF(H430=재고내역!$F$10,출고요청서_raw!G430*2,IF(출고요청서_raw!H430=재고내역!$F$11,출고요청서_raw!G430*4,IF(출고요청서_raw!H430=재고내역!$F$12,출고요청서_raw!G430*6,IF(출고요청서_raw!H430=재고내역!$F$13,출고요청서_raw!G430*8)))))</f>
        <v>4</v>
      </c>
      <c r="Z430" s="56">
        <f>W430*재고내역!$M$6</f>
        <v>30748</v>
      </c>
      <c r="AA430" s="56">
        <f t="shared" si="53"/>
        <v>4550</v>
      </c>
      <c r="AB430" s="56">
        <f t="shared" si="50"/>
        <v>6065.6363636363603</v>
      </c>
      <c r="AC430" s="376">
        <f t="shared" si="51"/>
        <v>0.14664175824175818</v>
      </c>
    </row>
    <row r="431" spans="1:29" ht="15.75" customHeight="1">
      <c r="A431" s="430" t="s">
        <v>2373</v>
      </c>
      <c r="B431" s="430" t="s">
        <v>2374</v>
      </c>
      <c r="E431" s="430">
        <v>4901</v>
      </c>
      <c r="F431" s="430" t="s">
        <v>2375</v>
      </c>
      <c r="G431" s="371">
        <v>1</v>
      </c>
      <c r="H431" s="54" t="s">
        <v>73</v>
      </c>
      <c r="L431" s="351" t="s">
        <v>1890</v>
      </c>
      <c r="M431" s="351">
        <v>2.0260208180349399E+18</v>
      </c>
      <c r="N431" s="351">
        <v>143790</v>
      </c>
      <c r="O431" s="351" t="s">
        <v>2376</v>
      </c>
      <c r="P431" s="57" t="s">
        <v>41</v>
      </c>
      <c r="Q431" s="73">
        <v>46062</v>
      </c>
      <c r="R431" s="59" t="s">
        <v>41</v>
      </c>
      <c r="S431" s="359">
        <v>45500</v>
      </c>
      <c r="T431" s="56" t="str">
        <f t="shared" si="49"/>
        <v>0</v>
      </c>
      <c r="U431" s="359">
        <v>45500</v>
      </c>
      <c r="V431" s="360">
        <f t="shared" si="52"/>
        <v>41363.63636363636</v>
      </c>
      <c r="W431" s="65">
        <f>IF(H431=재고내역!$F$9,출고요청서_raw!G431*1,IF(H431=재고내역!$F$10,출고요청서_raw!G431*2,IF(출고요청서_raw!H431=재고내역!$F$11,출고요청서_raw!G431*4,IF(출고요청서_raw!H431=재고내역!$F$12,출고요청서_raw!G431*6,IF(출고요청서_raw!H431=재고내역!$F$13,출고요청서_raw!G431*8)))))</f>
        <v>4</v>
      </c>
      <c r="Z431" s="56">
        <f>W431*재고내역!$M$6</f>
        <v>30748</v>
      </c>
      <c r="AA431" s="56">
        <f t="shared" si="53"/>
        <v>4550</v>
      </c>
      <c r="AB431" s="56">
        <f t="shared" si="50"/>
        <v>6065.6363636363603</v>
      </c>
      <c r="AC431" s="376">
        <f t="shared" si="51"/>
        <v>0.14664175824175818</v>
      </c>
    </row>
    <row r="432" spans="1:29" ht="15.75" customHeight="1">
      <c r="A432" s="430" t="s">
        <v>2377</v>
      </c>
      <c r="B432" s="430" t="s">
        <v>2378</v>
      </c>
      <c r="E432" s="430">
        <v>15888</v>
      </c>
      <c r="F432" s="430" t="s">
        <v>2379</v>
      </c>
      <c r="G432" s="371">
        <v>1</v>
      </c>
      <c r="H432" s="54" t="s">
        <v>73</v>
      </c>
      <c r="L432" s="351" t="s">
        <v>2306</v>
      </c>
      <c r="M432" s="351">
        <v>2.0260208180218501E+18</v>
      </c>
      <c r="N432" s="351">
        <v>143790</v>
      </c>
      <c r="O432" s="351" t="s">
        <v>2380</v>
      </c>
      <c r="P432" s="57" t="s">
        <v>41</v>
      </c>
      <c r="Q432" s="73">
        <v>46062</v>
      </c>
      <c r="R432" s="59" t="s">
        <v>41</v>
      </c>
      <c r="S432" s="359">
        <v>45500</v>
      </c>
      <c r="T432" s="56" t="str">
        <f t="shared" si="49"/>
        <v>0</v>
      </c>
      <c r="U432" s="359">
        <v>45500</v>
      </c>
      <c r="V432" s="360">
        <f t="shared" si="52"/>
        <v>41363.63636363636</v>
      </c>
      <c r="W432" s="65">
        <f>IF(H432=재고내역!$F$9,출고요청서_raw!G432*1,IF(H432=재고내역!$F$10,출고요청서_raw!G432*2,IF(출고요청서_raw!H432=재고내역!$F$11,출고요청서_raw!G432*4,IF(출고요청서_raw!H432=재고내역!$F$12,출고요청서_raw!G432*6,IF(출고요청서_raw!H432=재고내역!$F$13,출고요청서_raw!G432*8)))))</f>
        <v>4</v>
      </c>
      <c r="Z432" s="56">
        <f>W432*재고내역!$M$6</f>
        <v>30748</v>
      </c>
      <c r="AA432" s="56">
        <f t="shared" si="53"/>
        <v>4550</v>
      </c>
      <c r="AB432" s="56">
        <f t="shared" si="50"/>
        <v>6065.6363636363603</v>
      </c>
      <c r="AC432" s="376">
        <f t="shared" si="51"/>
        <v>0.14664175824175818</v>
      </c>
    </row>
    <row r="433" spans="1:29" ht="15.75" customHeight="1">
      <c r="A433" s="430" t="s">
        <v>2381</v>
      </c>
      <c r="B433" s="430" t="s">
        <v>2382</v>
      </c>
      <c r="E433" s="430">
        <v>6998</v>
      </c>
      <c r="F433" s="430" t="s">
        <v>2383</v>
      </c>
      <c r="G433" s="371">
        <v>1</v>
      </c>
      <c r="H433" s="54" t="s">
        <v>73</v>
      </c>
      <c r="L433" s="351" t="s">
        <v>2384</v>
      </c>
      <c r="M433" s="351">
        <v>2.0260208174533199E+18</v>
      </c>
      <c r="N433" s="351">
        <v>143790</v>
      </c>
      <c r="O433" s="351" t="s">
        <v>2385</v>
      </c>
      <c r="P433" s="57" t="s">
        <v>41</v>
      </c>
      <c r="Q433" s="73">
        <v>46062</v>
      </c>
      <c r="R433" s="59" t="s">
        <v>41</v>
      </c>
      <c r="S433" s="359">
        <v>45500</v>
      </c>
      <c r="T433" s="56" t="str">
        <f t="shared" si="49"/>
        <v>0</v>
      </c>
      <c r="U433" s="359">
        <v>45500</v>
      </c>
      <c r="V433" s="360">
        <f t="shared" si="52"/>
        <v>41363.63636363636</v>
      </c>
      <c r="W433" s="65">
        <f>IF(H433=재고내역!$F$9,출고요청서_raw!G433*1,IF(H433=재고내역!$F$10,출고요청서_raw!G433*2,IF(출고요청서_raw!H433=재고내역!$F$11,출고요청서_raw!G433*4,IF(출고요청서_raw!H433=재고내역!$F$12,출고요청서_raw!G433*6,IF(출고요청서_raw!H433=재고내역!$F$13,출고요청서_raw!G433*8)))))</f>
        <v>4</v>
      </c>
      <c r="Z433" s="56">
        <f>W433*재고내역!$M$6</f>
        <v>30748</v>
      </c>
      <c r="AA433" s="56">
        <f t="shared" si="53"/>
        <v>4550</v>
      </c>
      <c r="AB433" s="56">
        <f t="shared" si="50"/>
        <v>6065.6363636363603</v>
      </c>
      <c r="AC433" s="376">
        <f t="shared" si="51"/>
        <v>0.14664175824175818</v>
      </c>
    </row>
    <row r="434" spans="1:29" ht="15.75" customHeight="1">
      <c r="A434" s="430" t="s">
        <v>2386</v>
      </c>
      <c r="B434" s="430" t="s">
        <v>2387</v>
      </c>
      <c r="E434" s="430">
        <v>12777</v>
      </c>
      <c r="F434" s="430" t="s">
        <v>2388</v>
      </c>
      <c r="G434" s="371">
        <v>1</v>
      </c>
      <c r="H434" s="54" t="s">
        <v>73</v>
      </c>
      <c r="L434" s="351" t="s">
        <v>2306</v>
      </c>
      <c r="M434" s="351">
        <v>2.0260208174738801E+18</v>
      </c>
      <c r="N434" s="351">
        <v>143790</v>
      </c>
      <c r="O434" s="351" t="s">
        <v>2389</v>
      </c>
      <c r="P434" s="57" t="s">
        <v>41</v>
      </c>
      <c r="Q434" s="73">
        <v>46062</v>
      </c>
      <c r="R434" s="59" t="s">
        <v>41</v>
      </c>
      <c r="S434" s="359">
        <v>45500</v>
      </c>
      <c r="T434" s="56" t="str">
        <f t="shared" si="49"/>
        <v>0</v>
      </c>
      <c r="U434" s="359">
        <v>45500</v>
      </c>
      <c r="V434" s="360">
        <f t="shared" si="52"/>
        <v>41363.63636363636</v>
      </c>
      <c r="W434" s="65">
        <f>IF(H434=재고내역!$F$9,출고요청서_raw!G434*1,IF(H434=재고내역!$F$10,출고요청서_raw!G434*2,IF(출고요청서_raw!H434=재고내역!$F$11,출고요청서_raw!G434*4,IF(출고요청서_raw!H434=재고내역!$F$12,출고요청서_raw!G434*6,IF(출고요청서_raw!H434=재고내역!$F$13,출고요청서_raw!G434*8)))))</f>
        <v>4</v>
      </c>
      <c r="Z434" s="56">
        <f>W434*재고내역!$M$6</f>
        <v>30748</v>
      </c>
      <c r="AA434" s="56">
        <f t="shared" si="53"/>
        <v>4550</v>
      </c>
      <c r="AB434" s="56">
        <f t="shared" si="50"/>
        <v>6065.6363636363603</v>
      </c>
      <c r="AC434" s="376">
        <f t="shared" si="51"/>
        <v>0.14664175824175818</v>
      </c>
    </row>
    <row r="435" spans="1:29" ht="15.75" customHeight="1">
      <c r="A435" s="430" t="s">
        <v>2390</v>
      </c>
      <c r="B435" s="430" t="s">
        <v>2391</v>
      </c>
      <c r="E435" s="430">
        <v>24230</v>
      </c>
      <c r="F435" s="430" t="s">
        <v>2392</v>
      </c>
      <c r="G435" s="371">
        <v>1</v>
      </c>
      <c r="H435" s="54" t="s">
        <v>73</v>
      </c>
      <c r="L435" s="351" t="s">
        <v>2393</v>
      </c>
      <c r="M435" s="351">
        <v>2.02602081739326E+18</v>
      </c>
      <c r="N435" s="351">
        <v>143790</v>
      </c>
      <c r="O435" s="351" t="s">
        <v>2394</v>
      </c>
      <c r="P435" s="57" t="s">
        <v>41</v>
      </c>
      <c r="Q435" s="73">
        <v>46062</v>
      </c>
      <c r="R435" s="59" t="s">
        <v>41</v>
      </c>
      <c r="S435" s="359">
        <v>45500</v>
      </c>
      <c r="T435" s="56" t="str">
        <f t="shared" si="49"/>
        <v>0</v>
      </c>
      <c r="U435" s="359">
        <v>45500</v>
      </c>
      <c r="V435" s="360">
        <f t="shared" si="52"/>
        <v>41363.63636363636</v>
      </c>
      <c r="W435" s="65">
        <f>IF(H435=재고내역!$F$9,출고요청서_raw!G435*1,IF(H435=재고내역!$F$10,출고요청서_raw!G435*2,IF(출고요청서_raw!H435=재고내역!$F$11,출고요청서_raw!G435*4,IF(출고요청서_raw!H435=재고내역!$F$12,출고요청서_raw!G435*6,IF(출고요청서_raw!H435=재고내역!$F$13,출고요청서_raw!G435*8)))))</f>
        <v>4</v>
      </c>
      <c r="Z435" s="56">
        <f>W435*재고내역!$M$6</f>
        <v>30748</v>
      </c>
      <c r="AA435" s="56">
        <f t="shared" si="53"/>
        <v>4550</v>
      </c>
      <c r="AB435" s="56">
        <f t="shared" si="50"/>
        <v>6065.6363636363603</v>
      </c>
      <c r="AC435" s="376">
        <f t="shared" si="51"/>
        <v>0.14664175824175818</v>
      </c>
    </row>
    <row r="436" spans="1:29" ht="15.75" customHeight="1">
      <c r="A436" s="430" t="s">
        <v>2395</v>
      </c>
      <c r="B436" s="430" t="s">
        <v>2396</v>
      </c>
      <c r="E436" s="430">
        <v>52128</v>
      </c>
      <c r="F436" s="430" t="s">
        <v>2397</v>
      </c>
      <c r="G436" s="371">
        <v>1</v>
      </c>
      <c r="H436" s="54" t="s">
        <v>73</v>
      </c>
      <c r="L436" s="351" t="s">
        <v>2306</v>
      </c>
      <c r="M436" s="351">
        <v>2.02602081512415E+18</v>
      </c>
      <c r="N436" s="351">
        <v>143790</v>
      </c>
      <c r="O436" s="351" t="s">
        <v>2398</v>
      </c>
      <c r="P436" s="57" t="s">
        <v>41</v>
      </c>
      <c r="Q436" s="73">
        <v>46062</v>
      </c>
      <c r="R436" s="59" t="s">
        <v>41</v>
      </c>
      <c r="S436" s="359">
        <v>45500</v>
      </c>
      <c r="T436" s="56" t="str">
        <f t="shared" si="49"/>
        <v>0</v>
      </c>
      <c r="U436" s="359">
        <v>45500</v>
      </c>
      <c r="V436" s="360">
        <f t="shared" si="52"/>
        <v>41363.63636363636</v>
      </c>
      <c r="W436" s="65">
        <f>IF(H436=재고내역!$F$9,출고요청서_raw!G436*1,IF(H436=재고내역!$F$10,출고요청서_raw!G436*2,IF(출고요청서_raw!H436=재고내역!$F$11,출고요청서_raw!G436*4,IF(출고요청서_raw!H436=재고내역!$F$12,출고요청서_raw!G436*6,IF(출고요청서_raw!H436=재고내역!$F$13,출고요청서_raw!G436*8)))))</f>
        <v>4</v>
      </c>
      <c r="Z436" s="56">
        <f>W436*재고내역!$M$6</f>
        <v>30748</v>
      </c>
      <c r="AA436" s="56">
        <f t="shared" si="53"/>
        <v>4550</v>
      </c>
      <c r="AB436" s="56">
        <f>V436-Z436-AA436-Y436</f>
        <v>6065.6363636363603</v>
      </c>
      <c r="AC436" s="376">
        <f t="shared" si="51"/>
        <v>0.14664175824175818</v>
      </c>
    </row>
    <row r="437" spans="1:29" ht="15.75" customHeight="1">
      <c r="A437" s="430" t="s">
        <v>2399</v>
      </c>
      <c r="B437" s="430" t="s">
        <v>2400</v>
      </c>
      <c r="E437" s="430">
        <v>15011</v>
      </c>
      <c r="F437" s="430" t="s">
        <v>2401</v>
      </c>
      <c r="G437" s="371">
        <v>1</v>
      </c>
      <c r="H437" s="54" t="s">
        <v>73</v>
      </c>
      <c r="L437" s="351" t="s">
        <v>2306</v>
      </c>
      <c r="M437" s="351">
        <v>2.02602081430526E+18</v>
      </c>
      <c r="N437" s="351">
        <v>143790</v>
      </c>
      <c r="O437" s="351" t="s">
        <v>2402</v>
      </c>
      <c r="P437" s="57" t="s">
        <v>41</v>
      </c>
      <c r="Q437" s="73">
        <v>46062</v>
      </c>
      <c r="R437" s="59" t="s">
        <v>41</v>
      </c>
      <c r="S437" s="359">
        <v>45500</v>
      </c>
      <c r="T437" s="56" t="str">
        <f t="shared" si="49"/>
        <v>0</v>
      </c>
      <c r="U437" s="359">
        <v>45500</v>
      </c>
      <c r="V437" s="360">
        <f t="shared" si="52"/>
        <v>41363.63636363636</v>
      </c>
      <c r="W437" s="65">
        <f>IF(H437=재고내역!$F$9,출고요청서_raw!G437*1,IF(H437=재고내역!$F$10,출고요청서_raw!G437*2,IF(출고요청서_raw!H437=재고내역!$F$11,출고요청서_raw!G437*4,IF(출고요청서_raw!H437=재고내역!$F$12,출고요청서_raw!G437*6,IF(출고요청서_raw!H437=재고내역!$F$13,출고요청서_raw!G437*8)))))</f>
        <v>4</v>
      </c>
      <c r="Z437" s="56">
        <f>W437*재고내역!$M$6</f>
        <v>30748</v>
      </c>
      <c r="AA437" s="56">
        <f t="shared" si="53"/>
        <v>4550</v>
      </c>
      <c r="AB437" s="56">
        <f t="shared" si="50"/>
        <v>6065.6363636363603</v>
      </c>
      <c r="AC437" s="376">
        <f t="shared" si="51"/>
        <v>0.14664175824175818</v>
      </c>
    </row>
    <row r="438" spans="1:29" ht="15.75" customHeight="1">
      <c r="A438" s="430" t="s">
        <v>2403</v>
      </c>
      <c r="B438" s="430" t="s">
        <v>2404</v>
      </c>
      <c r="E438" s="430">
        <v>63062</v>
      </c>
      <c r="F438" s="430" t="s">
        <v>2405</v>
      </c>
      <c r="G438" s="371">
        <v>1</v>
      </c>
      <c r="H438" s="54" t="s">
        <v>73</v>
      </c>
      <c r="L438" s="351" t="s">
        <v>2306</v>
      </c>
      <c r="M438" s="351">
        <v>2.0260208142653399E+18</v>
      </c>
      <c r="N438" s="351">
        <v>143790</v>
      </c>
      <c r="O438" s="351" t="s">
        <v>2406</v>
      </c>
      <c r="P438" s="57" t="s">
        <v>41</v>
      </c>
      <c r="Q438" s="73">
        <v>46062</v>
      </c>
      <c r="R438" s="59" t="s">
        <v>41</v>
      </c>
      <c r="S438" s="359">
        <v>45500</v>
      </c>
      <c r="T438" s="56" t="str">
        <f t="shared" si="49"/>
        <v>0</v>
      </c>
      <c r="U438" s="359">
        <v>45500</v>
      </c>
      <c r="V438" s="360">
        <f t="shared" si="52"/>
        <v>41363.63636363636</v>
      </c>
      <c r="W438" s="65">
        <f>IF(H438=재고내역!$F$9,출고요청서_raw!G438*1,IF(H438=재고내역!$F$10,출고요청서_raw!G438*2,IF(출고요청서_raw!H438=재고내역!$F$11,출고요청서_raw!G438*4,IF(출고요청서_raw!H438=재고내역!$F$12,출고요청서_raw!G438*6,IF(출고요청서_raw!H438=재고내역!$F$13,출고요청서_raw!G438*8)))))</f>
        <v>4</v>
      </c>
      <c r="Z438" s="56">
        <f>W438*재고내역!$M$6</f>
        <v>30748</v>
      </c>
      <c r="AA438" s="56">
        <f t="shared" si="53"/>
        <v>4550</v>
      </c>
      <c r="AB438" s="56">
        <f t="shared" si="50"/>
        <v>6065.6363636363603</v>
      </c>
      <c r="AC438" s="376">
        <f t="shared" si="51"/>
        <v>0.14664175824175818</v>
      </c>
    </row>
    <row r="439" spans="1:29" ht="15.75" customHeight="1">
      <c r="A439" s="430" t="s">
        <v>2407</v>
      </c>
      <c r="B439" s="430" t="s">
        <v>2408</v>
      </c>
      <c r="E439" s="430">
        <v>10364</v>
      </c>
      <c r="F439" s="430" t="s">
        <v>2409</v>
      </c>
      <c r="G439" s="371">
        <v>1</v>
      </c>
      <c r="H439" s="54" t="s">
        <v>73</v>
      </c>
      <c r="L439" s="351" t="s">
        <v>2306</v>
      </c>
      <c r="M439" s="351">
        <v>2.02602081417554E+18</v>
      </c>
      <c r="N439" s="351">
        <v>143790</v>
      </c>
      <c r="O439" s="351" t="s">
        <v>2410</v>
      </c>
      <c r="P439" s="57" t="s">
        <v>41</v>
      </c>
      <c r="Q439" s="73">
        <v>46062</v>
      </c>
      <c r="R439" s="59" t="s">
        <v>41</v>
      </c>
      <c r="S439" s="359">
        <v>45500</v>
      </c>
      <c r="T439" s="56" t="str">
        <f t="shared" si="49"/>
        <v>0</v>
      </c>
      <c r="U439" s="359">
        <v>45500</v>
      </c>
      <c r="V439" s="360">
        <f t="shared" si="52"/>
        <v>41363.63636363636</v>
      </c>
      <c r="W439" s="65">
        <f>IF(H439=재고내역!$F$9,출고요청서_raw!G439*1,IF(H439=재고내역!$F$10,출고요청서_raw!G439*2,IF(출고요청서_raw!H439=재고내역!$F$11,출고요청서_raw!G439*4,IF(출고요청서_raw!H439=재고내역!$F$12,출고요청서_raw!G439*6,IF(출고요청서_raw!H439=재고내역!$F$13,출고요청서_raw!G439*8)))))</f>
        <v>4</v>
      </c>
      <c r="Z439" s="56">
        <f>W439*재고내역!$M$6</f>
        <v>30748</v>
      </c>
      <c r="AA439" s="56">
        <f t="shared" si="53"/>
        <v>4550</v>
      </c>
      <c r="AB439" s="56">
        <f t="shared" si="50"/>
        <v>6065.6363636363603</v>
      </c>
      <c r="AC439" s="376">
        <f t="shared" si="51"/>
        <v>0.14664175824175818</v>
      </c>
    </row>
    <row r="440" spans="1:29" ht="15.75" customHeight="1">
      <c r="A440" s="430" t="s">
        <v>2411</v>
      </c>
      <c r="B440" s="430" t="s">
        <v>2412</v>
      </c>
      <c r="E440" s="430">
        <v>10543</v>
      </c>
      <c r="F440" s="430" t="s">
        <v>2413</v>
      </c>
      <c r="G440" s="371">
        <v>1</v>
      </c>
      <c r="H440" s="54" t="s">
        <v>73</v>
      </c>
      <c r="L440" s="351" t="s">
        <v>2306</v>
      </c>
      <c r="M440" s="351">
        <v>2.0260208140811899E+18</v>
      </c>
      <c r="N440" s="351">
        <v>143790</v>
      </c>
      <c r="O440" s="351" t="s">
        <v>2414</v>
      </c>
      <c r="P440" s="57" t="s">
        <v>41</v>
      </c>
      <c r="Q440" s="73">
        <v>46062</v>
      </c>
      <c r="R440" s="59" t="s">
        <v>41</v>
      </c>
      <c r="S440" s="359">
        <v>45500</v>
      </c>
      <c r="T440" s="56" t="str">
        <f t="shared" si="49"/>
        <v>0</v>
      </c>
      <c r="U440" s="359">
        <v>45500</v>
      </c>
      <c r="V440" s="360">
        <f t="shared" si="52"/>
        <v>41363.63636363636</v>
      </c>
      <c r="W440" s="65">
        <f>IF(H440=재고내역!$F$9,출고요청서_raw!G440*1,IF(H440=재고내역!$F$10,출고요청서_raw!G440*2,IF(출고요청서_raw!H440=재고내역!$F$11,출고요청서_raw!G440*4,IF(출고요청서_raw!H440=재고내역!$F$12,출고요청서_raw!G440*6,IF(출고요청서_raw!H440=재고내역!$F$13,출고요청서_raw!G440*8)))))</f>
        <v>4</v>
      </c>
      <c r="Z440" s="56">
        <f>W440*재고내역!$M$6</f>
        <v>30748</v>
      </c>
      <c r="AA440" s="56">
        <f t="shared" si="53"/>
        <v>4550</v>
      </c>
      <c r="AB440" s="56">
        <f t="shared" si="50"/>
        <v>6065.6363636363603</v>
      </c>
      <c r="AC440" s="376">
        <f t="shared" si="51"/>
        <v>0.14664175824175818</v>
      </c>
    </row>
    <row r="441" spans="1:29" ht="15.75" customHeight="1">
      <c r="A441" s="430" t="s">
        <v>2415</v>
      </c>
      <c r="B441" s="430" t="s">
        <v>2416</v>
      </c>
      <c r="E441" s="430">
        <v>41838</v>
      </c>
      <c r="F441" s="430" t="s">
        <v>2417</v>
      </c>
      <c r="G441" s="371">
        <v>2</v>
      </c>
      <c r="H441" s="54" t="s">
        <v>73</v>
      </c>
      <c r="L441" s="351" t="s">
        <v>2306</v>
      </c>
      <c r="M441" s="351">
        <v>2.0260208132033999E+18</v>
      </c>
      <c r="N441" s="351">
        <v>143790</v>
      </c>
      <c r="O441" s="351" t="s">
        <v>2418</v>
      </c>
      <c r="P441" s="57" t="s">
        <v>41</v>
      </c>
      <c r="Q441" s="73">
        <v>46062</v>
      </c>
      <c r="R441" s="59" t="s">
        <v>41</v>
      </c>
      <c r="S441" s="359">
        <v>91000</v>
      </c>
      <c r="T441" s="56" t="str">
        <f t="shared" si="49"/>
        <v>0</v>
      </c>
      <c r="U441" s="359">
        <v>91000</v>
      </c>
      <c r="V441" s="360">
        <f t="shared" si="52"/>
        <v>82727.272727272721</v>
      </c>
      <c r="W441" s="65">
        <f>IF(H441=재고내역!$F$9,출고요청서_raw!G441*1,IF(H441=재고내역!$F$10,출고요청서_raw!G441*2,IF(출고요청서_raw!H441=재고내역!$F$11,출고요청서_raw!G441*4,IF(출고요청서_raw!H441=재고내역!$F$12,출고요청서_raw!G441*6,IF(출고요청서_raw!H441=재고내역!$F$13,출고요청서_raw!G441*8)))))</f>
        <v>8</v>
      </c>
      <c r="Z441" s="56">
        <f>W441*재고내역!$M$6</f>
        <v>61496</v>
      </c>
      <c r="AA441" s="56">
        <f t="shared" si="53"/>
        <v>4550</v>
      </c>
      <c r="AB441" s="56">
        <f t="shared" si="50"/>
        <v>16681.272727272721</v>
      </c>
      <c r="AC441" s="376">
        <f t="shared" si="51"/>
        <v>0.20164175824175817</v>
      </c>
    </row>
    <row r="442" spans="1:29" ht="15.75" customHeight="1">
      <c r="A442" s="430" t="s">
        <v>2419</v>
      </c>
      <c r="B442" s="430" t="s">
        <v>2420</v>
      </c>
      <c r="E442" s="430">
        <v>6083</v>
      </c>
      <c r="F442" s="430" t="s">
        <v>2421</v>
      </c>
      <c r="G442" s="371">
        <v>1</v>
      </c>
      <c r="H442" s="54" t="s">
        <v>73</v>
      </c>
      <c r="L442" s="351" t="s">
        <v>2306</v>
      </c>
      <c r="M442" s="351">
        <v>2.02602081254462E+18</v>
      </c>
      <c r="N442" s="351">
        <v>143790</v>
      </c>
      <c r="O442" s="351" t="s">
        <v>2422</v>
      </c>
      <c r="P442" s="57" t="s">
        <v>41</v>
      </c>
      <c r="Q442" s="73">
        <v>46062</v>
      </c>
      <c r="R442" s="59" t="s">
        <v>41</v>
      </c>
      <c r="S442" s="359">
        <v>45500</v>
      </c>
      <c r="T442" s="56" t="str">
        <f t="shared" si="49"/>
        <v>0</v>
      </c>
      <c r="U442" s="359">
        <v>45500</v>
      </c>
      <c r="V442" s="360">
        <f t="shared" si="52"/>
        <v>41363.63636363636</v>
      </c>
      <c r="W442" s="65">
        <f>IF(H442=재고내역!$F$9,출고요청서_raw!G442*1,IF(H442=재고내역!$F$10,출고요청서_raw!G442*2,IF(출고요청서_raw!H442=재고내역!$F$11,출고요청서_raw!G442*4,IF(출고요청서_raw!H442=재고내역!$F$12,출고요청서_raw!G442*6,IF(출고요청서_raw!H442=재고내역!$F$13,출고요청서_raw!G442*8)))))</f>
        <v>4</v>
      </c>
      <c r="Z442" s="56">
        <f>W442*재고내역!$M$6</f>
        <v>30748</v>
      </c>
      <c r="AA442" s="56">
        <f t="shared" si="53"/>
        <v>4550</v>
      </c>
      <c r="AB442" s="56">
        <f t="shared" si="50"/>
        <v>6065.6363636363603</v>
      </c>
      <c r="AC442" s="376">
        <f t="shared" si="51"/>
        <v>0.14664175824175818</v>
      </c>
    </row>
    <row r="443" spans="1:29" ht="15.75" customHeight="1">
      <c r="A443" s="430" t="s">
        <v>2423</v>
      </c>
      <c r="B443" s="430" t="s">
        <v>2424</v>
      </c>
      <c r="E443" s="430">
        <v>16224</v>
      </c>
      <c r="F443" s="430" t="s">
        <v>2425</v>
      </c>
      <c r="G443" s="371">
        <v>1</v>
      </c>
      <c r="H443" s="54" t="s">
        <v>73</v>
      </c>
      <c r="L443" s="351" t="s">
        <v>2306</v>
      </c>
      <c r="M443" s="351">
        <v>2.0260208124821399E+18</v>
      </c>
      <c r="N443" s="351">
        <v>143790</v>
      </c>
      <c r="O443" s="351" t="s">
        <v>2426</v>
      </c>
      <c r="P443" s="57" t="s">
        <v>41</v>
      </c>
      <c r="Q443" s="73">
        <v>46062</v>
      </c>
      <c r="R443" s="59" t="s">
        <v>41</v>
      </c>
      <c r="S443" s="359">
        <v>45500</v>
      </c>
      <c r="T443" s="56" t="str">
        <f t="shared" si="49"/>
        <v>0</v>
      </c>
      <c r="U443" s="359">
        <v>45500</v>
      </c>
      <c r="V443" s="360">
        <f t="shared" si="52"/>
        <v>41363.63636363636</v>
      </c>
      <c r="W443" s="65">
        <f>IF(H443=재고내역!$F$9,출고요청서_raw!G443*1,IF(H443=재고내역!$F$10,출고요청서_raw!G443*2,IF(출고요청서_raw!H443=재고내역!$F$11,출고요청서_raw!G443*4,IF(출고요청서_raw!H443=재고내역!$F$12,출고요청서_raw!G443*6,IF(출고요청서_raw!H443=재고내역!$F$13,출고요청서_raw!G443*8)))))</f>
        <v>4</v>
      </c>
      <c r="Z443" s="56">
        <f>W443*재고내역!$M$6</f>
        <v>30748</v>
      </c>
      <c r="AA443" s="56">
        <f t="shared" si="53"/>
        <v>4550</v>
      </c>
      <c r="AB443" s="56">
        <f t="shared" si="50"/>
        <v>6065.6363636363603</v>
      </c>
      <c r="AC443" s="376">
        <f t="shared" si="51"/>
        <v>0.14664175824175818</v>
      </c>
    </row>
    <row r="444" spans="1:29" ht="15.75" customHeight="1">
      <c r="A444" s="430" t="s">
        <v>2427</v>
      </c>
      <c r="B444" s="430" t="s">
        <v>2428</v>
      </c>
      <c r="E444" s="430">
        <v>14742</v>
      </c>
      <c r="F444" s="430" t="s">
        <v>2429</v>
      </c>
      <c r="G444" s="371">
        <v>1</v>
      </c>
      <c r="H444" s="54" t="s">
        <v>73</v>
      </c>
      <c r="L444" s="351" t="s">
        <v>2306</v>
      </c>
      <c r="M444" s="351">
        <v>2.0260208123745999E+18</v>
      </c>
      <c r="N444" s="351">
        <v>143790</v>
      </c>
      <c r="O444" s="351" t="s">
        <v>2430</v>
      </c>
      <c r="P444" s="57" t="s">
        <v>41</v>
      </c>
      <c r="Q444" s="73">
        <v>46062</v>
      </c>
      <c r="R444" s="59" t="s">
        <v>41</v>
      </c>
      <c r="S444" s="359">
        <v>45500</v>
      </c>
      <c r="T444" s="56" t="str">
        <f t="shared" si="49"/>
        <v>0</v>
      </c>
      <c r="U444" s="359">
        <v>45500</v>
      </c>
      <c r="V444" s="360">
        <f t="shared" si="52"/>
        <v>41363.63636363636</v>
      </c>
      <c r="W444" s="65">
        <f>IF(H444=재고내역!$F$9,출고요청서_raw!G444*1,IF(H444=재고내역!$F$10,출고요청서_raw!G444*2,IF(출고요청서_raw!H444=재고내역!$F$11,출고요청서_raw!G444*4,IF(출고요청서_raw!H444=재고내역!$F$12,출고요청서_raw!G444*6,IF(출고요청서_raw!H444=재고내역!$F$13,출고요청서_raw!G444*8)))))</f>
        <v>4</v>
      </c>
      <c r="Z444" s="56">
        <f>W444*재고내역!$M$6</f>
        <v>30748</v>
      </c>
      <c r="AA444" s="56">
        <f t="shared" si="53"/>
        <v>4550</v>
      </c>
      <c r="AB444" s="56">
        <f t="shared" si="50"/>
        <v>6065.6363636363603</v>
      </c>
      <c r="AC444" s="376">
        <f t="shared" si="51"/>
        <v>0.14664175824175818</v>
      </c>
    </row>
    <row r="445" spans="1:29" ht="15.75" customHeight="1">
      <c r="A445" s="430" t="s">
        <v>2431</v>
      </c>
      <c r="B445" s="430" t="s">
        <v>2432</v>
      </c>
      <c r="E445" s="430">
        <v>11346</v>
      </c>
      <c r="F445" s="430" t="s">
        <v>2433</v>
      </c>
      <c r="G445" s="371">
        <v>1</v>
      </c>
      <c r="H445" s="54" t="s">
        <v>73</v>
      </c>
      <c r="L445" s="351" t="s">
        <v>2306</v>
      </c>
      <c r="M445" s="351">
        <v>2.02602081232383E+18</v>
      </c>
      <c r="N445" s="351">
        <v>143790</v>
      </c>
      <c r="O445" s="351" t="s">
        <v>2434</v>
      </c>
      <c r="P445" s="57" t="s">
        <v>41</v>
      </c>
      <c r="Q445" s="73">
        <v>46062</v>
      </c>
      <c r="R445" s="59" t="s">
        <v>41</v>
      </c>
      <c r="S445" s="359">
        <v>45500</v>
      </c>
      <c r="T445" s="56" t="str">
        <f t="shared" si="49"/>
        <v>0</v>
      </c>
      <c r="U445" s="359">
        <v>45500</v>
      </c>
      <c r="V445" s="360">
        <f t="shared" si="52"/>
        <v>41363.63636363636</v>
      </c>
      <c r="W445" s="65">
        <f>IF(H445=재고내역!$F$9,출고요청서_raw!G445*1,IF(H445=재고내역!$F$10,출고요청서_raw!G445*2,IF(출고요청서_raw!H445=재고내역!$F$11,출고요청서_raw!G445*4,IF(출고요청서_raw!H445=재고내역!$F$12,출고요청서_raw!G445*6,IF(출고요청서_raw!H445=재고내역!$F$13,출고요청서_raw!G445*8)))))</f>
        <v>4</v>
      </c>
      <c r="Z445" s="56">
        <f>W445*재고내역!$M$6</f>
        <v>30748</v>
      </c>
      <c r="AA445" s="56">
        <f t="shared" si="53"/>
        <v>4550</v>
      </c>
      <c r="AB445" s="56">
        <f t="shared" si="50"/>
        <v>6065.6363636363603</v>
      </c>
      <c r="AC445" s="376">
        <f t="shared" si="51"/>
        <v>0.14664175824175818</v>
      </c>
    </row>
    <row r="446" spans="1:29" ht="15.75" customHeight="1">
      <c r="A446" s="430" t="s">
        <v>2435</v>
      </c>
      <c r="B446" s="430" t="s">
        <v>2436</v>
      </c>
      <c r="E446" s="430">
        <v>18492</v>
      </c>
      <c r="F446" s="430" t="s">
        <v>2437</v>
      </c>
      <c r="G446" s="371">
        <v>1</v>
      </c>
      <c r="H446" s="54" t="s">
        <v>73</v>
      </c>
      <c r="L446" s="351" t="s">
        <v>2306</v>
      </c>
      <c r="M446" s="351">
        <v>2.02602081228477E+18</v>
      </c>
      <c r="N446" s="351">
        <v>143790</v>
      </c>
      <c r="O446" s="351" t="s">
        <v>2438</v>
      </c>
      <c r="P446" s="57" t="s">
        <v>41</v>
      </c>
      <c r="Q446" s="73">
        <v>46062</v>
      </c>
      <c r="R446" s="59" t="s">
        <v>41</v>
      </c>
      <c r="S446" s="359">
        <v>45500</v>
      </c>
      <c r="T446" s="56" t="str">
        <f t="shared" si="49"/>
        <v>0</v>
      </c>
      <c r="U446" s="359">
        <v>45500</v>
      </c>
      <c r="V446" s="360">
        <f t="shared" si="52"/>
        <v>41363.63636363636</v>
      </c>
      <c r="W446" s="65">
        <f>IF(H446=재고내역!$F$9,출고요청서_raw!G446*1,IF(H446=재고내역!$F$10,출고요청서_raw!G446*2,IF(출고요청서_raw!H446=재고내역!$F$11,출고요청서_raw!G446*4,IF(출고요청서_raw!H446=재고내역!$F$12,출고요청서_raw!G446*6,IF(출고요청서_raw!H446=재고내역!$F$13,출고요청서_raw!G446*8)))))</f>
        <v>4</v>
      </c>
      <c r="Z446" s="56">
        <f>W446*재고내역!$M$6</f>
        <v>30748</v>
      </c>
      <c r="AA446" s="56">
        <f t="shared" si="53"/>
        <v>4550</v>
      </c>
      <c r="AB446" s="56">
        <f t="shared" si="50"/>
        <v>6065.6363636363603</v>
      </c>
      <c r="AC446" s="376">
        <f t="shared" si="51"/>
        <v>0.14664175824175818</v>
      </c>
    </row>
    <row r="447" spans="1:29" ht="15.75" customHeight="1">
      <c r="A447" s="430" t="s">
        <v>2439</v>
      </c>
      <c r="B447" s="430" t="s">
        <v>2440</v>
      </c>
      <c r="E447" s="430">
        <v>12253</v>
      </c>
      <c r="F447" s="430" t="s">
        <v>2441</v>
      </c>
      <c r="G447" s="371">
        <v>1</v>
      </c>
      <c r="H447" s="54" t="s">
        <v>73</v>
      </c>
      <c r="L447" s="351" t="s">
        <v>2306</v>
      </c>
      <c r="M447" s="351">
        <v>2.02602081225441E+18</v>
      </c>
      <c r="N447" s="351">
        <v>143790</v>
      </c>
      <c r="O447" s="351" t="s">
        <v>2442</v>
      </c>
      <c r="P447" s="57" t="s">
        <v>41</v>
      </c>
      <c r="Q447" s="73">
        <v>46062</v>
      </c>
      <c r="R447" s="59" t="s">
        <v>41</v>
      </c>
      <c r="S447" s="359">
        <v>45500</v>
      </c>
      <c r="T447" s="56" t="str">
        <f t="shared" si="49"/>
        <v>0</v>
      </c>
      <c r="U447" s="359">
        <v>45500</v>
      </c>
      <c r="V447" s="360">
        <f t="shared" si="52"/>
        <v>41363.63636363636</v>
      </c>
      <c r="W447" s="65">
        <f>IF(H447=재고내역!$F$9,출고요청서_raw!G447*1,IF(H447=재고내역!$F$10,출고요청서_raw!G447*2,IF(출고요청서_raw!H447=재고내역!$F$11,출고요청서_raw!G447*4,IF(출고요청서_raw!H447=재고내역!$F$12,출고요청서_raw!G447*6,IF(출고요청서_raw!H447=재고내역!$F$13,출고요청서_raw!G447*8)))))</f>
        <v>4</v>
      </c>
      <c r="Z447" s="56">
        <f>W447*재고내역!$M$6</f>
        <v>30748</v>
      </c>
      <c r="AA447" s="56">
        <f t="shared" si="53"/>
        <v>4550</v>
      </c>
      <c r="AB447" s="56">
        <f t="shared" si="50"/>
        <v>6065.6363636363603</v>
      </c>
      <c r="AC447" s="376">
        <f t="shared" si="51"/>
        <v>0.14664175824175818</v>
      </c>
    </row>
    <row r="448" spans="1:29" ht="15.75" customHeight="1">
      <c r="A448" s="430" t="s">
        <v>2443</v>
      </c>
      <c r="B448" s="430" t="s">
        <v>2444</v>
      </c>
      <c r="E448" s="430">
        <v>47054</v>
      </c>
      <c r="F448" s="430" t="s">
        <v>2445</v>
      </c>
      <c r="G448" s="371">
        <v>1</v>
      </c>
      <c r="H448" s="54" t="s">
        <v>73</v>
      </c>
      <c r="L448" s="351" t="s">
        <v>2446</v>
      </c>
      <c r="M448" s="351">
        <v>2.0260208122208699E+18</v>
      </c>
      <c r="N448" s="351">
        <v>143790</v>
      </c>
      <c r="O448" s="351" t="s">
        <v>2447</v>
      </c>
      <c r="P448" s="57" t="s">
        <v>41</v>
      </c>
      <c r="Q448" s="73">
        <v>46062</v>
      </c>
      <c r="R448" s="59" t="s">
        <v>41</v>
      </c>
      <c r="S448" s="359">
        <v>45500</v>
      </c>
      <c r="T448" s="56" t="str">
        <f t="shared" si="49"/>
        <v>0</v>
      </c>
      <c r="U448" s="359">
        <v>45500</v>
      </c>
      <c r="V448" s="360">
        <f t="shared" si="52"/>
        <v>41363.63636363636</v>
      </c>
      <c r="W448" s="65">
        <f>IF(H448=재고내역!$F$9,출고요청서_raw!G448*1,IF(H448=재고내역!$F$10,출고요청서_raw!G448*2,IF(출고요청서_raw!H448=재고내역!$F$11,출고요청서_raw!G448*4,IF(출고요청서_raw!H448=재고내역!$F$12,출고요청서_raw!G448*6,IF(출고요청서_raw!H448=재고내역!$F$13,출고요청서_raw!G448*8)))))</f>
        <v>4</v>
      </c>
      <c r="Z448" s="56">
        <f>W448*재고내역!$M$6</f>
        <v>30748</v>
      </c>
      <c r="AA448" s="56">
        <f t="shared" si="53"/>
        <v>4550</v>
      </c>
      <c r="AB448" s="56">
        <f t="shared" si="50"/>
        <v>6065.6363636363603</v>
      </c>
      <c r="AC448" s="376">
        <f t="shared" si="51"/>
        <v>0.14664175824175818</v>
      </c>
    </row>
    <row r="449" spans="1:29" ht="15.75" customHeight="1">
      <c r="A449" s="430" t="s">
        <v>2448</v>
      </c>
      <c r="B449" s="430" t="s">
        <v>2449</v>
      </c>
      <c r="E449" s="430">
        <v>28416</v>
      </c>
      <c r="F449" s="430" t="s">
        <v>2450</v>
      </c>
      <c r="G449" s="371">
        <v>1</v>
      </c>
      <c r="H449" s="54" t="s">
        <v>73</v>
      </c>
      <c r="L449" s="351" t="s">
        <v>677</v>
      </c>
      <c r="M449" s="351">
        <v>2.0260208121309299E+18</v>
      </c>
      <c r="N449" s="351">
        <v>143790</v>
      </c>
      <c r="O449" s="351" t="s">
        <v>2451</v>
      </c>
      <c r="P449" s="57" t="s">
        <v>41</v>
      </c>
      <c r="Q449" s="73">
        <v>46062</v>
      </c>
      <c r="R449" s="59" t="s">
        <v>41</v>
      </c>
      <c r="S449" s="359">
        <v>45500</v>
      </c>
      <c r="T449" s="56" t="str">
        <f t="shared" si="49"/>
        <v>0</v>
      </c>
      <c r="U449" s="359">
        <v>45500</v>
      </c>
      <c r="V449" s="360">
        <f t="shared" si="52"/>
        <v>41363.63636363636</v>
      </c>
      <c r="W449" s="65">
        <f>IF(H449=재고내역!$F$9,출고요청서_raw!G449*1,IF(H449=재고내역!$F$10,출고요청서_raw!G449*2,IF(출고요청서_raw!H449=재고내역!$F$11,출고요청서_raw!G449*4,IF(출고요청서_raw!H449=재고내역!$F$12,출고요청서_raw!G449*6,IF(출고요청서_raw!H449=재고내역!$F$13,출고요청서_raw!G449*8)))))</f>
        <v>4</v>
      </c>
      <c r="Z449" s="56">
        <f>W449*재고내역!$M$6</f>
        <v>30748</v>
      </c>
      <c r="AA449" s="56">
        <f t="shared" si="53"/>
        <v>4550</v>
      </c>
      <c r="AB449" s="56">
        <f t="shared" si="50"/>
        <v>6065.6363636363603</v>
      </c>
      <c r="AC449" s="376">
        <f t="shared" si="51"/>
        <v>0.14664175824175818</v>
      </c>
    </row>
    <row r="450" spans="1:29" ht="15.75" customHeight="1">
      <c r="A450" s="430" t="s">
        <v>2452</v>
      </c>
      <c r="B450" s="430" t="s">
        <v>2453</v>
      </c>
      <c r="E450" s="430">
        <v>8106</v>
      </c>
      <c r="F450" s="430" t="s">
        <v>2454</v>
      </c>
      <c r="G450" s="371">
        <v>1</v>
      </c>
      <c r="H450" s="54" t="s">
        <v>73</v>
      </c>
      <c r="L450" s="351" t="s">
        <v>2306</v>
      </c>
      <c r="M450" s="351">
        <v>2.0260208101034299E+18</v>
      </c>
      <c r="N450" s="351">
        <v>143790</v>
      </c>
      <c r="O450" s="351" t="s">
        <v>2455</v>
      </c>
      <c r="P450" s="57" t="s">
        <v>41</v>
      </c>
      <c r="Q450" s="73">
        <v>46062</v>
      </c>
      <c r="R450" s="59" t="s">
        <v>41</v>
      </c>
      <c r="S450" s="359">
        <v>45500</v>
      </c>
      <c r="T450" s="56" t="str">
        <f t="shared" si="49"/>
        <v>0</v>
      </c>
      <c r="U450" s="359">
        <v>45500</v>
      </c>
      <c r="V450" s="360">
        <f t="shared" si="52"/>
        <v>41363.63636363636</v>
      </c>
      <c r="W450" s="65">
        <f>IF(H450=재고내역!$F$9,출고요청서_raw!G450*1,IF(H450=재고내역!$F$10,출고요청서_raw!G450*2,IF(출고요청서_raw!H450=재고내역!$F$11,출고요청서_raw!G450*4,IF(출고요청서_raw!H450=재고내역!$F$12,출고요청서_raw!G450*6,IF(출고요청서_raw!H450=재고내역!$F$13,출고요청서_raw!G450*8)))))</f>
        <v>4</v>
      </c>
      <c r="Z450" s="56">
        <f>W450*재고내역!$M$6</f>
        <v>30748</v>
      </c>
      <c r="AA450" s="56">
        <f t="shared" si="53"/>
        <v>4550</v>
      </c>
      <c r="AB450" s="56">
        <f t="shared" si="50"/>
        <v>6065.6363636363603</v>
      </c>
      <c r="AC450" s="376">
        <f t="shared" si="51"/>
        <v>0.14664175824175818</v>
      </c>
    </row>
    <row r="451" spans="1:29" ht="15.75" customHeight="1">
      <c r="A451" s="430" t="s">
        <v>2456</v>
      </c>
      <c r="B451" s="430" t="s">
        <v>2457</v>
      </c>
      <c r="E451" s="430">
        <v>12771</v>
      </c>
      <c r="F451" s="430" t="s">
        <v>2458</v>
      </c>
      <c r="G451" s="371">
        <v>3</v>
      </c>
      <c r="H451" s="54" t="s">
        <v>73</v>
      </c>
      <c r="L451" s="351" t="s">
        <v>2306</v>
      </c>
      <c r="M451" s="351">
        <v>2.0260208100358999E+18</v>
      </c>
      <c r="N451" s="351">
        <v>143790</v>
      </c>
      <c r="O451" s="351" t="s">
        <v>2459</v>
      </c>
      <c r="P451" s="57" t="s">
        <v>41</v>
      </c>
      <c r="Q451" s="73">
        <v>46062</v>
      </c>
      <c r="R451" s="59" t="s">
        <v>41</v>
      </c>
      <c r="S451" s="359">
        <v>136500</v>
      </c>
      <c r="T451" s="56" t="str">
        <f t="shared" si="49"/>
        <v>0</v>
      </c>
      <c r="U451" s="359">
        <v>136500</v>
      </c>
      <c r="V451" s="360">
        <f t="shared" si="52"/>
        <v>124090.90909090907</v>
      </c>
      <c r="W451" s="65">
        <f>IF(H451=재고내역!$F$9,출고요청서_raw!G451*1,IF(H451=재고내역!$F$10,출고요청서_raw!G451*2,IF(출고요청서_raw!H451=재고내역!$F$11,출고요청서_raw!G451*4,IF(출고요청서_raw!H451=재고내역!$F$12,출고요청서_raw!G451*6,IF(출고요청서_raw!H451=재고내역!$F$13,출고요청서_raw!G451*8)))))</f>
        <v>12</v>
      </c>
      <c r="Z451" s="56">
        <f>W451*재고내역!$M$6</f>
        <v>92244</v>
      </c>
      <c r="AA451" s="56">
        <f t="shared" si="53"/>
        <v>9100</v>
      </c>
      <c r="AB451" s="56">
        <f t="shared" si="50"/>
        <v>22746.909090909074</v>
      </c>
      <c r="AC451" s="376">
        <f t="shared" si="51"/>
        <v>0.18330842490842481</v>
      </c>
    </row>
    <row r="452" spans="1:29" ht="15.75" customHeight="1">
      <c r="A452" s="430" t="s">
        <v>2460</v>
      </c>
      <c r="B452" s="430" t="s">
        <v>2461</v>
      </c>
      <c r="E452" s="430">
        <v>28615</v>
      </c>
      <c r="F452" s="430" t="s">
        <v>2462</v>
      </c>
      <c r="G452" s="371">
        <v>1</v>
      </c>
      <c r="H452" s="54" t="s">
        <v>73</v>
      </c>
      <c r="L452" s="351" t="s">
        <v>2306</v>
      </c>
      <c r="M452" s="351">
        <v>2.02602080939091E+18</v>
      </c>
      <c r="N452" s="351">
        <v>143790</v>
      </c>
      <c r="O452" s="351" t="s">
        <v>2463</v>
      </c>
      <c r="P452" s="57" t="s">
        <v>41</v>
      </c>
      <c r="Q452" s="73">
        <v>46062</v>
      </c>
      <c r="R452" s="59" t="s">
        <v>41</v>
      </c>
      <c r="S452" s="359">
        <v>45500</v>
      </c>
      <c r="T452" s="56" t="str">
        <f t="shared" si="49"/>
        <v>0</v>
      </c>
      <c r="U452" s="359">
        <v>45500</v>
      </c>
      <c r="V452" s="360">
        <f t="shared" si="52"/>
        <v>41363.63636363636</v>
      </c>
      <c r="W452" s="65">
        <f>IF(H452=재고내역!$F$9,출고요청서_raw!G452*1,IF(H452=재고내역!$F$10,출고요청서_raw!G452*2,IF(출고요청서_raw!H452=재고내역!$F$11,출고요청서_raw!G452*4,IF(출고요청서_raw!H452=재고내역!$F$12,출고요청서_raw!G452*6,IF(출고요청서_raw!H452=재고내역!$F$13,출고요청서_raw!G452*8)))))</f>
        <v>4</v>
      </c>
      <c r="Z452" s="56">
        <f>W452*재고내역!$M$6</f>
        <v>30748</v>
      </c>
      <c r="AA452" s="56">
        <f t="shared" si="53"/>
        <v>4550</v>
      </c>
      <c r="AB452" s="56">
        <f t="shared" si="50"/>
        <v>6065.6363636363603</v>
      </c>
      <c r="AC452" s="376">
        <f t="shared" si="51"/>
        <v>0.14664175824175818</v>
      </c>
    </row>
    <row r="453" spans="1:29" ht="15.75" customHeight="1">
      <c r="A453" s="430" t="s">
        <v>2464</v>
      </c>
      <c r="B453" s="430" t="s">
        <v>2465</v>
      </c>
      <c r="E453" s="430">
        <v>7651</v>
      </c>
      <c r="F453" s="430" t="s">
        <v>2466</v>
      </c>
      <c r="G453" s="371">
        <v>1</v>
      </c>
      <c r="H453" s="54" t="s">
        <v>73</v>
      </c>
      <c r="L453" s="351" t="s">
        <v>2467</v>
      </c>
      <c r="M453" s="351">
        <v>2.0260207230925801E+18</v>
      </c>
      <c r="N453" s="351">
        <v>143790</v>
      </c>
      <c r="O453" s="351" t="s">
        <v>2468</v>
      </c>
      <c r="P453" s="57" t="s">
        <v>41</v>
      </c>
      <c r="Q453" s="73">
        <v>46062</v>
      </c>
      <c r="R453" s="59" t="s">
        <v>41</v>
      </c>
      <c r="S453" s="359">
        <v>45500</v>
      </c>
      <c r="T453" s="56" t="str">
        <f t="shared" si="49"/>
        <v>0</v>
      </c>
      <c r="U453" s="359">
        <v>45500</v>
      </c>
      <c r="V453" s="360">
        <f t="shared" si="52"/>
        <v>41363.63636363636</v>
      </c>
      <c r="W453" s="65">
        <f>IF(H453=재고내역!$F$9,출고요청서_raw!G453*1,IF(H453=재고내역!$F$10,출고요청서_raw!G453*2,IF(출고요청서_raw!H453=재고내역!$F$11,출고요청서_raw!G453*4,IF(출고요청서_raw!H453=재고내역!$F$12,출고요청서_raw!G453*6,IF(출고요청서_raw!H453=재고내역!$F$13,출고요청서_raw!G453*8)))))</f>
        <v>4</v>
      </c>
      <c r="Z453" s="56">
        <f>W453*재고내역!$M$6</f>
        <v>30748</v>
      </c>
      <c r="AA453" s="56">
        <f t="shared" si="53"/>
        <v>4550</v>
      </c>
      <c r="AB453" s="56">
        <f t="shared" si="50"/>
        <v>6065.6363636363603</v>
      </c>
      <c r="AC453" s="376">
        <f t="shared" si="51"/>
        <v>0.14664175824175818</v>
      </c>
    </row>
    <row r="454" spans="1:29" ht="15.75" customHeight="1">
      <c r="A454" s="430" t="s">
        <v>2469</v>
      </c>
      <c r="B454" s="430" t="s">
        <v>2470</v>
      </c>
      <c r="E454" s="430">
        <v>1461</v>
      </c>
      <c r="F454" s="430" t="s">
        <v>2471</v>
      </c>
      <c r="G454" s="371">
        <v>1</v>
      </c>
      <c r="H454" s="54" t="s">
        <v>73</v>
      </c>
      <c r="L454" s="351" t="s">
        <v>2306</v>
      </c>
      <c r="M454" s="351">
        <v>2.02602072254033E+18</v>
      </c>
      <c r="N454" s="351">
        <v>143790</v>
      </c>
      <c r="O454" s="351" t="s">
        <v>2472</v>
      </c>
      <c r="P454" s="57" t="s">
        <v>41</v>
      </c>
      <c r="Q454" s="73">
        <v>46062</v>
      </c>
      <c r="R454" s="59" t="s">
        <v>41</v>
      </c>
      <c r="S454" s="359">
        <v>45500</v>
      </c>
      <c r="T454" s="56" t="str">
        <f t="shared" ref="T454:T517" si="54">IF(R454="쿠팡",VLOOKUP(H454,$AF$7:$AG$10,2,0)*G454,"0")</f>
        <v>0</v>
      </c>
      <c r="U454" s="359">
        <v>45500</v>
      </c>
      <c r="V454" s="360">
        <f t="shared" si="52"/>
        <v>41363.63636363636</v>
      </c>
      <c r="W454" s="65">
        <f>IF(H454=재고내역!$F$9,출고요청서_raw!G454*1,IF(H454=재고내역!$F$10,출고요청서_raw!G454*2,IF(출고요청서_raw!H454=재고내역!$F$11,출고요청서_raw!G454*4,IF(출고요청서_raw!H454=재고내역!$F$12,출고요청서_raw!G454*6,IF(출고요청서_raw!H454=재고내역!$F$13,출고요청서_raw!G454*8)))))</f>
        <v>4</v>
      </c>
      <c r="Z454" s="56">
        <f>W454*재고내역!$M$6</f>
        <v>30748</v>
      </c>
      <c r="AA454" s="56">
        <f t="shared" si="53"/>
        <v>4550</v>
      </c>
      <c r="AB454" s="56">
        <f t="shared" ref="AB454:AB517" si="55">V454-Z454-AA454-Y454</f>
        <v>6065.6363636363603</v>
      </c>
      <c r="AC454" s="376">
        <f t="shared" ref="AC454:AC517" si="56">AB454/V454</f>
        <v>0.14664175824175818</v>
      </c>
    </row>
    <row r="455" spans="1:29" ht="15.75" customHeight="1">
      <c r="A455" s="430" t="s">
        <v>2473</v>
      </c>
      <c r="B455" s="430" t="s">
        <v>2474</v>
      </c>
      <c r="E455" s="430">
        <v>58227</v>
      </c>
      <c r="F455" s="430" t="s">
        <v>2475</v>
      </c>
      <c r="G455" s="371">
        <v>1</v>
      </c>
      <c r="H455" s="54" t="s">
        <v>73</v>
      </c>
      <c r="L455" s="351" t="s">
        <v>2476</v>
      </c>
      <c r="M455" s="351">
        <v>2.0260207184200901E+18</v>
      </c>
      <c r="N455" s="351">
        <v>143790</v>
      </c>
      <c r="O455" s="351" t="s">
        <v>2477</v>
      </c>
      <c r="P455" s="57" t="s">
        <v>41</v>
      </c>
      <c r="Q455" s="73">
        <v>46062</v>
      </c>
      <c r="R455" s="59" t="s">
        <v>41</v>
      </c>
      <c r="S455" s="359">
        <v>45500</v>
      </c>
      <c r="T455" s="56" t="str">
        <f t="shared" si="54"/>
        <v>0</v>
      </c>
      <c r="U455" s="359">
        <v>45500</v>
      </c>
      <c r="V455" s="360">
        <f t="shared" si="52"/>
        <v>41363.63636363636</v>
      </c>
      <c r="W455" s="65">
        <f>IF(H455=재고내역!$F$9,출고요청서_raw!G455*1,IF(H455=재고내역!$F$10,출고요청서_raw!G455*2,IF(출고요청서_raw!H455=재고내역!$F$11,출고요청서_raw!G455*4,IF(출고요청서_raw!H455=재고내역!$F$12,출고요청서_raw!G455*6,IF(출고요청서_raw!H455=재고내역!$F$13,출고요청서_raw!G455*8)))))</f>
        <v>4</v>
      </c>
      <c r="Z455" s="56">
        <f>W455*재고내역!$M$6</f>
        <v>30748</v>
      </c>
      <c r="AA455" s="56">
        <f t="shared" si="53"/>
        <v>4550</v>
      </c>
      <c r="AB455" s="56">
        <f t="shared" si="55"/>
        <v>6065.6363636363603</v>
      </c>
      <c r="AC455" s="376">
        <f t="shared" si="56"/>
        <v>0.14664175824175818</v>
      </c>
    </row>
    <row r="456" spans="1:29" ht="15.75" customHeight="1">
      <c r="A456" s="430" t="s">
        <v>2478</v>
      </c>
      <c r="B456" s="430" t="s">
        <v>2479</v>
      </c>
      <c r="E456" s="430">
        <v>36419</v>
      </c>
      <c r="F456" s="430" t="s">
        <v>2480</v>
      </c>
      <c r="G456" s="371">
        <v>1</v>
      </c>
      <c r="H456" s="54" t="s">
        <v>73</v>
      </c>
      <c r="L456" s="351" t="s">
        <v>2481</v>
      </c>
      <c r="M456" s="351">
        <v>2.0260207184436101E+18</v>
      </c>
      <c r="N456" s="351">
        <v>143790</v>
      </c>
      <c r="O456" s="351" t="s">
        <v>2482</v>
      </c>
      <c r="P456" s="57" t="s">
        <v>41</v>
      </c>
      <c r="Q456" s="73">
        <v>46062</v>
      </c>
      <c r="R456" s="59" t="s">
        <v>41</v>
      </c>
      <c r="S456" s="359">
        <v>45500</v>
      </c>
      <c r="T456" s="56" t="str">
        <f t="shared" si="54"/>
        <v>0</v>
      </c>
      <c r="U456" s="359">
        <v>45500</v>
      </c>
      <c r="V456" s="360">
        <f t="shared" si="52"/>
        <v>41363.63636363636</v>
      </c>
      <c r="W456" s="65">
        <f>IF(H456=재고내역!$F$9,출고요청서_raw!G456*1,IF(H456=재고내역!$F$10,출고요청서_raw!G456*2,IF(출고요청서_raw!H456=재고내역!$F$11,출고요청서_raw!G456*4,IF(출고요청서_raw!H456=재고내역!$F$12,출고요청서_raw!G456*6,IF(출고요청서_raw!H456=재고내역!$F$13,출고요청서_raw!G456*8)))))</f>
        <v>4</v>
      </c>
      <c r="Z456" s="56">
        <f>W456*재고내역!$M$6</f>
        <v>30748</v>
      </c>
      <c r="AA456" s="56">
        <f t="shared" si="53"/>
        <v>4550</v>
      </c>
      <c r="AB456" s="56">
        <f t="shared" si="55"/>
        <v>6065.6363636363603</v>
      </c>
      <c r="AC456" s="376">
        <f t="shared" si="56"/>
        <v>0.14664175824175818</v>
      </c>
    </row>
    <row r="457" spans="1:29" ht="15.75" customHeight="1">
      <c r="A457" s="430" t="s">
        <v>2483</v>
      </c>
      <c r="B457" s="430" t="s">
        <v>2484</v>
      </c>
      <c r="E457" s="430">
        <v>11803</v>
      </c>
      <c r="F457" s="430" t="s">
        <v>2485</v>
      </c>
      <c r="G457" s="371">
        <v>1</v>
      </c>
      <c r="H457" s="54" t="s">
        <v>73</v>
      </c>
      <c r="L457" s="351" t="s">
        <v>2306</v>
      </c>
      <c r="M457" s="351">
        <v>2.0260207183328399E+18</v>
      </c>
      <c r="N457" s="351">
        <v>143790</v>
      </c>
      <c r="O457" s="351" t="s">
        <v>2486</v>
      </c>
      <c r="P457" s="57" t="s">
        <v>41</v>
      </c>
      <c r="Q457" s="73">
        <v>46062</v>
      </c>
      <c r="R457" s="59" t="s">
        <v>41</v>
      </c>
      <c r="S457" s="359">
        <v>45500</v>
      </c>
      <c r="T457" s="56" t="str">
        <f t="shared" si="54"/>
        <v>0</v>
      </c>
      <c r="U457" s="359">
        <v>45500</v>
      </c>
      <c r="V457" s="360">
        <f t="shared" si="52"/>
        <v>41363.63636363636</v>
      </c>
      <c r="W457" s="65">
        <f>IF(H457=재고내역!$F$9,출고요청서_raw!G457*1,IF(H457=재고내역!$F$10,출고요청서_raw!G457*2,IF(출고요청서_raw!H457=재고내역!$F$11,출고요청서_raw!G457*4,IF(출고요청서_raw!H457=재고내역!$F$12,출고요청서_raw!G457*6,IF(출고요청서_raw!H457=재고내역!$F$13,출고요청서_raw!G457*8)))))</f>
        <v>4</v>
      </c>
      <c r="Z457" s="56">
        <f>W457*재고내역!$M$6</f>
        <v>30748</v>
      </c>
      <c r="AA457" s="56">
        <f t="shared" si="53"/>
        <v>4550</v>
      </c>
      <c r="AB457" s="56">
        <f t="shared" si="55"/>
        <v>6065.6363636363603</v>
      </c>
      <c r="AC457" s="376">
        <f t="shared" si="56"/>
        <v>0.14664175824175818</v>
      </c>
    </row>
    <row r="458" spans="1:29" ht="15.75" customHeight="1">
      <c r="A458" s="430" t="s">
        <v>2487</v>
      </c>
      <c r="B458" s="430" t="s">
        <v>2488</v>
      </c>
      <c r="E458" s="430">
        <v>55349</v>
      </c>
      <c r="F458" s="430" t="s">
        <v>2489</v>
      </c>
      <c r="G458" s="371">
        <v>2</v>
      </c>
      <c r="H458" s="54" t="s">
        <v>73</v>
      </c>
      <c r="L458" s="351" t="s">
        <v>2306</v>
      </c>
      <c r="M458" s="351">
        <v>2.0260207175720699E+18</v>
      </c>
      <c r="N458" s="351">
        <v>143790</v>
      </c>
      <c r="O458" s="351" t="s">
        <v>2490</v>
      </c>
      <c r="P458" s="57" t="s">
        <v>41</v>
      </c>
      <c r="Q458" s="73">
        <v>46062</v>
      </c>
      <c r="R458" s="59" t="s">
        <v>41</v>
      </c>
      <c r="S458" s="359">
        <v>91000</v>
      </c>
      <c r="T458" s="56" t="str">
        <f t="shared" si="54"/>
        <v>0</v>
      </c>
      <c r="U458" s="359">
        <v>91000</v>
      </c>
      <c r="V458" s="360">
        <f t="shared" si="52"/>
        <v>82727.272727272721</v>
      </c>
      <c r="W458" s="65">
        <f>IF(H458=재고내역!$F$9,출고요청서_raw!G458*1,IF(H458=재고내역!$F$10,출고요청서_raw!G458*2,IF(출고요청서_raw!H458=재고내역!$F$11,출고요청서_raw!G458*4,IF(출고요청서_raw!H458=재고내역!$F$12,출고요청서_raw!G458*6,IF(출고요청서_raw!H458=재고내역!$F$13,출고요청서_raw!G458*8)))))</f>
        <v>8</v>
      </c>
      <c r="Z458" s="56">
        <f>W458*재고내역!$M$6</f>
        <v>61496</v>
      </c>
      <c r="AA458" s="56">
        <f t="shared" si="53"/>
        <v>4550</v>
      </c>
      <c r="AB458" s="56">
        <f t="shared" si="55"/>
        <v>16681.272727272721</v>
      </c>
      <c r="AC458" s="376">
        <f t="shared" si="56"/>
        <v>0.20164175824175817</v>
      </c>
    </row>
    <row r="459" spans="1:29" ht="15.75" customHeight="1">
      <c r="A459" s="430" t="s">
        <v>2491</v>
      </c>
      <c r="B459" s="430" t="s">
        <v>2492</v>
      </c>
      <c r="E459" s="430">
        <v>1440</v>
      </c>
      <c r="F459" s="430" t="s">
        <v>2493</v>
      </c>
      <c r="G459" s="371">
        <v>1</v>
      </c>
      <c r="H459" s="54" t="s">
        <v>73</v>
      </c>
      <c r="L459" s="351" t="s">
        <v>2306</v>
      </c>
      <c r="M459" s="351">
        <v>2.0260207173531599E+18</v>
      </c>
      <c r="N459" s="351">
        <v>143790</v>
      </c>
      <c r="O459" s="351" t="s">
        <v>2494</v>
      </c>
      <c r="P459" s="57" t="s">
        <v>41</v>
      </c>
      <c r="Q459" s="73">
        <v>46062</v>
      </c>
      <c r="R459" s="59" t="s">
        <v>41</v>
      </c>
      <c r="S459" s="359">
        <v>45500</v>
      </c>
      <c r="T459" s="56" t="str">
        <f t="shared" si="54"/>
        <v>0</v>
      </c>
      <c r="U459" s="359">
        <v>45500</v>
      </c>
      <c r="V459" s="360">
        <f t="shared" si="52"/>
        <v>41363.63636363636</v>
      </c>
      <c r="W459" s="65">
        <f>IF(H459=재고내역!$F$9,출고요청서_raw!G459*1,IF(H459=재고내역!$F$10,출고요청서_raw!G459*2,IF(출고요청서_raw!H459=재고내역!$F$11,출고요청서_raw!G459*4,IF(출고요청서_raw!H459=재고내역!$F$12,출고요청서_raw!G459*6,IF(출고요청서_raw!H459=재고내역!$F$13,출고요청서_raw!G459*8)))))</f>
        <v>4</v>
      </c>
      <c r="Z459" s="56">
        <f>W459*재고내역!$M$6</f>
        <v>30748</v>
      </c>
      <c r="AA459" s="56">
        <f t="shared" si="53"/>
        <v>4550</v>
      </c>
      <c r="AB459" s="56">
        <f t="shared" si="55"/>
        <v>6065.6363636363603</v>
      </c>
      <c r="AC459" s="376">
        <f t="shared" si="56"/>
        <v>0.14664175824175818</v>
      </c>
    </row>
    <row r="460" spans="1:29" ht="15.75" customHeight="1">
      <c r="A460" s="430" t="s">
        <v>2495</v>
      </c>
      <c r="B460" s="430" t="s">
        <v>2496</v>
      </c>
      <c r="E460" s="430">
        <v>56348</v>
      </c>
      <c r="F460" s="430" t="s">
        <v>2497</v>
      </c>
      <c r="G460" s="371">
        <v>1</v>
      </c>
      <c r="H460" s="54" t="s">
        <v>73</v>
      </c>
      <c r="L460" s="351" t="s">
        <v>2306</v>
      </c>
      <c r="M460" s="351">
        <v>2.0260207172626099E+18</v>
      </c>
      <c r="N460" s="351">
        <v>143790</v>
      </c>
      <c r="O460" s="351" t="s">
        <v>2498</v>
      </c>
      <c r="P460" s="57" t="s">
        <v>41</v>
      </c>
      <c r="Q460" s="73">
        <v>46062</v>
      </c>
      <c r="R460" s="59" t="s">
        <v>41</v>
      </c>
      <c r="S460" s="359">
        <v>45500</v>
      </c>
      <c r="T460" s="56" t="str">
        <f t="shared" si="54"/>
        <v>0</v>
      </c>
      <c r="U460" s="359">
        <v>45500</v>
      </c>
      <c r="V460" s="360">
        <f t="shared" si="52"/>
        <v>41363.63636363636</v>
      </c>
      <c r="W460" s="65">
        <f>IF(H460=재고내역!$F$9,출고요청서_raw!G460*1,IF(H460=재고내역!$F$10,출고요청서_raw!G460*2,IF(출고요청서_raw!H460=재고내역!$F$11,출고요청서_raw!G460*4,IF(출고요청서_raw!H460=재고내역!$F$12,출고요청서_raw!G460*6,IF(출고요청서_raw!H460=재고내역!$F$13,출고요청서_raw!G460*8)))))</f>
        <v>4</v>
      </c>
      <c r="Z460" s="56">
        <f>W460*재고내역!$M$6</f>
        <v>30748</v>
      </c>
      <c r="AA460" s="56">
        <f t="shared" si="53"/>
        <v>4550</v>
      </c>
      <c r="AB460" s="56">
        <f t="shared" si="55"/>
        <v>6065.6363636363603</v>
      </c>
      <c r="AC460" s="376">
        <f t="shared" si="56"/>
        <v>0.14664175824175818</v>
      </c>
    </row>
    <row r="461" spans="1:29" ht="15.75" customHeight="1">
      <c r="A461" s="430" t="s">
        <v>2499</v>
      </c>
      <c r="B461" s="430" t="s">
        <v>2500</v>
      </c>
      <c r="E461" s="430">
        <v>16953</v>
      </c>
      <c r="F461" s="430" t="s">
        <v>2501</v>
      </c>
      <c r="G461" s="371">
        <v>1</v>
      </c>
      <c r="H461" s="54" t="s">
        <v>73</v>
      </c>
      <c r="L461" s="351" t="s">
        <v>2306</v>
      </c>
      <c r="M461" s="351">
        <v>2.0260207172507599E+18</v>
      </c>
      <c r="N461" s="351">
        <v>143790</v>
      </c>
      <c r="O461" s="351" t="s">
        <v>2502</v>
      </c>
      <c r="P461" s="57" t="s">
        <v>41</v>
      </c>
      <c r="Q461" s="73">
        <v>46062</v>
      </c>
      <c r="R461" s="59" t="s">
        <v>41</v>
      </c>
      <c r="S461" s="359">
        <v>45500</v>
      </c>
      <c r="T461" s="56" t="str">
        <f t="shared" si="54"/>
        <v>0</v>
      </c>
      <c r="U461" s="359">
        <v>45500</v>
      </c>
      <c r="V461" s="360">
        <f t="shared" si="52"/>
        <v>41363.63636363636</v>
      </c>
      <c r="W461" s="65">
        <f>IF(H461=재고내역!$F$9,출고요청서_raw!G461*1,IF(H461=재고내역!$F$10,출고요청서_raw!G461*2,IF(출고요청서_raw!H461=재고내역!$F$11,출고요청서_raw!G461*4,IF(출고요청서_raw!H461=재고내역!$F$12,출고요청서_raw!G461*6,IF(출고요청서_raw!H461=재고내역!$F$13,출고요청서_raw!G461*8)))))</f>
        <v>4</v>
      </c>
      <c r="Z461" s="56">
        <f>W461*재고내역!$M$6</f>
        <v>30748</v>
      </c>
      <c r="AA461" s="56">
        <f t="shared" si="53"/>
        <v>4550</v>
      </c>
      <c r="AB461" s="56">
        <f t="shared" si="55"/>
        <v>6065.6363636363603</v>
      </c>
      <c r="AC461" s="376">
        <f t="shared" si="56"/>
        <v>0.14664175824175818</v>
      </c>
    </row>
    <row r="462" spans="1:29" ht="15.75" customHeight="1">
      <c r="A462" s="430" t="s">
        <v>2503</v>
      </c>
      <c r="B462" s="430" t="s">
        <v>2504</v>
      </c>
      <c r="E462" s="430">
        <v>6195</v>
      </c>
      <c r="F462" s="430" t="s">
        <v>2505</v>
      </c>
      <c r="G462" s="371">
        <v>1</v>
      </c>
      <c r="H462" s="54" t="s">
        <v>73</v>
      </c>
      <c r="L462" s="351" t="s">
        <v>2306</v>
      </c>
      <c r="M462" s="351">
        <v>2.0260207170851799E+18</v>
      </c>
      <c r="N462" s="351">
        <v>143790</v>
      </c>
      <c r="O462" s="351" t="s">
        <v>2506</v>
      </c>
      <c r="P462" s="57" t="s">
        <v>41</v>
      </c>
      <c r="Q462" s="73">
        <v>46062</v>
      </c>
      <c r="R462" s="59" t="s">
        <v>41</v>
      </c>
      <c r="S462" s="359">
        <v>45500</v>
      </c>
      <c r="T462" s="56" t="str">
        <f t="shared" si="54"/>
        <v>0</v>
      </c>
      <c r="U462" s="359">
        <v>45500</v>
      </c>
      <c r="V462" s="360">
        <f t="shared" si="52"/>
        <v>41363.63636363636</v>
      </c>
      <c r="W462" s="65">
        <f>IF(H462=재고내역!$F$9,출고요청서_raw!G462*1,IF(H462=재고내역!$F$10,출고요청서_raw!G462*2,IF(출고요청서_raw!H462=재고내역!$F$11,출고요청서_raw!G462*4,IF(출고요청서_raw!H462=재고내역!$F$12,출고요청서_raw!G462*6,IF(출고요청서_raw!H462=재고내역!$F$13,출고요청서_raw!G462*8)))))</f>
        <v>4</v>
      </c>
      <c r="Z462" s="56">
        <f>W462*재고내역!$M$6</f>
        <v>30748</v>
      </c>
      <c r="AA462" s="56">
        <f t="shared" si="53"/>
        <v>4550</v>
      </c>
      <c r="AB462" s="56">
        <f t="shared" si="55"/>
        <v>6065.6363636363603</v>
      </c>
      <c r="AC462" s="376">
        <f t="shared" si="56"/>
        <v>0.14664175824175818</v>
      </c>
    </row>
    <row r="463" spans="1:29" ht="15.75" customHeight="1">
      <c r="A463" s="430" t="s">
        <v>2507</v>
      </c>
      <c r="B463" s="430" t="s">
        <v>2508</v>
      </c>
      <c r="E463" s="430">
        <v>7070</v>
      </c>
      <c r="F463" s="430" t="s">
        <v>2509</v>
      </c>
      <c r="G463" s="371">
        <v>2</v>
      </c>
      <c r="H463" s="54" t="s">
        <v>73</v>
      </c>
      <c r="L463" s="351" t="s">
        <v>2510</v>
      </c>
      <c r="M463" s="351">
        <v>2.0260207161914501E+18</v>
      </c>
      <c r="N463" s="351">
        <v>143790</v>
      </c>
      <c r="O463" s="351" t="s">
        <v>2511</v>
      </c>
      <c r="P463" s="57" t="s">
        <v>41</v>
      </c>
      <c r="Q463" s="73">
        <v>46062</v>
      </c>
      <c r="R463" s="59" t="s">
        <v>41</v>
      </c>
      <c r="S463" s="359">
        <v>91000</v>
      </c>
      <c r="T463" s="56" t="str">
        <f t="shared" si="54"/>
        <v>0</v>
      </c>
      <c r="U463" s="359">
        <v>91000</v>
      </c>
      <c r="V463" s="360">
        <f t="shared" si="52"/>
        <v>82727.272727272721</v>
      </c>
      <c r="W463" s="65">
        <f>IF(H463=재고내역!$F$9,출고요청서_raw!G463*1,IF(H463=재고내역!$F$10,출고요청서_raw!G463*2,IF(출고요청서_raw!H463=재고내역!$F$11,출고요청서_raw!G463*4,IF(출고요청서_raw!H463=재고내역!$F$12,출고요청서_raw!G463*6,IF(출고요청서_raw!H463=재고내역!$F$13,출고요청서_raw!G463*8)))))</f>
        <v>8</v>
      </c>
      <c r="Z463" s="56">
        <f>W463*재고내역!$M$6</f>
        <v>61496</v>
      </c>
      <c r="AA463" s="56">
        <f t="shared" si="53"/>
        <v>4550</v>
      </c>
      <c r="AB463" s="56">
        <f t="shared" si="55"/>
        <v>16681.272727272721</v>
      </c>
      <c r="AC463" s="376">
        <f t="shared" si="56"/>
        <v>0.20164175824175817</v>
      </c>
    </row>
    <row r="464" spans="1:29" ht="15.75" customHeight="1">
      <c r="A464" s="430" t="s">
        <v>2512</v>
      </c>
      <c r="B464" s="430" t="s">
        <v>2513</v>
      </c>
      <c r="E464" s="430">
        <v>1387</v>
      </c>
      <c r="F464" s="430" t="s">
        <v>2514</v>
      </c>
      <c r="G464" s="371">
        <v>1</v>
      </c>
      <c r="H464" s="54" t="s">
        <v>73</v>
      </c>
      <c r="L464" s="351" t="s">
        <v>2306</v>
      </c>
      <c r="M464" s="351">
        <v>2.02602071613293E+18</v>
      </c>
      <c r="N464" s="351">
        <v>143790</v>
      </c>
      <c r="O464" s="351" t="s">
        <v>2515</v>
      </c>
      <c r="P464" s="57" t="s">
        <v>41</v>
      </c>
      <c r="Q464" s="73">
        <v>46062</v>
      </c>
      <c r="R464" s="59" t="s">
        <v>41</v>
      </c>
      <c r="S464" s="359">
        <v>45500</v>
      </c>
      <c r="T464" s="56" t="str">
        <f t="shared" si="54"/>
        <v>0</v>
      </c>
      <c r="U464" s="359">
        <v>45500</v>
      </c>
      <c r="V464" s="360">
        <f t="shared" si="52"/>
        <v>41363.63636363636</v>
      </c>
      <c r="W464" s="65">
        <f>IF(H464=재고내역!$F$9,출고요청서_raw!G464*1,IF(H464=재고내역!$F$10,출고요청서_raw!G464*2,IF(출고요청서_raw!H464=재고내역!$F$11,출고요청서_raw!G464*4,IF(출고요청서_raw!H464=재고내역!$F$12,출고요청서_raw!G464*6,IF(출고요청서_raw!H464=재고내역!$F$13,출고요청서_raw!G464*8)))))</f>
        <v>4</v>
      </c>
      <c r="Z464" s="56">
        <f>W464*재고내역!$M$6</f>
        <v>30748</v>
      </c>
      <c r="AA464" s="56">
        <f t="shared" si="53"/>
        <v>4550</v>
      </c>
      <c r="AB464" s="56">
        <f t="shared" si="55"/>
        <v>6065.6363636363603</v>
      </c>
      <c r="AC464" s="376">
        <f t="shared" si="56"/>
        <v>0.14664175824175818</v>
      </c>
    </row>
    <row r="465" spans="1:29" ht="15.75" customHeight="1">
      <c r="A465" s="430" t="s">
        <v>2516</v>
      </c>
      <c r="B465" s="430" t="s">
        <v>2517</v>
      </c>
      <c r="E465" s="430">
        <v>62076</v>
      </c>
      <c r="F465" s="430" t="s">
        <v>2518</v>
      </c>
      <c r="G465" s="371">
        <v>1</v>
      </c>
      <c r="H465" s="54" t="s">
        <v>73</v>
      </c>
      <c r="L465" s="351" t="s">
        <v>2519</v>
      </c>
      <c r="M465" s="351">
        <v>2.0260207154808901E+18</v>
      </c>
      <c r="N465" s="351">
        <v>143790</v>
      </c>
      <c r="O465" s="351" t="s">
        <v>2520</v>
      </c>
      <c r="P465" s="57" t="s">
        <v>41</v>
      </c>
      <c r="Q465" s="73">
        <v>46062</v>
      </c>
      <c r="R465" s="59" t="s">
        <v>41</v>
      </c>
      <c r="S465" s="359">
        <v>45500</v>
      </c>
      <c r="T465" s="56" t="str">
        <f t="shared" si="54"/>
        <v>0</v>
      </c>
      <c r="U465" s="359">
        <v>45500</v>
      </c>
      <c r="V465" s="360">
        <f t="shared" si="52"/>
        <v>41363.63636363636</v>
      </c>
      <c r="W465" s="65">
        <f>IF(H465=재고내역!$F$9,출고요청서_raw!G465*1,IF(H465=재고내역!$F$10,출고요청서_raw!G465*2,IF(출고요청서_raw!H465=재고내역!$F$11,출고요청서_raw!G465*4,IF(출고요청서_raw!H465=재고내역!$F$12,출고요청서_raw!G465*6,IF(출고요청서_raw!H465=재고내역!$F$13,출고요청서_raw!G465*8)))))</f>
        <v>4</v>
      </c>
      <c r="Z465" s="56">
        <f>W465*재고내역!$M$6</f>
        <v>30748</v>
      </c>
      <c r="AA465" s="56">
        <f t="shared" si="53"/>
        <v>4550</v>
      </c>
      <c r="AB465" s="56">
        <f t="shared" si="55"/>
        <v>6065.6363636363603</v>
      </c>
      <c r="AC465" s="376">
        <f t="shared" si="56"/>
        <v>0.14664175824175818</v>
      </c>
    </row>
    <row r="466" spans="1:29" ht="15.75" customHeight="1">
      <c r="A466" s="430" t="s">
        <v>2521</v>
      </c>
      <c r="B466" s="430" t="s">
        <v>2522</v>
      </c>
      <c r="E466" s="430">
        <v>15259</v>
      </c>
      <c r="F466" s="430" t="s">
        <v>2523</v>
      </c>
      <c r="G466" s="371">
        <v>1</v>
      </c>
      <c r="H466" s="54" t="s">
        <v>73</v>
      </c>
      <c r="L466" s="351" t="s">
        <v>2306</v>
      </c>
      <c r="M466" s="351">
        <v>2.0260207154655401E+18</v>
      </c>
      <c r="N466" s="351">
        <v>143790</v>
      </c>
      <c r="O466" s="351" t="s">
        <v>2524</v>
      </c>
      <c r="P466" s="57" t="s">
        <v>41</v>
      </c>
      <c r="Q466" s="73">
        <v>46062</v>
      </c>
      <c r="R466" s="59" t="s">
        <v>41</v>
      </c>
      <c r="S466" s="359">
        <v>45500</v>
      </c>
      <c r="T466" s="56" t="str">
        <f t="shared" si="54"/>
        <v>0</v>
      </c>
      <c r="U466" s="359">
        <v>45500</v>
      </c>
      <c r="V466" s="360">
        <f t="shared" si="52"/>
        <v>41363.63636363636</v>
      </c>
      <c r="W466" s="65">
        <f>IF(H466=재고내역!$F$9,출고요청서_raw!G466*1,IF(H466=재고내역!$F$10,출고요청서_raw!G466*2,IF(출고요청서_raw!H466=재고내역!$F$11,출고요청서_raw!G466*4,IF(출고요청서_raw!H466=재고내역!$F$12,출고요청서_raw!G466*6,IF(출고요청서_raw!H466=재고내역!$F$13,출고요청서_raw!G466*8)))))</f>
        <v>4</v>
      </c>
      <c r="Z466" s="56">
        <f>W466*재고내역!$M$6</f>
        <v>30748</v>
      </c>
      <c r="AA466" s="56">
        <f t="shared" si="53"/>
        <v>4550</v>
      </c>
      <c r="AB466" s="56">
        <f t="shared" si="55"/>
        <v>6065.6363636363603</v>
      </c>
      <c r="AC466" s="376">
        <f t="shared" si="56"/>
        <v>0.14664175824175818</v>
      </c>
    </row>
    <row r="467" spans="1:29" ht="15.75" customHeight="1">
      <c r="A467" s="430" t="s">
        <v>2525</v>
      </c>
      <c r="B467" s="430" t="s">
        <v>2526</v>
      </c>
      <c r="E467" s="430">
        <v>37931</v>
      </c>
      <c r="F467" s="430" t="s">
        <v>2527</v>
      </c>
      <c r="G467" s="371">
        <v>1</v>
      </c>
      <c r="H467" s="54" t="s">
        <v>73</v>
      </c>
      <c r="L467" s="351" t="s">
        <v>2306</v>
      </c>
      <c r="M467" s="351">
        <v>2.02602071521458E+18</v>
      </c>
      <c r="N467" s="351">
        <v>143790</v>
      </c>
      <c r="O467" s="351" t="s">
        <v>2528</v>
      </c>
      <c r="P467" s="57" t="s">
        <v>41</v>
      </c>
      <c r="Q467" s="73">
        <v>46062</v>
      </c>
      <c r="R467" s="59" t="s">
        <v>41</v>
      </c>
      <c r="S467" s="359">
        <v>45500</v>
      </c>
      <c r="T467" s="56" t="str">
        <f t="shared" si="54"/>
        <v>0</v>
      </c>
      <c r="U467" s="359">
        <v>45500</v>
      </c>
      <c r="V467" s="360">
        <f t="shared" si="52"/>
        <v>41363.63636363636</v>
      </c>
      <c r="W467" s="65">
        <f>IF(H467=재고내역!$F$9,출고요청서_raw!G467*1,IF(H467=재고내역!$F$10,출고요청서_raw!G467*2,IF(출고요청서_raw!H467=재고내역!$F$11,출고요청서_raw!G467*4,IF(출고요청서_raw!H467=재고내역!$F$12,출고요청서_raw!G467*6,IF(출고요청서_raw!H467=재고내역!$F$13,출고요청서_raw!G467*8)))))</f>
        <v>4</v>
      </c>
      <c r="Z467" s="56">
        <f>W467*재고내역!$M$6</f>
        <v>30748</v>
      </c>
      <c r="AA467" s="56">
        <f t="shared" si="53"/>
        <v>4550</v>
      </c>
      <c r="AB467" s="56">
        <f t="shared" si="55"/>
        <v>6065.6363636363603</v>
      </c>
      <c r="AC467" s="376">
        <f t="shared" si="56"/>
        <v>0.14664175824175818</v>
      </c>
    </row>
    <row r="468" spans="1:29" ht="15.75" customHeight="1">
      <c r="A468" s="430" t="s">
        <v>2529</v>
      </c>
      <c r="B468" s="430" t="s">
        <v>2530</v>
      </c>
      <c r="E468" s="430">
        <v>51671</v>
      </c>
      <c r="F468" s="430" t="s">
        <v>2531</v>
      </c>
      <c r="G468" s="371">
        <v>2</v>
      </c>
      <c r="H468" s="54" t="s">
        <v>73</v>
      </c>
      <c r="L468" s="351" t="s">
        <v>2306</v>
      </c>
      <c r="M468" s="351">
        <v>2.02602071341539E+18</v>
      </c>
      <c r="N468" s="351">
        <v>143790</v>
      </c>
      <c r="O468" s="351" t="s">
        <v>2532</v>
      </c>
      <c r="P468" s="57" t="s">
        <v>41</v>
      </c>
      <c r="Q468" s="73">
        <v>46062</v>
      </c>
      <c r="R468" s="59" t="s">
        <v>41</v>
      </c>
      <c r="S468" s="359">
        <v>91000</v>
      </c>
      <c r="T468" s="56" t="str">
        <f t="shared" si="54"/>
        <v>0</v>
      </c>
      <c r="U468" s="359">
        <v>91000</v>
      </c>
      <c r="V468" s="360">
        <f t="shared" si="52"/>
        <v>82727.272727272721</v>
      </c>
      <c r="W468" s="65">
        <f>IF(H468=재고내역!$F$9,출고요청서_raw!G468*1,IF(H468=재고내역!$F$10,출고요청서_raw!G468*2,IF(출고요청서_raw!H468=재고내역!$F$11,출고요청서_raw!G468*4,IF(출고요청서_raw!H468=재고내역!$F$12,출고요청서_raw!G468*6,IF(출고요청서_raw!H468=재고내역!$F$13,출고요청서_raw!G468*8)))))</f>
        <v>8</v>
      </c>
      <c r="Z468" s="56">
        <f>W468*재고내역!$M$6</f>
        <v>61496</v>
      </c>
      <c r="AA468" s="56">
        <f t="shared" si="53"/>
        <v>4550</v>
      </c>
      <c r="AB468" s="56">
        <f t="shared" si="55"/>
        <v>16681.272727272721</v>
      </c>
      <c r="AC468" s="376">
        <f t="shared" si="56"/>
        <v>0.20164175824175817</v>
      </c>
    </row>
    <row r="469" spans="1:29" ht="15.75" customHeight="1">
      <c r="A469" s="430" t="s">
        <v>2533</v>
      </c>
      <c r="B469" s="430" t="s">
        <v>2534</v>
      </c>
      <c r="E469" s="430">
        <v>51674</v>
      </c>
      <c r="F469" s="430" t="s">
        <v>2535</v>
      </c>
      <c r="G469" s="371">
        <v>2</v>
      </c>
      <c r="H469" s="54" t="s">
        <v>73</v>
      </c>
      <c r="L469" s="351" t="s">
        <v>2306</v>
      </c>
      <c r="M469" s="351">
        <v>2.0260207133936699E+18</v>
      </c>
      <c r="N469" s="351">
        <v>143790</v>
      </c>
      <c r="O469" s="351" t="s">
        <v>2536</v>
      </c>
      <c r="P469" s="57" t="s">
        <v>41</v>
      </c>
      <c r="Q469" s="73">
        <v>46062</v>
      </c>
      <c r="R469" s="59" t="s">
        <v>41</v>
      </c>
      <c r="S469" s="359">
        <v>91000</v>
      </c>
      <c r="T469" s="56" t="str">
        <f t="shared" si="54"/>
        <v>0</v>
      </c>
      <c r="U469" s="359">
        <v>91000</v>
      </c>
      <c r="V469" s="360">
        <f t="shared" si="52"/>
        <v>82727.272727272721</v>
      </c>
      <c r="W469" s="65">
        <f>IF(H469=재고내역!$F$9,출고요청서_raw!G469*1,IF(H469=재고내역!$F$10,출고요청서_raw!G469*2,IF(출고요청서_raw!H469=재고내역!$F$11,출고요청서_raw!G469*4,IF(출고요청서_raw!H469=재고내역!$F$12,출고요청서_raw!G469*6,IF(출고요청서_raw!H469=재고내역!$F$13,출고요청서_raw!G469*8)))))</f>
        <v>8</v>
      </c>
      <c r="Z469" s="56">
        <f>W469*재고내역!$M$6</f>
        <v>61496</v>
      </c>
      <c r="AA469" s="56">
        <f t="shared" si="53"/>
        <v>4550</v>
      </c>
      <c r="AB469" s="56">
        <f t="shared" si="55"/>
        <v>16681.272727272721</v>
      </c>
      <c r="AC469" s="376">
        <f t="shared" si="56"/>
        <v>0.20164175824175817</v>
      </c>
    </row>
    <row r="470" spans="1:29" ht="15.75" customHeight="1">
      <c r="A470" s="430" t="s">
        <v>2537</v>
      </c>
      <c r="B470" s="430" t="s">
        <v>2538</v>
      </c>
      <c r="E470" s="430">
        <v>51696</v>
      </c>
      <c r="F470" s="430" t="s">
        <v>2539</v>
      </c>
      <c r="G470" s="371">
        <v>2</v>
      </c>
      <c r="H470" s="54" t="s">
        <v>73</v>
      </c>
      <c r="L470" s="351" t="s">
        <v>2306</v>
      </c>
      <c r="M470" s="351">
        <v>2.0260207133418601E+18</v>
      </c>
      <c r="N470" s="351">
        <v>143790</v>
      </c>
      <c r="O470" s="351" t="s">
        <v>2540</v>
      </c>
      <c r="P470" s="57" t="s">
        <v>41</v>
      </c>
      <c r="Q470" s="73">
        <v>46062</v>
      </c>
      <c r="R470" s="59" t="s">
        <v>41</v>
      </c>
      <c r="S470" s="359">
        <v>91000</v>
      </c>
      <c r="T470" s="56" t="str">
        <f t="shared" si="54"/>
        <v>0</v>
      </c>
      <c r="U470" s="359">
        <v>91000</v>
      </c>
      <c r="V470" s="360">
        <f t="shared" si="52"/>
        <v>82727.272727272721</v>
      </c>
      <c r="W470" s="65">
        <f>IF(H470=재고내역!$F$9,출고요청서_raw!G470*1,IF(H470=재고내역!$F$10,출고요청서_raw!G470*2,IF(출고요청서_raw!H470=재고내역!$F$11,출고요청서_raw!G470*4,IF(출고요청서_raw!H470=재고내역!$F$12,출고요청서_raw!G470*6,IF(출고요청서_raw!H470=재고내역!$F$13,출고요청서_raw!G470*8)))))</f>
        <v>8</v>
      </c>
      <c r="Z470" s="56">
        <f>W470*재고내역!$M$6</f>
        <v>61496</v>
      </c>
      <c r="AA470" s="56">
        <f t="shared" si="53"/>
        <v>4550</v>
      </c>
      <c r="AB470" s="56">
        <f t="shared" si="55"/>
        <v>16681.272727272721</v>
      </c>
      <c r="AC470" s="376">
        <f t="shared" si="56"/>
        <v>0.20164175824175817</v>
      </c>
    </row>
    <row r="471" spans="1:29" ht="15.75" customHeight="1">
      <c r="A471" s="430" t="s">
        <v>2541</v>
      </c>
      <c r="B471" s="430" t="s">
        <v>2542</v>
      </c>
      <c r="E471" s="430">
        <v>31151</v>
      </c>
      <c r="F471" s="430" t="s">
        <v>2543</v>
      </c>
      <c r="G471" s="371">
        <v>1</v>
      </c>
      <c r="H471" s="54" t="s">
        <v>73</v>
      </c>
      <c r="L471" s="351" t="s">
        <v>2306</v>
      </c>
      <c r="M471" s="351">
        <v>2.02602071326035E+18</v>
      </c>
      <c r="N471" s="351">
        <v>143790</v>
      </c>
      <c r="O471" s="351" t="s">
        <v>2544</v>
      </c>
      <c r="P471" s="57" t="s">
        <v>41</v>
      </c>
      <c r="Q471" s="73">
        <v>46062</v>
      </c>
      <c r="R471" s="59" t="s">
        <v>41</v>
      </c>
      <c r="S471" s="359">
        <v>45500</v>
      </c>
      <c r="T471" s="56" t="str">
        <f t="shared" si="54"/>
        <v>0</v>
      </c>
      <c r="U471" s="359">
        <v>45500</v>
      </c>
      <c r="V471" s="360">
        <f t="shared" si="52"/>
        <v>41363.63636363636</v>
      </c>
      <c r="W471" s="65">
        <f>IF(H471=재고내역!$F$9,출고요청서_raw!G471*1,IF(H471=재고내역!$F$10,출고요청서_raw!G471*2,IF(출고요청서_raw!H471=재고내역!$F$11,출고요청서_raw!G471*4,IF(출고요청서_raw!H471=재고내역!$F$12,출고요청서_raw!G471*6,IF(출고요청서_raw!H471=재고내역!$F$13,출고요청서_raw!G471*8)))))</f>
        <v>4</v>
      </c>
      <c r="Z471" s="56">
        <f>W471*재고내역!$M$6</f>
        <v>30748</v>
      </c>
      <c r="AA471" s="56">
        <f t="shared" si="53"/>
        <v>4550</v>
      </c>
      <c r="AB471" s="56">
        <f t="shared" si="55"/>
        <v>6065.6363636363603</v>
      </c>
      <c r="AC471" s="376">
        <f t="shared" si="56"/>
        <v>0.14664175824175818</v>
      </c>
    </row>
    <row r="472" spans="1:29" ht="15.75" customHeight="1">
      <c r="A472" s="430" t="s">
        <v>2545</v>
      </c>
      <c r="B472" s="430" t="s">
        <v>2546</v>
      </c>
      <c r="E472" s="430">
        <v>7344</v>
      </c>
      <c r="F472" s="430" t="s">
        <v>2547</v>
      </c>
      <c r="G472" s="371">
        <v>1</v>
      </c>
      <c r="H472" s="54" t="s">
        <v>73</v>
      </c>
      <c r="L472" s="351" t="s">
        <v>2306</v>
      </c>
      <c r="M472" s="351">
        <v>2.02602071311325E+18</v>
      </c>
      <c r="N472" s="351">
        <v>143790</v>
      </c>
      <c r="O472" s="351" t="s">
        <v>2548</v>
      </c>
      <c r="P472" s="57" t="s">
        <v>41</v>
      </c>
      <c r="Q472" s="73">
        <v>46062</v>
      </c>
      <c r="R472" s="59" t="s">
        <v>41</v>
      </c>
      <c r="S472" s="359">
        <v>45500</v>
      </c>
      <c r="T472" s="56" t="str">
        <f t="shared" si="54"/>
        <v>0</v>
      </c>
      <c r="U472" s="359">
        <v>45500</v>
      </c>
      <c r="V472" s="360">
        <f t="shared" si="52"/>
        <v>41363.63636363636</v>
      </c>
      <c r="W472" s="65">
        <f>IF(H472=재고내역!$F$9,출고요청서_raw!G472*1,IF(H472=재고내역!$F$10,출고요청서_raw!G472*2,IF(출고요청서_raw!H472=재고내역!$F$11,출고요청서_raw!G472*4,IF(출고요청서_raw!H472=재고내역!$F$12,출고요청서_raw!G472*6,IF(출고요청서_raw!H472=재고내역!$F$13,출고요청서_raw!G472*8)))))</f>
        <v>4</v>
      </c>
      <c r="Z472" s="56">
        <f>W472*재고내역!$M$6</f>
        <v>30748</v>
      </c>
      <c r="AA472" s="56">
        <f t="shared" si="53"/>
        <v>4550</v>
      </c>
      <c r="AB472" s="56">
        <f t="shared" si="55"/>
        <v>6065.6363636363603</v>
      </c>
      <c r="AC472" s="376">
        <f t="shared" si="56"/>
        <v>0.14664175824175818</v>
      </c>
    </row>
    <row r="473" spans="1:29" ht="15.75" customHeight="1">
      <c r="A473" s="430" t="s">
        <v>2549</v>
      </c>
      <c r="B473" s="430" t="s">
        <v>2550</v>
      </c>
      <c r="E473" s="430">
        <v>27404</v>
      </c>
      <c r="F473" s="430" t="s">
        <v>2551</v>
      </c>
      <c r="G473" s="371">
        <v>1</v>
      </c>
      <c r="H473" s="54" t="s">
        <v>73</v>
      </c>
      <c r="L473" s="351" t="s">
        <v>2306</v>
      </c>
      <c r="M473" s="351">
        <v>2.02602071309345E+18</v>
      </c>
      <c r="N473" s="351">
        <v>143790</v>
      </c>
      <c r="O473" s="351" t="s">
        <v>2552</v>
      </c>
      <c r="P473" s="57" t="s">
        <v>41</v>
      </c>
      <c r="Q473" s="73">
        <v>46062</v>
      </c>
      <c r="R473" s="59" t="s">
        <v>41</v>
      </c>
      <c r="S473" s="359">
        <v>45500</v>
      </c>
      <c r="T473" s="56" t="str">
        <f t="shared" si="54"/>
        <v>0</v>
      </c>
      <c r="U473" s="359">
        <v>45500</v>
      </c>
      <c r="V473" s="360">
        <f t="shared" si="52"/>
        <v>41363.63636363636</v>
      </c>
      <c r="W473" s="65">
        <f>IF(H473=재고내역!$F$9,출고요청서_raw!G473*1,IF(H473=재고내역!$F$10,출고요청서_raw!G473*2,IF(출고요청서_raw!H473=재고내역!$F$11,출고요청서_raw!G473*4,IF(출고요청서_raw!H473=재고내역!$F$12,출고요청서_raw!G473*6,IF(출고요청서_raw!H473=재고내역!$F$13,출고요청서_raw!G473*8)))))</f>
        <v>4</v>
      </c>
      <c r="Z473" s="56">
        <f>W473*재고내역!$M$6</f>
        <v>30748</v>
      </c>
      <c r="AA473" s="56">
        <f t="shared" si="53"/>
        <v>4550</v>
      </c>
      <c r="AB473" s="56">
        <f t="shared" si="55"/>
        <v>6065.6363636363603</v>
      </c>
      <c r="AC473" s="376">
        <f t="shared" si="56"/>
        <v>0.14664175824175818</v>
      </c>
    </row>
    <row r="474" spans="1:29" ht="15.75" customHeight="1">
      <c r="A474" s="430" t="s">
        <v>2553</v>
      </c>
      <c r="B474" s="430" t="s">
        <v>2554</v>
      </c>
      <c r="E474" s="430">
        <v>4193</v>
      </c>
      <c r="F474" s="430" t="s">
        <v>2555</v>
      </c>
      <c r="G474" s="371">
        <v>1</v>
      </c>
      <c r="H474" s="54" t="s">
        <v>73</v>
      </c>
      <c r="L474" s="351" t="s">
        <v>2306</v>
      </c>
      <c r="M474" s="351">
        <v>2.02602071244413E+18</v>
      </c>
      <c r="N474" s="351">
        <v>143790</v>
      </c>
      <c r="O474" s="351" t="s">
        <v>2556</v>
      </c>
      <c r="P474" s="57" t="s">
        <v>41</v>
      </c>
      <c r="Q474" s="73">
        <v>46062</v>
      </c>
      <c r="R474" s="59" t="s">
        <v>41</v>
      </c>
      <c r="S474" s="359">
        <v>45500</v>
      </c>
      <c r="T474" s="56" t="str">
        <f t="shared" si="54"/>
        <v>0</v>
      </c>
      <c r="U474" s="359">
        <v>45500</v>
      </c>
      <c r="V474" s="360">
        <f t="shared" ref="V474:V537" si="57">U474/1.1</f>
        <v>41363.63636363636</v>
      </c>
      <c r="W474" s="65">
        <f>IF(H474=재고내역!$F$9,출고요청서_raw!G474*1,IF(H474=재고내역!$F$10,출고요청서_raw!G474*2,IF(출고요청서_raw!H474=재고내역!$F$11,출고요청서_raw!G474*4,IF(출고요청서_raw!H474=재고내역!$F$12,출고요청서_raw!G474*6,IF(출고요청서_raw!H474=재고내역!$F$13,출고요청서_raw!G474*8)))))</f>
        <v>4</v>
      </c>
      <c r="Z474" s="56">
        <f>W474*재고내역!$M$6</f>
        <v>30748</v>
      </c>
      <c r="AA474" s="56">
        <f t="shared" ref="AA474:AA537" si="58">IF(W474&gt;8,4550*2,4550)</f>
        <v>4550</v>
      </c>
      <c r="AB474" s="56">
        <f t="shared" si="55"/>
        <v>6065.6363636363603</v>
      </c>
      <c r="AC474" s="376">
        <f t="shared" si="56"/>
        <v>0.14664175824175818</v>
      </c>
    </row>
    <row r="475" spans="1:29" ht="15.75" customHeight="1">
      <c r="A475" s="430" t="s">
        <v>2557</v>
      </c>
      <c r="B475" s="430" t="s">
        <v>2558</v>
      </c>
      <c r="E475" s="430">
        <v>58116</v>
      </c>
      <c r="F475" s="430" t="s">
        <v>2559</v>
      </c>
      <c r="G475" s="371">
        <v>1</v>
      </c>
      <c r="H475" s="54" t="s">
        <v>73</v>
      </c>
      <c r="L475" s="351" t="s">
        <v>2306</v>
      </c>
      <c r="M475" s="351">
        <v>2.02602071213501E+18</v>
      </c>
      <c r="N475" s="351">
        <v>143790</v>
      </c>
      <c r="O475" s="351" t="s">
        <v>2560</v>
      </c>
      <c r="P475" s="57" t="s">
        <v>41</v>
      </c>
      <c r="Q475" s="73">
        <v>46062</v>
      </c>
      <c r="R475" s="59" t="s">
        <v>41</v>
      </c>
      <c r="S475" s="359">
        <v>45500</v>
      </c>
      <c r="T475" s="56" t="str">
        <f t="shared" si="54"/>
        <v>0</v>
      </c>
      <c r="U475" s="359">
        <v>45500</v>
      </c>
      <c r="V475" s="360">
        <f t="shared" si="57"/>
        <v>41363.63636363636</v>
      </c>
      <c r="W475" s="65">
        <f>IF(H475=재고내역!$F$9,출고요청서_raw!G475*1,IF(H475=재고내역!$F$10,출고요청서_raw!G475*2,IF(출고요청서_raw!H475=재고내역!$F$11,출고요청서_raw!G475*4,IF(출고요청서_raw!H475=재고내역!$F$12,출고요청서_raw!G475*6,IF(출고요청서_raw!H475=재고내역!$F$13,출고요청서_raw!G475*8)))))</f>
        <v>4</v>
      </c>
      <c r="Z475" s="56">
        <f>W475*재고내역!$M$6</f>
        <v>30748</v>
      </c>
      <c r="AA475" s="56">
        <f t="shared" si="58"/>
        <v>4550</v>
      </c>
      <c r="AB475" s="56">
        <f t="shared" si="55"/>
        <v>6065.6363636363603</v>
      </c>
      <c r="AC475" s="376">
        <f t="shared" si="56"/>
        <v>0.14664175824175818</v>
      </c>
    </row>
    <row r="476" spans="1:29" ht="15.75" customHeight="1">
      <c r="A476" s="430" t="s">
        <v>2561</v>
      </c>
      <c r="B476" s="430" t="s">
        <v>2562</v>
      </c>
      <c r="E476" s="430">
        <v>44026</v>
      </c>
      <c r="F476" s="430" t="s">
        <v>2563</v>
      </c>
      <c r="G476" s="371">
        <v>1</v>
      </c>
      <c r="H476" s="54" t="s">
        <v>73</v>
      </c>
      <c r="L476" s="351" t="s">
        <v>2306</v>
      </c>
      <c r="M476" s="351">
        <v>2.0260207113601001E+18</v>
      </c>
      <c r="N476" s="351">
        <v>143790</v>
      </c>
      <c r="O476" s="351" t="s">
        <v>2564</v>
      </c>
      <c r="P476" s="57" t="s">
        <v>41</v>
      </c>
      <c r="Q476" s="73">
        <v>46062</v>
      </c>
      <c r="R476" s="59" t="s">
        <v>41</v>
      </c>
      <c r="S476" s="359">
        <v>45500</v>
      </c>
      <c r="T476" s="56" t="str">
        <f t="shared" si="54"/>
        <v>0</v>
      </c>
      <c r="U476" s="359">
        <v>45500</v>
      </c>
      <c r="V476" s="360">
        <f t="shared" si="57"/>
        <v>41363.63636363636</v>
      </c>
      <c r="W476" s="65">
        <f>IF(H476=재고내역!$F$9,출고요청서_raw!G476*1,IF(H476=재고내역!$F$10,출고요청서_raw!G476*2,IF(출고요청서_raw!H476=재고내역!$F$11,출고요청서_raw!G476*4,IF(출고요청서_raw!H476=재고내역!$F$12,출고요청서_raw!G476*6,IF(출고요청서_raw!H476=재고내역!$F$13,출고요청서_raw!G476*8)))))</f>
        <v>4</v>
      </c>
      <c r="Z476" s="56">
        <f>W476*재고내역!$M$6</f>
        <v>30748</v>
      </c>
      <c r="AA476" s="56">
        <f t="shared" si="58"/>
        <v>4550</v>
      </c>
      <c r="AB476" s="56">
        <f t="shared" si="55"/>
        <v>6065.6363636363603</v>
      </c>
      <c r="AC476" s="376">
        <f t="shared" si="56"/>
        <v>0.14664175824175818</v>
      </c>
    </row>
    <row r="477" spans="1:29" ht="15.75" customHeight="1">
      <c r="A477" s="430" t="s">
        <v>2565</v>
      </c>
      <c r="B477" s="430" t="s">
        <v>2566</v>
      </c>
      <c r="E477" s="430">
        <v>17954</v>
      </c>
      <c r="F477" s="430" t="s">
        <v>2567</v>
      </c>
      <c r="G477" s="371">
        <v>1</v>
      </c>
      <c r="H477" s="54" t="s">
        <v>73</v>
      </c>
      <c r="L477" s="351" t="s">
        <v>2306</v>
      </c>
      <c r="M477" s="351">
        <v>2.0260207113215099E+18</v>
      </c>
      <c r="N477" s="351">
        <v>143790</v>
      </c>
      <c r="O477" s="351" t="s">
        <v>2568</v>
      </c>
      <c r="P477" s="57" t="s">
        <v>41</v>
      </c>
      <c r="Q477" s="73">
        <v>46062</v>
      </c>
      <c r="R477" s="59" t="s">
        <v>41</v>
      </c>
      <c r="S477" s="359">
        <v>45500</v>
      </c>
      <c r="T477" s="56" t="str">
        <f t="shared" si="54"/>
        <v>0</v>
      </c>
      <c r="U477" s="359">
        <v>45500</v>
      </c>
      <c r="V477" s="360">
        <f t="shared" si="57"/>
        <v>41363.63636363636</v>
      </c>
      <c r="W477" s="65">
        <f>IF(H477=재고내역!$F$9,출고요청서_raw!G477*1,IF(H477=재고내역!$F$10,출고요청서_raw!G477*2,IF(출고요청서_raw!H477=재고내역!$F$11,출고요청서_raw!G477*4,IF(출고요청서_raw!H477=재고내역!$F$12,출고요청서_raw!G477*6,IF(출고요청서_raw!H477=재고내역!$F$13,출고요청서_raw!G477*8)))))</f>
        <v>4</v>
      </c>
      <c r="Z477" s="56">
        <f>W477*재고내역!$M$6</f>
        <v>30748</v>
      </c>
      <c r="AA477" s="56">
        <f t="shared" si="58"/>
        <v>4550</v>
      </c>
      <c r="AB477" s="56">
        <f t="shared" si="55"/>
        <v>6065.6363636363603</v>
      </c>
      <c r="AC477" s="376">
        <f t="shared" si="56"/>
        <v>0.14664175824175818</v>
      </c>
    </row>
    <row r="478" spans="1:29" ht="15.75" customHeight="1">
      <c r="A478" s="430" t="s">
        <v>2569</v>
      </c>
      <c r="B478" s="430" t="s">
        <v>2570</v>
      </c>
      <c r="E478" s="430">
        <v>41083</v>
      </c>
      <c r="F478" s="430" t="s">
        <v>2571</v>
      </c>
      <c r="G478" s="371">
        <v>1</v>
      </c>
      <c r="H478" s="54" t="s">
        <v>73</v>
      </c>
      <c r="L478" s="351" t="s">
        <v>2306</v>
      </c>
      <c r="M478" s="351">
        <v>2.0260207111112901E+18</v>
      </c>
      <c r="N478" s="351">
        <v>143790</v>
      </c>
      <c r="O478" s="351" t="s">
        <v>2572</v>
      </c>
      <c r="P478" s="57" t="s">
        <v>41</v>
      </c>
      <c r="Q478" s="73">
        <v>46062</v>
      </c>
      <c r="R478" s="59" t="s">
        <v>41</v>
      </c>
      <c r="S478" s="359">
        <v>45500</v>
      </c>
      <c r="T478" s="56" t="str">
        <f t="shared" si="54"/>
        <v>0</v>
      </c>
      <c r="U478" s="359">
        <v>45500</v>
      </c>
      <c r="V478" s="360">
        <f t="shared" si="57"/>
        <v>41363.63636363636</v>
      </c>
      <c r="W478" s="65">
        <f>IF(H478=재고내역!$F$9,출고요청서_raw!G478*1,IF(H478=재고내역!$F$10,출고요청서_raw!G478*2,IF(출고요청서_raw!H478=재고내역!$F$11,출고요청서_raw!G478*4,IF(출고요청서_raw!H478=재고내역!$F$12,출고요청서_raw!G478*6,IF(출고요청서_raw!H478=재고내역!$F$13,출고요청서_raw!G478*8)))))</f>
        <v>4</v>
      </c>
      <c r="Z478" s="56">
        <f>W478*재고내역!$M$6</f>
        <v>30748</v>
      </c>
      <c r="AA478" s="56">
        <f t="shared" si="58"/>
        <v>4550</v>
      </c>
      <c r="AB478" s="56">
        <f t="shared" si="55"/>
        <v>6065.6363636363603</v>
      </c>
      <c r="AC478" s="376">
        <f t="shared" si="56"/>
        <v>0.14664175824175818</v>
      </c>
    </row>
    <row r="479" spans="1:29" ht="15.75" customHeight="1">
      <c r="A479" s="430" t="s">
        <v>2573</v>
      </c>
      <c r="B479" s="430" t="s">
        <v>2574</v>
      </c>
      <c r="E479" s="430">
        <v>46523</v>
      </c>
      <c r="F479" s="430" t="s">
        <v>2575</v>
      </c>
      <c r="G479" s="371">
        <v>1</v>
      </c>
      <c r="H479" s="54" t="s">
        <v>73</v>
      </c>
      <c r="L479" s="351" t="s">
        <v>2306</v>
      </c>
      <c r="M479" s="351">
        <v>2.0260207105635899E+18</v>
      </c>
      <c r="N479" s="351">
        <v>143790</v>
      </c>
      <c r="O479" s="351" t="s">
        <v>2576</v>
      </c>
      <c r="P479" s="57" t="s">
        <v>41</v>
      </c>
      <c r="Q479" s="73">
        <v>46062</v>
      </c>
      <c r="R479" s="59" t="s">
        <v>41</v>
      </c>
      <c r="S479" s="359">
        <v>45500</v>
      </c>
      <c r="T479" s="56" t="str">
        <f t="shared" si="54"/>
        <v>0</v>
      </c>
      <c r="U479" s="359">
        <v>45500</v>
      </c>
      <c r="V479" s="360">
        <f t="shared" si="57"/>
        <v>41363.63636363636</v>
      </c>
      <c r="W479" s="65">
        <f>IF(H479=재고내역!$F$9,출고요청서_raw!G479*1,IF(H479=재고내역!$F$10,출고요청서_raw!G479*2,IF(출고요청서_raw!H479=재고내역!$F$11,출고요청서_raw!G479*4,IF(출고요청서_raw!H479=재고내역!$F$12,출고요청서_raw!G479*6,IF(출고요청서_raw!H479=재고내역!$F$13,출고요청서_raw!G479*8)))))</f>
        <v>4</v>
      </c>
      <c r="Z479" s="56">
        <f>W479*재고내역!$M$6</f>
        <v>30748</v>
      </c>
      <c r="AA479" s="56">
        <f t="shared" si="58"/>
        <v>4550</v>
      </c>
      <c r="AB479" s="56">
        <f t="shared" si="55"/>
        <v>6065.6363636363603</v>
      </c>
      <c r="AC479" s="376">
        <f t="shared" si="56"/>
        <v>0.14664175824175818</v>
      </c>
    </row>
    <row r="480" spans="1:29" ht="15.75" customHeight="1">
      <c r="A480" s="430" t="s">
        <v>2577</v>
      </c>
      <c r="B480" s="430" t="s">
        <v>2578</v>
      </c>
      <c r="E480" s="430">
        <v>7619</v>
      </c>
      <c r="F480" s="430" t="s">
        <v>2579</v>
      </c>
      <c r="G480" s="371">
        <v>1</v>
      </c>
      <c r="H480" s="54" t="s">
        <v>73</v>
      </c>
      <c r="L480" s="351" t="s">
        <v>2306</v>
      </c>
      <c r="M480" s="351">
        <v>2.0260207105816699E+18</v>
      </c>
      <c r="N480" s="351">
        <v>143790</v>
      </c>
      <c r="O480" s="351" t="s">
        <v>2580</v>
      </c>
      <c r="P480" s="57" t="s">
        <v>41</v>
      </c>
      <c r="Q480" s="73">
        <v>46062</v>
      </c>
      <c r="R480" s="59" t="s">
        <v>41</v>
      </c>
      <c r="S480" s="359">
        <v>45500</v>
      </c>
      <c r="T480" s="56" t="str">
        <f t="shared" si="54"/>
        <v>0</v>
      </c>
      <c r="U480" s="359">
        <v>45500</v>
      </c>
      <c r="V480" s="360">
        <f t="shared" si="57"/>
        <v>41363.63636363636</v>
      </c>
      <c r="W480" s="65">
        <f>IF(H480=재고내역!$F$9,출고요청서_raw!G480*1,IF(H480=재고내역!$F$10,출고요청서_raw!G480*2,IF(출고요청서_raw!H480=재고내역!$F$11,출고요청서_raw!G480*4,IF(출고요청서_raw!H480=재고내역!$F$12,출고요청서_raw!G480*6,IF(출고요청서_raw!H480=재고내역!$F$13,출고요청서_raw!G480*8)))))</f>
        <v>4</v>
      </c>
      <c r="Z480" s="56">
        <f>W480*재고내역!$M$6</f>
        <v>30748</v>
      </c>
      <c r="AA480" s="56">
        <f t="shared" si="58"/>
        <v>4550</v>
      </c>
      <c r="AB480" s="56">
        <f t="shared" si="55"/>
        <v>6065.6363636363603</v>
      </c>
      <c r="AC480" s="376">
        <f t="shared" si="56"/>
        <v>0.14664175824175818</v>
      </c>
    </row>
    <row r="481" spans="1:29" ht="15.75" customHeight="1">
      <c r="A481" s="430" t="s">
        <v>2581</v>
      </c>
      <c r="B481" s="430" t="s">
        <v>2582</v>
      </c>
      <c r="E481" s="430">
        <v>34125</v>
      </c>
      <c r="F481" s="430" t="s">
        <v>2583</v>
      </c>
      <c r="G481" s="371">
        <v>2</v>
      </c>
      <c r="H481" s="54" t="s">
        <v>73</v>
      </c>
      <c r="L481" s="351" t="s">
        <v>2306</v>
      </c>
      <c r="M481" s="351">
        <v>2.0260207104243599E+18</v>
      </c>
      <c r="N481" s="351">
        <v>143790</v>
      </c>
      <c r="O481" s="351" t="s">
        <v>2584</v>
      </c>
      <c r="P481" s="57" t="s">
        <v>41</v>
      </c>
      <c r="Q481" s="73">
        <v>46062</v>
      </c>
      <c r="R481" s="59" t="s">
        <v>41</v>
      </c>
      <c r="S481" s="359">
        <v>91000</v>
      </c>
      <c r="T481" s="56" t="str">
        <f t="shared" si="54"/>
        <v>0</v>
      </c>
      <c r="U481" s="359">
        <v>91000</v>
      </c>
      <c r="V481" s="360">
        <f t="shared" si="57"/>
        <v>82727.272727272721</v>
      </c>
      <c r="W481" s="65">
        <f>IF(H481=재고내역!$F$9,출고요청서_raw!G481*1,IF(H481=재고내역!$F$10,출고요청서_raw!G481*2,IF(출고요청서_raw!H481=재고내역!$F$11,출고요청서_raw!G481*4,IF(출고요청서_raw!H481=재고내역!$F$12,출고요청서_raw!G481*6,IF(출고요청서_raw!H481=재고내역!$F$13,출고요청서_raw!G481*8)))))</f>
        <v>8</v>
      </c>
      <c r="Z481" s="56">
        <f>W481*재고내역!$M$6</f>
        <v>61496</v>
      </c>
      <c r="AA481" s="56">
        <f t="shared" si="58"/>
        <v>4550</v>
      </c>
      <c r="AB481" s="56">
        <f t="shared" si="55"/>
        <v>16681.272727272721</v>
      </c>
      <c r="AC481" s="376">
        <f t="shared" si="56"/>
        <v>0.20164175824175817</v>
      </c>
    </row>
    <row r="482" spans="1:29" ht="15.75" customHeight="1">
      <c r="A482" s="430" t="s">
        <v>2585</v>
      </c>
      <c r="B482" s="430" t="s">
        <v>2586</v>
      </c>
      <c r="E482" s="430">
        <v>35244</v>
      </c>
      <c r="F482" s="430" t="s">
        <v>2587</v>
      </c>
      <c r="G482" s="371">
        <v>1</v>
      </c>
      <c r="H482" s="54" t="s">
        <v>73</v>
      </c>
      <c r="L482" s="351" t="s">
        <v>2306</v>
      </c>
      <c r="M482" s="351">
        <v>2.0260207103343201E+18</v>
      </c>
      <c r="N482" s="351">
        <v>143790</v>
      </c>
      <c r="O482" s="351" t="s">
        <v>2588</v>
      </c>
      <c r="P482" s="57" t="s">
        <v>41</v>
      </c>
      <c r="Q482" s="73">
        <v>46062</v>
      </c>
      <c r="R482" s="59" t="s">
        <v>41</v>
      </c>
      <c r="S482" s="359">
        <v>45500</v>
      </c>
      <c r="T482" s="56" t="str">
        <f t="shared" si="54"/>
        <v>0</v>
      </c>
      <c r="U482" s="359">
        <v>45500</v>
      </c>
      <c r="V482" s="360">
        <f t="shared" si="57"/>
        <v>41363.63636363636</v>
      </c>
      <c r="W482" s="65">
        <f>IF(H482=재고내역!$F$9,출고요청서_raw!G482*1,IF(H482=재고내역!$F$10,출고요청서_raw!G482*2,IF(출고요청서_raw!H482=재고내역!$F$11,출고요청서_raw!G482*4,IF(출고요청서_raw!H482=재고내역!$F$12,출고요청서_raw!G482*6,IF(출고요청서_raw!H482=재고내역!$F$13,출고요청서_raw!G482*8)))))</f>
        <v>4</v>
      </c>
      <c r="Z482" s="56">
        <f>W482*재고내역!$M$6</f>
        <v>30748</v>
      </c>
      <c r="AA482" s="56">
        <f t="shared" si="58"/>
        <v>4550</v>
      </c>
      <c r="AB482" s="56">
        <f t="shared" si="55"/>
        <v>6065.6363636363603</v>
      </c>
      <c r="AC482" s="376">
        <f t="shared" si="56"/>
        <v>0.14664175824175818</v>
      </c>
    </row>
    <row r="483" spans="1:29" ht="15.75" customHeight="1">
      <c r="A483" s="430" t="s">
        <v>2589</v>
      </c>
      <c r="B483" s="430" t="s">
        <v>2590</v>
      </c>
      <c r="E483" s="430">
        <v>62247</v>
      </c>
      <c r="F483" s="430" t="s">
        <v>2591</v>
      </c>
      <c r="G483" s="371">
        <v>2</v>
      </c>
      <c r="H483" s="54" t="s">
        <v>73</v>
      </c>
      <c r="L483" s="351" t="s">
        <v>2306</v>
      </c>
      <c r="M483" s="351">
        <v>2.02602071031199E+18</v>
      </c>
      <c r="N483" s="351">
        <v>143790</v>
      </c>
      <c r="O483" s="351" t="s">
        <v>2592</v>
      </c>
      <c r="P483" s="57" t="s">
        <v>41</v>
      </c>
      <c r="Q483" s="73">
        <v>46062</v>
      </c>
      <c r="R483" s="59" t="s">
        <v>41</v>
      </c>
      <c r="S483" s="359">
        <v>91000</v>
      </c>
      <c r="T483" s="56" t="str">
        <f t="shared" si="54"/>
        <v>0</v>
      </c>
      <c r="U483" s="359">
        <v>91000</v>
      </c>
      <c r="V483" s="360">
        <f t="shared" si="57"/>
        <v>82727.272727272721</v>
      </c>
      <c r="W483" s="65">
        <f>IF(H483=재고내역!$F$9,출고요청서_raw!G483*1,IF(H483=재고내역!$F$10,출고요청서_raw!G483*2,IF(출고요청서_raw!H483=재고내역!$F$11,출고요청서_raw!G483*4,IF(출고요청서_raw!H483=재고내역!$F$12,출고요청서_raw!G483*6,IF(출고요청서_raw!H483=재고내역!$F$13,출고요청서_raw!G483*8)))))</f>
        <v>8</v>
      </c>
      <c r="Z483" s="56">
        <f>W483*재고내역!$M$6</f>
        <v>61496</v>
      </c>
      <c r="AA483" s="56">
        <f t="shared" si="58"/>
        <v>4550</v>
      </c>
      <c r="AB483" s="56">
        <f t="shared" si="55"/>
        <v>16681.272727272721</v>
      </c>
      <c r="AC483" s="376">
        <f t="shared" si="56"/>
        <v>0.20164175824175817</v>
      </c>
    </row>
    <row r="484" spans="1:29" ht="15.75" customHeight="1">
      <c r="A484" s="430" t="s">
        <v>2593</v>
      </c>
      <c r="B484" s="430" t="s">
        <v>2594</v>
      </c>
      <c r="E484" s="430">
        <v>38814</v>
      </c>
      <c r="F484" s="430" t="s">
        <v>2595</v>
      </c>
      <c r="G484" s="371">
        <v>2</v>
      </c>
      <c r="H484" s="54" t="s">
        <v>73</v>
      </c>
      <c r="L484" s="351" t="s">
        <v>2306</v>
      </c>
      <c r="M484" s="351">
        <v>2.0260207100626601E+18</v>
      </c>
      <c r="N484" s="351">
        <v>143790</v>
      </c>
      <c r="O484" s="351" t="s">
        <v>2596</v>
      </c>
      <c r="P484" s="57" t="s">
        <v>41</v>
      </c>
      <c r="Q484" s="73">
        <v>46062</v>
      </c>
      <c r="R484" s="59" t="s">
        <v>41</v>
      </c>
      <c r="S484" s="359">
        <v>91000</v>
      </c>
      <c r="T484" s="56" t="str">
        <f t="shared" si="54"/>
        <v>0</v>
      </c>
      <c r="U484" s="359">
        <v>91000</v>
      </c>
      <c r="V484" s="360">
        <f t="shared" si="57"/>
        <v>82727.272727272721</v>
      </c>
      <c r="W484" s="65">
        <f>IF(H484=재고내역!$F$9,출고요청서_raw!G484*1,IF(H484=재고내역!$F$10,출고요청서_raw!G484*2,IF(출고요청서_raw!H484=재고내역!$F$11,출고요청서_raw!G484*4,IF(출고요청서_raw!H484=재고내역!$F$12,출고요청서_raw!G484*6,IF(출고요청서_raw!H484=재고내역!$F$13,출고요청서_raw!G484*8)))))</f>
        <v>8</v>
      </c>
      <c r="Z484" s="56">
        <f>W484*재고내역!$M$6</f>
        <v>61496</v>
      </c>
      <c r="AA484" s="56">
        <f t="shared" si="58"/>
        <v>4550</v>
      </c>
      <c r="AB484" s="56">
        <f t="shared" si="55"/>
        <v>16681.272727272721</v>
      </c>
      <c r="AC484" s="376">
        <f t="shared" si="56"/>
        <v>0.20164175824175817</v>
      </c>
    </row>
    <row r="485" spans="1:29" ht="15.75" customHeight="1">
      <c r="A485" s="430" t="s">
        <v>2597</v>
      </c>
      <c r="B485" s="430" t="s">
        <v>2598</v>
      </c>
      <c r="E485" s="430">
        <v>13833</v>
      </c>
      <c r="F485" s="430" t="s">
        <v>2599</v>
      </c>
      <c r="G485" s="371">
        <v>1</v>
      </c>
      <c r="H485" s="54" t="s">
        <v>73</v>
      </c>
      <c r="L485" s="351" t="s">
        <v>2306</v>
      </c>
      <c r="M485" s="351">
        <v>2.0260207094224499E+18</v>
      </c>
      <c r="N485" s="351">
        <v>143790</v>
      </c>
      <c r="O485" s="351" t="s">
        <v>2600</v>
      </c>
      <c r="P485" s="57" t="s">
        <v>41</v>
      </c>
      <c r="Q485" s="73">
        <v>46062</v>
      </c>
      <c r="R485" s="59" t="s">
        <v>41</v>
      </c>
      <c r="S485" s="359">
        <v>45500</v>
      </c>
      <c r="T485" s="56" t="str">
        <f t="shared" si="54"/>
        <v>0</v>
      </c>
      <c r="U485" s="359">
        <v>45500</v>
      </c>
      <c r="V485" s="360">
        <f t="shared" si="57"/>
        <v>41363.63636363636</v>
      </c>
      <c r="W485" s="65">
        <f>IF(H485=재고내역!$F$9,출고요청서_raw!G485*1,IF(H485=재고내역!$F$10,출고요청서_raw!G485*2,IF(출고요청서_raw!H485=재고내역!$F$11,출고요청서_raw!G485*4,IF(출고요청서_raw!H485=재고내역!$F$12,출고요청서_raw!G485*6,IF(출고요청서_raw!H485=재고내역!$F$13,출고요청서_raw!G485*8)))))</f>
        <v>4</v>
      </c>
      <c r="Z485" s="56">
        <f>W485*재고내역!$M$6</f>
        <v>30748</v>
      </c>
      <c r="AA485" s="56">
        <f t="shared" si="58"/>
        <v>4550</v>
      </c>
      <c r="AB485" s="56">
        <f t="shared" si="55"/>
        <v>6065.6363636363603</v>
      </c>
      <c r="AC485" s="376">
        <f t="shared" si="56"/>
        <v>0.14664175824175818</v>
      </c>
    </row>
    <row r="486" spans="1:29" ht="15.75" customHeight="1">
      <c r="A486" s="430" t="s">
        <v>2601</v>
      </c>
      <c r="B486" s="430" t="s">
        <v>2602</v>
      </c>
      <c r="E486" s="430">
        <v>10126</v>
      </c>
      <c r="F486" s="430" t="s">
        <v>2603</v>
      </c>
      <c r="G486" s="371">
        <v>1</v>
      </c>
      <c r="H486" s="54" t="s">
        <v>73</v>
      </c>
      <c r="L486" s="351" t="s">
        <v>2306</v>
      </c>
      <c r="M486" s="351">
        <v>2.0260207092644101E+18</v>
      </c>
      <c r="N486" s="351">
        <v>143790</v>
      </c>
      <c r="O486" s="351" t="s">
        <v>2604</v>
      </c>
      <c r="P486" s="57" t="s">
        <v>41</v>
      </c>
      <c r="Q486" s="73">
        <v>46062</v>
      </c>
      <c r="R486" s="59" t="s">
        <v>41</v>
      </c>
      <c r="S486" s="359">
        <v>45500</v>
      </c>
      <c r="T486" s="56" t="str">
        <f t="shared" si="54"/>
        <v>0</v>
      </c>
      <c r="U486" s="359">
        <v>45500</v>
      </c>
      <c r="V486" s="360">
        <f t="shared" si="57"/>
        <v>41363.63636363636</v>
      </c>
      <c r="W486" s="65">
        <f>IF(H486=재고내역!$F$9,출고요청서_raw!G486*1,IF(H486=재고내역!$F$10,출고요청서_raw!G486*2,IF(출고요청서_raw!H486=재고내역!$F$11,출고요청서_raw!G486*4,IF(출고요청서_raw!H486=재고내역!$F$12,출고요청서_raw!G486*6,IF(출고요청서_raw!H486=재고내역!$F$13,출고요청서_raw!G486*8)))))</f>
        <v>4</v>
      </c>
      <c r="Z486" s="56">
        <f>W486*재고내역!$M$6</f>
        <v>30748</v>
      </c>
      <c r="AA486" s="56">
        <f t="shared" si="58"/>
        <v>4550</v>
      </c>
      <c r="AB486" s="56">
        <f t="shared" si="55"/>
        <v>6065.6363636363603</v>
      </c>
      <c r="AC486" s="376">
        <f t="shared" si="56"/>
        <v>0.14664175824175818</v>
      </c>
    </row>
    <row r="487" spans="1:29" ht="15.75" customHeight="1">
      <c r="A487" s="430" t="s">
        <v>2605</v>
      </c>
      <c r="B487" s="430" t="s">
        <v>2606</v>
      </c>
      <c r="E487" s="430">
        <v>6592</v>
      </c>
      <c r="F487" s="430" t="s">
        <v>2607</v>
      </c>
      <c r="G487" s="371">
        <v>1</v>
      </c>
      <c r="H487" s="54" t="s">
        <v>73</v>
      </c>
      <c r="L487" s="351" t="s">
        <v>2306</v>
      </c>
      <c r="M487" s="351">
        <v>2.0260207085223601E+18</v>
      </c>
      <c r="N487" s="351">
        <v>143790</v>
      </c>
      <c r="O487" s="351" t="s">
        <v>2608</v>
      </c>
      <c r="P487" s="57" t="s">
        <v>41</v>
      </c>
      <c r="Q487" s="73">
        <v>46062</v>
      </c>
      <c r="R487" s="59" t="s">
        <v>41</v>
      </c>
      <c r="S487" s="359">
        <v>45500</v>
      </c>
      <c r="T487" s="56" t="str">
        <f t="shared" si="54"/>
        <v>0</v>
      </c>
      <c r="U487" s="359">
        <v>45500</v>
      </c>
      <c r="V487" s="360">
        <f t="shared" si="57"/>
        <v>41363.63636363636</v>
      </c>
      <c r="W487" s="65">
        <f>IF(H487=재고내역!$F$9,출고요청서_raw!G487*1,IF(H487=재고내역!$F$10,출고요청서_raw!G487*2,IF(출고요청서_raw!H487=재고내역!$F$11,출고요청서_raw!G487*4,IF(출고요청서_raw!H487=재고내역!$F$12,출고요청서_raw!G487*6,IF(출고요청서_raw!H487=재고내역!$F$13,출고요청서_raw!G487*8)))))</f>
        <v>4</v>
      </c>
      <c r="Z487" s="56">
        <f>W487*재고내역!$M$6</f>
        <v>30748</v>
      </c>
      <c r="AA487" s="56">
        <f t="shared" si="58"/>
        <v>4550</v>
      </c>
      <c r="AB487" s="56">
        <f t="shared" si="55"/>
        <v>6065.6363636363603</v>
      </c>
      <c r="AC487" s="376">
        <f t="shared" si="56"/>
        <v>0.14664175824175818</v>
      </c>
    </row>
    <row r="488" spans="1:29" ht="15.75" customHeight="1">
      <c r="A488" s="430" t="s">
        <v>2609</v>
      </c>
      <c r="B488" s="430" t="s">
        <v>2610</v>
      </c>
      <c r="E488" s="430">
        <v>62012</v>
      </c>
      <c r="F488" s="430" t="s">
        <v>2611</v>
      </c>
      <c r="G488" s="371">
        <v>1</v>
      </c>
      <c r="H488" s="54" t="s">
        <v>73</v>
      </c>
      <c r="L488" s="351" t="s">
        <v>2306</v>
      </c>
      <c r="M488" s="351">
        <v>2.02602070839246E+18</v>
      </c>
      <c r="N488" s="351">
        <v>143790</v>
      </c>
      <c r="O488" s="351" t="s">
        <v>2612</v>
      </c>
      <c r="P488" s="57" t="s">
        <v>41</v>
      </c>
      <c r="Q488" s="73">
        <v>46062</v>
      </c>
      <c r="R488" s="59" t="s">
        <v>41</v>
      </c>
      <c r="S488" s="359">
        <v>45500</v>
      </c>
      <c r="T488" s="56" t="str">
        <f t="shared" si="54"/>
        <v>0</v>
      </c>
      <c r="U488" s="359">
        <v>45500</v>
      </c>
      <c r="V488" s="360">
        <f t="shared" si="57"/>
        <v>41363.63636363636</v>
      </c>
      <c r="W488" s="65">
        <f>IF(H488=재고내역!$F$9,출고요청서_raw!G488*1,IF(H488=재고내역!$F$10,출고요청서_raw!G488*2,IF(출고요청서_raw!H488=재고내역!$F$11,출고요청서_raw!G488*4,IF(출고요청서_raw!H488=재고내역!$F$12,출고요청서_raw!G488*6,IF(출고요청서_raw!H488=재고내역!$F$13,출고요청서_raw!G488*8)))))</f>
        <v>4</v>
      </c>
      <c r="Z488" s="56">
        <f>W488*재고내역!$M$6</f>
        <v>30748</v>
      </c>
      <c r="AA488" s="56">
        <f t="shared" si="58"/>
        <v>4550</v>
      </c>
      <c r="AB488" s="56">
        <f t="shared" si="55"/>
        <v>6065.6363636363603</v>
      </c>
      <c r="AC488" s="376">
        <f t="shared" si="56"/>
        <v>0.14664175824175818</v>
      </c>
    </row>
    <row r="489" spans="1:29" ht="15.75" customHeight="1">
      <c r="A489" s="430" t="s">
        <v>2613</v>
      </c>
      <c r="B489" s="430" t="s">
        <v>2614</v>
      </c>
      <c r="E489" s="430">
        <v>47849</v>
      </c>
      <c r="F489" s="430" t="s">
        <v>2615</v>
      </c>
      <c r="G489" s="371">
        <v>2</v>
      </c>
      <c r="H489" s="54" t="s">
        <v>73</v>
      </c>
      <c r="L489" s="351" t="s">
        <v>2616</v>
      </c>
      <c r="M489" s="351">
        <v>2.0260207082640499E+18</v>
      </c>
      <c r="N489" s="351">
        <v>143790</v>
      </c>
      <c r="O489" s="351" t="s">
        <v>2617</v>
      </c>
      <c r="P489" s="57" t="s">
        <v>41</v>
      </c>
      <c r="Q489" s="73">
        <v>46062</v>
      </c>
      <c r="R489" s="59" t="s">
        <v>41</v>
      </c>
      <c r="S489" s="359">
        <v>91000</v>
      </c>
      <c r="T489" s="56" t="str">
        <f t="shared" si="54"/>
        <v>0</v>
      </c>
      <c r="U489" s="359">
        <v>91000</v>
      </c>
      <c r="V489" s="360">
        <f t="shared" si="57"/>
        <v>82727.272727272721</v>
      </c>
      <c r="W489" s="65">
        <f>IF(H489=재고내역!$F$9,출고요청서_raw!G489*1,IF(H489=재고내역!$F$10,출고요청서_raw!G489*2,IF(출고요청서_raw!H489=재고내역!$F$11,출고요청서_raw!G489*4,IF(출고요청서_raw!H489=재고내역!$F$12,출고요청서_raw!G489*6,IF(출고요청서_raw!H489=재고내역!$F$13,출고요청서_raw!G489*8)))))</f>
        <v>8</v>
      </c>
      <c r="Z489" s="56">
        <f>W489*재고내역!$M$6</f>
        <v>61496</v>
      </c>
      <c r="AA489" s="56">
        <f t="shared" si="58"/>
        <v>4550</v>
      </c>
      <c r="AB489" s="56">
        <f t="shared" si="55"/>
        <v>16681.272727272721</v>
      </c>
      <c r="AC489" s="376">
        <f t="shared" si="56"/>
        <v>0.20164175824175817</v>
      </c>
    </row>
    <row r="490" spans="1:29" ht="15.75" customHeight="1">
      <c r="A490" s="430" t="s">
        <v>2618</v>
      </c>
      <c r="B490" s="430" t="s">
        <v>2619</v>
      </c>
      <c r="E490" s="430">
        <v>41438</v>
      </c>
      <c r="F490" s="430" t="s">
        <v>2620</v>
      </c>
      <c r="G490" s="371">
        <v>1</v>
      </c>
      <c r="H490" s="54" t="s">
        <v>73</v>
      </c>
      <c r="L490" s="351" t="s">
        <v>2306</v>
      </c>
      <c r="M490" s="351">
        <v>2.02602070822499E+18</v>
      </c>
      <c r="N490" s="351">
        <v>143790</v>
      </c>
      <c r="O490" s="351" t="s">
        <v>2621</v>
      </c>
      <c r="P490" s="57" t="s">
        <v>41</v>
      </c>
      <c r="Q490" s="73">
        <v>46062</v>
      </c>
      <c r="R490" s="59" t="s">
        <v>41</v>
      </c>
      <c r="S490" s="359">
        <v>45500</v>
      </c>
      <c r="T490" s="56" t="str">
        <f t="shared" si="54"/>
        <v>0</v>
      </c>
      <c r="U490" s="359">
        <v>45500</v>
      </c>
      <c r="V490" s="360">
        <f t="shared" si="57"/>
        <v>41363.63636363636</v>
      </c>
      <c r="W490" s="65">
        <f>IF(H490=재고내역!$F$9,출고요청서_raw!G490*1,IF(H490=재고내역!$F$10,출고요청서_raw!G490*2,IF(출고요청서_raw!H490=재고내역!$F$11,출고요청서_raw!G490*4,IF(출고요청서_raw!H490=재고내역!$F$12,출고요청서_raw!G490*6,IF(출고요청서_raw!H490=재고내역!$F$13,출고요청서_raw!G490*8)))))</f>
        <v>4</v>
      </c>
      <c r="Z490" s="56">
        <f>W490*재고내역!$M$6</f>
        <v>30748</v>
      </c>
      <c r="AA490" s="56">
        <f t="shared" si="58"/>
        <v>4550</v>
      </c>
      <c r="AB490" s="56">
        <f t="shared" si="55"/>
        <v>6065.6363636363603</v>
      </c>
      <c r="AC490" s="376">
        <f t="shared" si="56"/>
        <v>0.14664175824175818</v>
      </c>
    </row>
    <row r="491" spans="1:29" ht="15.75" customHeight="1">
      <c r="A491" s="430" t="s">
        <v>2622</v>
      </c>
      <c r="B491" s="430" t="s">
        <v>2623</v>
      </c>
      <c r="E491" s="430">
        <v>7301</v>
      </c>
      <c r="F491" s="430" t="s">
        <v>2624</v>
      </c>
      <c r="G491" s="371">
        <v>1</v>
      </c>
      <c r="H491" s="54" t="s">
        <v>73</v>
      </c>
      <c r="L491" s="351" t="s">
        <v>2306</v>
      </c>
      <c r="M491" s="351">
        <v>2.02602070805235E+18</v>
      </c>
      <c r="N491" s="351">
        <v>143790</v>
      </c>
      <c r="O491" s="351" t="s">
        <v>2625</v>
      </c>
      <c r="P491" s="57" t="s">
        <v>41</v>
      </c>
      <c r="Q491" s="73">
        <v>46062</v>
      </c>
      <c r="R491" s="59" t="s">
        <v>41</v>
      </c>
      <c r="S491" s="359">
        <v>45500</v>
      </c>
      <c r="T491" s="56" t="str">
        <f t="shared" si="54"/>
        <v>0</v>
      </c>
      <c r="U491" s="359">
        <v>45500</v>
      </c>
      <c r="V491" s="360">
        <f t="shared" si="57"/>
        <v>41363.63636363636</v>
      </c>
      <c r="W491" s="65">
        <f>IF(H491=재고내역!$F$9,출고요청서_raw!G491*1,IF(H491=재고내역!$F$10,출고요청서_raw!G491*2,IF(출고요청서_raw!H491=재고내역!$F$11,출고요청서_raw!G491*4,IF(출고요청서_raw!H491=재고내역!$F$12,출고요청서_raw!G491*6,IF(출고요청서_raw!H491=재고내역!$F$13,출고요청서_raw!G491*8)))))</f>
        <v>4</v>
      </c>
      <c r="Z491" s="56">
        <f>W491*재고내역!$M$6</f>
        <v>30748</v>
      </c>
      <c r="AA491" s="56">
        <f t="shared" si="58"/>
        <v>4550</v>
      </c>
      <c r="AB491" s="56">
        <f t="shared" si="55"/>
        <v>6065.6363636363603</v>
      </c>
      <c r="AC491" s="376">
        <f t="shared" si="56"/>
        <v>0.14664175824175818</v>
      </c>
    </row>
    <row r="492" spans="1:29" ht="15.75" customHeight="1">
      <c r="A492" s="430" t="s">
        <v>2626</v>
      </c>
      <c r="B492" s="430" t="s">
        <v>2627</v>
      </c>
      <c r="E492" s="430">
        <v>13568</v>
      </c>
      <c r="F492" s="430" t="s">
        <v>2628</v>
      </c>
      <c r="G492" s="371">
        <v>2</v>
      </c>
      <c r="H492" s="54" t="s">
        <v>73</v>
      </c>
      <c r="L492" s="351" t="s">
        <v>2306</v>
      </c>
      <c r="M492" s="351">
        <v>2.0260207080237499E+18</v>
      </c>
      <c r="N492" s="351">
        <v>143790</v>
      </c>
      <c r="O492" s="351" t="s">
        <v>2629</v>
      </c>
      <c r="P492" s="57" t="s">
        <v>41</v>
      </c>
      <c r="Q492" s="73">
        <v>46062</v>
      </c>
      <c r="R492" s="59" t="s">
        <v>41</v>
      </c>
      <c r="S492" s="359">
        <v>91000</v>
      </c>
      <c r="T492" s="56" t="str">
        <f t="shared" si="54"/>
        <v>0</v>
      </c>
      <c r="U492" s="359">
        <v>91000</v>
      </c>
      <c r="V492" s="360">
        <f t="shared" si="57"/>
        <v>82727.272727272721</v>
      </c>
      <c r="W492" s="65">
        <f>IF(H492=재고내역!$F$9,출고요청서_raw!G492*1,IF(H492=재고내역!$F$10,출고요청서_raw!G492*2,IF(출고요청서_raw!H492=재고내역!$F$11,출고요청서_raw!G492*4,IF(출고요청서_raw!H492=재고내역!$F$12,출고요청서_raw!G492*6,IF(출고요청서_raw!H492=재고내역!$F$13,출고요청서_raw!G492*8)))))</f>
        <v>8</v>
      </c>
      <c r="Z492" s="56">
        <f>W492*재고내역!$M$6</f>
        <v>61496</v>
      </c>
      <c r="AA492" s="56">
        <f t="shared" si="58"/>
        <v>4550</v>
      </c>
      <c r="AB492" s="56">
        <f t="shared" si="55"/>
        <v>16681.272727272721</v>
      </c>
      <c r="AC492" s="376">
        <f t="shared" si="56"/>
        <v>0.20164175824175817</v>
      </c>
    </row>
    <row r="493" spans="1:29" ht="15.75" customHeight="1">
      <c r="A493" s="430" t="s">
        <v>2630</v>
      </c>
      <c r="B493" s="430" t="s">
        <v>2631</v>
      </c>
      <c r="E493" s="430">
        <v>17578</v>
      </c>
      <c r="F493" s="430" t="s">
        <v>2632</v>
      </c>
      <c r="G493" s="371">
        <v>2</v>
      </c>
      <c r="H493" s="54" t="s">
        <v>73</v>
      </c>
      <c r="L493" s="351" t="s">
        <v>2306</v>
      </c>
      <c r="M493" s="351">
        <v>2.02602070756223E+18</v>
      </c>
      <c r="N493" s="351">
        <v>143790</v>
      </c>
      <c r="O493" s="351" t="s">
        <v>2633</v>
      </c>
      <c r="P493" s="57" t="s">
        <v>41</v>
      </c>
      <c r="Q493" s="73">
        <v>46062</v>
      </c>
      <c r="R493" s="59" t="s">
        <v>41</v>
      </c>
      <c r="S493" s="359">
        <v>91000</v>
      </c>
      <c r="T493" s="56" t="str">
        <f t="shared" si="54"/>
        <v>0</v>
      </c>
      <c r="U493" s="359">
        <v>91000</v>
      </c>
      <c r="V493" s="360">
        <f t="shared" si="57"/>
        <v>82727.272727272721</v>
      </c>
      <c r="W493" s="65">
        <f>IF(H493=재고내역!$F$9,출고요청서_raw!G493*1,IF(H493=재고내역!$F$10,출고요청서_raw!G493*2,IF(출고요청서_raw!H493=재고내역!$F$11,출고요청서_raw!G493*4,IF(출고요청서_raw!H493=재고내역!$F$12,출고요청서_raw!G493*6,IF(출고요청서_raw!H493=재고내역!$F$13,출고요청서_raw!G493*8)))))</f>
        <v>8</v>
      </c>
      <c r="Z493" s="56">
        <f>W493*재고내역!$M$6</f>
        <v>61496</v>
      </c>
      <c r="AA493" s="56">
        <f t="shared" si="58"/>
        <v>4550</v>
      </c>
      <c r="AB493" s="56">
        <f t="shared" si="55"/>
        <v>16681.272727272721</v>
      </c>
      <c r="AC493" s="376">
        <f t="shared" si="56"/>
        <v>0.20164175824175817</v>
      </c>
    </row>
    <row r="494" spans="1:29" ht="15.75" customHeight="1">
      <c r="A494" s="430" t="s">
        <v>2634</v>
      </c>
      <c r="B494" s="430" t="s">
        <v>2635</v>
      </c>
      <c r="E494" s="430">
        <v>7357</v>
      </c>
      <c r="F494" s="430" t="s">
        <v>2636</v>
      </c>
      <c r="G494" s="371">
        <v>1</v>
      </c>
      <c r="H494" s="54" t="s">
        <v>73</v>
      </c>
      <c r="L494" s="351" t="s">
        <v>2637</v>
      </c>
      <c r="M494" s="351">
        <v>2.0260207070451899E+18</v>
      </c>
      <c r="N494" s="351">
        <v>143790</v>
      </c>
      <c r="O494" s="351" t="s">
        <v>2638</v>
      </c>
      <c r="P494" s="57" t="s">
        <v>41</v>
      </c>
      <c r="Q494" s="73">
        <v>46062</v>
      </c>
      <c r="R494" s="59" t="s">
        <v>41</v>
      </c>
      <c r="S494" s="359">
        <v>45500</v>
      </c>
      <c r="T494" s="56" t="str">
        <f t="shared" si="54"/>
        <v>0</v>
      </c>
      <c r="U494" s="359">
        <v>45500</v>
      </c>
      <c r="V494" s="360">
        <f t="shared" si="57"/>
        <v>41363.63636363636</v>
      </c>
      <c r="W494" s="65">
        <f>IF(H494=재고내역!$F$9,출고요청서_raw!G494*1,IF(H494=재고내역!$F$10,출고요청서_raw!G494*2,IF(출고요청서_raw!H494=재고내역!$F$11,출고요청서_raw!G494*4,IF(출고요청서_raw!H494=재고내역!$F$12,출고요청서_raw!G494*6,IF(출고요청서_raw!H494=재고내역!$F$13,출고요청서_raw!G494*8)))))</f>
        <v>4</v>
      </c>
      <c r="Z494" s="56">
        <f>W494*재고내역!$M$6</f>
        <v>30748</v>
      </c>
      <c r="AA494" s="56">
        <f t="shared" si="58"/>
        <v>4550</v>
      </c>
      <c r="AB494" s="56">
        <f t="shared" si="55"/>
        <v>6065.6363636363603</v>
      </c>
      <c r="AC494" s="376">
        <f t="shared" si="56"/>
        <v>0.14664175824175818</v>
      </c>
    </row>
    <row r="495" spans="1:29" ht="15.75" customHeight="1">
      <c r="A495" s="430" t="s">
        <v>2639</v>
      </c>
      <c r="B495" s="430" t="s">
        <v>2640</v>
      </c>
      <c r="E495" s="430">
        <v>1090</v>
      </c>
      <c r="F495" s="430" t="s">
        <v>2641</v>
      </c>
      <c r="G495" s="371">
        <v>1</v>
      </c>
      <c r="H495" s="54" t="s">
        <v>73</v>
      </c>
      <c r="L495" s="351" t="s">
        <v>2642</v>
      </c>
      <c r="M495" s="351">
        <v>2.0260207031306299E+18</v>
      </c>
      <c r="N495" s="351">
        <v>143790</v>
      </c>
      <c r="O495" s="351" t="s">
        <v>2643</v>
      </c>
      <c r="P495" s="57" t="s">
        <v>41</v>
      </c>
      <c r="Q495" s="73">
        <v>46062</v>
      </c>
      <c r="R495" s="59" t="s">
        <v>41</v>
      </c>
      <c r="S495" s="359">
        <v>45500</v>
      </c>
      <c r="T495" s="56" t="str">
        <f t="shared" si="54"/>
        <v>0</v>
      </c>
      <c r="U495" s="359">
        <v>45500</v>
      </c>
      <c r="V495" s="360">
        <f t="shared" si="57"/>
        <v>41363.63636363636</v>
      </c>
      <c r="W495" s="65">
        <f>IF(H495=재고내역!$F$9,출고요청서_raw!G495*1,IF(H495=재고내역!$F$10,출고요청서_raw!G495*2,IF(출고요청서_raw!H495=재고내역!$F$11,출고요청서_raw!G495*4,IF(출고요청서_raw!H495=재고내역!$F$12,출고요청서_raw!G495*6,IF(출고요청서_raw!H495=재고내역!$F$13,출고요청서_raw!G495*8)))))</f>
        <v>4</v>
      </c>
      <c r="Z495" s="56">
        <f>W495*재고내역!$M$6</f>
        <v>30748</v>
      </c>
      <c r="AA495" s="56">
        <f t="shared" si="58"/>
        <v>4550</v>
      </c>
      <c r="AB495" s="56">
        <f t="shared" si="55"/>
        <v>6065.6363636363603</v>
      </c>
      <c r="AC495" s="376">
        <f t="shared" si="56"/>
        <v>0.14664175824175818</v>
      </c>
    </row>
    <row r="496" spans="1:29" ht="15.75" customHeight="1">
      <c r="A496" s="430" t="s">
        <v>2644</v>
      </c>
      <c r="B496" s="430" t="s">
        <v>2645</v>
      </c>
      <c r="E496" s="430">
        <v>4155</v>
      </c>
      <c r="F496" s="430" t="s">
        <v>2646</v>
      </c>
      <c r="G496" s="371">
        <v>1</v>
      </c>
      <c r="H496" s="54" t="s">
        <v>73</v>
      </c>
      <c r="L496" s="351" t="s">
        <v>2306</v>
      </c>
      <c r="M496" s="351">
        <v>2.0260207021143199E+18</v>
      </c>
      <c r="N496" s="351">
        <v>143790</v>
      </c>
      <c r="O496" s="351" t="s">
        <v>2647</v>
      </c>
      <c r="P496" s="57" t="s">
        <v>41</v>
      </c>
      <c r="Q496" s="73">
        <v>46062</v>
      </c>
      <c r="R496" s="59" t="s">
        <v>41</v>
      </c>
      <c r="S496" s="359">
        <v>45500</v>
      </c>
      <c r="T496" s="56" t="str">
        <f t="shared" si="54"/>
        <v>0</v>
      </c>
      <c r="U496" s="359">
        <v>45500</v>
      </c>
      <c r="V496" s="360">
        <f t="shared" si="57"/>
        <v>41363.63636363636</v>
      </c>
      <c r="W496" s="65">
        <f>IF(H496=재고내역!$F$9,출고요청서_raw!G496*1,IF(H496=재고내역!$F$10,출고요청서_raw!G496*2,IF(출고요청서_raw!H496=재고내역!$F$11,출고요청서_raw!G496*4,IF(출고요청서_raw!H496=재고내역!$F$12,출고요청서_raw!G496*6,IF(출고요청서_raw!H496=재고내역!$F$13,출고요청서_raw!G496*8)))))</f>
        <v>4</v>
      </c>
      <c r="Z496" s="56">
        <f>W496*재고내역!$M$6</f>
        <v>30748</v>
      </c>
      <c r="AA496" s="56">
        <f t="shared" si="58"/>
        <v>4550</v>
      </c>
      <c r="AB496" s="56">
        <f t="shared" si="55"/>
        <v>6065.6363636363603</v>
      </c>
      <c r="AC496" s="376">
        <f t="shared" si="56"/>
        <v>0.14664175824175818</v>
      </c>
    </row>
    <row r="497" spans="1:29" ht="15.75" customHeight="1">
      <c r="A497" s="430" t="s">
        <v>2648</v>
      </c>
      <c r="B497" s="430" t="s">
        <v>2649</v>
      </c>
      <c r="E497" s="430">
        <v>2020</v>
      </c>
      <c r="F497" s="430" t="s">
        <v>2650</v>
      </c>
      <c r="G497" s="371">
        <v>1</v>
      </c>
      <c r="H497" s="54" t="s">
        <v>73</v>
      </c>
      <c r="L497" s="351" t="s">
        <v>2651</v>
      </c>
      <c r="M497" s="351">
        <v>2.0260207010353001E+18</v>
      </c>
      <c r="N497" s="351">
        <v>143790</v>
      </c>
      <c r="O497" s="351" t="s">
        <v>2652</v>
      </c>
      <c r="P497" s="57" t="s">
        <v>41</v>
      </c>
      <c r="Q497" s="73">
        <v>46062</v>
      </c>
      <c r="R497" s="59" t="s">
        <v>41</v>
      </c>
      <c r="S497" s="359">
        <v>45500</v>
      </c>
      <c r="T497" s="56" t="str">
        <f t="shared" si="54"/>
        <v>0</v>
      </c>
      <c r="U497" s="359">
        <v>45500</v>
      </c>
      <c r="V497" s="360">
        <f t="shared" si="57"/>
        <v>41363.63636363636</v>
      </c>
      <c r="W497" s="65">
        <f>IF(H497=재고내역!$F$9,출고요청서_raw!G497*1,IF(H497=재고내역!$F$10,출고요청서_raw!G497*2,IF(출고요청서_raw!H497=재고내역!$F$11,출고요청서_raw!G497*4,IF(출고요청서_raw!H497=재고내역!$F$12,출고요청서_raw!G497*6,IF(출고요청서_raw!H497=재고내역!$F$13,출고요청서_raw!G497*8)))))</f>
        <v>4</v>
      </c>
      <c r="Z497" s="56">
        <f>W497*재고내역!$M$6</f>
        <v>30748</v>
      </c>
      <c r="AA497" s="56">
        <f t="shared" si="58"/>
        <v>4550</v>
      </c>
      <c r="AB497" s="56">
        <f t="shared" si="55"/>
        <v>6065.6363636363603</v>
      </c>
      <c r="AC497" s="376">
        <f t="shared" si="56"/>
        <v>0.14664175824175818</v>
      </c>
    </row>
    <row r="498" spans="1:29" ht="15.75" customHeight="1">
      <c r="A498" s="430" t="s">
        <v>2653</v>
      </c>
      <c r="B498" s="430" t="s">
        <v>2654</v>
      </c>
      <c r="E498" s="430">
        <v>52855</v>
      </c>
      <c r="F498" s="430" t="s">
        <v>2655</v>
      </c>
      <c r="G498" s="371">
        <v>1</v>
      </c>
      <c r="H498" s="54" t="s">
        <v>73</v>
      </c>
      <c r="L498" s="351" t="s">
        <v>2306</v>
      </c>
      <c r="M498" s="351">
        <v>2.0260207000159301E+18</v>
      </c>
      <c r="N498" s="351">
        <v>143790</v>
      </c>
      <c r="O498" s="351" t="s">
        <v>2656</v>
      </c>
      <c r="P498" s="57" t="s">
        <v>41</v>
      </c>
      <c r="Q498" s="73">
        <v>46062</v>
      </c>
      <c r="R498" s="59" t="s">
        <v>41</v>
      </c>
      <c r="S498" s="359">
        <v>45500</v>
      </c>
      <c r="T498" s="56" t="str">
        <f t="shared" si="54"/>
        <v>0</v>
      </c>
      <c r="U498" s="359">
        <v>45500</v>
      </c>
      <c r="V498" s="360">
        <f t="shared" si="57"/>
        <v>41363.63636363636</v>
      </c>
      <c r="W498" s="65">
        <f>IF(H498=재고내역!$F$9,출고요청서_raw!G498*1,IF(H498=재고내역!$F$10,출고요청서_raw!G498*2,IF(출고요청서_raw!H498=재고내역!$F$11,출고요청서_raw!G498*4,IF(출고요청서_raw!H498=재고내역!$F$12,출고요청서_raw!G498*6,IF(출고요청서_raw!H498=재고내역!$F$13,출고요청서_raw!G498*8)))))</f>
        <v>4</v>
      </c>
      <c r="Z498" s="56">
        <f>W498*재고내역!$M$6</f>
        <v>30748</v>
      </c>
      <c r="AA498" s="56">
        <f t="shared" si="58"/>
        <v>4550</v>
      </c>
      <c r="AB498" s="56">
        <f t="shared" si="55"/>
        <v>6065.6363636363603</v>
      </c>
      <c r="AC498" s="376">
        <f t="shared" si="56"/>
        <v>0.14664175824175818</v>
      </c>
    </row>
    <row r="499" spans="1:29" ht="15.75" customHeight="1">
      <c r="A499" s="430" t="s">
        <v>2657</v>
      </c>
      <c r="B499" s="430" t="s">
        <v>2658</v>
      </c>
      <c r="E499" s="430">
        <v>5649</v>
      </c>
      <c r="F499" s="430" t="s">
        <v>2659</v>
      </c>
      <c r="G499" s="371">
        <v>2</v>
      </c>
      <c r="H499" s="54" t="s">
        <v>73</v>
      </c>
      <c r="L499" s="351" t="s">
        <v>2306</v>
      </c>
      <c r="M499" s="351">
        <v>2.02602062320144E+18</v>
      </c>
      <c r="N499" s="351">
        <v>143790</v>
      </c>
      <c r="O499" s="351" t="s">
        <v>2660</v>
      </c>
      <c r="P499" s="57" t="s">
        <v>41</v>
      </c>
      <c r="Q499" s="73">
        <v>46062</v>
      </c>
      <c r="R499" s="59" t="s">
        <v>41</v>
      </c>
      <c r="S499" s="359">
        <v>91000</v>
      </c>
      <c r="T499" s="56" t="str">
        <f t="shared" si="54"/>
        <v>0</v>
      </c>
      <c r="U499" s="359">
        <v>91000</v>
      </c>
      <c r="V499" s="360">
        <f t="shared" si="57"/>
        <v>82727.272727272721</v>
      </c>
      <c r="W499" s="65">
        <f>IF(H499=재고내역!$F$9,출고요청서_raw!G499*1,IF(H499=재고내역!$F$10,출고요청서_raw!G499*2,IF(출고요청서_raw!H499=재고내역!$F$11,출고요청서_raw!G499*4,IF(출고요청서_raw!H499=재고내역!$F$12,출고요청서_raw!G499*6,IF(출고요청서_raw!H499=재고내역!$F$13,출고요청서_raw!G499*8)))))</f>
        <v>8</v>
      </c>
      <c r="Z499" s="56">
        <f>W499*재고내역!$M$6</f>
        <v>61496</v>
      </c>
      <c r="AA499" s="56">
        <f t="shared" si="58"/>
        <v>4550</v>
      </c>
      <c r="AB499" s="56">
        <f t="shared" si="55"/>
        <v>16681.272727272721</v>
      </c>
      <c r="AC499" s="376">
        <f t="shared" si="56"/>
        <v>0.20164175824175817</v>
      </c>
    </row>
    <row r="500" spans="1:29" ht="15.75" customHeight="1">
      <c r="A500" s="430" t="s">
        <v>2661</v>
      </c>
      <c r="B500" s="430" t="s">
        <v>2662</v>
      </c>
      <c r="E500" s="430">
        <v>25470</v>
      </c>
      <c r="F500" s="430" t="s">
        <v>2663</v>
      </c>
      <c r="G500" s="371">
        <v>1</v>
      </c>
      <c r="H500" s="54" t="s">
        <v>73</v>
      </c>
      <c r="L500" s="351" t="s">
        <v>2306</v>
      </c>
      <c r="M500" s="351">
        <v>2.02602062121136E+18</v>
      </c>
      <c r="N500" s="351">
        <v>143790</v>
      </c>
      <c r="O500" s="351" t="s">
        <v>2664</v>
      </c>
      <c r="P500" s="57" t="s">
        <v>41</v>
      </c>
      <c r="Q500" s="73">
        <v>46062</v>
      </c>
      <c r="R500" s="59" t="s">
        <v>41</v>
      </c>
      <c r="S500" s="359">
        <v>45500</v>
      </c>
      <c r="T500" s="56" t="str">
        <f t="shared" si="54"/>
        <v>0</v>
      </c>
      <c r="U500" s="359">
        <v>45500</v>
      </c>
      <c r="V500" s="360">
        <f t="shared" si="57"/>
        <v>41363.63636363636</v>
      </c>
      <c r="W500" s="65">
        <f>IF(H500=재고내역!$F$9,출고요청서_raw!G500*1,IF(H500=재고내역!$F$10,출고요청서_raw!G500*2,IF(출고요청서_raw!H500=재고내역!$F$11,출고요청서_raw!G500*4,IF(출고요청서_raw!H500=재고내역!$F$12,출고요청서_raw!G500*6,IF(출고요청서_raw!H500=재고내역!$F$13,출고요청서_raw!G500*8)))))</f>
        <v>4</v>
      </c>
      <c r="Z500" s="56">
        <f>W500*재고내역!$M$6</f>
        <v>30748</v>
      </c>
      <c r="AA500" s="56">
        <f t="shared" si="58"/>
        <v>4550</v>
      </c>
      <c r="AB500" s="56">
        <f t="shared" si="55"/>
        <v>6065.6363636363603</v>
      </c>
      <c r="AC500" s="376">
        <f t="shared" si="56"/>
        <v>0.14664175824175818</v>
      </c>
    </row>
    <row r="501" spans="1:29" ht="15.75" customHeight="1">
      <c r="A501" s="430" t="s">
        <v>2665</v>
      </c>
      <c r="B501" s="430" t="s">
        <v>2666</v>
      </c>
      <c r="E501" s="430">
        <v>5098</v>
      </c>
      <c r="F501" s="430" t="s">
        <v>2667</v>
      </c>
      <c r="G501" s="371">
        <v>1</v>
      </c>
      <c r="H501" s="54" t="s">
        <v>73</v>
      </c>
      <c r="L501" s="351" t="s">
        <v>2306</v>
      </c>
      <c r="M501" s="351">
        <v>2.0260206211836201E+18</v>
      </c>
      <c r="N501" s="351">
        <v>143790</v>
      </c>
      <c r="O501" s="351" t="s">
        <v>2668</v>
      </c>
      <c r="P501" s="57" t="s">
        <v>41</v>
      </c>
      <c r="Q501" s="73">
        <v>46062</v>
      </c>
      <c r="R501" s="59" t="s">
        <v>41</v>
      </c>
      <c r="S501" s="359">
        <v>45500</v>
      </c>
      <c r="T501" s="56" t="str">
        <f t="shared" si="54"/>
        <v>0</v>
      </c>
      <c r="U501" s="359">
        <v>45500</v>
      </c>
      <c r="V501" s="360">
        <f t="shared" si="57"/>
        <v>41363.63636363636</v>
      </c>
      <c r="W501" s="65">
        <f>IF(H501=재고내역!$F$9,출고요청서_raw!G501*1,IF(H501=재고내역!$F$10,출고요청서_raw!G501*2,IF(출고요청서_raw!H501=재고내역!$F$11,출고요청서_raw!G501*4,IF(출고요청서_raw!H501=재고내역!$F$12,출고요청서_raw!G501*6,IF(출고요청서_raw!H501=재고내역!$F$13,출고요청서_raw!G501*8)))))</f>
        <v>4</v>
      </c>
      <c r="Z501" s="56">
        <f>W501*재고내역!$M$6</f>
        <v>30748</v>
      </c>
      <c r="AA501" s="56">
        <f t="shared" si="58"/>
        <v>4550</v>
      </c>
      <c r="AB501" s="56">
        <f t="shared" si="55"/>
        <v>6065.6363636363603</v>
      </c>
      <c r="AC501" s="376">
        <f t="shared" si="56"/>
        <v>0.14664175824175818</v>
      </c>
    </row>
    <row r="502" spans="1:29" ht="15.75" customHeight="1">
      <c r="A502" s="430" t="s">
        <v>2669</v>
      </c>
      <c r="B502" s="430" t="s">
        <v>2670</v>
      </c>
      <c r="E502" s="430">
        <v>17066</v>
      </c>
      <c r="F502" s="430" t="s">
        <v>2671</v>
      </c>
      <c r="G502" s="371">
        <v>1</v>
      </c>
      <c r="H502" s="54" t="s">
        <v>73</v>
      </c>
      <c r="L502" s="351" t="s">
        <v>2306</v>
      </c>
      <c r="M502" s="351">
        <v>2.02602062109136E+18</v>
      </c>
      <c r="N502" s="351">
        <v>143790</v>
      </c>
      <c r="O502" s="351" t="s">
        <v>2672</v>
      </c>
      <c r="P502" s="57" t="s">
        <v>41</v>
      </c>
      <c r="Q502" s="73">
        <v>46062</v>
      </c>
      <c r="R502" s="59" t="s">
        <v>41</v>
      </c>
      <c r="S502" s="359">
        <v>45500</v>
      </c>
      <c r="T502" s="56" t="str">
        <f t="shared" si="54"/>
        <v>0</v>
      </c>
      <c r="U502" s="359">
        <v>45500</v>
      </c>
      <c r="V502" s="360">
        <f t="shared" si="57"/>
        <v>41363.63636363636</v>
      </c>
      <c r="W502" s="65">
        <f>IF(H502=재고내역!$F$9,출고요청서_raw!G502*1,IF(H502=재고내역!$F$10,출고요청서_raw!G502*2,IF(출고요청서_raw!H502=재고내역!$F$11,출고요청서_raw!G502*4,IF(출고요청서_raw!H502=재고내역!$F$12,출고요청서_raw!G502*6,IF(출고요청서_raw!H502=재고내역!$F$13,출고요청서_raw!G502*8)))))</f>
        <v>4</v>
      </c>
      <c r="Z502" s="56">
        <f>W502*재고내역!$M$6</f>
        <v>30748</v>
      </c>
      <c r="AA502" s="56">
        <f t="shared" si="58"/>
        <v>4550</v>
      </c>
      <c r="AB502" s="56">
        <f t="shared" si="55"/>
        <v>6065.6363636363603</v>
      </c>
      <c r="AC502" s="376">
        <f t="shared" si="56"/>
        <v>0.14664175824175818</v>
      </c>
    </row>
    <row r="503" spans="1:29" ht="15.75" customHeight="1">
      <c r="A503" s="430" t="s">
        <v>2673</v>
      </c>
      <c r="B503" s="430" t="s">
        <v>2674</v>
      </c>
      <c r="E503" s="430">
        <v>4731</v>
      </c>
      <c r="F503" s="430" t="s">
        <v>2675</v>
      </c>
      <c r="G503" s="371">
        <v>1</v>
      </c>
      <c r="H503" s="54" t="s">
        <v>73</v>
      </c>
      <c r="L503" s="351" t="s">
        <v>2306</v>
      </c>
      <c r="M503" s="351">
        <v>2.0260206210955599E+18</v>
      </c>
      <c r="N503" s="351">
        <v>143790</v>
      </c>
      <c r="O503" s="351" t="s">
        <v>2676</v>
      </c>
      <c r="P503" s="57" t="s">
        <v>41</v>
      </c>
      <c r="Q503" s="73">
        <v>46062</v>
      </c>
      <c r="R503" s="59" t="s">
        <v>41</v>
      </c>
      <c r="S503" s="359">
        <v>45500</v>
      </c>
      <c r="T503" s="56" t="str">
        <f t="shared" si="54"/>
        <v>0</v>
      </c>
      <c r="U503" s="359">
        <v>45500</v>
      </c>
      <c r="V503" s="360">
        <f t="shared" si="57"/>
        <v>41363.63636363636</v>
      </c>
      <c r="W503" s="65">
        <f>IF(H503=재고내역!$F$9,출고요청서_raw!G503*1,IF(H503=재고내역!$F$10,출고요청서_raw!G503*2,IF(출고요청서_raw!H503=재고내역!$F$11,출고요청서_raw!G503*4,IF(출고요청서_raw!H503=재고내역!$F$12,출고요청서_raw!G503*6,IF(출고요청서_raw!H503=재고내역!$F$13,출고요청서_raw!G503*8)))))</f>
        <v>4</v>
      </c>
      <c r="Z503" s="56">
        <f>W503*재고내역!$M$6</f>
        <v>30748</v>
      </c>
      <c r="AA503" s="56">
        <f t="shared" si="58"/>
        <v>4550</v>
      </c>
      <c r="AB503" s="56">
        <f t="shared" si="55"/>
        <v>6065.6363636363603</v>
      </c>
      <c r="AC503" s="376">
        <f t="shared" si="56"/>
        <v>0.14664175824175818</v>
      </c>
    </row>
    <row r="504" spans="1:29" ht="15.75" customHeight="1">
      <c r="A504" s="430" t="s">
        <v>2677</v>
      </c>
      <c r="B504" s="430" t="s">
        <v>2678</v>
      </c>
      <c r="E504" s="430">
        <v>17868</v>
      </c>
      <c r="F504" s="430" t="s">
        <v>2679</v>
      </c>
      <c r="G504" s="371">
        <v>1</v>
      </c>
      <c r="H504" s="54" t="s">
        <v>73</v>
      </c>
      <c r="L504" s="351" t="s">
        <v>2306</v>
      </c>
      <c r="M504" s="351">
        <v>2.0260206210703501E+18</v>
      </c>
      <c r="N504" s="351">
        <v>143790</v>
      </c>
      <c r="O504" s="351" t="s">
        <v>2680</v>
      </c>
      <c r="P504" s="57" t="s">
        <v>41</v>
      </c>
      <c r="Q504" s="73">
        <v>46062</v>
      </c>
      <c r="R504" s="59" t="s">
        <v>41</v>
      </c>
      <c r="S504" s="359">
        <v>45500</v>
      </c>
      <c r="T504" s="56" t="str">
        <f t="shared" si="54"/>
        <v>0</v>
      </c>
      <c r="U504" s="359">
        <v>45500</v>
      </c>
      <c r="V504" s="360">
        <f t="shared" si="57"/>
        <v>41363.63636363636</v>
      </c>
      <c r="W504" s="65">
        <f>IF(H504=재고내역!$F$9,출고요청서_raw!G504*1,IF(H504=재고내역!$F$10,출고요청서_raw!G504*2,IF(출고요청서_raw!H504=재고내역!$F$11,출고요청서_raw!G504*4,IF(출고요청서_raw!H504=재고내역!$F$12,출고요청서_raw!G504*6,IF(출고요청서_raw!H504=재고내역!$F$13,출고요청서_raw!G504*8)))))</f>
        <v>4</v>
      </c>
      <c r="Z504" s="56">
        <f>W504*재고내역!$M$6</f>
        <v>30748</v>
      </c>
      <c r="AA504" s="56">
        <f t="shared" si="58"/>
        <v>4550</v>
      </c>
      <c r="AB504" s="56">
        <f t="shared" si="55"/>
        <v>6065.6363636363603</v>
      </c>
      <c r="AC504" s="376">
        <f t="shared" si="56"/>
        <v>0.14664175824175818</v>
      </c>
    </row>
    <row r="505" spans="1:29" ht="15.75" customHeight="1">
      <c r="A505" s="430" t="s">
        <v>2681</v>
      </c>
      <c r="B505" s="430" t="s">
        <v>2682</v>
      </c>
      <c r="E505" s="430">
        <v>11722</v>
      </c>
      <c r="F505" s="430" t="s">
        <v>2683</v>
      </c>
      <c r="G505" s="371">
        <v>1</v>
      </c>
      <c r="H505" s="54" t="s">
        <v>73</v>
      </c>
      <c r="L505" s="351" t="s">
        <v>2306</v>
      </c>
      <c r="M505" s="351">
        <v>2.0260206210732301E+18</v>
      </c>
      <c r="N505" s="351">
        <v>143790</v>
      </c>
      <c r="O505" s="351" t="s">
        <v>2684</v>
      </c>
      <c r="P505" s="57" t="s">
        <v>41</v>
      </c>
      <c r="Q505" s="73">
        <v>46062</v>
      </c>
      <c r="R505" s="59" t="s">
        <v>41</v>
      </c>
      <c r="S505" s="359">
        <v>45500</v>
      </c>
      <c r="T505" s="56" t="str">
        <f t="shared" si="54"/>
        <v>0</v>
      </c>
      <c r="U505" s="359">
        <v>45500</v>
      </c>
      <c r="V505" s="360">
        <f t="shared" si="57"/>
        <v>41363.63636363636</v>
      </c>
      <c r="W505" s="65">
        <f>IF(H505=재고내역!$F$9,출고요청서_raw!G505*1,IF(H505=재고내역!$F$10,출고요청서_raw!G505*2,IF(출고요청서_raw!H505=재고내역!$F$11,출고요청서_raw!G505*4,IF(출고요청서_raw!H505=재고내역!$F$12,출고요청서_raw!G505*6,IF(출고요청서_raw!H505=재고내역!$F$13,출고요청서_raw!G505*8)))))</f>
        <v>4</v>
      </c>
      <c r="Z505" s="56">
        <f>W505*재고내역!$M$6</f>
        <v>30748</v>
      </c>
      <c r="AA505" s="56">
        <f t="shared" si="58"/>
        <v>4550</v>
      </c>
      <c r="AB505" s="56">
        <f t="shared" si="55"/>
        <v>6065.6363636363603</v>
      </c>
      <c r="AC505" s="376">
        <f t="shared" si="56"/>
        <v>0.14664175824175818</v>
      </c>
    </row>
    <row r="506" spans="1:29" ht="15.75" customHeight="1">
      <c r="A506" s="430" t="s">
        <v>926</v>
      </c>
      <c r="B506" s="430" t="s">
        <v>2685</v>
      </c>
      <c r="E506" s="430">
        <v>59720</v>
      </c>
      <c r="F506" s="430" t="s">
        <v>2686</v>
      </c>
      <c r="G506" s="371">
        <v>1</v>
      </c>
      <c r="H506" s="54" t="s">
        <v>73</v>
      </c>
      <c r="L506" s="351" t="s">
        <v>2306</v>
      </c>
      <c r="M506" s="351">
        <v>2.02602062042499E+18</v>
      </c>
      <c r="N506" s="351">
        <v>143790</v>
      </c>
      <c r="O506" s="351" t="s">
        <v>2687</v>
      </c>
      <c r="P506" s="57" t="s">
        <v>41</v>
      </c>
      <c r="Q506" s="73">
        <v>46062</v>
      </c>
      <c r="R506" s="59" t="s">
        <v>41</v>
      </c>
      <c r="S506" s="359">
        <v>45500</v>
      </c>
      <c r="T506" s="56" t="str">
        <f t="shared" si="54"/>
        <v>0</v>
      </c>
      <c r="U506" s="359">
        <v>45500</v>
      </c>
      <c r="V506" s="360">
        <f t="shared" si="57"/>
        <v>41363.63636363636</v>
      </c>
      <c r="W506" s="65">
        <f>IF(H506=재고내역!$F$9,출고요청서_raw!G506*1,IF(H506=재고내역!$F$10,출고요청서_raw!G506*2,IF(출고요청서_raw!H506=재고내역!$F$11,출고요청서_raw!G506*4,IF(출고요청서_raw!H506=재고내역!$F$12,출고요청서_raw!G506*6,IF(출고요청서_raw!H506=재고내역!$F$13,출고요청서_raw!G506*8)))))</f>
        <v>4</v>
      </c>
      <c r="Z506" s="56">
        <f>W506*재고내역!$M$6</f>
        <v>30748</v>
      </c>
      <c r="AA506" s="56">
        <f t="shared" si="58"/>
        <v>4550</v>
      </c>
      <c r="AB506" s="56">
        <f t="shared" si="55"/>
        <v>6065.6363636363603</v>
      </c>
      <c r="AC506" s="376">
        <f t="shared" si="56"/>
        <v>0.14664175824175818</v>
      </c>
    </row>
    <row r="507" spans="1:29" ht="15.75" customHeight="1">
      <c r="A507" s="430" t="s">
        <v>2688</v>
      </c>
      <c r="B507" s="430" t="s">
        <v>2689</v>
      </c>
      <c r="E507" s="430">
        <v>61952</v>
      </c>
      <c r="F507" s="430" t="s">
        <v>2690</v>
      </c>
      <c r="G507" s="371">
        <v>1</v>
      </c>
      <c r="H507" s="54" t="s">
        <v>73</v>
      </c>
      <c r="L507" s="351" t="s">
        <v>2306</v>
      </c>
      <c r="M507" s="351">
        <v>2.0260206202942799E+18</v>
      </c>
      <c r="N507" s="351">
        <v>143790</v>
      </c>
      <c r="O507" s="351" t="s">
        <v>2691</v>
      </c>
      <c r="P507" s="57" t="s">
        <v>41</v>
      </c>
      <c r="Q507" s="73">
        <v>46062</v>
      </c>
      <c r="R507" s="59" t="s">
        <v>41</v>
      </c>
      <c r="S507" s="359">
        <v>45500</v>
      </c>
      <c r="T507" s="56" t="str">
        <f t="shared" si="54"/>
        <v>0</v>
      </c>
      <c r="U507" s="359">
        <v>45500</v>
      </c>
      <c r="V507" s="360">
        <f t="shared" si="57"/>
        <v>41363.63636363636</v>
      </c>
      <c r="W507" s="65">
        <f>IF(H507=재고내역!$F$9,출고요청서_raw!G507*1,IF(H507=재고내역!$F$10,출고요청서_raw!G507*2,IF(출고요청서_raw!H507=재고내역!$F$11,출고요청서_raw!G507*4,IF(출고요청서_raw!H507=재고내역!$F$12,출고요청서_raw!G507*6,IF(출고요청서_raw!H507=재고내역!$F$13,출고요청서_raw!G507*8)))))</f>
        <v>4</v>
      </c>
      <c r="Z507" s="56">
        <f>W507*재고내역!$M$6</f>
        <v>30748</v>
      </c>
      <c r="AA507" s="56">
        <f t="shared" si="58"/>
        <v>4550</v>
      </c>
      <c r="AB507" s="56">
        <f t="shared" si="55"/>
        <v>6065.6363636363603</v>
      </c>
      <c r="AC507" s="376">
        <f t="shared" si="56"/>
        <v>0.14664175824175818</v>
      </c>
    </row>
    <row r="508" spans="1:29" ht="15.75" customHeight="1">
      <c r="A508" s="430" t="s">
        <v>2692</v>
      </c>
      <c r="B508" s="430" t="s">
        <v>2693</v>
      </c>
      <c r="E508" s="430">
        <v>55105</v>
      </c>
      <c r="F508" s="430" t="s">
        <v>2694</v>
      </c>
      <c r="G508" s="371">
        <v>1</v>
      </c>
      <c r="H508" s="54" t="s">
        <v>73</v>
      </c>
      <c r="L508" s="351" t="s">
        <v>2306</v>
      </c>
      <c r="M508" s="351">
        <v>2.0260206203026801E+18</v>
      </c>
      <c r="N508" s="351">
        <v>143790</v>
      </c>
      <c r="O508" s="351" t="s">
        <v>2695</v>
      </c>
      <c r="P508" s="57" t="s">
        <v>41</v>
      </c>
      <c r="Q508" s="73">
        <v>46062</v>
      </c>
      <c r="R508" s="59" t="s">
        <v>41</v>
      </c>
      <c r="S508" s="359">
        <v>45500</v>
      </c>
      <c r="T508" s="56" t="str">
        <f t="shared" si="54"/>
        <v>0</v>
      </c>
      <c r="U508" s="359">
        <v>45500</v>
      </c>
      <c r="V508" s="360">
        <f t="shared" si="57"/>
        <v>41363.63636363636</v>
      </c>
      <c r="W508" s="65">
        <f>IF(H508=재고내역!$F$9,출고요청서_raw!G508*1,IF(H508=재고내역!$F$10,출고요청서_raw!G508*2,IF(출고요청서_raw!H508=재고내역!$F$11,출고요청서_raw!G508*4,IF(출고요청서_raw!H508=재고내역!$F$12,출고요청서_raw!G508*6,IF(출고요청서_raw!H508=재고내역!$F$13,출고요청서_raw!G508*8)))))</f>
        <v>4</v>
      </c>
      <c r="Z508" s="56">
        <f>W508*재고내역!$M$6</f>
        <v>30748</v>
      </c>
      <c r="AA508" s="56">
        <f t="shared" si="58"/>
        <v>4550</v>
      </c>
      <c r="AB508" s="56">
        <f t="shared" si="55"/>
        <v>6065.6363636363603</v>
      </c>
      <c r="AC508" s="376">
        <f t="shared" si="56"/>
        <v>0.14664175824175818</v>
      </c>
    </row>
    <row r="509" spans="1:29" ht="15.75" customHeight="1">
      <c r="A509" s="430" t="s">
        <v>2696</v>
      </c>
      <c r="B509" s="430" t="s">
        <v>2697</v>
      </c>
      <c r="E509" s="430">
        <v>15058</v>
      </c>
      <c r="F509" s="430" t="s">
        <v>2698</v>
      </c>
      <c r="G509" s="371">
        <v>1</v>
      </c>
      <c r="H509" s="54" t="s">
        <v>73</v>
      </c>
      <c r="L509" s="351" t="s">
        <v>2306</v>
      </c>
      <c r="M509" s="351">
        <v>2.0260206202918799E+18</v>
      </c>
      <c r="N509" s="351">
        <v>143790</v>
      </c>
      <c r="O509" s="351" t="s">
        <v>2699</v>
      </c>
      <c r="P509" s="57" t="s">
        <v>41</v>
      </c>
      <c r="Q509" s="73">
        <v>46062</v>
      </c>
      <c r="R509" s="59" t="s">
        <v>41</v>
      </c>
      <c r="S509" s="359">
        <v>45500</v>
      </c>
      <c r="T509" s="56" t="str">
        <f t="shared" si="54"/>
        <v>0</v>
      </c>
      <c r="U509" s="359">
        <v>45500</v>
      </c>
      <c r="V509" s="360">
        <f t="shared" si="57"/>
        <v>41363.63636363636</v>
      </c>
      <c r="W509" s="65">
        <f>IF(H509=재고내역!$F$9,출고요청서_raw!G509*1,IF(H509=재고내역!$F$10,출고요청서_raw!G509*2,IF(출고요청서_raw!H509=재고내역!$F$11,출고요청서_raw!G509*4,IF(출고요청서_raw!H509=재고내역!$F$12,출고요청서_raw!G509*6,IF(출고요청서_raw!H509=재고내역!$F$13,출고요청서_raw!G509*8)))))</f>
        <v>4</v>
      </c>
      <c r="Z509" s="56">
        <f>W509*재고내역!$M$6</f>
        <v>30748</v>
      </c>
      <c r="AA509" s="56">
        <f t="shared" si="58"/>
        <v>4550</v>
      </c>
      <c r="AB509" s="56">
        <f t="shared" si="55"/>
        <v>6065.6363636363603</v>
      </c>
      <c r="AC509" s="376">
        <f t="shared" si="56"/>
        <v>0.14664175824175818</v>
      </c>
    </row>
    <row r="510" spans="1:29" ht="15.75" customHeight="1">
      <c r="A510" s="430" t="s">
        <v>2700</v>
      </c>
      <c r="B510" s="430" t="s">
        <v>2701</v>
      </c>
      <c r="E510" s="430">
        <v>2748</v>
      </c>
      <c r="F510" s="430" t="s">
        <v>2702</v>
      </c>
      <c r="G510" s="371">
        <v>1</v>
      </c>
      <c r="H510" s="54" t="s">
        <v>73</v>
      </c>
      <c r="L510" s="351" t="s">
        <v>2306</v>
      </c>
      <c r="M510" s="351">
        <v>2.02602062029137E+18</v>
      </c>
      <c r="N510" s="351">
        <v>143790</v>
      </c>
      <c r="O510" s="351" t="s">
        <v>2703</v>
      </c>
      <c r="P510" s="57" t="s">
        <v>41</v>
      </c>
      <c r="Q510" s="73">
        <v>46062</v>
      </c>
      <c r="R510" s="59" t="s">
        <v>41</v>
      </c>
      <c r="S510" s="359">
        <v>45500</v>
      </c>
      <c r="T510" s="56" t="str">
        <f t="shared" si="54"/>
        <v>0</v>
      </c>
      <c r="U510" s="359">
        <v>45500</v>
      </c>
      <c r="V510" s="360">
        <f t="shared" si="57"/>
        <v>41363.63636363636</v>
      </c>
      <c r="W510" s="65">
        <f>IF(H510=재고내역!$F$9,출고요청서_raw!G510*1,IF(H510=재고내역!$F$10,출고요청서_raw!G510*2,IF(출고요청서_raw!H510=재고내역!$F$11,출고요청서_raw!G510*4,IF(출고요청서_raw!H510=재고내역!$F$12,출고요청서_raw!G510*6,IF(출고요청서_raw!H510=재고내역!$F$13,출고요청서_raw!G510*8)))))</f>
        <v>4</v>
      </c>
      <c r="Z510" s="56">
        <f>W510*재고내역!$M$6</f>
        <v>30748</v>
      </c>
      <c r="AA510" s="56">
        <f t="shared" si="58"/>
        <v>4550</v>
      </c>
      <c r="AB510" s="56">
        <f t="shared" si="55"/>
        <v>6065.6363636363603</v>
      </c>
      <c r="AC510" s="376">
        <f t="shared" si="56"/>
        <v>0.14664175824175818</v>
      </c>
    </row>
    <row r="511" spans="1:29" ht="15.75" customHeight="1">
      <c r="A511" s="430" t="s">
        <v>2704</v>
      </c>
      <c r="B511" s="430" t="s">
        <v>2705</v>
      </c>
      <c r="E511" s="430">
        <v>16329</v>
      </c>
      <c r="F511" s="430" t="s">
        <v>2706</v>
      </c>
      <c r="G511" s="371">
        <v>1</v>
      </c>
      <c r="H511" s="54" t="s">
        <v>73</v>
      </c>
      <c r="L511" s="351" t="s">
        <v>2306</v>
      </c>
      <c r="M511" s="351">
        <v>2.0260206202822001E+18</v>
      </c>
      <c r="N511" s="351">
        <v>143790</v>
      </c>
      <c r="O511" s="351" t="s">
        <v>2707</v>
      </c>
      <c r="P511" s="57" t="s">
        <v>41</v>
      </c>
      <c r="Q511" s="73">
        <v>46062</v>
      </c>
      <c r="R511" s="59" t="s">
        <v>41</v>
      </c>
      <c r="S511" s="359">
        <v>45500</v>
      </c>
      <c r="T511" s="56" t="str">
        <f t="shared" si="54"/>
        <v>0</v>
      </c>
      <c r="U511" s="359">
        <v>45500</v>
      </c>
      <c r="V511" s="360">
        <f t="shared" si="57"/>
        <v>41363.63636363636</v>
      </c>
      <c r="W511" s="65">
        <f>IF(H511=재고내역!$F$9,출고요청서_raw!G511*1,IF(H511=재고내역!$F$10,출고요청서_raw!G511*2,IF(출고요청서_raw!H511=재고내역!$F$11,출고요청서_raw!G511*4,IF(출고요청서_raw!H511=재고내역!$F$12,출고요청서_raw!G511*6,IF(출고요청서_raw!H511=재고내역!$F$13,출고요청서_raw!G511*8)))))</f>
        <v>4</v>
      </c>
      <c r="Z511" s="56">
        <f>W511*재고내역!$M$6</f>
        <v>30748</v>
      </c>
      <c r="AA511" s="56">
        <f t="shared" si="58"/>
        <v>4550</v>
      </c>
      <c r="AB511" s="56">
        <f t="shared" si="55"/>
        <v>6065.6363636363603</v>
      </c>
      <c r="AC511" s="376">
        <f t="shared" si="56"/>
        <v>0.14664175824175818</v>
      </c>
    </row>
    <row r="512" spans="1:29" ht="15.75" customHeight="1">
      <c r="A512" s="430" t="s">
        <v>2708</v>
      </c>
      <c r="B512" s="430" t="s">
        <v>2709</v>
      </c>
      <c r="E512" s="430">
        <v>27350</v>
      </c>
      <c r="F512" s="430" t="s">
        <v>2710</v>
      </c>
      <c r="G512" s="371">
        <v>1</v>
      </c>
      <c r="H512" s="54" t="s">
        <v>73</v>
      </c>
      <c r="L512" s="351" t="s">
        <v>2711</v>
      </c>
      <c r="M512" s="351">
        <v>2.02602062018077E+18</v>
      </c>
      <c r="N512" s="351">
        <v>143790</v>
      </c>
      <c r="O512" s="351" t="s">
        <v>2712</v>
      </c>
      <c r="P512" s="57" t="s">
        <v>41</v>
      </c>
      <c r="Q512" s="73">
        <v>46062</v>
      </c>
      <c r="R512" s="59" t="s">
        <v>41</v>
      </c>
      <c r="S512" s="359">
        <v>45500</v>
      </c>
      <c r="T512" s="56" t="str">
        <f t="shared" si="54"/>
        <v>0</v>
      </c>
      <c r="U512" s="359">
        <v>45500</v>
      </c>
      <c r="V512" s="360">
        <f t="shared" si="57"/>
        <v>41363.63636363636</v>
      </c>
      <c r="W512" s="65">
        <f>IF(H512=재고내역!$F$9,출고요청서_raw!G512*1,IF(H512=재고내역!$F$10,출고요청서_raw!G512*2,IF(출고요청서_raw!H512=재고내역!$F$11,출고요청서_raw!G512*4,IF(출고요청서_raw!H512=재고내역!$F$12,출고요청서_raw!G512*6,IF(출고요청서_raw!H512=재고내역!$F$13,출고요청서_raw!G512*8)))))</f>
        <v>4</v>
      </c>
      <c r="Z512" s="56">
        <f>W512*재고내역!$M$6</f>
        <v>30748</v>
      </c>
      <c r="AA512" s="56">
        <f t="shared" si="58"/>
        <v>4550</v>
      </c>
      <c r="AB512" s="56">
        <f t="shared" si="55"/>
        <v>6065.6363636363603</v>
      </c>
      <c r="AC512" s="376">
        <f t="shared" si="56"/>
        <v>0.14664175824175818</v>
      </c>
    </row>
    <row r="513" spans="1:29" ht="15.75" customHeight="1">
      <c r="A513" s="430" t="s">
        <v>2713</v>
      </c>
      <c r="B513" s="430" t="s">
        <v>2714</v>
      </c>
      <c r="E513" s="430">
        <v>17117</v>
      </c>
      <c r="F513" s="430" t="s">
        <v>2715</v>
      </c>
      <c r="G513" s="371">
        <v>1</v>
      </c>
      <c r="H513" s="54" t="s">
        <v>73</v>
      </c>
      <c r="L513" s="351" t="s">
        <v>2306</v>
      </c>
      <c r="M513" s="351">
        <v>2.0260206202421299E+18</v>
      </c>
      <c r="N513" s="351">
        <v>143790</v>
      </c>
      <c r="O513" s="351" t="s">
        <v>2716</v>
      </c>
      <c r="P513" s="57" t="s">
        <v>41</v>
      </c>
      <c r="Q513" s="73">
        <v>46062</v>
      </c>
      <c r="R513" s="59" t="s">
        <v>41</v>
      </c>
      <c r="S513" s="359">
        <v>45500</v>
      </c>
      <c r="T513" s="56" t="str">
        <f t="shared" si="54"/>
        <v>0</v>
      </c>
      <c r="U513" s="359">
        <v>45500</v>
      </c>
      <c r="V513" s="360">
        <f t="shared" si="57"/>
        <v>41363.63636363636</v>
      </c>
      <c r="W513" s="65">
        <f>IF(H513=재고내역!$F$9,출고요청서_raw!G513*1,IF(H513=재고내역!$F$10,출고요청서_raw!G513*2,IF(출고요청서_raw!H513=재고내역!$F$11,출고요청서_raw!G513*4,IF(출고요청서_raw!H513=재고내역!$F$12,출고요청서_raw!G513*6,IF(출고요청서_raw!H513=재고내역!$F$13,출고요청서_raw!G513*8)))))</f>
        <v>4</v>
      </c>
      <c r="Z513" s="56">
        <f>W513*재고내역!$M$6</f>
        <v>30748</v>
      </c>
      <c r="AA513" s="56">
        <f t="shared" si="58"/>
        <v>4550</v>
      </c>
      <c r="AB513" s="56">
        <f t="shared" si="55"/>
        <v>6065.6363636363603</v>
      </c>
      <c r="AC513" s="376">
        <f t="shared" si="56"/>
        <v>0.14664175824175818</v>
      </c>
    </row>
    <row r="514" spans="1:29" ht="15.75" customHeight="1">
      <c r="A514" s="430" t="s">
        <v>2717</v>
      </c>
      <c r="B514" s="430" t="s">
        <v>2718</v>
      </c>
      <c r="E514" s="430">
        <v>5010</v>
      </c>
      <c r="F514" s="430" t="s">
        <v>2719</v>
      </c>
      <c r="G514" s="371">
        <v>1</v>
      </c>
      <c r="H514" s="54" t="s">
        <v>73</v>
      </c>
      <c r="L514" s="351" t="s">
        <v>2306</v>
      </c>
      <c r="M514" s="351">
        <v>2.0260206202235699E+18</v>
      </c>
      <c r="N514" s="351">
        <v>143790</v>
      </c>
      <c r="O514" s="351" t="s">
        <v>2720</v>
      </c>
      <c r="P514" s="57" t="s">
        <v>41</v>
      </c>
      <c r="Q514" s="73">
        <v>46062</v>
      </c>
      <c r="R514" s="59" t="s">
        <v>41</v>
      </c>
      <c r="S514" s="359">
        <v>45500</v>
      </c>
      <c r="T514" s="56" t="str">
        <f t="shared" si="54"/>
        <v>0</v>
      </c>
      <c r="U514" s="359">
        <v>45500</v>
      </c>
      <c r="V514" s="360">
        <f t="shared" si="57"/>
        <v>41363.63636363636</v>
      </c>
      <c r="W514" s="65">
        <f>IF(H514=재고내역!$F$9,출고요청서_raw!G514*1,IF(H514=재고내역!$F$10,출고요청서_raw!G514*2,IF(출고요청서_raw!H514=재고내역!$F$11,출고요청서_raw!G514*4,IF(출고요청서_raw!H514=재고내역!$F$12,출고요청서_raw!G514*6,IF(출고요청서_raw!H514=재고내역!$F$13,출고요청서_raw!G514*8)))))</f>
        <v>4</v>
      </c>
      <c r="Z514" s="56">
        <f>W514*재고내역!$M$6</f>
        <v>30748</v>
      </c>
      <c r="AA514" s="56">
        <f t="shared" si="58"/>
        <v>4550</v>
      </c>
      <c r="AB514" s="56">
        <f t="shared" si="55"/>
        <v>6065.6363636363603</v>
      </c>
      <c r="AC514" s="376">
        <f t="shared" si="56"/>
        <v>0.14664175824175818</v>
      </c>
    </row>
    <row r="515" spans="1:29" ht="15.75" customHeight="1">
      <c r="A515" s="430" t="s">
        <v>2721</v>
      </c>
      <c r="B515" s="430" t="s">
        <v>2722</v>
      </c>
      <c r="E515" s="430">
        <v>5410</v>
      </c>
      <c r="F515" s="430" t="s">
        <v>2723</v>
      </c>
      <c r="G515" s="371">
        <v>1</v>
      </c>
      <c r="H515" s="54" t="s">
        <v>73</v>
      </c>
      <c r="L515" s="351" t="s">
        <v>2306</v>
      </c>
      <c r="M515" s="351">
        <v>2.02602062019153E+18</v>
      </c>
      <c r="N515" s="351">
        <v>143790</v>
      </c>
      <c r="O515" s="351" t="s">
        <v>2724</v>
      </c>
      <c r="P515" s="57" t="s">
        <v>41</v>
      </c>
      <c r="Q515" s="73">
        <v>46062</v>
      </c>
      <c r="R515" s="59" t="s">
        <v>41</v>
      </c>
      <c r="S515" s="359">
        <v>45500</v>
      </c>
      <c r="T515" s="56" t="str">
        <f t="shared" si="54"/>
        <v>0</v>
      </c>
      <c r="U515" s="359">
        <v>45500</v>
      </c>
      <c r="V515" s="360">
        <f t="shared" si="57"/>
        <v>41363.63636363636</v>
      </c>
      <c r="W515" s="65">
        <f>IF(H515=재고내역!$F$9,출고요청서_raw!G515*1,IF(H515=재고내역!$F$10,출고요청서_raw!G515*2,IF(출고요청서_raw!H515=재고내역!$F$11,출고요청서_raw!G515*4,IF(출고요청서_raw!H515=재고내역!$F$12,출고요청서_raw!G515*6,IF(출고요청서_raw!H515=재고내역!$F$13,출고요청서_raw!G515*8)))))</f>
        <v>4</v>
      </c>
      <c r="Z515" s="56">
        <f>W515*재고내역!$M$6</f>
        <v>30748</v>
      </c>
      <c r="AA515" s="56">
        <f t="shared" si="58"/>
        <v>4550</v>
      </c>
      <c r="AB515" s="56">
        <f t="shared" si="55"/>
        <v>6065.6363636363603</v>
      </c>
      <c r="AC515" s="376">
        <f t="shared" si="56"/>
        <v>0.14664175824175818</v>
      </c>
    </row>
    <row r="516" spans="1:29" ht="15.75" customHeight="1">
      <c r="A516" s="430" t="s">
        <v>2725</v>
      </c>
      <c r="B516" s="430" t="s">
        <v>2726</v>
      </c>
      <c r="E516" s="430">
        <v>61040</v>
      </c>
      <c r="F516" s="430" t="s">
        <v>2727</v>
      </c>
      <c r="G516" s="371">
        <v>1</v>
      </c>
      <c r="H516" s="54" t="s">
        <v>73</v>
      </c>
      <c r="L516" s="351" t="s">
        <v>2306</v>
      </c>
      <c r="M516" s="351">
        <v>2.02602062015409E+18</v>
      </c>
      <c r="N516" s="351">
        <v>143790</v>
      </c>
      <c r="O516" s="351" t="s">
        <v>2728</v>
      </c>
      <c r="P516" s="57" t="s">
        <v>41</v>
      </c>
      <c r="Q516" s="73">
        <v>46062</v>
      </c>
      <c r="R516" s="59" t="s">
        <v>41</v>
      </c>
      <c r="S516" s="359">
        <v>45500</v>
      </c>
      <c r="T516" s="56" t="str">
        <f t="shared" si="54"/>
        <v>0</v>
      </c>
      <c r="U516" s="359">
        <v>45500</v>
      </c>
      <c r="V516" s="360">
        <f t="shared" si="57"/>
        <v>41363.63636363636</v>
      </c>
      <c r="W516" s="65">
        <f>IF(H516=재고내역!$F$9,출고요청서_raw!G516*1,IF(H516=재고내역!$F$10,출고요청서_raw!G516*2,IF(출고요청서_raw!H516=재고내역!$F$11,출고요청서_raw!G516*4,IF(출고요청서_raw!H516=재고내역!$F$12,출고요청서_raw!G516*6,IF(출고요청서_raw!H516=재고내역!$F$13,출고요청서_raw!G516*8)))))</f>
        <v>4</v>
      </c>
      <c r="Z516" s="56">
        <f>W516*재고내역!$M$6</f>
        <v>30748</v>
      </c>
      <c r="AA516" s="56">
        <f t="shared" si="58"/>
        <v>4550</v>
      </c>
      <c r="AB516" s="56">
        <f t="shared" si="55"/>
        <v>6065.6363636363603</v>
      </c>
      <c r="AC516" s="376">
        <f t="shared" si="56"/>
        <v>0.14664175824175818</v>
      </c>
    </row>
    <row r="517" spans="1:29" ht="15.75" customHeight="1">
      <c r="A517" s="430" t="s">
        <v>2729</v>
      </c>
      <c r="B517" s="430" t="s">
        <v>2730</v>
      </c>
      <c r="E517" s="430">
        <v>16814</v>
      </c>
      <c r="F517" s="430" t="s">
        <v>2731</v>
      </c>
      <c r="G517" s="371">
        <v>1</v>
      </c>
      <c r="H517" s="54" t="s">
        <v>73</v>
      </c>
      <c r="L517" s="351" t="s">
        <v>2306</v>
      </c>
      <c r="M517" s="351">
        <v>2.02602062013073E+18</v>
      </c>
      <c r="N517" s="351">
        <v>143790</v>
      </c>
      <c r="O517" s="351" t="s">
        <v>2732</v>
      </c>
      <c r="P517" s="57" t="s">
        <v>41</v>
      </c>
      <c r="Q517" s="73">
        <v>46062</v>
      </c>
      <c r="R517" s="59" t="s">
        <v>41</v>
      </c>
      <c r="S517" s="359">
        <v>45500</v>
      </c>
      <c r="T517" s="56" t="str">
        <f t="shared" si="54"/>
        <v>0</v>
      </c>
      <c r="U517" s="359">
        <v>45500</v>
      </c>
      <c r="V517" s="360">
        <f t="shared" si="57"/>
        <v>41363.63636363636</v>
      </c>
      <c r="W517" s="65">
        <f>IF(H517=재고내역!$F$9,출고요청서_raw!G517*1,IF(H517=재고내역!$F$10,출고요청서_raw!G517*2,IF(출고요청서_raw!H517=재고내역!$F$11,출고요청서_raw!G517*4,IF(출고요청서_raw!H517=재고내역!$F$12,출고요청서_raw!G517*6,IF(출고요청서_raw!H517=재고내역!$F$13,출고요청서_raw!G517*8)))))</f>
        <v>4</v>
      </c>
      <c r="Z517" s="56">
        <f>W517*재고내역!$M$6</f>
        <v>30748</v>
      </c>
      <c r="AA517" s="56">
        <f t="shared" si="58"/>
        <v>4550</v>
      </c>
      <c r="AB517" s="56">
        <f t="shared" si="55"/>
        <v>6065.6363636363603</v>
      </c>
      <c r="AC517" s="376">
        <f t="shared" si="56"/>
        <v>0.14664175824175818</v>
      </c>
    </row>
    <row r="518" spans="1:29" ht="15.75" customHeight="1">
      <c r="A518" s="430" t="s">
        <v>2733</v>
      </c>
      <c r="B518" s="430" t="s">
        <v>2734</v>
      </c>
      <c r="E518" s="430">
        <v>38081</v>
      </c>
      <c r="F518" s="430" t="s">
        <v>2735</v>
      </c>
      <c r="G518" s="371">
        <v>1</v>
      </c>
      <c r="H518" s="54" t="s">
        <v>73</v>
      </c>
      <c r="L518" s="351" t="s">
        <v>2306</v>
      </c>
      <c r="M518" s="351">
        <v>2.02602062011104E+18</v>
      </c>
      <c r="N518" s="351">
        <v>143790</v>
      </c>
      <c r="O518" s="351" t="s">
        <v>2736</v>
      </c>
      <c r="P518" s="57" t="s">
        <v>41</v>
      </c>
      <c r="Q518" s="73">
        <v>46062</v>
      </c>
      <c r="R518" s="59" t="s">
        <v>41</v>
      </c>
      <c r="S518" s="359">
        <v>45500</v>
      </c>
      <c r="T518" s="56" t="str">
        <f t="shared" ref="T518:T581" si="59">IF(R518="쿠팡",VLOOKUP(H518,$AF$7:$AG$10,2,0)*G518,"0")</f>
        <v>0</v>
      </c>
      <c r="U518" s="359">
        <v>45500</v>
      </c>
      <c r="V518" s="360">
        <f t="shared" si="57"/>
        <v>41363.63636363636</v>
      </c>
      <c r="W518" s="65">
        <f>IF(H518=재고내역!$F$9,출고요청서_raw!G518*1,IF(H518=재고내역!$F$10,출고요청서_raw!G518*2,IF(출고요청서_raw!H518=재고내역!$F$11,출고요청서_raw!G518*4,IF(출고요청서_raw!H518=재고내역!$F$12,출고요청서_raw!G518*6,IF(출고요청서_raw!H518=재고내역!$F$13,출고요청서_raw!G518*8)))))</f>
        <v>4</v>
      </c>
      <c r="Z518" s="56">
        <f>W518*재고내역!$M$6</f>
        <v>30748</v>
      </c>
      <c r="AA518" s="56">
        <f t="shared" si="58"/>
        <v>4550</v>
      </c>
      <c r="AB518" s="56">
        <f t="shared" ref="AB518:AB581" si="60">V518-Z518-AA518-Y518</f>
        <v>6065.6363636363603</v>
      </c>
      <c r="AC518" s="376">
        <f t="shared" ref="AC518:AC581" si="61">AB518/V518</f>
        <v>0.14664175824175818</v>
      </c>
    </row>
    <row r="519" spans="1:29" ht="15.75" customHeight="1">
      <c r="A519" s="430" t="s">
        <v>2737</v>
      </c>
      <c r="B519" s="430" t="s">
        <v>2738</v>
      </c>
      <c r="E519" s="430">
        <v>13544</v>
      </c>
      <c r="F519" s="430" t="s">
        <v>2739</v>
      </c>
      <c r="G519" s="371">
        <v>1</v>
      </c>
      <c r="H519" s="54" t="s">
        <v>73</v>
      </c>
      <c r="L519" s="351" t="s">
        <v>2306</v>
      </c>
      <c r="M519" s="351">
        <v>2.0260206195657999E+18</v>
      </c>
      <c r="N519" s="351">
        <v>143790</v>
      </c>
      <c r="O519" s="351" t="s">
        <v>2740</v>
      </c>
      <c r="P519" s="57" t="s">
        <v>41</v>
      </c>
      <c r="Q519" s="73">
        <v>46062</v>
      </c>
      <c r="R519" s="59" t="s">
        <v>41</v>
      </c>
      <c r="S519" s="359">
        <v>45500</v>
      </c>
      <c r="T519" s="56" t="str">
        <f t="shared" si="59"/>
        <v>0</v>
      </c>
      <c r="U519" s="359">
        <v>45500</v>
      </c>
      <c r="V519" s="360">
        <f t="shared" si="57"/>
        <v>41363.63636363636</v>
      </c>
      <c r="W519" s="65">
        <f>IF(H519=재고내역!$F$9,출고요청서_raw!G519*1,IF(H519=재고내역!$F$10,출고요청서_raw!G519*2,IF(출고요청서_raw!H519=재고내역!$F$11,출고요청서_raw!G519*4,IF(출고요청서_raw!H519=재고내역!$F$12,출고요청서_raw!G519*6,IF(출고요청서_raw!H519=재고내역!$F$13,출고요청서_raw!G519*8)))))</f>
        <v>4</v>
      </c>
      <c r="Z519" s="56">
        <f>W519*재고내역!$M$6</f>
        <v>30748</v>
      </c>
      <c r="AA519" s="56">
        <f t="shared" si="58"/>
        <v>4550</v>
      </c>
      <c r="AB519" s="56">
        <f t="shared" si="60"/>
        <v>6065.6363636363603</v>
      </c>
      <c r="AC519" s="376">
        <f t="shared" si="61"/>
        <v>0.14664175824175818</v>
      </c>
    </row>
    <row r="520" spans="1:29" ht="15.75" customHeight="1">
      <c r="A520" s="430" t="s">
        <v>2741</v>
      </c>
      <c r="B520" s="430" t="s">
        <v>2742</v>
      </c>
      <c r="E520" s="430">
        <v>3380</v>
      </c>
      <c r="F520" s="430" t="s">
        <v>2743</v>
      </c>
      <c r="G520" s="371">
        <v>3</v>
      </c>
      <c r="H520" s="54" t="s">
        <v>73</v>
      </c>
      <c r="L520" s="351" t="s">
        <v>2306</v>
      </c>
      <c r="M520" s="351">
        <v>2.0260206195031501E+18</v>
      </c>
      <c r="N520" s="351">
        <v>143790</v>
      </c>
      <c r="O520" s="351" t="s">
        <v>2744</v>
      </c>
      <c r="P520" s="57" t="s">
        <v>41</v>
      </c>
      <c r="Q520" s="73">
        <v>46062</v>
      </c>
      <c r="R520" s="59" t="s">
        <v>41</v>
      </c>
      <c r="S520" s="359">
        <v>136500</v>
      </c>
      <c r="T520" s="56" t="str">
        <f t="shared" si="59"/>
        <v>0</v>
      </c>
      <c r="U520" s="359">
        <v>136500</v>
      </c>
      <c r="V520" s="360">
        <f t="shared" si="57"/>
        <v>124090.90909090907</v>
      </c>
      <c r="W520" s="65">
        <f>IF(H520=재고내역!$F$9,출고요청서_raw!G520*1,IF(H520=재고내역!$F$10,출고요청서_raw!G520*2,IF(출고요청서_raw!H520=재고내역!$F$11,출고요청서_raw!G520*4,IF(출고요청서_raw!H520=재고내역!$F$12,출고요청서_raw!G520*6,IF(출고요청서_raw!H520=재고내역!$F$13,출고요청서_raw!G520*8)))))</f>
        <v>12</v>
      </c>
      <c r="Z520" s="56">
        <f>W520*재고내역!$M$6</f>
        <v>92244</v>
      </c>
      <c r="AA520" s="56">
        <f t="shared" si="58"/>
        <v>9100</v>
      </c>
      <c r="AB520" s="56">
        <f t="shared" si="60"/>
        <v>22746.909090909074</v>
      </c>
      <c r="AC520" s="376">
        <f t="shared" si="61"/>
        <v>0.18330842490842481</v>
      </c>
    </row>
    <row r="521" spans="1:29" ht="15.75" customHeight="1">
      <c r="A521" s="430" t="s">
        <v>2745</v>
      </c>
      <c r="B521" s="430" t="s">
        <v>2746</v>
      </c>
      <c r="E521" s="430">
        <v>12095</v>
      </c>
      <c r="F521" s="430" t="s">
        <v>2747</v>
      </c>
      <c r="G521" s="371">
        <v>1</v>
      </c>
      <c r="H521" s="54" t="s">
        <v>73</v>
      </c>
      <c r="L521" s="351" t="s">
        <v>2306</v>
      </c>
      <c r="M521" s="351">
        <v>2.0260206194915599E+18</v>
      </c>
      <c r="N521" s="351">
        <v>143790</v>
      </c>
      <c r="O521" s="351" t="s">
        <v>2748</v>
      </c>
      <c r="P521" s="57" t="s">
        <v>41</v>
      </c>
      <c r="Q521" s="73">
        <v>46062</v>
      </c>
      <c r="R521" s="59" t="s">
        <v>41</v>
      </c>
      <c r="S521" s="359">
        <v>45500</v>
      </c>
      <c r="T521" s="56" t="str">
        <f t="shared" si="59"/>
        <v>0</v>
      </c>
      <c r="U521" s="359">
        <v>45500</v>
      </c>
      <c r="V521" s="360">
        <f t="shared" si="57"/>
        <v>41363.63636363636</v>
      </c>
      <c r="W521" s="65">
        <f>IF(H521=재고내역!$F$9,출고요청서_raw!G521*1,IF(H521=재고내역!$F$10,출고요청서_raw!G521*2,IF(출고요청서_raw!H521=재고내역!$F$11,출고요청서_raw!G521*4,IF(출고요청서_raw!H521=재고내역!$F$12,출고요청서_raw!G521*6,IF(출고요청서_raw!H521=재고내역!$F$13,출고요청서_raw!G521*8)))))</f>
        <v>4</v>
      </c>
      <c r="Z521" s="56">
        <f>W521*재고내역!$M$6</f>
        <v>30748</v>
      </c>
      <c r="AA521" s="56">
        <f t="shared" si="58"/>
        <v>4550</v>
      </c>
      <c r="AB521" s="56">
        <f t="shared" si="60"/>
        <v>6065.6363636363603</v>
      </c>
      <c r="AC521" s="376">
        <f t="shared" si="61"/>
        <v>0.14664175824175818</v>
      </c>
    </row>
    <row r="522" spans="1:29" ht="15.75" customHeight="1">
      <c r="A522" s="430" t="s">
        <v>2749</v>
      </c>
      <c r="B522" s="430" t="s">
        <v>2750</v>
      </c>
      <c r="E522" s="430">
        <v>12082</v>
      </c>
      <c r="F522" s="430" t="s">
        <v>2751</v>
      </c>
      <c r="G522" s="371">
        <v>1</v>
      </c>
      <c r="H522" s="54" t="s">
        <v>73</v>
      </c>
      <c r="L522" s="351" t="s">
        <v>2306</v>
      </c>
      <c r="M522" s="351">
        <v>2.0260206193542799E+18</v>
      </c>
      <c r="N522" s="351">
        <v>143790</v>
      </c>
      <c r="O522" s="351" t="s">
        <v>2752</v>
      </c>
      <c r="P522" s="57" t="s">
        <v>41</v>
      </c>
      <c r="Q522" s="73">
        <v>46062</v>
      </c>
      <c r="R522" s="59" t="s">
        <v>41</v>
      </c>
      <c r="S522" s="359">
        <v>45500</v>
      </c>
      <c r="T522" s="56" t="str">
        <f t="shared" si="59"/>
        <v>0</v>
      </c>
      <c r="U522" s="359">
        <v>45500</v>
      </c>
      <c r="V522" s="360">
        <f t="shared" si="57"/>
        <v>41363.63636363636</v>
      </c>
      <c r="W522" s="65">
        <f>IF(H522=재고내역!$F$9,출고요청서_raw!G522*1,IF(H522=재고내역!$F$10,출고요청서_raw!G522*2,IF(출고요청서_raw!H522=재고내역!$F$11,출고요청서_raw!G522*4,IF(출고요청서_raw!H522=재고내역!$F$12,출고요청서_raw!G522*6,IF(출고요청서_raw!H522=재고내역!$F$13,출고요청서_raw!G522*8)))))</f>
        <v>4</v>
      </c>
      <c r="Z522" s="56">
        <f>W522*재고내역!$M$6</f>
        <v>30748</v>
      </c>
      <c r="AA522" s="56">
        <f t="shared" si="58"/>
        <v>4550</v>
      </c>
      <c r="AB522" s="56">
        <f t="shared" si="60"/>
        <v>6065.6363636363603</v>
      </c>
      <c r="AC522" s="376">
        <f t="shared" si="61"/>
        <v>0.14664175824175818</v>
      </c>
    </row>
    <row r="523" spans="1:29" ht="15.75" customHeight="1">
      <c r="A523" s="430" t="s">
        <v>2753</v>
      </c>
      <c r="B523" s="430" t="s">
        <v>2754</v>
      </c>
      <c r="E523" s="430">
        <v>15352</v>
      </c>
      <c r="F523" s="430" t="s">
        <v>2755</v>
      </c>
      <c r="G523" s="371">
        <v>1</v>
      </c>
      <c r="H523" s="54" t="s">
        <v>73</v>
      </c>
      <c r="L523" s="351" t="s">
        <v>2306</v>
      </c>
      <c r="M523" s="351">
        <v>2.0260206193314199E+18</v>
      </c>
      <c r="N523" s="351">
        <v>143790</v>
      </c>
      <c r="O523" s="351" t="s">
        <v>2756</v>
      </c>
      <c r="P523" s="57" t="s">
        <v>41</v>
      </c>
      <c r="Q523" s="73">
        <v>46062</v>
      </c>
      <c r="R523" s="59" t="s">
        <v>41</v>
      </c>
      <c r="S523" s="359">
        <v>45500</v>
      </c>
      <c r="T523" s="56" t="str">
        <f t="shared" si="59"/>
        <v>0</v>
      </c>
      <c r="U523" s="359">
        <v>45500</v>
      </c>
      <c r="V523" s="360">
        <f t="shared" si="57"/>
        <v>41363.63636363636</v>
      </c>
      <c r="W523" s="65">
        <f>IF(H523=재고내역!$F$9,출고요청서_raw!G523*1,IF(H523=재고내역!$F$10,출고요청서_raw!G523*2,IF(출고요청서_raw!H523=재고내역!$F$11,출고요청서_raw!G523*4,IF(출고요청서_raw!H523=재고내역!$F$12,출고요청서_raw!G523*6,IF(출고요청서_raw!H523=재고내역!$F$13,출고요청서_raw!G523*8)))))</f>
        <v>4</v>
      </c>
      <c r="Z523" s="56">
        <f>W523*재고내역!$M$6</f>
        <v>30748</v>
      </c>
      <c r="AA523" s="56">
        <f t="shared" si="58"/>
        <v>4550</v>
      </c>
      <c r="AB523" s="56">
        <f t="shared" si="60"/>
        <v>6065.6363636363603</v>
      </c>
      <c r="AC523" s="376">
        <f t="shared" si="61"/>
        <v>0.14664175824175818</v>
      </c>
    </row>
    <row r="524" spans="1:29" ht="15.75" customHeight="1">
      <c r="A524" s="430" t="s">
        <v>2757</v>
      </c>
      <c r="B524" s="430" t="s">
        <v>2758</v>
      </c>
      <c r="E524" s="430">
        <v>1626</v>
      </c>
      <c r="F524" s="430" t="s">
        <v>2759</v>
      </c>
      <c r="G524" s="371">
        <v>1</v>
      </c>
      <c r="H524" s="54" t="s">
        <v>73</v>
      </c>
      <c r="L524" s="351" t="s">
        <v>2306</v>
      </c>
      <c r="M524" s="351">
        <v>2.02602061922243E+18</v>
      </c>
      <c r="N524" s="351">
        <v>143790</v>
      </c>
      <c r="O524" s="351" t="s">
        <v>2760</v>
      </c>
      <c r="P524" s="57" t="s">
        <v>41</v>
      </c>
      <c r="Q524" s="73">
        <v>46062</v>
      </c>
      <c r="R524" s="59" t="s">
        <v>41</v>
      </c>
      <c r="S524" s="359">
        <v>45500</v>
      </c>
      <c r="T524" s="56" t="str">
        <f t="shared" si="59"/>
        <v>0</v>
      </c>
      <c r="U524" s="359">
        <v>45500</v>
      </c>
      <c r="V524" s="360">
        <f t="shared" si="57"/>
        <v>41363.63636363636</v>
      </c>
      <c r="W524" s="65">
        <f>IF(H524=재고내역!$F$9,출고요청서_raw!G524*1,IF(H524=재고내역!$F$10,출고요청서_raw!G524*2,IF(출고요청서_raw!H524=재고내역!$F$11,출고요청서_raw!G524*4,IF(출고요청서_raw!H524=재고내역!$F$12,출고요청서_raw!G524*6,IF(출고요청서_raw!H524=재고내역!$F$13,출고요청서_raw!G524*8)))))</f>
        <v>4</v>
      </c>
      <c r="Z524" s="56">
        <f>W524*재고내역!$M$6</f>
        <v>30748</v>
      </c>
      <c r="AA524" s="56">
        <f t="shared" si="58"/>
        <v>4550</v>
      </c>
      <c r="AB524" s="56">
        <f t="shared" si="60"/>
        <v>6065.6363636363603</v>
      </c>
      <c r="AC524" s="376">
        <f t="shared" si="61"/>
        <v>0.14664175824175818</v>
      </c>
    </row>
    <row r="525" spans="1:29" ht="15.75" customHeight="1">
      <c r="A525" s="430" t="s">
        <v>2761</v>
      </c>
      <c r="B525" s="430" t="s">
        <v>2762</v>
      </c>
      <c r="E525" s="430">
        <v>21557</v>
      </c>
      <c r="F525" s="430" t="s">
        <v>2763</v>
      </c>
      <c r="G525" s="371">
        <v>1</v>
      </c>
      <c r="H525" s="54" t="s">
        <v>73</v>
      </c>
      <c r="L525" s="351" t="s">
        <v>2306</v>
      </c>
      <c r="M525" s="351">
        <v>2.0260206191939899E+18</v>
      </c>
      <c r="N525" s="351">
        <v>143790</v>
      </c>
      <c r="O525" s="351" t="s">
        <v>2764</v>
      </c>
      <c r="P525" s="57" t="s">
        <v>41</v>
      </c>
      <c r="Q525" s="73">
        <v>46062</v>
      </c>
      <c r="R525" s="59" t="s">
        <v>41</v>
      </c>
      <c r="S525" s="359">
        <v>45500</v>
      </c>
      <c r="T525" s="56" t="str">
        <f t="shared" si="59"/>
        <v>0</v>
      </c>
      <c r="U525" s="359">
        <v>45500</v>
      </c>
      <c r="V525" s="360">
        <f t="shared" si="57"/>
        <v>41363.63636363636</v>
      </c>
      <c r="W525" s="65">
        <f>IF(H525=재고내역!$F$9,출고요청서_raw!G525*1,IF(H525=재고내역!$F$10,출고요청서_raw!G525*2,IF(출고요청서_raw!H525=재고내역!$F$11,출고요청서_raw!G525*4,IF(출고요청서_raw!H525=재고내역!$F$12,출고요청서_raw!G525*6,IF(출고요청서_raw!H525=재고내역!$F$13,출고요청서_raw!G525*8)))))</f>
        <v>4</v>
      </c>
      <c r="Z525" s="56">
        <f>W525*재고내역!$M$6</f>
        <v>30748</v>
      </c>
      <c r="AA525" s="56">
        <f t="shared" si="58"/>
        <v>4550</v>
      </c>
      <c r="AB525" s="56">
        <f t="shared" si="60"/>
        <v>6065.6363636363603</v>
      </c>
      <c r="AC525" s="376">
        <f t="shared" si="61"/>
        <v>0.14664175824175818</v>
      </c>
    </row>
    <row r="526" spans="1:29" ht="15.75" customHeight="1">
      <c r="A526" s="430" t="s">
        <v>2765</v>
      </c>
      <c r="B526" s="430" t="s">
        <v>2766</v>
      </c>
      <c r="E526" s="430">
        <v>13013</v>
      </c>
      <c r="F526" s="430" t="s">
        <v>2767</v>
      </c>
      <c r="G526" s="371">
        <v>1</v>
      </c>
      <c r="H526" s="54" t="s">
        <v>73</v>
      </c>
      <c r="L526" s="351" t="s">
        <v>2306</v>
      </c>
      <c r="M526" s="351">
        <v>2.02602061919006E+18</v>
      </c>
      <c r="N526" s="351">
        <v>143790</v>
      </c>
      <c r="O526" s="351" t="s">
        <v>2768</v>
      </c>
      <c r="P526" s="57" t="s">
        <v>41</v>
      </c>
      <c r="Q526" s="73">
        <v>46062</v>
      </c>
      <c r="R526" s="59" t="s">
        <v>41</v>
      </c>
      <c r="S526" s="359">
        <v>45500</v>
      </c>
      <c r="T526" s="56" t="str">
        <f t="shared" si="59"/>
        <v>0</v>
      </c>
      <c r="U526" s="359">
        <v>45500</v>
      </c>
      <c r="V526" s="360">
        <f t="shared" si="57"/>
        <v>41363.63636363636</v>
      </c>
      <c r="W526" s="65">
        <f>IF(H526=재고내역!$F$9,출고요청서_raw!G526*1,IF(H526=재고내역!$F$10,출고요청서_raw!G526*2,IF(출고요청서_raw!H526=재고내역!$F$11,출고요청서_raw!G526*4,IF(출고요청서_raw!H526=재고내역!$F$12,출고요청서_raw!G526*6,IF(출고요청서_raw!H526=재고내역!$F$13,출고요청서_raw!G526*8)))))</f>
        <v>4</v>
      </c>
      <c r="Z526" s="56">
        <f>W526*재고내역!$M$6</f>
        <v>30748</v>
      </c>
      <c r="AA526" s="56">
        <f t="shared" si="58"/>
        <v>4550</v>
      </c>
      <c r="AB526" s="56">
        <f t="shared" si="60"/>
        <v>6065.6363636363603</v>
      </c>
      <c r="AC526" s="376">
        <f t="shared" si="61"/>
        <v>0.14664175824175818</v>
      </c>
    </row>
    <row r="527" spans="1:29" ht="15.75" customHeight="1">
      <c r="A527" s="430" t="s">
        <v>2769</v>
      </c>
      <c r="B527" s="430" t="s">
        <v>2770</v>
      </c>
      <c r="E527" s="430">
        <v>2874</v>
      </c>
      <c r="F527" s="430" t="s">
        <v>2771</v>
      </c>
      <c r="G527" s="371">
        <v>1</v>
      </c>
      <c r="H527" s="54" t="s">
        <v>73</v>
      </c>
      <c r="L527" s="351" t="s">
        <v>2306</v>
      </c>
      <c r="M527" s="351">
        <v>2.0260206191847401E+18</v>
      </c>
      <c r="N527" s="351">
        <v>143790</v>
      </c>
      <c r="O527" s="351" t="s">
        <v>2772</v>
      </c>
      <c r="P527" s="57" t="s">
        <v>41</v>
      </c>
      <c r="Q527" s="73">
        <v>46062</v>
      </c>
      <c r="R527" s="59" t="s">
        <v>41</v>
      </c>
      <c r="S527" s="359">
        <v>45500</v>
      </c>
      <c r="T527" s="56" t="str">
        <f t="shared" si="59"/>
        <v>0</v>
      </c>
      <c r="U527" s="359">
        <v>45500</v>
      </c>
      <c r="V527" s="360">
        <f t="shared" si="57"/>
        <v>41363.63636363636</v>
      </c>
      <c r="W527" s="65">
        <f>IF(H527=재고내역!$F$9,출고요청서_raw!G527*1,IF(H527=재고내역!$F$10,출고요청서_raw!G527*2,IF(출고요청서_raw!H527=재고내역!$F$11,출고요청서_raw!G527*4,IF(출고요청서_raw!H527=재고내역!$F$12,출고요청서_raw!G527*6,IF(출고요청서_raw!H527=재고내역!$F$13,출고요청서_raw!G527*8)))))</f>
        <v>4</v>
      </c>
      <c r="Z527" s="56">
        <f>W527*재고내역!$M$6</f>
        <v>30748</v>
      </c>
      <c r="AA527" s="56">
        <f t="shared" si="58"/>
        <v>4550</v>
      </c>
      <c r="AB527" s="56">
        <f t="shared" si="60"/>
        <v>6065.6363636363603</v>
      </c>
      <c r="AC527" s="376">
        <f t="shared" si="61"/>
        <v>0.14664175824175818</v>
      </c>
    </row>
    <row r="528" spans="1:29" ht="15.75" customHeight="1">
      <c r="A528" s="430" t="s">
        <v>2773</v>
      </c>
      <c r="B528" s="430" t="s">
        <v>2774</v>
      </c>
      <c r="E528" s="430">
        <v>47803</v>
      </c>
      <c r="F528" s="430" t="s">
        <v>2775</v>
      </c>
      <c r="G528" s="371">
        <v>1</v>
      </c>
      <c r="H528" s="54" t="s">
        <v>73</v>
      </c>
      <c r="L528" s="351" t="s">
        <v>2776</v>
      </c>
      <c r="M528" s="351">
        <v>2.0260206191706199E+18</v>
      </c>
      <c r="N528" s="351">
        <v>143790</v>
      </c>
      <c r="O528" s="351" t="s">
        <v>2777</v>
      </c>
      <c r="P528" s="57" t="s">
        <v>41</v>
      </c>
      <c r="Q528" s="73">
        <v>46062</v>
      </c>
      <c r="R528" s="59" t="s">
        <v>41</v>
      </c>
      <c r="S528" s="359">
        <v>45500</v>
      </c>
      <c r="T528" s="56" t="str">
        <f t="shared" si="59"/>
        <v>0</v>
      </c>
      <c r="U528" s="359">
        <v>45500</v>
      </c>
      <c r="V528" s="360">
        <f t="shared" si="57"/>
        <v>41363.63636363636</v>
      </c>
      <c r="W528" s="65">
        <f>IF(H528=재고내역!$F$9,출고요청서_raw!G528*1,IF(H528=재고내역!$F$10,출고요청서_raw!G528*2,IF(출고요청서_raw!H528=재고내역!$F$11,출고요청서_raw!G528*4,IF(출고요청서_raw!H528=재고내역!$F$12,출고요청서_raw!G528*6,IF(출고요청서_raw!H528=재고내역!$F$13,출고요청서_raw!G528*8)))))</f>
        <v>4</v>
      </c>
      <c r="Z528" s="56">
        <f>W528*재고내역!$M$6</f>
        <v>30748</v>
      </c>
      <c r="AA528" s="56">
        <f t="shared" si="58"/>
        <v>4550</v>
      </c>
      <c r="AB528" s="56">
        <f t="shared" si="60"/>
        <v>6065.6363636363603</v>
      </c>
      <c r="AC528" s="376">
        <f t="shared" si="61"/>
        <v>0.14664175824175818</v>
      </c>
    </row>
    <row r="529" spans="1:29" ht="15.75" customHeight="1">
      <c r="A529" s="430" t="s">
        <v>2778</v>
      </c>
      <c r="B529" s="430" t="s">
        <v>2779</v>
      </c>
      <c r="E529" s="430">
        <v>5080</v>
      </c>
      <c r="F529" s="430" t="s">
        <v>2780</v>
      </c>
      <c r="G529" s="371">
        <v>1</v>
      </c>
      <c r="H529" s="54" t="s">
        <v>73</v>
      </c>
      <c r="L529" s="351" t="s">
        <v>2306</v>
      </c>
      <c r="M529" s="351">
        <v>2.0260206191706801E+18</v>
      </c>
      <c r="N529" s="351">
        <v>143790</v>
      </c>
      <c r="O529" s="351" t="s">
        <v>2781</v>
      </c>
      <c r="P529" s="57" t="s">
        <v>41</v>
      </c>
      <c r="Q529" s="73">
        <v>46062</v>
      </c>
      <c r="R529" s="59" t="s">
        <v>41</v>
      </c>
      <c r="S529" s="359">
        <v>45500</v>
      </c>
      <c r="T529" s="56" t="str">
        <f t="shared" si="59"/>
        <v>0</v>
      </c>
      <c r="U529" s="359">
        <v>45500</v>
      </c>
      <c r="V529" s="360">
        <f t="shared" si="57"/>
        <v>41363.63636363636</v>
      </c>
      <c r="W529" s="65">
        <f>IF(H529=재고내역!$F$9,출고요청서_raw!G529*1,IF(H529=재고내역!$F$10,출고요청서_raw!G529*2,IF(출고요청서_raw!H529=재고내역!$F$11,출고요청서_raw!G529*4,IF(출고요청서_raw!H529=재고내역!$F$12,출고요청서_raw!G529*6,IF(출고요청서_raw!H529=재고내역!$F$13,출고요청서_raw!G529*8)))))</f>
        <v>4</v>
      </c>
      <c r="Z529" s="56">
        <f>W529*재고내역!$M$6</f>
        <v>30748</v>
      </c>
      <c r="AA529" s="56">
        <f t="shared" si="58"/>
        <v>4550</v>
      </c>
      <c r="AB529" s="56">
        <f t="shared" si="60"/>
        <v>6065.6363636363603</v>
      </c>
      <c r="AC529" s="376">
        <f t="shared" si="61"/>
        <v>0.14664175824175818</v>
      </c>
    </row>
    <row r="530" spans="1:29" ht="15.75" customHeight="1">
      <c r="A530" s="430" t="s">
        <v>2782</v>
      </c>
      <c r="B530" s="430" t="s">
        <v>2783</v>
      </c>
      <c r="E530" s="430">
        <v>53216</v>
      </c>
      <c r="F530" s="430" t="s">
        <v>2784</v>
      </c>
      <c r="G530" s="371">
        <v>1</v>
      </c>
      <c r="H530" s="54" t="s">
        <v>73</v>
      </c>
      <c r="L530" s="351" t="s">
        <v>2306</v>
      </c>
      <c r="M530" s="351">
        <v>2.0260206191426501E+18</v>
      </c>
      <c r="N530" s="351">
        <v>143790</v>
      </c>
      <c r="O530" s="351" t="s">
        <v>2785</v>
      </c>
      <c r="P530" s="57" t="s">
        <v>41</v>
      </c>
      <c r="Q530" s="73">
        <v>46062</v>
      </c>
      <c r="R530" s="59" t="s">
        <v>41</v>
      </c>
      <c r="S530" s="359">
        <v>45500</v>
      </c>
      <c r="T530" s="56" t="str">
        <f t="shared" si="59"/>
        <v>0</v>
      </c>
      <c r="U530" s="359">
        <v>45500</v>
      </c>
      <c r="V530" s="360">
        <f t="shared" si="57"/>
        <v>41363.63636363636</v>
      </c>
      <c r="W530" s="65">
        <f>IF(H530=재고내역!$F$9,출고요청서_raw!G530*1,IF(H530=재고내역!$F$10,출고요청서_raw!G530*2,IF(출고요청서_raw!H530=재고내역!$F$11,출고요청서_raw!G530*4,IF(출고요청서_raw!H530=재고내역!$F$12,출고요청서_raw!G530*6,IF(출고요청서_raw!H530=재고내역!$F$13,출고요청서_raw!G530*8)))))</f>
        <v>4</v>
      </c>
      <c r="Z530" s="56">
        <f>W530*재고내역!$M$6</f>
        <v>30748</v>
      </c>
      <c r="AA530" s="56">
        <f t="shared" si="58"/>
        <v>4550</v>
      </c>
      <c r="AB530" s="56">
        <f t="shared" si="60"/>
        <v>6065.6363636363603</v>
      </c>
      <c r="AC530" s="376">
        <f t="shared" si="61"/>
        <v>0.14664175824175818</v>
      </c>
    </row>
    <row r="531" spans="1:29" ht="15.75" customHeight="1">
      <c r="A531" s="430" t="s">
        <v>2786</v>
      </c>
      <c r="B531" s="430" t="s">
        <v>2787</v>
      </c>
      <c r="E531" s="430">
        <v>10893</v>
      </c>
      <c r="F531" s="430" t="s">
        <v>2788</v>
      </c>
      <c r="G531" s="371">
        <v>1</v>
      </c>
      <c r="H531" s="54" t="s">
        <v>73</v>
      </c>
      <c r="L531" s="351" t="s">
        <v>2306</v>
      </c>
      <c r="M531" s="351">
        <v>2.02602061914402E+18</v>
      </c>
      <c r="N531" s="351">
        <v>143790</v>
      </c>
      <c r="O531" s="351" t="s">
        <v>2789</v>
      </c>
      <c r="P531" s="57" t="s">
        <v>41</v>
      </c>
      <c r="Q531" s="73">
        <v>46062</v>
      </c>
      <c r="R531" s="59" t="s">
        <v>41</v>
      </c>
      <c r="S531" s="359">
        <v>45500</v>
      </c>
      <c r="T531" s="56" t="str">
        <f t="shared" si="59"/>
        <v>0</v>
      </c>
      <c r="U531" s="359">
        <v>45500</v>
      </c>
      <c r="V531" s="360">
        <f t="shared" si="57"/>
        <v>41363.63636363636</v>
      </c>
      <c r="W531" s="65">
        <f>IF(H531=재고내역!$F$9,출고요청서_raw!G531*1,IF(H531=재고내역!$F$10,출고요청서_raw!G531*2,IF(출고요청서_raw!H531=재고내역!$F$11,출고요청서_raw!G531*4,IF(출고요청서_raw!H531=재고내역!$F$12,출고요청서_raw!G531*6,IF(출고요청서_raw!H531=재고내역!$F$13,출고요청서_raw!G531*8)))))</f>
        <v>4</v>
      </c>
      <c r="Z531" s="56">
        <f>W531*재고내역!$M$6</f>
        <v>30748</v>
      </c>
      <c r="AA531" s="56">
        <f t="shared" si="58"/>
        <v>4550</v>
      </c>
      <c r="AB531" s="56">
        <f t="shared" si="60"/>
        <v>6065.6363636363603</v>
      </c>
      <c r="AC531" s="376">
        <f t="shared" si="61"/>
        <v>0.14664175824175818</v>
      </c>
    </row>
    <row r="532" spans="1:29" ht="15.75" customHeight="1">
      <c r="A532" s="430" t="s">
        <v>2790</v>
      </c>
      <c r="B532" s="430" t="s">
        <v>2791</v>
      </c>
      <c r="E532" s="430">
        <v>5085</v>
      </c>
      <c r="F532" s="430" t="s">
        <v>2792</v>
      </c>
      <c r="G532" s="371">
        <v>1</v>
      </c>
      <c r="H532" s="54" t="s">
        <v>73</v>
      </c>
      <c r="L532" s="351" t="s">
        <v>2793</v>
      </c>
      <c r="M532" s="351">
        <v>2.0260206191224801E+18</v>
      </c>
      <c r="N532" s="351">
        <v>143790</v>
      </c>
      <c r="O532" s="351" t="s">
        <v>2794</v>
      </c>
      <c r="P532" s="57" t="s">
        <v>41</v>
      </c>
      <c r="Q532" s="73">
        <v>46062</v>
      </c>
      <c r="R532" s="59" t="s">
        <v>41</v>
      </c>
      <c r="S532" s="359">
        <v>45500</v>
      </c>
      <c r="T532" s="56" t="str">
        <f t="shared" si="59"/>
        <v>0</v>
      </c>
      <c r="U532" s="359">
        <v>45500</v>
      </c>
      <c r="V532" s="360">
        <f t="shared" si="57"/>
        <v>41363.63636363636</v>
      </c>
      <c r="W532" s="65">
        <f>IF(H532=재고내역!$F$9,출고요청서_raw!G532*1,IF(H532=재고내역!$F$10,출고요청서_raw!G532*2,IF(출고요청서_raw!H532=재고내역!$F$11,출고요청서_raw!G532*4,IF(출고요청서_raw!H532=재고내역!$F$12,출고요청서_raw!G532*6,IF(출고요청서_raw!H532=재고내역!$F$13,출고요청서_raw!G532*8)))))</f>
        <v>4</v>
      </c>
      <c r="Z532" s="56">
        <f>W532*재고내역!$M$6</f>
        <v>30748</v>
      </c>
      <c r="AA532" s="56">
        <f t="shared" si="58"/>
        <v>4550</v>
      </c>
      <c r="AB532" s="56">
        <f t="shared" si="60"/>
        <v>6065.6363636363603</v>
      </c>
      <c r="AC532" s="376">
        <f t="shared" si="61"/>
        <v>0.14664175824175818</v>
      </c>
    </row>
    <row r="533" spans="1:29" ht="15.75" customHeight="1">
      <c r="A533" s="430" t="s">
        <v>2795</v>
      </c>
      <c r="B533" s="430" t="s">
        <v>2796</v>
      </c>
      <c r="E533" s="430">
        <v>2442</v>
      </c>
      <c r="F533" s="430" t="s">
        <v>2797</v>
      </c>
      <c r="G533" s="371">
        <v>2</v>
      </c>
      <c r="H533" s="54" t="s">
        <v>73</v>
      </c>
      <c r="L533" s="351" t="s">
        <v>2306</v>
      </c>
      <c r="M533" s="351">
        <v>2.0260206191314601E+18</v>
      </c>
      <c r="N533" s="351">
        <v>143790</v>
      </c>
      <c r="O533" s="351" t="s">
        <v>2798</v>
      </c>
      <c r="P533" s="57" t="s">
        <v>41</v>
      </c>
      <c r="Q533" s="73">
        <v>46062</v>
      </c>
      <c r="R533" s="59" t="s">
        <v>41</v>
      </c>
      <c r="S533" s="359">
        <v>91000</v>
      </c>
      <c r="T533" s="56" t="str">
        <f t="shared" si="59"/>
        <v>0</v>
      </c>
      <c r="U533" s="359">
        <v>91000</v>
      </c>
      <c r="V533" s="360">
        <f t="shared" si="57"/>
        <v>82727.272727272721</v>
      </c>
      <c r="W533" s="65">
        <f>IF(H533=재고내역!$F$9,출고요청서_raw!G533*1,IF(H533=재고내역!$F$10,출고요청서_raw!G533*2,IF(출고요청서_raw!H533=재고내역!$F$11,출고요청서_raw!G533*4,IF(출고요청서_raw!H533=재고내역!$F$12,출고요청서_raw!G533*6,IF(출고요청서_raw!H533=재고내역!$F$13,출고요청서_raw!G533*8)))))</f>
        <v>8</v>
      </c>
      <c r="Z533" s="56">
        <f>W533*재고내역!$M$6</f>
        <v>61496</v>
      </c>
      <c r="AA533" s="56">
        <f t="shared" si="58"/>
        <v>4550</v>
      </c>
      <c r="AB533" s="56">
        <f t="shared" si="60"/>
        <v>16681.272727272721</v>
      </c>
      <c r="AC533" s="376">
        <f t="shared" si="61"/>
        <v>0.20164175824175817</v>
      </c>
    </row>
    <row r="534" spans="1:29" ht="15.75" customHeight="1">
      <c r="A534" s="430" t="s">
        <v>2799</v>
      </c>
      <c r="B534" s="430" t="s">
        <v>2800</v>
      </c>
      <c r="E534" s="430">
        <v>6278</v>
      </c>
      <c r="F534" s="430" t="s">
        <v>2801</v>
      </c>
      <c r="G534" s="371">
        <v>1</v>
      </c>
      <c r="H534" s="54" t="s">
        <v>73</v>
      </c>
      <c r="L534" s="351" t="s">
        <v>2306</v>
      </c>
      <c r="M534" s="351">
        <v>2.02602061912463E+18</v>
      </c>
      <c r="N534" s="351">
        <v>143790</v>
      </c>
      <c r="O534" s="351" t="s">
        <v>2802</v>
      </c>
      <c r="P534" s="57" t="s">
        <v>41</v>
      </c>
      <c r="Q534" s="73">
        <v>46062</v>
      </c>
      <c r="R534" s="59" t="s">
        <v>41</v>
      </c>
      <c r="S534" s="359">
        <v>45500</v>
      </c>
      <c r="T534" s="56" t="str">
        <f t="shared" si="59"/>
        <v>0</v>
      </c>
      <c r="U534" s="359">
        <v>45500</v>
      </c>
      <c r="V534" s="360">
        <f t="shared" si="57"/>
        <v>41363.63636363636</v>
      </c>
      <c r="W534" s="65">
        <f>IF(H534=재고내역!$F$9,출고요청서_raw!G534*1,IF(H534=재고내역!$F$10,출고요청서_raw!G534*2,IF(출고요청서_raw!H534=재고내역!$F$11,출고요청서_raw!G534*4,IF(출고요청서_raw!H534=재고내역!$F$12,출고요청서_raw!G534*6,IF(출고요청서_raw!H534=재고내역!$F$13,출고요청서_raw!G534*8)))))</f>
        <v>4</v>
      </c>
      <c r="Z534" s="56">
        <f>W534*재고내역!$M$6</f>
        <v>30748</v>
      </c>
      <c r="AA534" s="56">
        <f t="shared" si="58"/>
        <v>4550</v>
      </c>
      <c r="AB534" s="56">
        <f t="shared" si="60"/>
        <v>6065.6363636363603</v>
      </c>
      <c r="AC534" s="376">
        <f t="shared" si="61"/>
        <v>0.14664175824175818</v>
      </c>
    </row>
    <row r="535" spans="1:29" ht="15.75" customHeight="1">
      <c r="A535" s="430" t="s">
        <v>2803</v>
      </c>
      <c r="B535" s="430" t="s">
        <v>2804</v>
      </c>
      <c r="E535" s="430">
        <v>2725</v>
      </c>
      <c r="F535" s="430" t="s">
        <v>2805</v>
      </c>
      <c r="G535" s="371">
        <v>1</v>
      </c>
      <c r="H535" s="54" t="s">
        <v>73</v>
      </c>
      <c r="L535" s="351" t="s">
        <v>2306</v>
      </c>
      <c r="M535" s="351">
        <v>2.02602061913219E+18</v>
      </c>
      <c r="N535" s="351">
        <v>143790</v>
      </c>
      <c r="O535" s="351" t="s">
        <v>2806</v>
      </c>
      <c r="P535" s="57" t="s">
        <v>41</v>
      </c>
      <c r="Q535" s="73">
        <v>46062</v>
      </c>
      <c r="R535" s="59" t="s">
        <v>41</v>
      </c>
      <c r="S535" s="359">
        <v>45500</v>
      </c>
      <c r="T535" s="56" t="str">
        <f t="shared" si="59"/>
        <v>0</v>
      </c>
      <c r="U535" s="359">
        <v>45500</v>
      </c>
      <c r="V535" s="360">
        <f t="shared" si="57"/>
        <v>41363.63636363636</v>
      </c>
      <c r="W535" s="65">
        <f>IF(H535=재고내역!$F$9,출고요청서_raw!G535*1,IF(H535=재고내역!$F$10,출고요청서_raw!G535*2,IF(출고요청서_raw!H535=재고내역!$F$11,출고요청서_raw!G535*4,IF(출고요청서_raw!H535=재고내역!$F$12,출고요청서_raw!G535*6,IF(출고요청서_raw!H535=재고내역!$F$13,출고요청서_raw!G535*8)))))</f>
        <v>4</v>
      </c>
      <c r="Z535" s="56">
        <f>W535*재고내역!$M$6</f>
        <v>30748</v>
      </c>
      <c r="AA535" s="56">
        <f t="shared" si="58"/>
        <v>4550</v>
      </c>
      <c r="AB535" s="56">
        <f t="shared" si="60"/>
        <v>6065.6363636363603</v>
      </c>
      <c r="AC535" s="376">
        <f t="shared" si="61"/>
        <v>0.14664175824175818</v>
      </c>
    </row>
    <row r="536" spans="1:29" ht="15.75" customHeight="1">
      <c r="A536" s="430" t="s">
        <v>2807</v>
      </c>
      <c r="B536" s="430" t="s">
        <v>2808</v>
      </c>
      <c r="E536" s="430">
        <v>12099</v>
      </c>
      <c r="F536" s="430" t="s">
        <v>2809</v>
      </c>
      <c r="G536" s="371">
        <v>1</v>
      </c>
      <c r="H536" s="54" t="s">
        <v>73</v>
      </c>
      <c r="L536" s="351" t="s">
        <v>2306</v>
      </c>
      <c r="M536" s="351">
        <v>2.02602061912323E+18</v>
      </c>
      <c r="N536" s="351">
        <v>143790</v>
      </c>
      <c r="O536" s="351" t="s">
        <v>2810</v>
      </c>
      <c r="P536" s="57" t="s">
        <v>41</v>
      </c>
      <c r="Q536" s="73">
        <v>46062</v>
      </c>
      <c r="R536" s="59" t="s">
        <v>41</v>
      </c>
      <c r="S536" s="359">
        <v>45500</v>
      </c>
      <c r="T536" s="56" t="str">
        <f t="shared" si="59"/>
        <v>0</v>
      </c>
      <c r="U536" s="359">
        <v>45500</v>
      </c>
      <c r="V536" s="360">
        <f t="shared" si="57"/>
        <v>41363.63636363636</v>
      </c>
      <c r="W536" s="65">
        <f>IF(H536=재고내역!$F$9,출고요청서_raw!G536*1,IF(H536=재고내역!$F$10,출고요청서_raw!G536*2,IF(출고요청서_raw!H536=재고내역!$F$11,출고요청서_raw!G536*4,IF(출고요청서_raw!H536=재고내역!$F$12,출고요청서_raw!G536*6,IF(출고요청서_raw!H536=재고내역!$F$13,출고요청서_raw!G536*8)))))</f>
        <v>4</v>
      </c>
      <c r="Z536" s="56">
        <f>W536*재고내역!$M$6</f>
        <v>30748</v>
      </c>
      <c r="AA536" s="56">
        <f t="shared" si="58"/>
        <v>4550</v>
      </c>
      <c r="AB536" s="56">
        <f t="shared" si="60"/>
        <v>6065.6363636363603</v>
      </c>
      <c r="AC536" s="376">
        <f t="shared" si="61"/>
        <v>0.14664175824175818</v>
      </c>
    </row>
    <row r="537" spans="1:29" ht="15.75" customHeight="1">
      <c r="A537" s="430" t="s">
        <v>2811</v>
      </c>
      <c r="B537" s="430" t="s">
        <v>2812</v>
      </c>
      <c r="E537" s="430">
        <v>13567</v>
      </c>
      <c r="F537" s="430" t="s">
        <v>2813</v>
      </c>
      <c r="G537" s="371">
        <v>1</v>
      </c>
      <c r="H537" s="54" t="s">
        <v>73</v>
      </c>
      <c r="L537" s="351" t="s">
        <v>2306</v>
      </c>
      <c r="M537" s="351">
        <v>2.0260206163606999E+18</v>
      </c>
      <c r="N537" s="351">
        <v>143790</v>
      </c>
      <c r="O537" s="351" t="s">
        <v>2814</v>
      </c>
      <c r="P537" s="57" t="s">
        <v>41</v>
      </c>
      <c r="Q537" s="73">
        <v>46062</v>
      </c>
      <c r="R537" s="59" t="s">
        <v>41</v>
      </c>
      <c r="S537" s="359">
        <v>45500</v>
      </c>
      <c r="T537" s="56" t="str">
        <f t="shared" si="59"/>
        <v>0</v>
      </c>
      <c r="U537" s="359">
        <v>45500</v>
      </c>
      <c r="V537" s="360">
        <f t="shared" si="57"/>
        <v>41363.63636363636</v>
      </c>
      <c r="W537" s="65">
        <f>IF(H537=재고내역!$F$9,출고요청서_raw!G537*1,IF(H537=재고내역!$F$10,출고요청서_raw!G537*2,IF(출고요청서_raw!H537=재고내역!$F$11,출고요청서_raw!G537*4,IF(출고요청서_raw!H537=재고내역!$F$12,출고요청서_raw!G537*6,IF(출고요청서_raw!H537=재고내역!$F$13,출고요청서_raw!G537*8)))))</f>
        <v>4</v>
      </c>
      <c r="Z537" s="56">
        <f>W537*재고내역!$M$6</f>
        <v>30748</v>
      </c>
      <c r="AA537" s="56">
        <f t="shared" si="58"/>
        <v>4550</v>
      </c>
      <c r="AB537" s="56">
        <f t="shared" si="60"/>
        <v>6065.6363636363603</v>
      </c>
      <c r="AC537" s="376">
        <f t="shared" si="61"/>
        <v>0.14664175824175818</v>
      </c>
    </row>
    <row r="538" spans="1:29" ht="15.75" customHeight="1">
      <c r="A538" s="430" t="s">
        <v>2815</v>
      </c>
      <c r="B538" s="430" t="s">
        <v>2816</v>
      </c>
      <c r="E538" s="430">
        <v>5210</v>
      </c>
      <c r="F538" s="430" t="s">
        <v>2817</v>
      </c>
      <c r="G538" s="371">
        <v>1</v>
      </c>
      <c r="H538" s="54" t="s">
        <v>73</v>
      </c>
      <c r="L538" s="351" t="s">
        <v>2306</v>
      </c>
      <c r="M538" s="351">
        <v>2.0260206163110999E+18</v>
      </c>
      <c r="N538" s="351">
        <v>143790</v>
      </c>
      <c r="O538" s="351" t="s">
        <v>2818</v>
      </c>
      <c r="P538" s="57" t="s">
        <v>41</v>
      </c>
      <c r="Q538" s="73">
        <v>46062</v>
      </c>
      <c r="R538" s="59" t="s">
        <v>41</v>
      </c>
      <c r="S538" s="359">
        <v>45500</v>
      </c>
      <c r="T538" s="56" t="str">
        <f t="shared" si="59"/>
        <v>0</v>
      </c>
      <c r="U538" s="359">
        <v>45500</v>
      </c>
      <c r="V538" s="360">
        <f t="shared" ref="V538:V591" si="62">U538/1.1</f>
        <v>41363.63636363636</v>
      </c>
      <c r="W538" s="65">
        <f>IF(H538=재고내역!$F$9,출고요청서_raw!G538*1,IF(H538=재고내역!$F$10,출고요청서_raw!G538*2,IF(출고요청서_raw!H538=재고내역!$F$11,출고요청서_raw!G538*4,IF(출고요청서_raw!H538=재고내역!$F$12,출고요청서_raw!G538*6,IF(출고요청서_raw!H538=재고내역!$F$13,출고요청서_raw!G538*8)))))</f>
        <v>4</v>
      </c>
      <c r="Z538" s="56">
        <f>W538*재고내역!$M$6</f>
        <v>30748</v>
      </c>
      <c r="AA538" s="56">
        <f t="shared" ref="AA538:AA591" si="63">IF(W538&gt;8,4550*2,4550)</f>
        <v>4550</v>
      </c>
      <c r="AB538" s="56">
        <f t="shared" si="60"/>
        <v>6065.6363636363603</v>
      </c>
      <c r="AC538" s="376">
        <f t="shared" si="61"/>
        <v>0.14664175824175818</v>
      </c>
    </row>
    <row r="539" spans="1:29" ht="15.75" customHeight="1">
      <c r="A539" s="430" t="s">
        <v>2819</v>
      </c>
      <c r="B539" s="430" t="s">
        <v>2820</v>
      </c>
      <c r="E539" s="430">
        <v>15869</v>
      </c>
      <c r="F539" s="430" t="s">
        <v>2821</v>
      </c>
      <c r="G539" s="371">
        <v>1</v>
      </c>
      <c r="H539" s="54" t="s">
        <v>73</v>
      </c>
      <c r="L539" s="351" t="s">
        <v>2306</v>
      </c>
      <c r="M539" s="351">
        <v>2.0260206162218601E+18</v>
      </c>
      <c r="N539" s="351">
        <v>143790</v>
      </c>
      <c r="O539" s="351" t="s">
        <v>2822</v>
      </c>
      <c r="P539" s="57" t="s">
        <v>41</v>
      </c>
      <c r="Q539" s="73">
        <v>46062</v>
      </c>
      <c r="R539" s="59" t="s">
        <v>41</v>
      </c>
      <c r="S539" s="359">
        <v>45500</v>
      </c>
      <c r="T539" s="56" t="str">
        <f t="shared" si="59"/>
        <v>0</v>
      </c>
      <c r="U539" s="359">
        <v>45500</v>
      </c>
      <c r="V539" s="360">
        <f t="shared" si="62"/>
        <v>41363.63636363636</v>
      </c>
      <c r="W539" s="65">
        <f>IF(H539=재고내역!$F$9,출고요청서_raw!G539*1,IF(H539=재고내역!$F$10,출고요청서_raw!G539*2,IF(출고요청서_raw!H539=재고내역!$F$11,출고요청서_raw!G539*4,IF(출고요청서_raw!H539=재고내역!$F$12,출고요청서_raw!G539*6,IF(출고요청서_raw!H539=재고내역!$F$13,출고요청서_raw!G539*8)))))</f>
        <v>4</v>
      </c>
      <c r="Z539" s="56">
        <f>W539*재고내역!$M$6</f>
        <v>30748</v>
      </c>
      <c r="AA539" s="56">
        <f t="shared" si="63"/>
        <v>4550</v>
      </c>
      <c r="AB539" s="56">
        <f t="shared" si="60"/>
        <v>6065.6363636363603</v>
      </c>
      <c r="AC539" s="376">
        <f t="shared" si="61"/>
        <v>0.14664175824175818</v>
      </c>
    </row>
    <row r="540" spans="1:29" ht="15.75" customHeight="1">
      <c r="A540" s="430" t="s">
        <v>2823</v>
      </c>
      <c r="B540" s="430" t="s">
        <v>2824</v>
      </c>
      <c r="E540" s="430">
        <v>13544</v>
      </c>
      <c r="F540" s="430" t="s">
        <v>2825</v>
      </c>
      <c r="G540" s="371">
        <v>1</v>
      </c>
      <c r="H540" s="54" t="s">
        <v>73</v>
      </c>
      <c r="L540" s="351" t="s">
        <v>2306</v>
      </c>
      <c r="M540" s="351">
        <v>2.0260206161657201E+18</v>
      </c>
      <c r="N540" s="351">
        <v>143790</v>
      </c>
      <c r="O540" s="351" t="s">
        <v>2826</v>
      </c>
      <c r="P540" s="57" t="s">
        <v>41</v>
      </c>
      <c r="Q540" s="73">
        <v>46062</v>
      </c>
      <c r="R540" s="59" t="s">
        <v>41</v>
      </c>
      <c r="S540" s="359">
        <v>45500</v>
      </c>
      <c r="T540" s="56" t="str">
        <f t="shared" si="59"/>
        <v>0</v>
      </c>
      <c r="U540" s="359">
        <v>45500</v>
      </c>
      <c r="V540" s="360">
        <f t="shared" si="62"/>
        <v>41363.63636363636</v>
      </c>
      <c r="W540" s="65">
        <f>IF(H540=재고내역!$F$9,출고요청서_raw!G540*1,IF(H540=재고내역!$F$10,출고요청서_raw!G540*2,IF(출고요청서_raw!H540=재고내역!$F$11,출고요청서_raw!G540*4,IF(출고요청서_raw!H540=재고내역!$F$12,출고요청서_raw!G540*6,IF(출고요청서_raw!H540=재고내역!$F$13,출고요청서_raw!G540*8)))))</f>
        <v>4</v>
      </c>
      <c r="Z540" s="56">
        <f>W540*재고내역!$M$6</f>
        <v>30748</v>
      </c>
      <c r="AA540" s="56">
        <f t="shared" si="63"/>
        <v>4550</v>
      </c>
      <c r="AB540" s="56">
        <f t="shared" si="60"/>
        <v>6065.6363636363603</v>
      </c>
      <c r="AC540" s="376">
        <f t="shared" si="61"/>
        <v>0.14664175824175818</v>
      </c>
    </row>
    <row r="541" spans="1:29" ht="15.75" customHeight="1">
      <c r="A541" s="430" t="s">
        <v>2827</v>
      </c>
      <c r="B541" s="430" t="s">
        <v>2828</v>
      </c>
      <c r="E541" s="430">
        <v>16898</v>
      </c>
      <c r="F541" s="430" t="s">
        <v>2829</v>
      </c>
      <c r="G541" s="371">
        <v>1</v>
      </c>
      <c r="H541" s="54" t="s">
        <v>73</v>
      </c>
      <c r="L541" s="351" t="s">
        <v>2306</v>
      </c>
      <c r="M541" s="351">
        <v>2.0260206153656901E+18</v>
      </c>
      <c r="N541" s="351">
        <v>143790</v>
      </c>
      <c r="O541" s="351" t="s">
        <v>2830</v>
      </c>
      <c r="P541" s="57" t="s">
        <v>41</v>
      </c>
      <c r="Q541" s="73">
        <v>46062</v>
      </c>
      <c r="R541" s="59" t="s">
        <v>41</v>
      </c>
      <c r="S541" s="359">
        <v>45500</v>
      </c>
      <c r="T541" s="56" t="str">
        <f t="shared" si="59"/>
        <v>0</v>
      </c>
      <c r="U541" s="359">
        <v>45500</v>
      </c>
      <c r="V541" s="360">
        <f t="shared" si="62"/>
        <v>41363.63636363636</v>
      </c>
      <c r="W541" s="65">
        <f>IF(H541=재고내역!$F$9,출고요청서_raw!G541*1,IF(H541=재고내역!$F$10,출고요청서_raw!G541*2,IF(출고요청서_raw!H541=재고내역!$F$11,출고요청서_raw!G541*4,IF(출고요청서_raw!H541=재고내역!$F$12,출고요청서_raw!G541*6,IF(출고요청서_raw!H541=재고내역!$F$13,출고요청서_raw!G541*8)))))</f>
        <v>4</v>
      </c>
      <c r="Z541" s="56">
        <f>W541*재고내역!$M$6</f>
        <v>30748</v>
      </c>
      <c r="AA541" s="56">
        <f t="shared" si="63"/>
        <v>4550</v>
      </c>
      <c r="AB541" s="56">
        <f t="shared" si="60"/>
        <v>6065.6363636363603</v>
      </c>
      <c r="AC541" s="376">
        <f t="shared" si="61"/>
        <v>0.14664175824175818</v>
      </c>
    </row>
    <row r="542" spans="1:29" ht="15.75" customHeight="1">
      <c r="A542" s="430" t="s">
        <v>2831</v>
      </c>
      <c r="B542" s="430" t="s">
        <v>2832</v>
      </c>
      <c r="E542" s="430">
        <v>8557</v>
      </c>
      <c r="F542" s="430" t="s">
        <v>2833</v>
      </c>
      <c r="G542" s="371">
        <v>1</v>
      </c>
      <c r="H542" s="54" t="s">
        <v>73</v>
      </c>
      <c r="L542" s="351" t="s">
        <v>2306</v>
      </c>
      <c r="M542" s="351">
        <v>2.02602061528275E+18</v>
      </c>
      <c r="N542" s="351">
        <v>143790</v>
      </c>
      <c r="O542" s="351" t="s">
        <v>2834</v>
      </c>
      <c r="P542" s="57" t="s">
        <v>41</v>
      </c>
      <c r="Q542" s="73">
        <v>46062</v>
      </c>
      <c r="R542" s="59" t="s">
        <v>41</v>
      </c>
      <c r="S542" s="359">
        <v>45500</v>
      </c>
      <c r="T542" s="56" t="str">
        <f t="shared" si="59"/>
        <v>0</v>
      </c>
      <c r="U542" s="359">
        <v>45500</v>
      </c>
      <c r="V542" s="360">
        <f t="shared" si="62"/>
        <v>41363.63636363636</v>
      </c>
      <c r="W542" s="65">
        <f>IF(H542=재고내역!$F$9,출고요청서_raw!G542*1,IF(H542=재고내역!$F$10,출고요청서_raw!G542*2,IF(출고요청서_raw!H542=재고내역!$F$11,출고요청서_raw!G542*4,IF(출고요청서_raw!H542=재고내역!$F$12,출고요청서_raw!G542*6,IF(출고요청서_raw!H542=재고내역!$F$13,출고요청서_raw!G542*8)))))</f>
        <v>4</v>
      </c>
      <c r="Z542" s="56">
        <f>W542*재고내역!$M$6</f>
        <v>30748</v>
      </c>
      <c r="AA542" s="56">
        <f t="shared" si="63"/>
        <v>4550</v>
      </c>
      <c r="AB542" s="56">
        <f t="shared" si="60"/>
        <v>6065.6363636363603</v>
      </c>
      <c r="AC542" s="376">
        <f t="shared" si="61"/>
        <v>0.14664175824175818</v>
      </c>
    </row>
    <row r="543" spans="1:29" ht="15.75" customHeight="1">
      <c r="A543" s="430" t="s">
        <v>2835</v>
      </c>
      <c r="B543" s="430" t="s">
        <v>2832</v>
      </c>
      <c r="E543" s="430">
        <v>22738</v>
      </c>
      <c r="F543" s="430" t="s">
        <v>2836</v>
      </c>
      <c r="G543" s="371">
        <v>1</v>
      </c>
      <c r="H543" s="54" t="s">
        <v>73</v>
      </c>
      <c r="L543" s="351" t="s">
        <v>2306</v>
      </c>
      <c r="M543" s="351">
        <v>2.02602061527425E+18</v>
      </c>
      <c r="N543" s="351">
        <v>143790</v>
      </c>
      <c r="O543" s="351" t="s">
        <v>2837</v>
      </c>
      <c r="P543" s="57" t="s">
        <v>41</v>
      </c>
      <c r="Q543" s="73">
        <v>46062</v>
      </c>
      <c r="R543" s="59" t="s">
        <v>41</v>
      </c>
      <c r="S543" s="359">
        <v>45500</v>
      </c>
      <c r="T543" s="56" t="str">
        <f t="shared" si="59"/>
        <v>0</v>
      </c>
      <c r="U543" s="359">
        <v>45500</v>
      </c>
      <c r="V543" s="360">
        <f t="shared" si="62"/>
        <v>41363.63636363636</v>
      </c>
      <c r="W543" s="65">
        <f>IF(H543=재고내역!$F$9,출고요청서_raw!G543*1,IF(H543=재고내역!$F$10,출고요청서_raw!G543*2,IF(출고요청서_raw!H543=재고내역!$F$11,출고요청서_raw!G543*4,IF(출고요청서_raw!H543=재고내역!$F$12,출고요청서_raw!G543*6,IF(출고요청서_raw!H543=재고내역!$F$13,출고요청서_raw!G543*8)))))</f>
        <v>4</v>
      </c>
      <c r="Z543" s="56">
        <f>W543*재고내역!$M$6</f>
        <v>30748</v>
      </c>
      <c r="AA543" s="56">
        <f t="shared" si="63"/>
        <v>4550</v>
      </c>
      <c r="AB543" s="56">
        <f t="shared" si="60"/>
        <v>6065.6363636363603</v>
      </c>
      <c r="AC543" s="376">
        <f t="shared" si="61"/>
        <v>0.14664175824175818</v>
      </c>
    </row>
    <row r="544" spans="1:29" ht="15.75" customHeight="1">
      <c r="A544" s="430" t="s">
        <v>2838</v>
      </c>
      <c r="B544" s="430" t="s">
        <v>2839</v>
      </c>
      <c r="E544" s="430">
        <v>35245</v>
      </c>
      <c r="F544" s="430" t="s">
        <v>2840</v>
      </c>
      <c r="G544" s="371">
        <v>1</v>
      </c>
      <c r="H544" s="54" t="s">
        <v>73</v>
      </c>
      <c r="L544" s="351" t="s">
        <v>2306</v>
      </c>
      <c r="M544" s="351">
        <v>2.02602061520416E+18</v>
      </c>
      <c r="N544" s="351">
        <v>143790</v>
      </c>
      <c r="O544" s="351" t="s">
        <v>2841</v>
      </c>
      <c r="P544" s="57" t="s">
        <v>41</v>
      </c>
      <c r="Q544" s="73">
        <v>46062</v>
      </c>
      <c r="R544" s="59" t="s">
        <v>41</v>
      </c>
      <c r="S544" s="359">
        <v>45500</v>
      </c>
      <c r="T544" s="56" t="str">
        <f t="shared" si="59"/>
        <v>0</v>
      </c>
      <c r="U544" s="359">
        <v>45500</v>
      </c>
      <c r="V544" s="360">
        <f t="shared" si="62"/>
        <v>41363.63636363636</v>
      </c>
      <c r="W544" s="65">
        <f>IF(H544=재고내역!$F$9,출고요청서_raw!G544*1,IF(H544=재고내역!$F$10,출고요청서_raw!G544*2,IF(출고요청서_raw!H544=재고내역!$F$11,출고요청서_raw!G544*4,IF(출고요청서_raw!H544=재고내역!$F$12,출고요청서_raw!G544*6,IF(출고요청서_raw!H544=재고내역!$F$13,출고요청서_raw!G544*8)))))</f>
        <v>4</v>
      </c>
      <c r="Z544" s="56">
        <f>W544*재고내역!$M$6</f>
        <v>30748</v>
      </c>
      <c r="AA544" s="56">
        <f t="shared" si="63"/>
        <v>4550</v>
      </c>
      <c r="AB544" s="56">
        <f t="shared" si="60"/>
        <v>6065.6363636363603</v>
      </c>
      <c r="AC544" s="376">
        <f t="shared" si="61"/>
        <v>0.14664175824175818</v>
      </c>
    </row>
    <row r="545" spans="1:29" ht="15.75" customHeight="1">
      <c r="A545" s="430" t="s">
        <v>153</v>
      </c>
      <c r="B545" s="430" t="s">
        <v>2842</v>
      </c>
      <c r="E545" s="430">
        <v>62066</v>
      </c>
      <c r="F545" s="430" t="s">
        <v>2843</v>
      </c>
      <c r="G545" s="371">
        <v>1</v>
      </c>
      <c r="H545" s="54" t="s">
        <v>73</v>
      </c>
      <c r="L545" s="351" t="s">
        <v>2306</v>
      </c>
      <c r="M545" s="351">
        <v>2.0260206152023401E+18</v>
      </c>
      <c r="N545" s="351">
        <v>143790</v>
      </c>
      <c r="O545" s="351" t="s">
        <v>2844</v>
      </c>
      <c r="P545" s="57" t="s">
        <v>41</v>
      </c>
      <c r="Q545" s="73">
        <v>46062</v>
      </c>
      <c r="R545" s="59" t="s">
        <v>41</v>
      </c>
      <c r="S545" s="359">
        <v>45500</v>
      </c>
      <c r="T545" s="56" t="str">
        <f t="shared" si="59"/>
        <v>0</v>
      </c>
      <c r="U545" s="359">
        <v>45500</v>
      </c>
      <c r="V545" s="360">
        <f t="shared" si="62"/>
        <v>41363.63636363636</v>
      </c>
      <c r="W545" s="65">
        <f>IF(H545=재고내역!$F$9,출고요청서_raw!G545*1,IF(H545=재고내역!$F$10,출고요청서_raw!G545*2,IF(출고요청서_raw!H545=재고내역!$F$11,출고요청서_raw!G545*4,IF(출고요청서_raw!H545=재고내역!$F$12,출고요청서_raw!G545*6,IF(출고요청서_raw!H545=재고내역!$F$13,출고요청서_raw!G545*8)))))</f>
        <v>4</v>
      </c>
      <c r="Z545" s="56">
        <f>W545*재고내역!$M$6</f>
        <v>30748</v>
      </c>
      <c r="AA545" s="56">
        <f t="shared" si="63"/>
        <v>4550</v>
      </c>
      <c r="AB545" s="56">
        <f t="shared" si="60"/>
        <v>6065.6363636363603</v>
      </c>
      <c r="AC545" s="376">
        <f t="shared" si="61"/>
        <v>0.14664175824175818</v>
      </c>
    </row>
    <row r="546" spans="1:29" ht="15.75" customHeight="1">
      <c r="A546" s="430" t="s">
        <v>2845</v>
      </c>
      <c r="B546" s="430" t="s">
        <v>2846</v>
      </c>
      <c r="E546" s="430">
        <v>5213</v>
      </c>
      <c r="F546" s="430" t="s">
        <v>2847</v>
      </c>
      <c r="G546" s="371">
        <v>1</v>
      </c>
      <c r="H546" s="54" t="s">
        <v>73</v>
      </c>
      <c r="L546" s="351" t="s">
        <v>2306</v>
      </c>
      <c r="M546" s="351">
        <v>2.02602061517088E+18</v>
      </c>
      <c r="N546" s="351">
        <v>143790</v>
      </c>
      <c r="O546" s="351" t="s">
        <v>2848</v>
      </c>
      <c r="P546" s="57" t="s">
        <v>41</v>
      </c>
      <c r="Q546" s="73">
        <v>46062</v>
      </c>
      <c r="R546" s="59" t="s">
        <v>41</v>
      </c>
      <c r="S546" s="359">
        <v>45500</v>
      </c>
      <c r="T546" s="56" t="str">
        <f t="shared" si="59"/>
        <v>0</v>
      </c>
      <c r="U546" s="359">
        <v>45500</v>
      </c>
      <c r="V546" s="360">
        <f t="shared" si="62"/>
        <v>41363.63636363636</v>
      </c>
      <c r="W546" s="65">
        <f>IF(H546=재고내역!$F$9,출고요청서_raw!G546*1,IF(H546=재고내역!$F$10,출고요청서_raw!G546*2,IF(출고요청서_raw!H546=재고내역!$F$11,출고요청서_raw!G546*4,IF(출고요청서_raw!H546=재고내역!$F$12,출고요청서_raw!G546*6,IF(출고요청서_raw!H546=재고내역!$F$13,출고요청서_raw!G546*8)))))</f>
        <v>4</v>
      </c>
      <c r="Z546" s="56">
        <f>W546*재고내역!$M$6</f>
        <v>30748</v>
      </c>
      <c r="AA546" s="56">
        <f t="shared" si="63"/>
        <v>4550</v>
      </c>
      <c r="AB546" s="56">
        <f t="shared" si="60"/>
        <v>6065.6363636363603</v>
      </c>
      <c r="AC546" s="376">
        <f t="shared" si="61"/>
        <v>0.14664175824175818</v>
      </c>
    </row>
    <row r="547" spans="1:29" ht="15.75" customHeight="1">
      <c r="A547" s="430" t="s">
        <v>2849</v>
      </c>
      <c r="B547" s="430" t="s">
        <v>2850</v>
      </c>
      <c r="E547" s="430">
        <v>11719</v>
      </c>
      <c r="F547" s="430" t="s">
        <v>2851</v>
      </c>
      <c r="G547" s="371">
        <v>1</v>
      </c>
      <c r="H547" s="54" t="s">
        <v>73</v>
      </c>
      <c r="L547" s="351" t="s">
        <v>2306</v>
      </c>
      <c r="M547" s="351">
        <v>2.02602061514462E+18</v>
      </c>
      <c r="N547" s="351">
        <v>143790</v>
      </c>
      <c r="O547" s="351" t="s">
        <v>2852</v>
      </c>
      <c r="P547" s="57" t="s">
        <v>41</v>
      </c>
      <c r="Q547" s="73">
        <v>46062</v>
      </c>
      <c r="R547" s="59" t="s">
        <v>41</v>
      </c>
      <c r="S547" s="359">
        <v>45500</v>
      </c>
      <c r="T547" s="56" t="str">
        <f t="shared" si="59"/>
        <v>0</v>
      </c>
      <c r="U547" s="359">
        <v>45500</v>
      </c>
      <c r="V547" s="360">
        <f t="shared" si="62"/>
        <v>41363.63636363636</v>
      </c>
      <c r="W547" s="65">
        <f>IF(H547=재고내역!$F$9,출고요청서_raw!G547*1,IF(H547=재고내역!$F$10,출고요청서_raw!G547*2,IF(출고요청서_raw!H547=재고내역!$F$11,출고요청서_raw!G547*4,IF(출고요청서_raw!H547=재고내역!$F$12,출고요청서_raw!G547*6,IF(출고요청서_raw!H547=재고내역!$F$13,출고요청서_raw!G547*8)))))</f>
        <v>4</v>
      </c>
      <c r="Z547" s="56">
        <f>W547*재고내역!$M$6</f>
        <v>30748</v>
      </c>
      <c r="AA547" s="56">
        <f t="shared" si="63"/>
        <v>4550</v>
      </c>
      <c r="AB547" s="56">
        <f t="shared" si="60"/>
        <v>6065.6363636363603</v>
      </c>
      <c r="AC547" s="376">
        <f t="shared" si="61"/>
        <v>0.14664175824175818</v>
      </c>
    </row>
    <row r="548" spans="1:29" ht="15.75" customHeight="1">
      <c r="A548" s="430" t="s">
        <v>2853</v>
      </c>
      <c r="B548" s="430" t="s">
        <v>2854</v>
      </c>
      <c r="E548" s="430">
        <v>4425</v>
      </c>
      <c r="F548" s="430" t="s">
        <v>2855</v>
      </c>
      <c r="G548" s="371">
        <v>1</v>
      </c>
      <c r="H548" s="54" t="s">
        <v>73</v>
      </c>
      <c r="L548" s="351" t="s">
        <v>2856</v>
      </c>
      <c r="M548" s="351">
        <v>2.02602061510497E+18</v>
      </c>
      <c r="N548" s="351">
        <v>143790</v>
      </c>
      <c r="O548" s="351" t="s">
        <v>2857</v>
      </c>
      <c r="P548" s="57" t="s">
        <v>41</v>
      </c>
      <c r="Q548" s="73">
        <v>46062</v>
      </c>
      <c r="R548" s="59" t="s">
        <v>41</v>
      </c>
      <c r="S548" s="359">
        <v>45500</v>
      </c>
      <c r="T548" s="56" t="str">
        <f t="shared" si="59"/>
        <v>0</v>
      </c>
      <c r="U548" s="359">
        <v>45500</v>
      </c>
      <c r="V548" s="360">
        <f t="shared" si="62"/>
        <v>41363.63636363636</v>
      </c>
      <c r="W548" s="65">
        <f>IF(H548=재고내역!$F$9,출고요청서_raw!G548*1,IF(H548=재고내역!$F$10,출고요청서_raw!G548*2,IF(출고요청서_raw!H548=재고내역!$F$11,출고요청서_raw!G548*4,IF(출고요청서_raw!H548=재고내역!$F$12,출고요청서_raw!G548*6,IF(출고요청서_raw!H548=재고내역!$F$13,출고요청서_raw!G548*8)))))</f>
        <v>4</v>
      </c>
      <c r="Z548" s="56">
        <f>W548*재고내역!$M$6</f>
        <v>30748</v>
      </c>
      <c r="AA548" s="56">
        <f t="shared" si="63"/>
        <v>4550</v>
      </c>
      <c r="AB548" s="56">
        <f t="shared" si="60"/>
        <v>6065.6363636363603</v>
      </c>
      <c r="AC548" s="376">
        <f t="shared" si="61"/>
        <v>0.14664175824175818</v>
      </c>
    </row>
    <row r="549" spans="1:29" ht="15.75" customHeight="1">
      <c r="A549" s="430" t="s">
        <v>2858</v>
      </c>
      <c r="B549" s="430" t="s">
        <v>2859</v>
      </c>
      <c r="E549" s="430">
        <v>8589</v>
      </c>
      <c r="F549" s="430" t="s">
        <v>2860</v>
      </c>
      <c r="G549" s="371">
        <v>1</v>
      </c>
      <c r="H549" s="54" t="s">
        <v>73</v>
      </c>
      <c r="L549" s="351" t="s">
        <v>2306</v>
      </c>
      <c r="M549" s="351">
        <v>2.0260206144735201E+18</v>
      </c>
      <c r="N549" s="351">
        <v>143790</v>
      </c>
      <c r="O549" s="351" t="s">
        <v>2861</v>
      </c>
      <c r="P549" s="57" t="s">
        <v>41</v>
      </c>
      <c r="Q549" s="73">
        <v>46062</v>
      </c>
      <c r="R549" s="59" t="s">
        <v>41</v>
      </c>
      <c r="S549" s="359">
        <v>45500</v>
      </c>
      <c r="T549" s="56" t="str">
        <f t="shared" si="59"/>
        <v>0</v>
      </c>
      <c r="U549" s="359">
        <v>45500</v>
      </c>
      <c r="V549" s="360">
        <f t="shared" si="62"/>
        <v>41363.63636363636</v>
      </c>
      <c r="W549" s="65">
        <f>IF(H549=재고내역!$F$9,출고요청서_raw!G549*1,IF(H549=재고내역!$F$10,출고요청서_raw!G549*2,IF(출고요청서_raw!H549=재고내역!$F$11,출고요청서_raw!G549*4,IF(출고요청서_raw!H549=재고내역!$F$12,출고요청서_raw!G549*6,IF(출고요청서_raw!H549=재고내역!$F$13,출고요청서_raw!G549*8)))))</f>
        <v>4</v>
      </c>
      <c r="Z549" s="56">
        <f>W549*재고내역!$M$6</f>
        <v>30748</v>
      </c>
      <c r="AA549" s="56">
        <f t="shared" si="63"/>
        <v>4550</v>
      </c>
      <c r="AB549" s="56">
        <f t="shared" si="60"/>
        <v>6065.6363636363603</v>
      </c>
      <c r="AC549" s="376">
        <f t="shared" si="61"/>
        <v>0.14664175824175818</v>
      </c>
    </row>
    <row r="550" spans="1:29" ht="15.75" customHeight="1">
      <c r="A550" s="430" t="s">
        <v>2862</v>
      </c>
      <c r="B550" s="430" t="s">
        <v>2863</v>
      </c>
      <c r="E550" s="430">
        <v>61190</v>
      </c>
      <c r="F550" s="430" t="s">
        <v>2864</v>
      </c>
      <c r="G550" s="371">
        <v>1</v>
      </c>
      <c r="H550" s="54" t="s">
        <v>73</v>
      </c>
      <c r="L550" s="351" t="s">
        <v>2306</v>
      </c>
      <c r="M550" s="351">
        <v>2.02602061438269E+18</v>
      </c>
      <c r="N550" s="351">
        <v>143790</v>
      </c>
      <c r="O550" s="351" t="s">
        <v>2865</v>
      </c>
      <c r="P550" s="57" t="s">
        <v>41</v>
      </c>
      <c r="Q550" s="73">
        <v>46062</v>
      </c>
      <c r="R550" s="59" t="s">
        <v>41</v>
      </c>
      <c r="S550" s="359">
        <v>45500</v>
      </c>
      <c r="T550" s="56" t="str">
        <f t="shared" si="59"/>
        <v>0</v>
      </c>
      <c r="U550" s="359">
        <v>45500</v>
      </c>
      <c r="V550" s="360">
        <f t="shared" si="62"/>
        <v>41363.63636363636</v>
      </c>
      <c r="W550" s="65">
        <f>IF(H550=재고내역!$F$9,출고요청서_raw!G550*1,IF(H550=재고내역!$F$10,출고요청서_raw!G550*2,IF(출고요청서_raw!H550=재고내역!$F$11,출고요청서_raw!G550*4,IF(출고요청서_raw!H550=재고내역!$F$12,출고요청서_raw!G550*6,IF(출고요청서_raw!H550=재고내역!$F$13,출고요청서_raw!G550*8)))))</f>
        <v>4</v>
      </c>
      <c r="Z550" s="56">
        <f>W550*재고내역!$M$6</f>
        <v>30748</v>
      </c>
      <c r="AA550" s="56">
        <f t="shared" si="63"/>
        <v>4550</v>
      </c>
      <c r="AB550" s="56">
        <f t="shared" si="60"/>
        <v>6065.6363636363603</v>
      </c>
      <c r="AC550" s="376">
        <f t="shared" si="61"/>
        <v>0.14664175824175818</v>
      </c>
    </row>
    <row r="551" spans="1:29" ht="15.75" customHeight="1">
      <c r="A551" s="430" t="s">
        <v>2866</v>
      </c>
      <c r="B551" s="430" t="s">
        <v>2867</v>
      </c>
      <c r="E551" s="430">
        <v>12772</v>
      </c>
      <c r="F551" s="430" t="s">
        <v>2868</v>
      </c>
      <c r="G551" s="371">
        <v>1</v>
      </c>
      <c r="H551" s="54" t="s">
        <v>73</v>
      </c>
      <c r="L551" s="351" t="s">
        <v>2306</v>
      </c>
      <c r="M551" s="351">
        <v>2.0260206142657101E+18</v>
      </c>
      <c r="N551" s="351">
        <v>143790</v>
      </c>
      <c r="O551" s="351" t="s">
        <v>2869</v>
      </c>
      <c r="P551" s="57" t="s">
        <v>41</v>
      </c>
      <c r="Q551" s="73">
        <v>46062</v>
      </c>
      <c r="R551" s="59" t="s">
        <v>41</v>
      </c>
      <c r="S551" s="359">
        <v>45500</v>
      </c>
      <c r="T551" s="56" t="str">
        <f t="shared" si="59"/>
        <v>0</v>
      </c>
      <c r="U551" s="359">
        <v>45500</v>
      </c>
      <c r="V551" s="360">
        <f t="shared" si="62"/>
        <v>41363.63636363636</v>
      </c>
      <c r="W551" s="65">
        <f>IF(H551=재고내역!$F$9,출고요청서_raw!G551*1,IF(H551=재고내역!$F$10,출고요청서_raw!G551*2,IF(출고요청서_raw!H551=재고내역!$F$11,출고요청서_raw!G551*4,IF(출고요청서_raw!H551=재고내역!$F$12,출고요청서_raw!G551*6,IF(출고요청서_raw!H551=재고내역!$F$13,출고요청서_raw!G551*8)))))</f>
        <v>4</v>
      </c>
      <c r="Z551" s="56">
        <f>W551*재고내역!$M$6</f>
        <v>30748</v>
      </c>
      <c r="AA551" s="56">
        <f t="shared" si="63"/>
        <v>4550</v>
      </c>
      <c r="AB551" s="56">
        <f t="shared" si="60"/>
        <v>6065.6363636363603</v>
      </c>
      <c r="AC551" s="376">
        <f t="shared" si="61"/>
        <v>0.14664175824175818</v>
      </c>
    </row>
    <row r="552" spans="1:29" ht="15.75" customHeight="1">
      <c r="A552" s="430" t="s">
        <v>2870</v>
      </c>
      <c r="B552" s="430" t="s">
        <v>2871</v>
      </c>
      <c r="E552" s="430">
        <v>8606</v>
      </c>
      <c r="F552" s="430" t="s">
        <v>2872</v>
      </c>
      <c r="G552" s="371">
        <v>1</v>
      </c>
      <c r="H552" s="54" t="s">
        <v>73</v>
      </c>
      <c r="L552" s="351" t="s">
        <v>2306</v>
      </c>
      <c r="M552" s="351">
        <v>2.02602061329456E+18</v>
      </c>
      <c r="N552" s="351">
        <v>143790</v>
      </c>
      <c r="O552" s="351" t="s">
        <v>2873</v>
      </c>
      <c r="P552" s="57" t="s">
        <v>41</v>
      </c>
      <c r="Q552" s="73">
        <v>46062</v>
      </c>
      <c r="R552" s="59" t="s">
        <v>41</v>
      </c>
      <c r="S552" s="359">
        <v>45500</v>
      </c>
      <c r="T552" s="56" t="str">
        <f t="shared" si="59"/>
        <v>0</v>
      </c>
      <c r="U552" s="359">
        <v>45500</v>
      </c>
      <c r="V552" s="360">
        <f t="shared" si="62"/>
        <v>41363.63636363636</v>
      </c>
      <c r="W552" s="65">
        <f>IF(H552=재고내역!$F$9,출고요청서_raw!G552*1,IF(H552=재고내역!$F$10,출고요청서_raw!G552*2,IF(출고요청서_raw!H552=재고내역!$F$11,출고요청서_raw!G552*4,IF(출고요청서_raw!H552=재고내역!$F$12,출고요청서_raw!G552*6,IF(출고요청서_raw!H552=재고내역!$F$13,출고요청서_raw!G552*8)))))</f>
        <v>4</v>
      </c>
      <c r="Z552" s="56">
        <f>W552*재고내역!$M$6</f>
        <v>30748</v>
      </c>
      <c r="AA552" s="56">
        <f t="shared" si="63"/>
        <v>4550</v>
      </c>
      <c r="AB552" s="56">
        <f t="shared" si="60"/>
        <v>6065.6363636363603</v>
      </c>
      <c r="AC552" s="376">
        <f t="shared" si="61"/>
        <v>0.14664175824175818</v>
      </c>
    </row>
    <row r="553" spans="1:29" ht="15.75" customHeight="1">
      <c r="A553" s="430" t="s">
        <v>2874</v>
      </c>
      <c r="B553" s="430" t="s">
        <v>2875</v>
      </c>
      <c r="E553" s="430">
        <v>16698</v>
      </c>
      <c r="F553" s="430" t="s">
        <v>2876</v>
      </c>
      <c r="G553" s="371">
        <v>2</v>
      </c>
      <c r="H553" s="54" t="s">
        <v>73</v>
      </c>
      <c r="L553" s="351" t="s">
        <v>2306</v>
      </c>
      <c r="M553" s="351">
        <v>2.02602061242429E+18</v>
      </c>
      <c r="N553" s="351">
        <v>143790</v>
      </c>
      <c r="O553" s="351" t="s">
        <v>2877</v>
      </c>
      <c r="P553" s="57" t="s">
        <v>41</v>
      </c>
      <c r="Q553" s="73">
        <v>46062</v>
      </c>
      <c r="R553" s="59" t="s">
        <v>41</v>
      </c>
      <c r="S553" s="359">
        <v>91000</v>
      </c>
      <c r="T553" s="56" t="str">
        <f t="shared" si="59"/>
        <v>0</v>
      </c>
      <c r="U553" s="359">
        <v>91000</v>
      </c>
      <c r="V553" s="360">
        <f t="shared" si="62"/>
        <v>82727.272727272721</v>
      </c>
      <c r="W553" s="65">
        <f>IF(H553=재고내역!$F$9,출고요청서_raw!G553*1,IF(H553=재고내역!$F$10,출고요청서_raw!G553*2,IF(출고요청서_raw!H553=재고내역!$F$11,출고요청서_raw!G553*4,IF(출고요청서_raw!H553=재고내역!$F$12,출고요청서_raw!G553*6,IF(출고요청서_raw!H553=재고내역!$F$13,출고요청서_raw!G553*8)))))</f>
        <v>8</v>
      </c>
      <c r="Z553" s="56">
        <f>W553*재고내역!$M$6</f>
        <v>61496</v>
      </c>
      <c r="AA553" s="56">
        <f t="shared" si="63"/>
        <v>4550</v>
      </c>
      <c r="AB553" s="56">
        <f t="shared" si="60"/>
        <v>16681.272727272721</v>
      </c>
      <c r="AC553" s="376">
        <f t="shared" si="61"/>
        <v>0.20164175824175817</v>
      </c>
    </row>
    <row r="554" spans="1:29" ht="15.75" customHeight="1">
      <c r="A554" s="430" t="s">
        <v>2878</v>
      </c>
      <c r="B554" s="430" t="s">
        <v>2879</v>
      </c>
      <c r="E554" s="430">
        <v>12255</v>
      </c>
      <c r="F554" s="430" t="s">
        <v>2880</v>
      </c>
      <c r="G554" s="371">
        <v>1</v>
      </c>
      <c r="H554" s="54" t="s">
        <v>73</v>
      </c>
      <c r="L554" s="351" t="s">
        <v>2306</v>
      </c>
      <c r="M554" s="351">
        <v>2.0260206123241001E+18</v>
      </c>
      <c r="N554" s="351">
        <v>143790</v>
      </c>
      <c r="O554" s="351" t="s">
        <v>2881</v>
      </c>
      <c r="P554" s="57" t="s">
        <v>41</v>
      </c>
      <c r="Q554" s="73">
        <v>46062</v>
      </c>
      <c r="R554" s="59" t="s">
        <v>41</v>
      </c>
      <c r="S554" s="359">
        <v>45500</v>
      </c>
      <c r="T554" s="56" t="str">
        <f t="shared" si="59"/>
        <v>0</v>
      </c>
      <c r="U554" s="359">
        <v>45500</v>
      </c>
      <c r="V554" s="360">
        <f t="shared" si="62"/>
        <v>41363.63636363636</v>
      </c>
      <c r="W554" s="65">
        <f>IF(H554=재고내역!$F$9,출고요청서_raw!G554*1,IF(H554=재고내역!$F$10,출고요청서_raw!G554*2,IF(출고요청서_raw!H554=재고내역!$F$11,출고요청서_raw!G554*4,IF(출고요청서_raw!H554=재고내역!$F$12,출고요청서_raw!G554*6,IF(출고요청서_raw!H554=재고내역!$F$13,출고요청서_raw!G554*8)))))</f>
        <v>4</v>
      </c>
      <c r="Z554" s="56">
        <f>W554*재고내역!$M$6</f>
        <v>30748</v>
      </c>
      <c r="AA554" s="56">
        <f t="shared" si="63"/>
        <v>4550</v>
      </c>
      <c r="AB554" s="56">
        <f t="shared" si="60"/>
        <v>6065.6363636363603</v>
      </c>
      <c r="AC554" s="376">
        <f t="shared" si="61"/>
        <v>0.14664175824175818</v>
      </c>
    </row>
    <row r="555" spans="1:29" ht="15.75" customHeight="1">
      <c r="A555" s="430" t="s">
        <v>2882</v>
      </c>
      <c r="B555" s="430" t="s">
        <v>2883</v>
      </c>
      <c r="E555" s="430">
        <v>26403</v>
      </c>
      <c r="F555" s="430" t="s">
        <v>2884</v>
      </c>
      <c r="G555" s="371">
        <v>2</v>
      </c>
      <c r="H555" s="54" t="s">
        <v>73</v>
      </c>
      <c r="L555" s="351" t="s">
        <v>2306</v>
      </c>
      <c r="M555" s="351">
        <v>2.0260206112135301E+18</v>
      </c>
      <c r="N555" s="351">
        <v>143790</v>
      </c>
      <c r="O555" s="351" t="s">
        <v>2885</v>
      </c>
      <c r="P555" s="57" t="s">
        <v>41</v>
      </c>
      <c r="Q555" s="73">
        <v>46062</v>
      </c>
      <c r="R555" s="59" t="s">
        <v>41</v>
      </c>
      <c r="S555" s="359">
        <v>91000</v>
      </c>
      <c r="T555" s="56" t="str">
        <f t="shared" si="59"/>
        <v>0</v>
      </c>
      <c r="U555" s="359">
        <v>91000</v>
      </c>
      <c r="V555" s="360">
        <f t="shared" si="62"/>
        <v>82727.272727272721</v>
      </c>
      <c r="W555" s="65">
        <f>IF(H555=재고내역!$F$9,출고요청서_raw!G555*1,IF(H555=재고내역!$F$10,출고요청서_raw!G555*2,IF(출고요청서_raw!H555=재고내역!$F$11,출고요청서_raw!G555*4,IF(출고요청서_raw!H555=재고내역!$F$12,출고요청서_raw!G555*6,IF(출고요청서_raw!H555=재고내역!$F$13,출고요청서_raw!G555*8)))))</f>
        <v>8</v>
      </c>
      <c r="Z555" s="56">
        <f>W555*재고내역!$M$6</f>
        <v>61496</v>
      </c>
      <c r="AA555" s="56">
        <f t="shared" si="63"/>
        <v>4550</v>
      </c>
      <c r="AB555" s="56">
        <f t="shared" si="60"/>
        <v>16681.272727272721</v>
      </c>
      <c r="AC555" s="376">
        <f t="shared" si="61"/>
        <v>0.20164175824175817</v>
      </c>
    </row>
    <row r="556" spans="1:29" ht="15.75" customHeight="1">
      <c r="A556" s="430" t="s">
        <v>2886</v>
      </c>
      <c r="B556" s="430" t="s">
        <v>2887</v>
      </c>
      <c r="E556" s="430">
        <v>24221</v>
      </c>
      <c r="F556" s="430" t="s">
        <v>2888</v>
      </c>
      <c r="G556" s="371">
        <v>2</v>
      </c>
      <c r="H556" s="54" t="s">
        <v>73</v>
      </c>
      <c r="L556" s="351" t="s">
        <v>2306</v>
      </c>
      <c r="M556" s="351">
        <v>2.02602061126591E+18</v>
      </c>
      <c r="N556" s="351">
        <v>143790</v>
      </c>
      <c r="O556" s="351" t="s">
        <v>2889</v>
      </c>
      <c r="P556" s="57" t="s">
        <v>41</v>
      </c>
      <c r="Q556" s="73">
        <v>46062</v>
      </c>
      <c r="R556" s="59" t="s">
        <v>41</v>
      </c>
      <c r="S556" s="359">
        <v>91000</v>
      </c>
      <c r="T556" s="56" t="str">
        <f t="shared" si="59"/>
        <v>0</v>
      </c>
      <c r="U556" s="359">
        <v>91000</v>
      </c>
      <c r="V556" s="360">
        <f t="shared" si="62"/>
        <v>82727.272727272721</v>
      </c>
      <c r="W556" s="65">
        <f>IF(H556=재고내역!$F$9,출고요청서_raw!G556*1,IF(H556=재고내역!$F$10,출고요청서_raw!G556*2,IF(출고요청서_raw!H556=재고내역!$F$11,출고요청서_raw!G556*4,IF(출고요청서_raw!H556=재고내역!$F$12,출고요청서_raw!G556*6,IF(출고요청서_raw!H556=재고내역!$F$13,출고요청서_raw!G556*8)))))</f>
        <v>8</v>
      </c>
      <c r="Z556" s="56">
        <f>W556*재고내역!$M$6</f>
        <v>61496</v>
      </c>
      <c r="AA556" s="56">
        <f t="shared" si="63"/>
        <v>4550</v>
      </c>
      <c r="AB556" s="56">
        <f t="shared" si="60"/>
        <v>16681.272727272721</v>
      </c>
      <c r="AC556" s="376">
        <f t="shared" si="61"/>
        <v>0.20164175824175817</v>
      </c>
    </row>
    <row r="557" spans="1:29" ht="15.75" customHeight="1">
      <c r="A557" s="430" t="s">
        <v>2890</v>
      </c>
      <c r="B557" s="430" t="s">
        <v>2891</v>
      </c>
      <c r="E557" s="430">
        <v>44496</v>
      </c>
      <c r="F557" s="430" t="s">
        <v>2892</v>
      </c>
      <c r="G557" s="371">
        <v>1</v>
      </c>
      <c r="H557" s="54" t="s">
        <v>73</v>
      </c>
      <c r="L557" s="351" t="s">
        <v>2306</v>
      </c>
      <c r="M557" s="351">
        <v>2.0260206111532001E+18</v>
      </c>
      <c r="N557" s="351">
        <v>143790</v>
      </c>
      <c r="O557" s="351" t="s">
        <v>2893</v>
      </c>
      <c r="P557" s="57" t="s">
        <v>41</v>
      </c>
      <c r="Q557" s="73">
        <v>46062</v>
      </c>
      <c r="R557" s="59" t="s">
        <v>41</v>
      </c>
      <c r="S557" s="359">
        <v>45500</v>
      </c>
      <c r="T557" s="56" t="str">
        <f t="shared" si="59"/>
        <v>0</v>
      </c>
      <c r="U557" s="359">
        <v>45500</v>
      </c>
      <c r="V557" s="360">
        <f t="shared" si="62"/>
        <v>41363.63636363636</v>
      </c>
      <c r="W557" s="65">
        <f>IF(H557=재고내역!$F$9,출고요청서_raw!G557*1,IF(H557=재고내역!$F$10,출고요청서_raw!G557*2,IF(출고요청서_raw!H557=재고내역!$F$11,출고요청서_raw!G557*4,IF(출고요청서_raw!H557=재고내역!$F$12,출고요청서_raw!G557*6,IF(출고요청서_raw!H557=재고내역!$F$13,출고요청서_raw!G557*8)))))</f>
        <v>4</v>
      </c>
      <c r="Z557" s="56">
        <f>W557*재고내역!$M$6</f>
        <v>30748</v>
      </c>
      <c r="AA557" s="56">
        <f t="shared" si="63"/>
        <v>4550</v>
      </c>
      <c r="AB557" s="56">
        <f t="shared" si="60"/>
        <v>6065.6363636363603</v>
      </c>
      <c r="AC557" s="376">
        <f t="shared" si="61"/>
        <v>0.14664175824175818</v>
      </c>
    </row>
    <row r="558" spans="1:29" ht="15.75" customHeight="1">
      <c r="A558" s="430" t="s">
        <v>2894</v>
      </c>
      <c r="B558" s="430" t="s">
        <v>2895</v>
      </c>
      <c r="E558" s="430">
        <v>44646</v>
      </c>
      <c r="F558" s="430" t="s">
        <v>2896</v>
      </c>
      <c r="G558" s="371">
        <v>1</v>
      </c>
      <c r="H558" s="54" t="s">
        <v>73</v>
      </c>
      <c r="L558" s="351" t="s">
        <v>2306</v>
      </c>
      <c r="M558" s="351">
        <v>2.0260206040057101E+18</v>
      </c>
      <c r="N558" s="351">
        <v>143790</v>
      </c>
      <c r="O558" s="351" t="s">
        <v>2897</v>
      </c>
      <c r="P558" s="57" t="s">
        <v>41</v>
      </c>
      <c r="Q558" s="73">
        <v>46062</v>
      </c>
      <c r="R558" s="59" t="s">
        <v>41</v>
      </c>
      <c r="S558" s="359">
        <v>45500</v>
      </c>
      <c r="T558" s="56" t="str">
        <f t="shared" si="59"/>
        <v>0</v>
      </c>
      <c r="U558" s="359">
        <v>45500</v>
      </c>
      <c r="V558" s="360">
        <f t="shared" si="62"/>
        <v>41363.63636363636</v>
      </c>
      <c r="W558" s="65">
        <f>IF(H558=재고내역!$F$9,출고요청서_raw!G558*1,IF(H558=재고내역!$F$10,출고요청서_raw!G558*2,IF(출고요청서_raw!H558=재고내역!$F$11,출고요청서_raw!G558*4,IF(출고요청서_raw!H558=재고내역!$F$12,출고요청서_raw!G558*6,IF(출고요청서_raw!H558=재고내역!$F$13,출고요청서_raw!G558*8)))))</f>
        <v>4</v>
      </c>
      <c r="Z558" s="56">
        <f>W558*재고내역!$M$6</f>
        <v>30748</v>
      </c>
      <c r="AA558" s="56">
        <f t="shared" si="63"/>
        <v>4550</v>
      </c>
      <c r="AB558" s="56">
        <f t="shared" si="60"/>
        <v>6065.6363636363603</v>
      </c>
      <c r="AC558" s="376">
        <f t="shared" si="61"/>
        <v>0.14664175824175818</v>
      </c>
    </row>
    <row r="559" spans="1:29" ht="15.75" customHeight="1">
      <c r="A559" s="430" t="s">
        <v>2898</v>
      </c>
      <c r="B559" s="430" t="s">
        <v>2899</v>
      </c>
      <c r="E559" s="430">
        <v>10518</v>
      </c>
      <c r="F559" s="430" t="s">
        <v>2900</v>
      </c>
      <c r="G559" s="371">
        <v>1</v>
      </c>
      <c r="H559" s="54" t="s">
        <v>73</v>
      </c>
      <c r="L559" s="351" t="s">
        <v>2306</v>
      </c>
      <c r="M559" s="351">
        <v>2.0260206035917801E+18</v>
      </c>
      <c r="N559" s="351">
        <v>143790</v>
      </c>
      <c r="O559" s="351" t="s">
        <v>2901</v>
      </c>
      <c r="P559" s="57" t="s">
        <v>41</v>
      </c>
      <c r="Q559" s="73">
        <v>46062</v>
      </c>
      <c r="R559" s="59" t="s">
        <v>41</v>
      </c>
      <c r="S559" s="359">
        <v>45500</v>
      </c>
      <c r="T559" s="56" t="str">
        <f t="shared" si="59"/>
        <v>0</v>
      </c>
      <c r="U559" s="359">
        <v>45500</v>
      </c>
      <c r="V559" s="360">
        <f t="shared" si="62"/>
        <v>41363.63636363636</v>
      </c>
      <c r="W559" s="65">
        <f>IF(H559=재고내역!$F$9,출고요청서_raw!G559*1,IF(H559=재고내역!$F$10,출고요청서_raw!G559*2,IF(출고요청서_raw!H559=재고내역!$F$11,출고요청서_raw!G559*4,IF(출고요청서_raw!H559=재고내역!$F$12,출고요청서_raw!G559*6,IF(출고요청서_raw!H559=재고내역!$F$13,출고요청서_raw!G559*8)))))</f>
        <v>4</v>
      </c>
      <c r="Z559" s="56">
        <f>W559*재고내역!$M$6</f>
        <v>30748</v>
      </c>
      <c r="AA559" s="56">
        <f t="shared" si="63"/>
        <v>4550</v>
      </c>
      <c r="AB559" s="56">
        <f t="shared" si="60"/>
        <v>6065.6363636363603</v>
      </c>
      <c r="AC559" s="376">
        <f t="shared" si="61"/>
        <v>0.14664175824175818</v>
      </c>
    </row>
    <row r="560" spans="1:29" ht="15.75" customHeight="1">
      <c r="A560" s="430" t="s">
        <v>2902</v>
      </c>
      <c r="B560" s="430" t="s">
        <v>2903</v>
      </c>
      <c r="E560" s="430">
        <v>13640</v>
      </c>
      <c r="F560" s="430" t="s">
        <v>2904</v>
      </c>
      <c r="G560" s="371">
        <v>1</v>
      </c>
      <c r="H560" s="54" t="s">
        <v>73</v>
      </c>
      <c r="L560" s="351" t="s">
        <v>2306</v>
      </c>
      <c r="M560" s="351">
        <v>2.02602060008563E+18</v>
      </c>
      <c r="N560" s="351">
        <v>143790</v>
      </c>
      <c r="O560" s="351" t="s">
        <v>2905</v>
      </c>
      <c r="P560" s="57" t="s">
        <v>41</v>
      </c>
      <c r="Q560" s="73">
        <v>46062</v>
      </c>
      <c r="R560" s="59" t="s">
        <v>41</v>
      </c>
      <c r="S560" s="359">
        <v>45500</v>
      </c>
      <c r="T560" s="56" t="str">
        <f t="shared" si="59"/>
        <v>0</v>
      </c>
      <c r="U560" s="359">
        <v>45500</v>
      </c>
      <c r="V560" s="360">
        <f t="shared" si="62"/>
        <v>41363.63636363636</v>
      </c>
      <c r="W560" s="65">
        <f>IF(H560=재고내역!$F$9,출고요청서_raw!G560*1,IF(H560=재고내역!$F$10,출고요청서_raw!G560*2,IF(출고요청서_raw!H560=재고내역!$F$11,출고요청서_raw!G560*4,IF(출고요청서_raw!H560=재고내역!$F$12,출고요청서_raw!G560*6,IF(출고요청서_raw!H560=재고내역!$F$13,출고요청서_raw!G560*8)))))</f>
        <v>4</v>
      </c>
      <c r="Z560" s="56">
        <f>W560*재고내역!$M$6</f>
        <v>30748</v>
      </c>
      <c r="AA560" s="56">
        <f t="shared" si="63"/>
        <v>4550</v>
      </c>
      <c r="AB560" s="56">
        <f t="shared" si="60"/>
        <v>6065.6363636363603</v>
      </c>
      <c r="AC560" s="376">
        <f t="shared" si="61"/>
        <v>0.14664175824175818</v>
      </c>
    </row>
    <row r="561" spans="1:31" ht="15.75" customHeight="1">
      <c r="A561" s="430" t="s">
        <v>2906</v>
      </c>
      <c r="B561" s="430" t="s">
        <v>2907</v>
      </c>
      <c r="E561" s="430">
        <v>3631</v>
      </c>
      <c r="F561" s="430" t="s">
        <v>2908</v>
      </c>
      <c r="G561" s="371">
        <v>1</v>
      </c>
      <c r="H561" s="54" t="s">
        <v>73</v>
      </c>
      <c r="L561" s="351" t="s">
        <v>2306</v>
      </c>
      <c r="M561" s="351">
        <v>2.0260209090323899E+18</v>
      </c>
      <c r="N561" s="351">
        <v>143812</v>
      </c>
      <c r="O561" s="351" t="s">
        <v>2909</v>
      </c>
      <c r="P561" s="57" t="s">
        <v>41</v>
      </c>
      <c r="Q561" s="73">
        <v>46062</v>
      </c>
      <c r="R561" s="59" t="s">
        <v>41</v>
      </c>
      <c r="S561" s="359">
        <v>45500</v>
      </c>
      <c r="T561" s="56" t="str">
        <f t="shared" si="59"/>
        <v>0</v>
      </c>
      <c r="U561" s="359">
        <v>45500</v>
      </c>
      <c r="V561" s="360">
        <f t="shared" si="62"/>
        <v>41363.63636363636</v>
      </c>
      <c r="W561" s="65">
        <f>IF(H561=재고내역!$F$9,출고요청서_raw!G561*1,IF(H561=재고내역!$F$10,출고요청서_raw!G561*2,IF(출고요청서_raw!H561=재고내역!$F$11,출고요청서_raw!G561*4,IF(출고요청서_raw!H561=재고내역!$F$12,출고요청서_raw!G561*6,IF(출고요청서_raw!H561=재고내역!$F$13,출고요청서_raw!G561*8)))))</f>
        <v>4</v>
      </c>
      <c r="Z561" s="56">
        <f>W561*재고내역!$M$6</f>
        <v>30748</v>
      </c>
      <c r="AA561" s="56">
        <f t="shared" si="63"/>
        <v>4550</v>
      </c>
      <c r="AB561" s="56">
        <f t="shared" si="60"/>
        <v>6065.6363636363603</v>
      </c>
      <c r="AC561" s="376">
        <f t="shared" si="61"/>
        <v>0.14664175824175818</v>
      </c>
    </row>
    <row r="562" spans="1:31" ht="15.75" customHeight="1">
      <c r="A562" s="430" t="s">
        <v>2910</v>
      </c>
      <c r="B562" s="430" t="s">
        <v>2911</v>
      </c>
      <c r="E562" s="430">
        <v>34818</v>
      </c>
      <c r="F562" s="430" t="s">
        <v>2912</v>
      </c>
      <c r="G562" s="371">
        <v>1</v>
      </c>
      <c r="H562" s="54" t="s">
        <v>73</v>
      </c>
      <c r="L562" s="351" t="s">
        <v>2913</v>
      </c>
      <c r="M562" s="351">
        <v>2.02602090807597E+18</v>
      </c>
      <c r="N562" s="351">
        <v>143812</v>
      </c>
      <c r="O562" s="351" t="s">
        <v>2914</v>
      </c>
      <c r="P562" s="57" t="s">
        <v>41</v>
      </c>
      <c r="Q562" s="73">
        <v>46062</v>
      </c>
      <c r="R562" s="59" t="s">
        <v>41</v>
      </c>
      <c r="S562" s="359">
        <v>45500</v>
      </c>
      <c r="T562" s="56" t="str">
        <f t="shared" si="59"/>
        <v>0</v>
      </c>
      <c r="U562" s="359">
        <v>45500</v>
      </c>
      <c r="V562" s="360">
        <f t="shared" si="62"/>
        <v>41363.63636363636</v>
      </c>
      <c r="W562" s="65">
        <f>IF(H562=재고내역!$F$9,출고요청서_raw!G562*1,IF(H562=재고내역!$F$10,출고요청서_raw!G562*2,IF(출고요청서_raw!H562=재고내역!$F$11,출고요청서_raw!G562*4,IF(출고요청서_raw!H562=재고내역!$F$12,출고요청서_raw!G562*6,IF(출고요청서_raw!H562=재고내역!$F$13,출고요청서_raw!G562*8)))))</f>
        <v>4</v>
      </c>
      <c r="Z562" s="56">
        <f>W562*재고내역!$M$6</f>
        <v>30748</v>
      </c>
      <c r="AA562" s="56">
        <f t="shared" si="63"/>
        <v>4550</v>
      </c>
      <c r="AB562" s="56">
        <f t="shared" si="60"/>
        <v>6065.6363636363603</v>
      </c>
      <c r="AC562" s="376">
        <f t="shared" si="61"/>
        <v>0.14664175824175818</v>
      </c>
    </row>
    <row r="563" spans="1:31" ht="15.75" customHeight="1">
      <c r="A563" s="430" t="s">
        <v>2915</v>
      </c>
      <c r="B563" s="430" t="s">
        <v>2916</v>
      </c>
      <c r="E563" s="430">
        <v>6570</v>
      </c>
      <c r="F563" s="430" t="s">
        <v>2917</v>
      </c>
      <c r="G563" s="371">
        <v>1</v>
      </c>
      <c r="H563" s="54" t="s">
        <v>73</v>
      </c>
      <c r="L563" s="351" t="s">
        <v>2306</v>
      </c>
      <c r="M563" s="351">
        <v>2.02602090705537E+18</v>
      </c>
      <c r="N563" s="351">
        <v>143812</v>
      </c>
      <c r="O563" s="351" t="s">
        <v>2918</v>
      </c>
      <c r="P563" s="57" t="s">
        <v>41</v>
      </c>
      <c r="Q563" s="73">
        <v>46062</v>
      </c>
      <c r="R563" s="59" t="s">
        <v>41</v>
      </c>
      <c r="S563" s="359">
        <v>45500</v>
      </c>
      <c r="T563" s="56" t="str">
        <f t="shared" si="59"/>
        <v>0</v>
      </c>
      <c r="U563" s="359">
        <v>45500</v>
      </c>
      <c r="V563" s="360">
        <f t="shared" si="62"/>
        <v>41363.63636363636</v>
      </c>
      <c r="W563" s="65">
        <f>IF(H563=재고내역!$F$9,출고요청서_raw!G563*1,IF(H563=재고내역!$F$10,출고요청서_raw!G563*2,IF(출고요청서_raw!H563=재고내역!$F$11,출고요청서_raw!G563*4,IF(출고요청서_raw!H563=재고내역!$F$12,출고요청서_raw!G563*6,IF(출고요청서_raw!H563=재고내역!$F$13,출고요청서_raw!G563*8)))))</f>
        <v>4</v>
      </c>
      <c r="Z563" s="56">
        <f>W563*재고내역!$M$6</f>
        <v>30748</v>
      </c>
      <c r="AA563" s="56">
        <f t="shared" si="63"/>
        <v>4550</v>
      </c>
      <c r="AB563" s="56">
        <f t="shared" si="60"/>
        <v>6065.6363636363603</v>
      </c>
      <c r="AC563" s="376">
        <f t="shared" si="61"/>
        <v>0.14664175824175818</v>
      </c>
    </row>
    <row r="564" spans="1:31" s="72" customFormat="1" ht="15.75" customHeight="1">
      <c r="A564" s="430" t="s">
        <v>2919</v>
      </c>
      <c r="B564" s="430" t="s">
        <v>2920</v>
      </c>
      <c r="C564" s="426"/>
      <c r="D564" s="427"/>
      <c r="E564" s="430">
        <v>48312</v>
      </c>
      <c r="F564" s="430" t="s">
        <v>2921</v>
      </c>
      <c r="G564" s="371">
        <v>1</v>
      </c>
      <c r="H564" s="72" t="s">
        <v>74</v>
      </c>
      <c r="L564" s="351" t="s">
        <v>2306</v>
      </c>
      <c r="M564" s="351">
        <v>2.0260208184923799E+18</v>
      </c>
      <c r="N564" s="351">
        <v>143790</v>
      </c>
      <c r="O564" s="351" t="s">
        <v>2922</v>
      </c>
      <c r="P564" s="353" t="s">
        <v>41</v>
      </c>
      <c r="Q564" s="361">
        <v>46062</v>
      </c>
      <c r="R564" s="362" t="s">
        <v>41</v>
      </c>
      <c r="S564" s="359">
        <v>63000</v>
      </c>
      <c r="T564" s="56" t="str">
        <f t="shared" si="59"/>
        <v>0</v>
      </c>
      <c r="U564" s="359">
        <v>63000</v>
      </c>
      <c r="V564" s="363">
        <f t="shared" si="62"/>
        <v>57272.727272727265</v>
      </c>
      <c r="W564" s="65">
        <f>IF(H564=재고내역!$F$9,출고요청서_raw!G564*1,IF(H564=재고내역!$F$10,출고요청서_raw!G564*2,IF(출고요청서_raw!H564=재고내역!$F$11,출고요청서_raw!G564*4,IF(출고요청서_raw!H564=재고내역!$F$12,출고요청서_raw!G564*6,IF(출고요청서_raw!H564=재고내역!$F$13,출고요청서_raw!G564*8)))))</f>
        <v>6</v>
      </c>
      <c r="X564" s="58"/>
      <c r="Y564" s="58"/>
      <c r="Z564" s="56">
        <f>W564*재고내역!$M$6</f>
        <v>46122</v>
      </c>
      <c r="AA564" s="56">
        <f t="shared" si="63"/>
        <v>4550</v>
      </c>
      <c r="AB564" s="56">
        <f t="shared" si="60"/>
        <v>6600.7272727272648</v>
      </c>
      <c r="AC564" s="376">
        <f t="shared" si="61"/>
        <v>0.11525079365079353</v>
      </c>
      <c r="AD564" s="74"/>
      <c r="AE564" s="74"/>
    </row>
    <row r="565" spans="1:31" s="72" customFormat="1" ht="15.75" customHeight="1">
      <c r="A565" s="430" t="s">
        <v>2923</v>
      </c>
      <c r="B565" s="430" t="s">
        <v>2924</v>
      </c>
      <c r="C565" s="426"/>
      <c r="D565" s="427"/>
      <c r="E565" s="430">
        <v>48272</v>
      </c>
      <c r="F565" s="430" t="s">
        <v>2925</v>
      </c>
      <c r="G565" s="371">
        <v>2</v>
      </c>
      <c r="H565" s="72" t="s">
        <v>74</v>
      </c>
      <c r="L565" s="351" t="s">
        <v>2306</v>
      </c>
      <c r="M565" s="351">
        <v>2.02602081812339E+18</v>
      </c>
      <c r="N565" s="351">
        <v>143790</v>
      </c>
      <c r="O565" s="351" t="s">
        <v>2926</v>
      </c>
      <c r="P565" s="353" t="s">
        <v>41</v>
      </c>
      <c r="Q565" s="361">
        <v>46062</v>
      </c>
      <c r="R565" s="362" t="s">
        <v>41</v>
      </c>
      <c r="S565" s="359">
        <v>126000</v>
      </c>
      <c r="T565" s="56" t="str">
        <f t="shared" si="59"/>
        <v>0</v>
      </c>
      <c r="U565" s="359">
        <v>126000</v>
      </c>
      <c r="V565" s="363">
        <f t="shared" si="62"/>
        <v>114545.45454545453</v>
      </c>
      <c r="W565" s="65">
        <f>IF(H565=재고내역!$F$9,출고요청서_raw!G565*1,IF(H565=재고내역!$F$10,출고요청서_raw!G565*2,IF(출고요청서_raw!H565=재고내역!$F$11,출고요청서_raw!G565*4,IF(출고요청서_raw!H565=재고내역!$F$12,출고요청서_raw!G565*6,IF(출고요청서_raw!H565=재고내역!$F$13,출고요청서_raw!G565*8)))))</f>
        <v>12</v>
      </c>
      <c r="X565" s="58"/>
      <c r="Y565" s="58"/>
      <c r="Z565" s="56">
        <f>W565*재고내역!$M$6</f>
        <v>92244</v>
      </c>
      <c r="AA565" s="56">
        <f t="shared" si="63"/>
        <v>9100</v>
      </c>
      <c r="AB565" s="56">
        <f t="shared" si="60"/>
        <v>13201.45454545453</v>
      </c>
      <c r="AC565" s="376">
        <f t="shared" si="61"/>
        <v>0.11525079365079353</v>
      </c>
      <c r="AD565" s="74"/>
      <c r="AE565" s="74"/>
    </row>
    <row r="566" spans="1:31" s="72" customFormat="1" ht="15.75" customHeight="1">
      <c r="A566" s="430" t="s">
        <v>2927</v>
      </c>
      <c r="B566" s="430" t="s">
        <v>2928</v>
      </c>
      <c r="C566" s="426"/>
      <c r="D566" s="427"/>
      <c r="E566" s="430">
        <v>55048</v>
      </c>
      <c r="F566" s="430" t="s">
        <v>2929</v>
      </c>
      <c r="G566" s="371">
        <v>1</v>
      </c>
      <c r="H566" s="72" t="s">
        <v>74</v>
      </c>
      <c r="L566" s="351" t="s">
        <v>2306</v>
      </c>
      <c r="M566" s="351">
        <v>2.0260208175501599E+18</v>
      </c>
      <c r="N566" s="351">
        <v>143790</v>
      </c>
      <c r="O566" s="351" t="s">
        <v>2930</v>
      </c>
      <c r="P566" s="353" t="s">
        <v>41</v>
      </c>
      <c r="Q566" s="361">
        <v>46062</v>
      </c>
      <c r="R566" s="362" t="s">
        <v>41</v>
      </c>
      <c r="S566" s="359">
        <v>63000</v>
      </c>
      <c r="T566" s="56" t="str">
        <f t="shared" si="59"/>
        <v>0</v>
      </c>
      <c r="U566" s="359">
        <v>63000</v>
      </c>
      <c r="V566" s="363">
        <f t="shared" si="62"/>
        <v>57272.727272727265</v>
      </c>
      <c r="W566" s="65">
        <f>IF(H566=재고내역!$F$9,출고요청서_raw!G566*1,IF(H566=재고내역!$F$10,출고요청서_raw!G566*2,IF(출고요청서_raw!H566=재고내역!$F$11,출고요청서_raw!G566*4,IF(출고요청서_raw!H566=재고내역!$F$12,출고요청서_raw!G566*6,IF(출고요청서_raw!H566=재고내역!$F$13,출고요청서_raw!G566*8)))))</f>
        <v>6</v>
      </c>
      <c r="X566" s="58"/>
      <c r="Y566" s="58"/>
      <c r="Z566" s="56">
        <f>W566*재고내역!$M$6</f>
        <v>46122</v>
      </c>
      <c r="AA566" s="56">
        <f t="shared" si="63"/>
        <v>4550</v>
      </c>
      <c r="AB566" s="56">
        <f t="shared" si="60"/>
        <v>6600.7272727272648</v>
      </c>
      <c r="AC566" s="376">
        <f t="shared" si="61"/>
        <v>0.11525079365079353</v>
      </c>
      <c r="AD566" s="74"/>
      <c r="AE566" s="74"/>
    </row>
    <row r="567" spans="1:31" s="72" customFormat="1" ht="15.75" customHeight="1">
      <c r="A567" s="430" t="s">
        <v>2931</v>
      </c>
      <c r="B567" s="430" t="s">
        <v>2932</v>
      </c>
      <c r="C567" s="426"/>
      <c r="D567" s="427"/>
      <c r="E567" s="430">
        <v>18484</v>
      </c>
      <c r="F567" s="430" t="s">
        <v>2933</v>
      </c>
      <c r="G567" s="371">
        <v>1</v>
      </c>
      <c r="H567" s="72" t="s">
        <v>74</v>
      </c>
      <c r="L567" s="351" t="s">
        <v>2306</v>
      </c>
      <c r="M567" s="351">
        <v>2.0260208175207601E+18</v>
      </c>
      <c r="N567" s="351">
        <v>143790</v>
      </c>
      <c r="O567" s="351" t="s">
        <v>2934</v>
      </c>
      <c r="P567" s="353" t="s">
        <v>41</v>
      </c>
      <c r="Q567" s="361">
        <v>46062</v>
      </c>
      <c r="R567" s="362" t="s">
        <v>41</v>
      </c>
      <c r="S567" s="359">
        <v>63000</v>
      </c>
      <c r="T567" s="56" t="str">
        <f t="shared" si="59"/>
        <v>0</v>
      </c>
      <c r="U567" s="359">
        <v>63000</v>
      </c>
      <c r="V567" s="363">
        <f t="shared" si="62"/>
        <v>57272.727272727265</v>
      </c>
      <c r="W567" s="65">
        <f>IF(H567=재고내역!$F$9,출고요청서_raw!G567*1,IF(H567=재고내역!$F$10,출고요청서_raw!G567*2,IF(출고요청서_raw!H567=재고내역!$F$11,출고요청서_raw!G567*4,IF(출고요청서_raw!H567=재고내역!$F$12,출고요청서_raw!G567*6,IF(출고요청서_raw!H567=재고내역!$F$13,출고요청서_raw!G567*8)))))</f>
        <v>6</v>
      </c>
      <c r="X567" s="58"/>
      <c r="Y567" s="58"/>
      <c r="Z567" s="56">
        <f>W567*재고내역!$M$6</f>
        <v>46122</v>
      </c>
      <c r="AA567" s="56">
        <f t="shared" si="63"/>
        <v>4550</v>
      </c>
      <c r="AB567" s="56">
        <f t="shared" si="60"/>
        <v>6600.7272727272648</v>
      </c>
      <c r="AC567" s="376">
        <f t="shared" si="61"/>
        <v>0.11525079365079353</v>
      </c>
      <c r="AD567" s="74"/>
      <c r="AE567" s="74"/>
    </row>
    <row r="568" spans="1:31" s="72" customFormat="1" ht="15.75" customHeight="1">
      <c r="A568" s="430" t="s">
        <v>2935</v>
      </c>
      <c r="B568" s="430" t="s">
        <v>2936</v>
      </c>
      <c r="C568" s="426"/>
      <c r="D568" s="427"/>
      <c r="E568" s="430">
        <v>59703</v>
      </c>
      <c r="F568" s="430" t="s">
        <v>2937</v>
      </c>
      <c r="G568" s="371">
        <v>1</v>
      </c>
      <c r="H568" s="72" t="s">
        <v>74</v>
      </c>
      <c r="L568" s="351" t="s">
        <v>2306</v>
      </c>
      <c r="M568" s="351">
        <v>2.0260208174407099E+18</v>
      </c>
      <c r="N568" s="351">
        <v>143790</v>
      </c>
      <c r="O568" s="351" t="s">
        <v>2938</v>
      </c>
      <c r="P568" s="353" t="s">
        <v>41</v>
      </c>
      <c r="Q568" s="361">
        <v>46062</v>
      </c>
      <c r="R568" s="362" t="s">
        <v>41</v>
      </c>
      <c r="S568" s="359">
        <v>63000</v>
      </c>
      <c r="T568" s="56" t="str">
        <f t="shared" si="59"/>
        <v>0</v>
      </c>
      <c r="U568" s="359">
        <v>63000</v>
      </c>
      <c r="V568" s="363">
        <f t="shared" si="62"/>
        <v>57272.727272727265</v>
      </c>
      <c r="W568" s="65">
        <f>IF(H568=재고내역!$F$9,출고요청서_raw!G568*1,IF(H568=재고내역!$F$10,출고요청서_raw!G568*2,IF(출고요청서_raw!H568=재고내역!$F$11,출고요청서_raw!G568*4,IF(출고요청서_raw!H568=재고내역!$F$12,출고요청서_raw!G568*6,IF(출고요청서_raw!H568=재고내역!$F$13,출고요청서_raw!G568*8)))))</f>
        <v>6</v>
      </c>
      <c r="X568" s="58"/>
      <c r="Y568" s="58"/>
      <c r="Z568" s="56">
        <f>W568*재고내역!$M$6</f>
        <v>46122</v>
      </c>
      <c r="AA568" s="56">
        <f t="shared" si="63"/>
        <v>4550</v>
      </c>
      <c r="AB568" s="56">
        <f t="shared" si="60"/>
        <v>6600.7272727272648</v>
      </c>
      <c r="AC568" s="376">
        <f t="shared" si="61"/>
        <v>0.11525079365079353</v>
      </c>
      <c r="AD568" s="74"/>
      <c r="AE568" s="74"/>
    </row>
    <row r="569" spans="1:31" s="72" customFormat="1" ht="15.75" customHeight="1">
      <c r="A569" s="430" t="s">
        <v>2939</v>
      </c>
      <c r="B569" s="430" t="s">
        <v>2940</v>
      </c>
      <c r="C569" s="426"/>
      <c r="D569" s="427"/>
      <c r="E569" s="430">
        <v>7651</v>
      </c>
      <c r="F569" s="430" t="s">
        <v>2941</v>
      </c>
      <c r="G569" s="371">
        <v>1</v>
      </c>
      <c r="H569" s="72" t="s">
        <v>74</v>
      </c>
      <c r="L569" s="351" t="s">
        <v>2306</v>
      </c>
      <c r="M569" s="351">
        <v>2.0260208141737001E+18</v>
      </c>
      <c r="N569" s="351">
        <v>143790</v>
      </c>
      <c r="O569" s="351" t="s">
        <v>2942</v>
      </c>
      <c r="P569" s="353" t="s">
        <v>41</v>
      </c>
      <c r="Q569" s="361">
        <v>46062</v>
      </c>
      <c r="R569" s="362" t="s">
        <v>41</v>
      </c>
      <c r="S569" s="359">
        <v>63000</v>
      </c>
      <c r="T569" s="56" t="str">
        <f t="shared" si="59"/>
        <v>0</v>
      </c>
      <c r="U569" s="359">
        <v>63000</v>
      </c>
      <c r="V569" s="363">
        <f t="shared" si="62"/>
        <v>57272.727272727265</v>
      </c>
      <c r="W569" s="65">
        <f>IF(H569=재고내역!$F$9,출고요청서_raw!G569*1,IF(H569=재고내역!$F$10,출고요청서_raw!G569*2,IF(출고요청서_raw!H569=재고내역!$F$11,출고요청서_raw!G569*4,IF(출고요청서_raw!H569=재고내역!$F$12,출고요청서_raw!G569*6,IF(출고요청서_raw!H569=재고내역!$F$13,출고요청서_raw!G569*8)))))</f>
        <v>6</v>
      </c>
      <c r="X569" s="58"/>
      <c r="Y569" s="58"/>
      <c r="Z569" s="56">
        <f>W569*재고내역!$M$6</f>
        <v>46122</v>
      </c>
      <c r="AA569" s="56">
        <f t="shared" si="63"/>
        <v>4550</v>
      </c>
      <c r="AB569" s="56">
        <f t="shared" si="60"/>
        <v>6600.7272727272648</v>
      </c>
      <c r="AC569" s="376">
        <f t="shared" si="61"/>
        <v>0.11525079365079353</v>
      </c>
      <c r="AD569" s="74"/>
      <c r="AE569" s="74"/>
    </row>
    <row r="570" spans="1:31" s="72" customFormat="1" ht="15.75" customHeight="1">
      <c r="A570" s="430" t="s">
        <v>2943</v>
      </c>
      <c r="B570" s="430" t="s">
        <v>2944</v>
      </c>
      <c r="C570" s="426"/>
      <c r="D570" s="427"/>
      <c r="E570" s="430">
        <v>12912</v>
      </c>
      <c r="F570" s="430" t="s">
        <v>2945</v>
      </c>
      <c r="G570" s="371">
        <v>1</v>
      </c>
      <c r="H570" s="72" t="s">
        <v>74</v>
      </c>
      <c r="L570" s="351" t="s">
        <v>2306</v>
      </c>
      <c r="M570" s="351">
        <v>2.02602081327074E+18</v>
      </c>
      <c r="N570" s="351">
        <v>143790</v>
      </c>
      <c r="O570" s="351" t="s">
        <v>2946</v>
      </c>
      <c r="P570" s="353" t="s">
        <v>41</v>
      </c>
      <c r="Q570" s="361">
        <v>46062</v>
      </c>
      <c r="R570" s="362" t="s">
        <v>41</v>
      </c>
      <c r="S570" s="359">
        <v>63000</v>
      </c>
      <c r="T570" s="56" t="str">
        <f t="shared" si="59"/>
        <v>0</v>
      </c>
      <c r="U570" s="359">
        <v>63000</v>
      </c>
      <c r="V570" s="363">
        <f t="shared" si="62"/>
        <v>57272.727272727265</v>
      </c>
      <c r="W570" s="65">
        <f>IF(H570=재고내역!$F$9,출고요청서_raw!G570*1,IF(H570=재고내역!$F$10,출고요청서_raw!G570*2,IF(출고요청서_raw!H570=재고내역!$F$11,출고요청서_raw!G570*4,IF(출고요청서_raw!H570=재고내역!$F$12,출고요청서_raw!G570*6,IF(출고요청서_raw!H570=재고내역!$F$13,출고요청서_raw!G570*8)))))</f>
        <v>6</v>
      </c>
      <c r="X570" s="58"/>
      <c r="Y570" s="58"/>
      <c r="Z570" s="56">
        <f>W570*재고내역!$M$6</f>
        <v>46122</v>
      </c>
      <c r="AA570" s="56">
        <f t="shared" si="63"/>
        <v>4550</v>
      </c>
      <c r="AB570" s="56">
        <f t="shared" si="60"/>
        <v>6600.7272727272648</v>
      </c>
      <c r="AC570" s="376">
        <f t="shared" si="61"/>
        <v>0.11525079365079353</v>
      </c>
      <c r="AD570" s="74"/>
      <c r="AE570" s="74"/>
    </row>
    <row r="571" spans="1:31" s="72" customFormat="1" ht="15.75" customHeight="1">
      <c r="A571" s="430" t="s">
        <v>2943</v>
      </c>
      <c r="B571" s="430" t="s">
        <v>2944</v>
      </c>
      <c r="C571" s="426"/>
      <c r="D571" s="427"/>
      <c r="E571" s="430">
        <v>12912</v>
      </c>
      <c r="F571" s="430" t="s">
        <v>2945</v>
      </c>
      <c r="G571" s="371">
        <v>1</v>
      </c>
      <c r="H571" s="72" t="s">
        <v>74</v>
      </c>
      <c r="L571" s="351" t="s">
        <v>2306</v>
      </c>
      <c r="M571" s="351">
        <v>2.0260208132624599E+18</v>
      </c>
      <c r="N571" s="351">
        <v>143790</v>
      </c>
      <c r="O571" s="351" t="s">
        <v>2947</v>
      </c>
      <c r="P571" s="353" t="s">
        <v>41</v>
      </c>
      <c r="Q571" s="361">
        <v>46062</v>
      </c>
      <c r="R571" s="362" t="s">
        <v>41</v>
      </c>
      <c r="S571" s="359">
        <v>63000</v>
      </c>
      <c r="T571" s="56" t="str">
        <f t="shared" si="59"/>
        <v>0</v>
      </c>
      <c r="U571" s="359">
        <v>63000</v>
      </c>
      <c r="V571" s="363">
        <f t="shared" si="62"/>
        <v>57272.727272727265</v>
      </c>
      <c r="W571" s="65">
        <f>IF(H571=재고내역!$F$9,출고요청서_raw!G571*1,IF(H571=재고내역!$F$10,출고요청서_raw!G571*2,IF(출고요청서_raw!H571=재고내역!$F$11,출고요청서_raw!G571*4,IF(출고요청서_raw!H571=재고내역!$F$12,출고요청서_raw!G571*6,IF(출고요청서_raw!H571=재고내역!$F$13,출고요청서_raw!G571*8)))))</f>
        <v>6</v>
      </c>
      <c r="X571" s="58"/>
      <c r="Y571" s="58"/>
      <c r="Z571" s="56">
        <f>W571*재고내역!$M$6</f>
        <v>46122</v>
      </c>
      <c r="AA571" s="56">
        <f t="shared" si="63"/>
        <v>4550</v>
      </c>
      <c r="AB571" s="56">
        <f t="shared" si="60"/>
        <v>6600.7272727272648</v>
      </c>
      <c r="AC571" s="376">
        <f t="shared" si="61"/>
        <v>0.11525079365079353</v>
      </c>
      <c r="AD571" s="74"/>
      <c r="AE571" s="74"/>
    </row>
    <row r="572" spans="1:31" s="72" customFormat="1" ht="15.75" customHeight="1">
      <c r="A572" s="430" t="s">
        <v>2948</v>
      </c>
      <c r="B572" s="430" t="s">
        <v>2949</v>
      </c>
      <c r="C572" s="426"/>
      <c r="D572" s="427"/>
      <c r="E572" s="430">
        <v>25495</v>
      </c>
      <c r="F572" s="430" t="s">
        <v>2950</v>
      </c>
      <c r="G572" s="371">
        <v>1</v>
      </c>
      <c r="H572" s="72" t="s">
        <v>74</v>
      </c>
      <c r="L572" s="351" t="s">
        <v>2306</v>
      </c>
      <c r="M572" s="351">
        <v>2.02602072107522E+18</v>
      </c>
      <c r="N572" s="351">
        <v>143790</v>
      </c>
      <c r="O572" s="351" t="s">
        <v>2951</v>
      </c>
      <c r="P572" s="353" t="s">
        <v>41</v>
      </c>
      <c r="Q572" s="361">
        <v>46062</v>
      </c>
      <c r="R572" s="362" t="s">
        <v>41</v>
      </c>
      <c r="S572" s="359">
        <v>63000</v>
      </c>
      <c r="T572" s="56" t="str">
        <f t="shared" si="59"/>
        <v>0</v>
      </c>
      <c r="U572" s="359">
        <v>63000</v>
      </c>
      <c r="V572" s="363">
        <f t="shared" si="62"/>
        <v>57272.727272727265</v>
      </c>
      <c r="W572" s="65">
        <f>IF(H572=재고내역!$F$9,출고요청서_raw!G572*1,IF(H572=재고내역!$F$10,출고요청서_raw!G572*2,IF(출고요청서_raw!H572=재고내역!$F$11,출고요청서_raw!G572*4,IF(출고요청서_raw!H572=재고내역!$F$12,출고요청서_raw!G572*6,IF(출고요청서_raw!H572=재고내역!$F$13,출고요청서_raw!G572*8)))))</f>
        <v>6</v>
      </c>
      <c r="X572" s="58"/>
      <c r="Y572" s="58"/>
      <c r="Z572" s="56">
        <f>W572*재고내역!$M$6</f>
        <v>46122</v>
      </c>
      <c r="AA572" s="56">
        <f t="shared" si="63"/>
        <v>4550</v>
      </c>
      <c r="AB572" s="56">
        <f t="shared" si="60"/>
        <v>6600.7272727272648</v>
      </c>
      <c r="AC572" s="376">
        <f t="shared" si="61"/>
        <v>0.11525079365079353</v>
      </c>
      <c r="AD572" s="74"/>
      <c r="AE572" s="74"/>
    </row>
    <row r="573" spans="1:31" s="72" customFormat="1" ht="15.75" customHeight="1">
      <c r="A573" s="430" t="s">
        <v>2948</v>
      </c>
      <c r="B573" s="430" t="s">
        <v>2949</v>
      </c>
      <c r="C573" s="426"/>
      <c r="D573" s="427"/>
      <c r="E573" s="430">
        <v>25495</v>
      </c>
      <c r="F573" s="430" t="s">
        <v>2950</v>
      </c>
      <c r="G573" s="371">
        <v>1</v>
      </c>
      <c r="H573" s="72" t="s">
        <v>74</v>
      </c>
      <c r="L573" s="351" t="s">
        <v>2306</v>
      </c>
      <c r="M573" s="351">
        <v>2.0260207210336499E+18</v>
      </c>
      <c r="N573" s="351">
        <v>143790</v>
      </c>
      <c r="O573" s="351" t="s">
        <v>2952</v>
      </c>
      <c r="P573" s="353" t="s">
        <v>41</v>
      </c>
      <c r="Q573" s="361">
        <v>46062</v>
      </c>
      <c r="R573" s="362" t="s">
        <v>41</v>
      </c>
      <c r="S573" s="359">
        <v>63000</v>
      </c>
      <c r="T573" s="56" t="str">
        <f t="shared" si="59"/>
        <v>0</v>
      </c>
      <c r="U573" s="359">
        <v>63000</v>
      </c>
      <c r="V573" s="363">
        <f t="shared" si="62"/>
        <v>57272.727272727265</v>
      </c>
      <c r="W573" s="65">
        <f>IF(H573=재고내역!$F$9,출고요청서_raw!G573*1,IF(H573=재고내역!$F$10,출고요청서_raw!G573*2,IF(출고요청서_raw!H573=재고내역!$F$11,출고요청서_raw!G573*4,IF(출고요청서_raw!H573=재고내역!$F$12,출고요청서_raw!G573*6,IF(출고요청서_raw!H573=재고내역!$F$13,출고요청서_raw!G573*8)))))</f>
        <v>6</v>
      </c>
      <c r="X573" s="58"/>
      <c r="Y573" s="58"/>
      <c r="Z573" s="56">
        <f>W573*재고내역!$M$6</f>
        <v>46122</v>
      </c>
      <c r="AA573" s="56">
        <f t="shared" si="63"/>
        <v>4550</v>
      </c>
      <c r="AB573" s="56">
        <f t="shared" si="60"/>
        <v>6600.7272727272648</v>
      </c>
      <c r="AC573" s="376">
        <f t="shared" si="61"/>
        <v>0.11525079365079353</v>
      </c>
      <c r="AD573" s="74"/>
      <c r="AE573" s="74"/>
    </row>
    <row r="574" spans="1:31" s="72" customFormat="1" ht="15.75" customHeight="1">
      <c r="A574" s="430" t="s">
        <v>2953</v>
      </c>
      <c r="B574" s="430" t="s">
        <v>2954</v>
      </c>
      <c r="C574" s="426"/>
      <c r="D574" s="427"/>
      <c r="E574" s="430">
        <v>8211</v>
      </c>
      <c r="F574" s="430" t="s">
        <v>2955</v>
      </c>
      <c r="G574" s="371">
        <v>1</v>
      </c>
      <c r="H574" s="72" t="s">
        <v>74</v>
      </c>
      <c r="L574" s="351" t="s">
        <v>2306</v>
      </c>
      <c r="M574" s="351">
        <v>2.02602071755298E+18</v>
      </c>
      <c r="N574" s="351">
        <v>143790</v>
      </c>
      <c r="O574" s="351" t="s">
        <v>2956</v>
      </c>
      <c r="P574" s="353" t="s">
        <v>41</v>
      </c>
      <c r="Q574" s="361">
        <v>46062</v>
      </c>
      <c r="R574" s="362" t="s">
        <v>41</v>
      </c>
      <c r="S574" s="359">
        <v>63000</v>
      </c>
      <c r="T574" s="56" t="str">
        <f t="shared" si="59"/>
        <v>0</v>
      </c>
      <c r="U574" s="359">
        <v>63000</v>
      </c>
      <c r="V574" s="363">
        <f t="shared" si="62"/>
        <v>57272.727272727265</v>
      </c>
      <c r="W574" s="65">
        <f>IF(H574=재고내역!$F$9,출고요청서_raw!G574*1,IF(H574=재고내역!$F$10,출고요청서_raw!G574*2,IF(출고요청서_raw!H574=재고내역!$F$11,출고요청서_raw!G574*4,IF(출고요청서_raw!H574=재고내역!$F$12,출고요청서_raw!G574*6,IF(출고요청서_raw!H574=재고내역!$F$13,출고요청서_raw!G574*8)))))</f>
        <v>6</v>
      </c>
      <c r="X574" s="58"/>
      <c r="Y574" s="58"/>
      <c r="Z574" s="56">
        <f>W574*재고내역!$M$6</f>
        <v>46122</v>
      </c>
      <c r="AA574" s="56">
        <f t="shared" si="63"/>
        <v>4550</v>
      </c>
      <c r="AB574" s="56">
        <f t="shared" si="60"/>
        <v>6600.7272727272648</v>
      </c>
      <c r="AC574" s="376">
        <f t="shared" si="61"/>
        <v>0.11525079365079353</v>
      </c>
      <c r="AD574" s="74"/>
      <c r="AE574" s="74"/>
    </row>
    <row r="575" spans="1:31" s="72" customFormat="1" ht="15.75" customHeight="1">
      <c r="A575" s="430" t="s">
        <v>886</v>
      </c>
      <c r="B575" s="430" t="s">
        <v>2957</v>
      </c>
      <c r="C575" s="426"/>
      <c r="D575" s="427"/>
      <c r="E575" s="430">
        <v>6360</v>
      </c>
      <c r="F575" s="430" t="s">
        <v>2958</v>
      </c>
      <c r="G575" s="371">
        <v>1</v>
      </c>
      <c r="H575" s="72" t="s">
        <v>74</v>
      </c>
      <c r="L575" s="351" t="s">
        <v>2959</v>
      </c>
      <c r="M575" s="351">
        <v>2.0260207174407099E+18</v>
      </c>
      <c r="N575" s="351">
        <v>143790</v>
      </c>
      <c r="O575" s="351" t="s">
        <v>2960</v>
      </c>
      <c r="P575" s="353" t="s">
        <v>41</v>
      </c>
      <c r="Q575" s="361">
        <v>46062</v>
      </c>
      <c r="R575" s="362" t="s">
        <v>41</v>
      </c>
      <c r="S575" s="359">
        <v>63000</v>
      </c>
      <c r="T575" s="56" t="str">
        <f t="shared" si="59"/>
        <v>0</v>
      </c>
      <c r="U575" s="359">
        <v>63000</v>
      </c>
      <c r="V575" s="363">
        <f t="shared" si="62"/>
        <v>57272.727272727265</v>
      </c>
      <c r="W575" s="65">
        <f>IF(H575=재고내역!$F$9,출고요청서_raw!G575*1,IF(H575=재고내역!$F$10,출고요청서_raw!G575*2,IF(출고요청서_raw!H575=재고내역!$F$11,출고요청서_raw!G575*4,IF(출고요청서_raw!H575=재고내역!$F$12,출고요청서_raw!G575*6,IF(출고요청서_raw!H575=재고내역!$F$13,출고요청서_raw!G575*8)))))</f>
        <v>6</v>
      </c>
      <c r="X575" s="58"/>
      <c r="Y575" s="58"/>
      <c r="Z575" s="56">
        <f>W575*재고내역!$M$6</f>
        <v>46122</v>
      </c>
      <c r="AA575" s="56">
        <f t="shared" si="63"/>
        <v>4550</v>
      </c>
      <c r="AB575" s="56">
        <f t="shared" si="60"/>
        <v>6600.7272727272648</v>
      </c>
      <c r="AC575" s="376">
        <f t="shared" si="61"/>
        <v>0.11525079365079353</v>
      </c>
      <c r="AD575" s="74"/>
      <c r="AE575" s="74"/>
    </row>
    <row r="576" spans="1:31" s="72" customFormat="1" ht="15.75" customHeight="1">
      <c r="A576" s="430" t="s">
        <v>2961</v>
      </c>
      <c r="B576" s="430" t="s">
        <v>2962</v>
      </c>
      <c r="C576" s="426"/>
      <c r="D576" s="427"/>
      <c r="E576" s="430">
        <v>16930</v>
      </c>
      <c r="F576" s="430" t="s">
        <v>2963</v>
      </c>
      <c r="G576" s="371">
        <v>1</v>
      </c>
      <c r="H576" s="72" t="s">
        <v>74</v>
      </c>
      <c r="L576" s="351" t="s">
        <v>2306</v>
      </c>
      <c r="M576" s="351">
        <v>2.0260207164154099E+18</v>
      </c>
      <c r="N576" s="351">
        <v>143790</v>
      </c>
      <c r="O576" s="351" t="s">
        <v>2964</v>
      </c>
      <c r="P576" s="353" t="s">
        <v>41</v>
      </c>
      <c r="Q576" s="361">
        <v>46062</v>
      </c>
      <c r="R576" s="362" t="s">
        <v>41</v>
      </c>
      <c r="S576" s="359">
        <v>63000</v>
      </c>
      <c r="T576" s="56" t="str">
        <f t="shared" si="59"/>
        <v>0</v>
      </c>
      <c r="U576" s="359">
        <v>63000</v>
      </c>
      <c r="V576" s="363">
        <f t="shared" si="62"/>
        <v>57272.727272727265</v>
      </c>
      <c r="W576" s="65">
        <f>IF(H576=재고내역!$F$9,출고요청서_raw!G576*1,IF(H576=재고내역!$F$10,출고요청서_raw!G576*2,IF(출고요청서_raw!H576=재고내역!$F$11,출고요청서_raw!G576*4,IF(출고요청서_raw!H576=재고내역!$F$12,출고요청서_raw!G576*6,IF(출고요청서_raw!H576=재고내역!$F$13,출고요청서_raw!G576*8)))))</f>
        <v>6</v>
      </c>
      <c r="X576" s="58"/>
      <c r="Y576" s="58"/>
      <c r="Z576" s="56">
        <f>W576*재고내역!$M$6</f>
        <v>46122</v>
      </c>
      <c r="AA576" s="56">
        <f t="shared" si="63"/>
        <v>4550</v>
      </c>
      <c r="AB576" s="56">
        <f t="shared" si="60"/>
        <v>6600.7272727272648</v>
      </c>
      <c r="AC576" s="376">
        <f t="shared" si="61"/>
        <v>0.11525079365079353</v>
      </c>
      <c r="AD576" s="74"/>
      <c r="AE576" s="74"/>
    </row>
    <row r="577" spans="1:31" s="72" customFormat="1" ht="15.75" customHeight="1">
      <c r="A577" s="430" t="s">
        <v>2965</v>
      </c>
      <c r="B577" s="430" t="s">
        <v>2966</v>
      </c>
      <c r="C577" s="426"/>
      <c r="D577" s="427"/>
      <c r="E577" s="430">
        <v>10378</v>
      </c>
      <c r="F577" s="430" t="s">
        <v>2967</v>
      </c>
      <c r="G577" s="371">
        <v>1</v>
      </c>
      <c r="H577" s="72" t="s">
        <v>74</v>
      </c>
      <c r="L577" s="351" t="s">
        <v>2306</v>
      </c>
      <c r="M577" s="351">
        <v>2.02602071441133E+18</v>
      </c>
      <c r="N577" s="351">
        <v>143790</v>
      </c>
      <c r="O577" s="351" t="s">
        <v>2968</v>
      </c>
      <c r="P577" s="353" t="s">
        <v>41</v>
      </c>
      <c r="Q577" s="361">
        <v>46062</v>
      </c>
      <c r="R577" s="362" t="s">
        <v>41</v>
      </c>
      <c r="S577" s="359">
        <v>63000</v>
      </c>
      <c r="T577" s="56" t="str">
        <f t="shared" si="59"/>
        <v>0</v>
      </c>
      <c r="U577" s="359">
        <v>63000</v>
      </c>
      <c r="V577" s="363">
        <f t="shared" si="62"/>
        <v>57272.727272727265</v>
      </c>
      <c r="W577" s="65">
        <f>IF(H577=재고내역!$F$9,출고요청서_raw!G577*1,IF(H577=재고내역!$F$10,출고요청서_raw!G577*2,IF(출고요청서_raw!H577=재고내역!$F$11,출고요청서_raw!G577*4,IF(출고요청서_raw!H577=재고내역!$F$12,출고요청서_raw!G577*6,IF(출고요청서_raw!H577=재고내역!$F$13,출고요청서_raw!G577*8)))))</f>
        <v>6</v>
      </c>
      <c r="X577" s="58"/>
      <c r="Y577" s="58"/>
      <c r="Z577" s="56">
        <f>W577*재고내역!$M$6</f>
        <v>46122</v>
      </c>
      <c r="AA577" s="56">
        <f t="shared" si="63"/>
        <v>4550</v>
      </c>
      <c r="AB577" s="56">
        <f t="shared" si="60"/>
        <v>6600.7272727272648</v>
      </c>
      <c r="AC577" s="376">
        <f t="shared" si="61"/>
        <v>0.11525079365079353</v>
      </c>
      <c r="AD577" s="74"/>
      <c r="AE577" s="74"/>
    </row>
    <row r="578" spans="1:31" s="72" customFormat="1" ht="15.75" customHeight="1">
      <c r="A578" s="430" t="s">
        <v>2969</v>
      </c>
      <c r="B578" s="430" t="s">
        <v>2970</v>
      </c>
      <c r="C578" s="426"/>
      <c r="D578" s="427"/>
      <c r="E578" s="430">
        <v>2639</v>
      </c>
      <c r="F578" s="430" t="s">
        <v>2971</v>
      </c>
      <c r="G578" s="371">
        <v>1</v>
      </c>
      <c r="H578" s="72" t="s">
        <v>74</v>
      </c>
      <c r="L578" s="351" t="s">
        <v>2306</v>
      </c>
      <c r="M578" s="351">
        <v>2.0260207130103301E+18</v>
      </c>
      <c r="N578" s="351">
        <v>143790</v>
      </c>
      <c r="O578" s="351" t="s">
        <v>2972</v>
      </c>
      <c r="P578" s="353" t="s">
        <v>41</v>
      </c>
      <c r="Q578" s="361">
        <v>46062</v>
      </c>
      <c r="R578" s="362" t="s">
        <v>41</v>
      </c>
      <c r="S578" s="359">
        <v>63000</v>
      </c>
      <c r="T578" s="56" t="str">
        <f t="shared" si="59"/>
        <v>0</v>
      </c>
      <c r="U578" s="359">
        <v>63000</v>
      </c>
      <c r="V578" s="363">
        <f t="shared" si="62"/>
        <v>57272.727272727265</v>
      </c>
      <c r="W578" s="65">
        <f>IF(H578=재고내역!$F$9,출고요청서_raw!G578*1,IF(H578=재고내역!$F$10,출고요청서_raw!G578*2,IF(출고요청서_raw!H578=재고내역!$F$11,출고요청서_raw!G578*4,IF(출고요청서_raw!H578=재고내역!$F$12,출고요청서_raw!G578*6,IF(출고요청서_raw!H578=재고내역!$F$13,출고요청서_raw!G578*8)))))</f>
        <v>6</v>
      </c>
      <c r="X578" s="58"/>
      <c r="Y578" s="58"/>
      <c r="Z578" s="56">
        <f>W578*재고내역!$M$6</f>
        <v>46122</v>
      </c>
      <c r="AA578" s="56">
        <f t="shared" si="63"/>
        <v>4550</v>
      </c>
      <c r="AB578" s="56">
        <f t="shared" si="60"/>
        <v>6600.7272727272648</v>
      </c>
      <c r="AC578" s="376">
        <f t="shared" si="61"/>
        <v>0.11525079365079353</v>
      </c>
      <c r="AD578" s="74"/>
      <c r="AE578" s="74"/>
    </row>
    <row r="579" spans="1:31" s="72" customFormat="1" ht="15.75" customHeight="1">
      <c r="A579" s="430" t="s">
        <v>1041</v>
      </c>
      <c r="B579" s="430" t="s">
        <v>1042</v>
      </c>
      <c r="C579" s="426"/>
      <c r="D579" s="427"/>
      <c r="E579" s="430">
        <v>7336</v>
      </c>
      <c r="F579" s="430" t="s">
        <v>1044</v>
      </c>
      <c r="G579" s="371">
        <v>1</v>
      </c>
      <c r="H579" s="72" t="s">
        <v>74</v>
      </c>
      <c r="L579" s="351" t="s">
        <v>2306</v>
      </c>
      <c r="M579" s="351">
        <v>2.02602070744561E+18</v>
      </c>
      <c r="N579" s="351">
        <v>143790</v>
      </c>
      <c r="O579" s="351" t="s">
        <v>2973</v>
      </c>
      <c r="P579" s="353" t="s">
        <v>41</v>
      </c>
      <c r="Q579" s="361">
        <v>46062</v>
      </c>
      <c r="R579" s="362" t="s">
        <v>41</v>
      </c>
      <c r="S579" s="359">
        <v>63000</v>
      </c>
      <c r="T579" s="56" t="str">
        <f t="shared" si="59"/>
        <v>0</v>
      </c>
      <c r="U579" s="359">
        <v>63000</v>
      </c>
      <c r="V579" s="363">
        <f t="shared" si="62"/>
        <v>57272.727272727265</v>
      </c>
      <c r="W579" s="65">
        <f>IF(H579=재고내역!$F$9,출고요청서_raw!G579*1,IF(H579=재고내역!$F$10,출고요청서_raw!G579*2,IF(출고요청서_raw!H579=재고내역!$F$11,출고요청서_raw!G579*4,IF(출고요청서_raw!H579=재고내역!$F$12,출고요청서_raw!G579*6,IF(출고요청서_raw!H579=재고내역!$F$13,출고요청서_raw!G579*8)))))</f>
        <v>6</v>
      </c>
      <c r="X579" s="58"/>
      <c r="Y579" s="58"/>
      <c r="Z579" s="56">
        <f>W579*재고내역!$M$6</f>
        <v>46122</v>
      </c>
      <c r="AA579" s="56">
        <f t="shared" si="63"/>
        <v>4550</v>
      </c>
      <c r="AB579" s="56">
        <f t="shared" si="60"/>
        <v>6600.7272727272648</v>
      </c>
      <c r="AC579" s="376">
        <f t="shared" si="61"/>
        <v>0.11525079365079353</v>
      </c>
      <c r="AD579" s="74"/>
      <c r="AE579" s="74"/>
    </row>
    <row r="580" spans="1:31" s="72" customFormat="1" ht="15.75" customHeight="1">
      <c r="A580" s="430" t="s">
        <v>2974</v>
      </c>
      <c r="B580" s="430" t="s">
        <v>2975</v>
      </c>
      <c r="C580" s="426"/>
      <c r="D580" s="427"/>
      <c r="E580" s="430">
        <v>14103</v>
      </c>
      <c r="F580" s="430" t="s">
        <v>2976</v>
      </c>
      <c r="G580" s="371">
        <v>1</v>
      </c>
      <c r="H580" s="72" t="s">
        <v>74</v>
      </c>
      <c r="L580" s="351" t="s">
        <v>2306</v>
      </c>
      <c r="M580" s="351">
        <v>2.02602062224431E+18</v>
      </c>
      <c r="N580" s="351">
        <v>143790</v>
      </c>
      <c r="O580" s="351" t="s">
        <v>2977</v>
      </c>
      <c r="P580" s="353" t="s">
        <v>41</v>
      </c>
      <c r="Q580" s="361">
        <v>46062</v>
      </c>
      <c r="R580" s="362" t="s">
        <v>41</v>
      </c>
      <c r="S580" s="359">
        <v>63000</v>
      </c>
      <c r="T580" s="56" t="str">
        <f t="shared" si="59"/>
        <v>0</v>
      </c>
      <c r="U580" s="359">
        <v>63000</v>
      </c>
      <c r="V580" s="363">
        <f t="shared" si="62"/>
        <v>57272.727272727265</v>
      </c>
      <c r="W580" s="65">
        <f>IF(H580=재고내역!$F$9,출고요청서_raw!G580*1,IF(H580=재고내역!$F$10,출고요청서_raw!G580*2,IF(출고요청서_raw!H580=재고내역!$F$11,출고요청서_raw!G580*4,IF(출고요청서_raw!H580=재고내역!$F$12,출고요청서_raw!G580*6,IF(출고요청서_raw!H580=재고내역!$F$13,출고요청서_raw!G580*8)))))</f>
        <v>6</v>
      </c>
      <c r="X580" s="58"/>
      <c r="Y580" s="58"/>
      <c r="Z580" s="56">
        <f>W580*재고내역!$M$6</f>
        <v>46122</v>
      </c>
      <c r="AA580" s="56">
        <f t="shared" si="63"/>
        <v>4550</v>
      </c>
      <c r="AB580" s="56">
        <f t="shared" si="60"/>
        <v>6600.7272727272648</v>
      </c>
      <c r="AC580" s="376">
        <f t="shared" si="61"/>
        <v>0.11525079365079353</v>
      </c>
      <c r="AD580" s="74"/>
      <c r="AE580" s="74"/>
    </row>
    <row r="581" spans="1:31" s="72" customFormat="1" ht="15.75" customHeight="1">
      <c r="A581" s="430" t="s">
        <v>2978</v>
      </c>
      <c r="B581" s="430" t="s">
        <v>2979</v>
      </c>
      <c r="C581" s="426"/>
      <c r="D581" s="427"/>
      <c r="E581" s="430">
        <v>26472</v>
      </c>
      <c r="F581" s="430" t="s">
        <v>2980</v>
      </c>
      <c r="G581" s="371">
        <v>1</v>
      </c>
      <c r="H581" s="72" t="s">
        <v>74</v>
      </c>
      <c r="L581" s="351" t="s">
        <v>2306</v>
      </c>
      <c r="M581" s="351">
        <v>2.02602062134259E+18</v>
      </c>
      <c r="N581" s="351">
        <v>143790</v>
      </c>
      <c r="O581" s="351" t="s">
        <v>2981</v>
      </c>
      <c r="P581" s="353" t="s">
        <v>41</v>
      </c>
      <c r="Q581" s="361">
        <v>46062</v>
      </c>
      <c r="R581" s="362" t="s">
        <v>41</v>
      </c>
      <c r="S581" s="359">
        <v>63000</v>
      </c>
      <c r="T581" s="56" t="str">
        <f t="shared" si="59"/>
        <v>0</v>
      </c>
      <c r="U581" s="359">
        <v>63000</v>
      </c>
      <c r="V581" s="363">
        <f t="shared" si="62"/>
        <v>57272.727272727265</v>
      </c>
      <c r="W581" s="65">
        <f>IF(H581=재고내역!$F$9,출고요청서_raw!G581*1,IF(H581=재고내역!$F$10,출고요청서_raw!G581*2,IF(출고요청서_raw!H581=재고내역!$F$11,출고요청서_raw!G581*4,IF(출고요청서_raw!H581=재고내역!$F$12,출고요청서_raw!G581*6,IF(출고요청서_raw!H581=재고내역!$F$13,출고요청서_raw!G581*8)))))</f>
        <v>6</v>
      </c>
      <c r="X581" s="58"/>
      <c r="Y581" s="58"/>
      <c r="Z581" s="56">
        <f>W581*재고내역!$M$6</f>
        <v>46122</v>
      </c>
      <c r="AA581" s="56">
        <f t="shared" si="63"/>
        <v>4550</v>
      </c>
      <c r="AB581" s="56">
        <f t="shared" si="60"/>
        <v>6600.7272727272648</v>
      </c>
      <c r="AC581" s="376">
        <f t="shared" si="61"/>
        <v>0.11525079365079353</v>
      </c>
      <c r="AD581" s="74"/>
      <c r="AE581" s="74"/>
    </row>
    <row r="582" spans="1:31" s="72" customFormat="1" ht="15.75" customHeight="1">
      <c r="A582" s="430" t="s">
        <v>2982</v>
      </c>
      <c r="B582" s="430" t="s">
        <v>2983</v>
      </c>
      <c r="C582" s="426"/>
      <c r="D582" s="427"/>
      <c r="E582" s="430">
        <v>6279</v>
      </c>
      <c r="F582" s="430" t="s">
        <v>2984</v>
      </c>
      <c r="G582" s="371">
        <v>1</v>
      </c>
      <c r="H582" s="72" t="s">
        <v>74</v>
      </c>
      <c r="L582" s="351" t="s">
        <v>2306</v>
      </c>
      <c r="M582" s="351">
        <v>2.0260206205947799E+18</v>
      </c>
      <c r="N582" s="351">
        <v>143790</v>
      </c>
      <c r="O582" s="351" t="s">
        <v>2985</v>
      </c>
      <c r="P582" s="353" t="s">
        <v>41</v>
      </c>
      <c r="Q582" s="361">
        <v>46062</v>
      </c>
      <c r="R582" s="362" t="s">
        <v>41</v>
      </c>
      <c r="S582" s="359">
        <v>63000</v>
      </c>
      <c r="T582" s="56" t="str">
        <f t="shared" ref="T582:T645" si="64">IF(R582="쿠팡",VLOOKUP(H582,$AF$7:$AG$10,2,0)*G582,"0")</f>
        <v>0</v>
      </c>
      <c r="U582" s="359">
        <v>63000</v>
      </c>
      <c r="V582" s="363">
        <f t="shared" si="62"/>
        <v>57272.727272727265</v>
      </c>
      <c r="W582" s="65">
        <f>IF(H582=재고내역!$F$9,출고요청서_raw!G582*1,IF(H582=재고내역!$F$10,출고요청서_raw!G582*2,IF(출고요청서_raw!H582=재고내역!$F$11,출고요청서_raw!G582*4,IF(출고요청서_raw!H582=재고내역!$F$12,출고요청서_raw!G582*6,IF(출고요청서_raw!H582=재고내역!$F$13,출고요청서_raw!G582*8)))))</f>
        <v>6</v>
      </c>
      <c r="X582" s="58"/>
      <c r="Y582" s="58"/>
      <c r="Z582" s="56">
        <f>W582*재고내역!$M$6</f>
        <v>46122</v>
      </c>
      <c r="AA582" s="56">
        <f t="shared" si="63"/>
        <v>4550</v>
      </c>
      <c r="AB582" s="56">
        <f t="shared" ref="AB582:AB639" si="65">V582-Z582-AA582-Y582</f>
        <v>6600.7272727272648</v>
      </c>
      <c r="AC582" s="376">
        <f t="shared" ref="AC582:AC640" si="66">AB582/V582</f>
        <v>0.11525079365079353</v>
      </c>
      <c r="AD582" s="74"/>
      <c r="AE582" s="74"/>
    </row>
    <row r="583" spans="1:31" s="72" customFormat="1" ht="15.75" customHeight="1">
      <c r="A583" s="430" t="s">
        <v>2986</v>
      </c>
      <c r="B583" s="430" t="s">
        <v>2987</v>
      </c>
      <c r="C583" s="426"/>
      <c r="D583" s="427"/>
      <c r="E583" s="430">
        <v>13372</v>
      </c>
      <c r="F583" s="430" t="s">
        <v>2988</v>
      </c>
      <c r="G583" s="371">
        <v>1</v>
      </c>
      <c r="H583" s="72" t="s">
        <v>74</v>
      </c>
      <c r="L583" s="351" t="s">
        <v>2306</v>
      </c>
      <c r="M583" s="351">
        <v>2.02602062034176E+18</v>
      </c>
      <c r="N583" s="351">
        <v>143790</v>
      </c>
      <c r="O583" s="351" t="s">
        <v>2989</v>
      </c>
      <c r="P583" s="353" t="s">
        <v>41</v>
      </c>
      <c r="Q583" s="361">
        <v>46062</v>
      </c>
      <c r="R583" s="362" t="s">
        <v>41</v>
      </c>
      <c r="S583" s="359">
        <v>63000</v>
      </c>
      <c r="T583" s="56" t="str">
        <f t="shared" si="64"/>
        <v>0</v>
      </c>
      <c r="U583" s="359">
        <v>63000</v>
      </c>
      <c r="V583" s="363">
        <f t="shared" si="62"/>
        <v>57272.727272727265</v>
      </c>
      <c r="W583" s="65">
        <f>IF(H583=재고내역!$F$9,출고요청서_raw!G583*1,IF(H583=재고내역!$F$10,출고요청서_raw!G583*2,IF(출고요청서_raw!H583=재고내역!$F$11,출고요청서_raw!G583*4,IF(출고요청서_raw!H583=재고내역!$F$12,출고요청서_raw!G583*6,IF(출고요청서_raw!H583=재고내역!$F$13,출고요청서_raw!G583*8)))))</f>
        <v>6</v>
      </c>
      <c r="X583" s="58"/>
      <c r="Y583" s="58"/>
      <c r="Z583" s="56">
        <f>W583*재고내역!$M$6</f>
        <v>46122</v>
      </c>
      <c r="AA583" s="56">
        <f t="shared" si="63"/>
        <v>4550</v>
      </c>
      <c r="AB583" s="56">
        <f t="shared" si="65"/>
        <v>6600.7272727272648</v>
      </c>
      <c r="AC583" s="376">
        <f t="shared" si="66"/>
        <v>0.11525079365079353</v>
      </c>
      <c r="AD583" s="74"/>
      <c r="AE583" s="74"/>
    </row>
    <row r="584" spans="1:31" s="72" customFormat="1" ht="15.75" customHeight="1">
      <c r="A584" s="430" t="s">
        <v>2990</v>
      </c>
      <c r="B584" s="430" t="s">
        <v>2991</v>
      </c>
      <c r="C584" s="426"/>
      <c r="D584" s="427"/>
      <c r="E584" s="430">
        <v>13367</v>
      </c>
      <c r="F584" s="430" t="s">
        <v>2992</v>
      </c>
      <c r="G584" s="371">
        <v>1</v>
      </c>
      <c r="H584" s="72" t="s">
        <v>74</v>
      </c>
      <c r="L584" s="351" t="s">
        <v>2993</v>
      </c>
      <c r="M584" s="351">
        <v>2.0260206202935401E+18</v>
      </c>
      <c r="N584" s="351">
        <v>143790</v>
      </c>
      <c r="O584" s="351" t="s">
        <v>2994</v>
      </c>
      <c r="P584" s="353" t="s">
        <v>41</v>
      </c>
      <c r="Q584" s="361">
        <v>46062</v>
      </c>
      <c r="R584" s="362" t="s">
        <v>41</v>
      </c>
      <c r="S584" s="359">
        <v>63000</v>
      </c>
      <c r="T584" s="56" t="str">
        <f t="shared" si="64"/>
        <v>0</v>
      </c>
      <c r="U584" s="359">
        <v>63000</v>
      </c>
      <c r="V584" s="363">
        <f t="shared" si="62"/>
        <v>57272.727272727265</v>
      </c>
      <c r="W584" s="65">
        <f>IF(H584=재고내역!$F$9,출고요청서_raw!G584*1,IF(H584=재고내역!$F$10,출고요청서_raw!G584*2,IF(출고요청서_raw!H584=재고내역!$F$11,출고요청서_raw!G584*4,IF(출고요청서_raw!H584=재고내역!$F$12,출고요청서_raw!G584*6,IF(출고요청서_raw!H584=재고내역!$F$13,출고요청서_raw!G584*8)))))</f>
        <v>6</v>
      </c>
      <c r="X584" s="58"/>
      <c r="Y584" s="58"/>
      <c r="Z584" s="56">
        <f>W584*재고내역!$M$6</f>
        <v>46122</v>
      </c>
      <c r="AA584" s="56">
        <f t="shared" si="63"/>
        <v>4550</v>
      </c>
      <c r="AB584" s="56">
        <f t="shared" si="65"/>
        <v>6600.7272727272648</v>
      </c>
      <c r="AC584" s="376">
        <f t="shared" si="66"/>
        <v>0.11525079365079353</v>
      </c>
      <c r="AD584" s="74"/>
      <c r="AE584" s="74"/>
    </row>
    <row r="585" spans="1:31" s="72" customFormat="1" ht="15.75" customHeight="1">
      <c r="A585" s="430" t="s">
        <v>2995</v>
      </c>
      <c r="B585" s="430" t="s">
        <v>335</v>
      </c>
      <c r="C585" s="426"/>
      <c r="D585" s="427"/>
      <c r="E585" s="430">
        <v>16517</v>
      </c>
      <c r="F585" s="430" t="s">
        <v>337</v>
      </c>
      <c r="G585" s="371">
        <v>1</v>
      </c>
      <c r="H585" s="72" t="s">
        <v>74</v>
      </c>
      <c r="L585" s="351" t="s">
        <v>2306</v>
      </c>
      <c r="M585" s="351">
        <v>2.0260206200755E+18</v>
      </c>
      <c r="N585" s="351">
        <v>143790</v>
      </c>
      <c r="O585" s="351" t="s">
        <v>2996</v>
      </c>
      <c r="P585" s="353" t="s">
        <v>41</v>
      </c>
      <c r="Q585" s="361">
        <v>46062</v>
      </c>
      <c r="R585" s="362" t="s">
        <v>41</v>
      </c>
      <c r="S585" s="359">
        <v>63000</v>
      </c>
      <c r="T585" s="56" t="str">
        <f t="shared" si="64"/>
        <v>0</v>
      </c>
      <c r="U585" s="359">
        <v>63000</v>
      </c>
      <c r="V585" s="363">
        <f t="shared" si="62"/>
        <v>57272.727272727265</v>
      </c>
      <c r="W585" s="65">
        <f>IF(H585=재고내역!$F$9,출고요청서_raw!G585*1,IF(H585=재고내역!$F$10,출고요청서_raw!G585*2,IF(출고요청서_raw!H585=재고내역!$F$11,출고요청서_raw!G585*4,IF(출고요청서_raw!H585=재고내역!$F$12,출고요청서_raw!G585*6,IF(출고요청서_raw!H585=재고내역!$F$13,출고요청서_raw!G585*8)))))</f>
        <v>6</v>
      </c>
      <c r="X585" s="58"/>
      <c r="Y585" s="58"/>
      <c r="Z585" s="56">
        <f>W585*재고내역!$M$6</f>
        <v>46122</v>
      </c>
      <c r="AA585" s="56">
        <f t="shared" si="63"/>
        <v>4550</v>
      </c>
      <c r="AB585" s="56">
        <f t="shared" si="65"/>
        <v>6600.7272727272648</v>
      </c>
      <c r="AC585" s="376">
        <f t="shared" si="66"/>
        <v>0.11525079365079353</v>
      </c>
      <c r="AD585" s="74"/>
      <c r="AE585" s="74"/>
    </row>
    <row r="586" spans="1:31" s="72" customFormat="1" ht="15.75" customHeight="1">
      <c r="A586" s="430" t="s">
        <v>2997</v>
      </c>
      <c r="B586" s="430" t="s">
        <v>2998</v>
      </c>
      <c r="C586" s="426"/>
      <c r="D586" s="427"/>
      <c r="E586" s="430">
        <v>13825</v>
      </c>
      <c r="F586" s="430" t="s">
        <v>2999</v>
      </c>
      <c r="G586" s="371">
        <v>1</v>
      </c>
      <c r="H586" s="72" t="s">
        <v>74</v>
      </c>
      <c r="L586" s="351" t="s">
        <v>203</v>
      </c>
      <c r="M586" s="351">
        <v>2.0260206195919201E+18</v>
      </c>
      <c r="N586" s="351">
        <v>143790</v>
      </c>
      <c r="O586" s="351" t="s">
        <v>3000</v>
      </c>
      <c r="P586" s="353" t="s">
        <v>41</v>
      </c>
      <c r="Q586" s="361">
        <v>46062</v>
      </c>
      <c r="R586" s="362" t="s">
        <v>41</v>
      </c>
      <c r="S586" s="359">
        <v>63000</v>
      </c>
      <c r="T586" s="56" t="str">
        <f t="shared" si="64"/>
        <v>0</v>
      </c>
      <c r="U586" s="359">
        <v>63000</v>
      </c>
      <c r="V586" s="363">
        <f t="shared" si="62"/>
        <v>57272.727272727265</v>
      </c>
      <c r="W586" s="65">
        <f>IF(H586=재고내역!$F$9,출고요청서_raw!G586*1,IF(H586=재고내역!$F$10,출고요청서_raw!G586*2,IF(출고요청서_raw!H586=재고내역!$F$11,출고요청서_raw!G586*4,IF(출고요청서_raw!H586=재고내역!$F$12,출고요청서_raw!G586*6,IF(출고요청서_raw!H586=재고내역!$F$13,출고요청서_raw!G586*8)))))</f>
        <v>6</v>
      </c>
      <c r="X586" s="58"/>
      <c r="Y586" s="58"/>
      <c r="Z586" s="56">
        <f>W586*재고내역!$M$6</f>
        <v>46122</v>
      </c>
      <c r="AA586" s="56">
        <f t="shared" si="63"/>
        <v>4550</v>
      </c>
      <c r="AB586" s="56">
        <f t="shared" si="65"/>
        <v>6600.7272727272648</v>
      </c>
      <c r="AC586" s="376">
        <f t="shared" si="66"/>
        <v>0.11525079365079353</v>
      </c>
      <c r="AD586" s="74"/>
      <c r="AE586" s="74"/>
    </row>
    <row r="587" spans="1:31" s="72" customFormat="1" ht="15.75" customHeight="1">
      <c r="A587" s="430" t="s">
        <v>3001</v>
      </c>
      <c r="B587" s="430" t="s">
        <v>3002</v>
      </c>
      <c r="C587" s="426"/>
      <c r="D587" s="427"/>
      <c r="E587" s="430">
        <v>13613</v>
      </c>
      <c r="F587" s="430" t="s">
        <v>3003</v>
      </c>
      <c r="G587" s="371">
        <v>1</v>
      </c>
      <c r="H587" s="72" t="s">
        <v>74</v>
      </c>
      <c r="L587" s="351" t="s">
        <v>2306</v>
      </c>
      <c r="M587" s="351">
        <v>2.026020619064E+18</v>
      </c>
      <c r="N587" s="351">
        <v>143790</v>
      </c>
      <c r="O587" s="351" t="s">
        <v>3004</v>
      </c>
      <c r="P587" s="353" t="s">
        <v>41</v>
      </c>
      <c r="Q587" s="361">
        <v>46062</v>
      </c>
      <c r="R587" s="362" t="s">
        <v>41</v>
      </c>
      <c r="S587" s="359">
        <v>63000</v>
      </c>
      <c r="T587" s="56" t="str">
        <f t="shared" si="64"/>
        <v>0</v>
      </c>
      <c r="U587" s="359">
        <v>63000</v>
      </c>
      <c r="V587" s="363">
        <f t="shared" si="62"/>
        <v>57272.727272727265</v>
      </c>
      <c r="W587" s="65">
        <f>IF(H587=재고내역!$F$9,출고요청서_raw!G587*1,IF(H587=재고내역!$F$10,출고요청서_raw!G587*2,IF(출고요청서_raw!H587=재고내역!$F$11,출고요청서_raw!G587*4,IF(출고요청서_raw!H587=재고내역!$F$12,출고요청서_raw!G587*6,IF(출고요청서_raw!H587=재고내역!$F$13,출고요청서_raw!G587*8)))))</f>
        <v>6</v>
      </c>
      <c r="X587" s="58"/>
      <c r="Y587" s="58"/>
      <c r="Z587" s="56">
        <f>W587*재고내역!$M$6</f>
        <v>46122</v>
      </c>
      <c r="AA587" s="56">
        <f t="shared" si="63"/>
        <v>4550</v>
      </c>
      <c r="AB587" s="56">
        <f t="shared" si="65"/>
        <v>6600.7272727272648</v>
      </c>
      <c r="AC587" s="376">
        <f t="shared" si="66"/>
        <v>0.11525079365079353</v>
      </c>
      <c r="AD587" s="74"/>
      <c r="AE587" s="74"/>
    </row>
    <row r="588" spans="1:31" s="72" customFormat="1" ht="15.75" customHeight="1">
      <c r="A588" s="430" t="s">
        <v>1812</v>
      </c>
      <c r="B588" s="430" t="s">
        <v>3005</v>
      </c>
      <c r="C588" s="426"/>
      <c r="D588" s="427"/>
      <c r="E588" s="430">
        <v>22124</v>
      </c>
      <c r="F588" s="430" t="s">
        <v>3006</v>
      </c>
      <c r="G588" s="371">
        <v>1</v>
      </c>
      <c r="H588" s="72" t="s">
        <v>74</v>
      </c>
      <c r="L588" s="351" t="s">
        <v>2306</v>
      </c>
      <c r="M588" s="351">
        <v>2.02602061656211E+18</v>
      </c>
      <c r="N588" s="351">
        <v>143790</v>
      </c>
      <c r="O588" s="351" t="s">
        <v>3007</v>
      </c>
      <c r="P588" s="353" t="s">
        <v>41</v>
      </c>
      <c r="Q588" s="361">
        <v>46062</v>
      </c>
      <c r="R588" s="362" t="s">
        <v>41</v>
      </c>
      <c r="S588" s="359">
        <v>63000</v>
      </c>
      <c r="T588" s="56" t="str">
        <f t="shared" si="64"/>
        <v>0</v>
      </c>
      <c r="U588" s="359">
        <v>63000</v>
      </c>
      <c r="V588" s="363">
        <f t="shared" si="62"/>
        <v>57272.727272727265</v>
      </c>
      <c r="W588" s="65">
        <f>IF(H588=재고내역!$F$9,출고요청서_raw!G588*1,IF(H588=재고내역!$F$10,출고요청서_raw!G588*2,IF(출고요청서_raw!H588=재고내역!$F$11,출고요청서_raw!G588*4,IF(출고요청서_raw!H588=재고내역!$F$12,출고요청서_raw!G588*6,IF(출고요청서_raw!H588=재고내역!$F$13,출고요청서_raw!G588*8)))))</f>
        <v>6</v>
      </c>
      <c r="X588" s="58"/>
      <c r="Y588" s="58"/>
      <c r="Z588" s="56">
        <f>W588*재고내역!$M$6</f>
        <v>46122</v>
      </c>
      <c r="AA588" s="56">
        <f t="shared" si="63"/>
        <v>4550</v>
      </c>
      <c r="AB588" s="56">
        <f t="shared" si="65"/>
        <v>6600.7272727272648</v>
      </c>
      <c r="AC588" s="376">
        <f t="shared" si="66"/>
        <v>0.11525079365079353</v>
      </c>
      <c r="AD588" s="74"/>
      <c r="AE588" s="74"/>
    </row>
    <row r="589" spans="1:31" s="72" customFormat="1" ht="15.75" customHeight="1">
      <c r="A589" s="430" t="s">
        <v>3008</v>
      </c>
      <c r="B589" s="430" t="s">
        <v>3009</v>
      </c>
      <c r="C589" s="426"/>
      <c r="D589" s="427"/>
      <c r="E589" s="430">
        <v>5716</v>
      </c>
      <c r="F589" s="430" t="s">
        <v>3010</v>
      </c>
      <c r="G589" s="371">
        <v>2</v>
      </c>
      <c r="H589" s="72" t="s">
        <v>74</v>
      </c>
      <c r="L589" s="351" t="s">
        <v>3011</v>
      </c>
      <c r="M589" s="351">
        <v>2.02602061440257E+18</v>
      </c>
      <c r="N589" s="351">
        <v>143790</v>
      </c>
      <c r="O589" s="351" t="s">
        <v>3012</v>
      </c>
      <c r="P589" s="353" t="s">
        <v>41</v>
      </c>
      <c r="Q589" s="361">
        <v>46062</v>
      </c>
      <c r="R589" s="362" t="s">
        <v>41</v>
      </c>
      <c r="S589" s="359">
        <v>126000</v>
      </c>
      <c r="T589" s="56" t="str">
        <f t="shared" si="64"/>
        <v>0</v>
      </c>
      <c r="U589" s="359">
        <v>126000</v>
      </c>
      <c r="V589" s="363">
        <f t="shared" si="62"/>
        <v>114545.45454545453</v>
      </c>
      <c r="W589" s="65">
        <f>IF(H589=재고내역!$F$9,출고요청서_raw!G589*1,IF(H589=재고내역!$F$10,출고요청서_raw!G589*2,IF(출고요청서_raw!H589=재고내역!$F$11,출고요청서_raw!G589*4,IF(출고요청서_raw!H589=재고내역!$F$12,출고요청서_raw!G589*6,IF(출고요청서_raw!H589=재고내역!$F$13,출고요청서_raw!G589*8)))))</f>
        <v>12</v>
      </c>
      <c r="X589" s="58"/>
      <c r="Y589" s="58"/>
      <c r="Z589" s="56">
        <f>W589*재고내역!$M$6</f>
        <v>92244</v>
      </c>
      <c r="AA589" s="56">
        <f t="shared" si="63"/>
        <v>9100</v>
      </c>
      <c r="AB589" s="56">
        <f t="shared" si="65"/>
        <v>13201.45454545453</v>
      </c>
      <c r="AC589" s="376">
        <f t="shared" si="66"/>
        <v>0.11525079365079353</v>
      </c>
      <c r="AD589" s="74"/>
      <c r="AE589" s="74"/>
    </row>
    <row r="590" spans="1:31" s="72" customFormat="1" ht="15.75" customHeight="1">
      <c r="A590" s="430" t="s">
        <v>3013</v>
      </c>
      <c r="B590" s="430" t="s">
        <v>3014</v>
      </c>
      <c r="C590" s="426"/>
      <c r="D590" s="427"/>
      <c r="E590" s="430">
        <v>31184</v>
      </c>
      <c r="F590" s="430" t="s">
        <v>3015</v>
      </c>
      <c r="G590" s="371">
        <v>2</v>
      </c>
      <c r="H590" s="72" t="s">
        <v>74</v>
      </c>
      <c r="L590" s="351" t="s">
        <v>2306</v>
      </c>
      <c r="M590" s="351">
        <v>2.0260206143700401E+18</v>
      </c>
      <c r="N590" s="351">
        <v>143790</v>
      </c>
      <c r="O590" s="351" t="s">
        <v>3016</v>
      </c>
      <c r="P590" s="353" t="s">
        <v>41</v>
      </c>
      <c r="Q590" s="361">
        <v>46062</v>
      </c>
      <c r="R590" s="362" t="s">
        <v>41</v>
      </c>
      <c r="S590" s="359">
        <v>126000</v>
      </c>
      <c r="T590" s="56" t="str">
        <f t="shared" si="64"/>
        <v>0</v>
      </c>
      <c r="U590" s="359">
        <v>126000</v>
      </c>
      <c r="V590" s="363">
        <f t="shared" si="62"/>
        <v>114545.45454545453</v>
      </c>
      <c r="W590" s="65">
        <f>IF(H590=재고내역!$F$9,출고요청서_raw!G590*1,IF(H590=재고내역!$F$10,출고요청서_raw!G590*2,IF(출고요청서_raw!H590=재고내역!$F$11,출고요청서_raw!G590*4,IF(출고요청서_raw!H590=재고내역!$F$12,출고요청서_raw!G590*6,IF(출고요청서_raw!H590=재고내역!$F$13,출고요청서_raw!G590*8)))))</f>
        <v>12</v>
      </c>
      <c r="X590" s="58"/>
      <c r="Y590" s="58"/>
      <c r="Z590" s="56">
        <f>W590*재고내역!$M$6</f>
        <v>92244</v>
      </c>
      <c r="AA590" s="56">
        <f t="shared" si="63"/>
        <v>9100</v>
      </c>
      <c r="AB590" s="56">
        <f t="shared" si="65"/>
        <v>13201.45454545453</v>
      </c>
      <c r="AC590" s="376">
        <f t="shared" si="66"/>
        <v>0.11525079365079353</v>
      </c>
      <c r="AD590" s="74"/>
      <c r="AE590" s="74"/>
    </row>
    <row r="591" spans="1:31" s="72" customFormat="1" ht="15.75" customHeight="1">
      <c r="A591" s="430" t="s">
        <v>3017</v>
      </c>
      <c r="B591" s="430" t="s">
        <v>3018</v>
      </c>
      <c r="C591" s="426"/>
      <c r="D591" s="427"/>
      <c r="E591" s="430">
        <v>22527</v>
      </c>
      <c r="F591" s="430" t="s">
        <v>3019</v>
      </c>
      <c r="G591" s="371">
        <v>1</v>
      </c>
      <c r="H591" s="72" t="s">
        <v>74</v>
      </c>
      <c r="L591" s="351" t="s">
        <v>3020</v>
      </c>
      <c r="M591" s="351">
        <v>2.02602061354271E+18</v>
      </c>
      <c r="N591" s="351">
        <v>143790</v>
      </c>
      <c r="O591" s="351" t="s">
        <v>3021</v>
      </c>
      <c r="P591" s="353" t="s">
        <v>41</v>
      </c>
      <c r="Q591" s="361">
        <v>46062</v>
      </c>
      <c r="R591" s="362" t="s">
        <v>41</v>
      </c>
      <c r="S591" s="359">
        <v>63000</v>
      </c>
      <c r="T591" s="56" t="str">
        <f t="shared" si="64"/>
        <v>0</v>
      </c>
      <c r="U591" s="359">
        <v>63000</v>
      </c>
      <c r="V591" s="363">
        <f t="shared" si="62"/>
        <v>57272.727272727265</v>
      </c>
      <c r="W591" s="65">
        <f>IF(H591=재고내역!$F$9,출고요청서_raw!G591*1,IF(H591=재고내역!$F$10,출고요청서_raw!G591*2,IF(출고요청서_raw!H591=재고내역!$F$11,출고요청서_raw!G591*4,IF(출고요청서_raw!H591=재고내역!$F$12,출고요청서_raw!G591*6,IF(출고요청서_raw!H591=재고내역!$F$13,출고요청서_raw!G591*8)))))</f>
        <v>6</v>
      </c>
      <c r="X591" s="58"/>
      <c r="Y591" s="58"/>
      <c r="Z591" s="56">
        <f>W591*재고내역!$M$6</f>
        <v>46122</v>
      </c>
      <c r="AA591" s="56">
        <f t="shared" si="63"/>
        <v>4550</v>
      </c>
      <c r="AB591" s="56">
        <f t="shared" si="65"/>
        <v>6600.7272727272648</v>
      </c>
      <c r="AC591" s="376">
        <f t="shared" si="66"/>
        <v>0.11525079365079353</v>
      </c>
      <c r="AD591" s="74"/>
      <c r="AE591" s="74"/>
    </row>
    <row r="592" spans="1:31" s="72" customFormat="1" ht="15.75" customHeight="1">
      <c r="A592" s="362" t="s">
        <v>3022</v>
      </c>
      <c r="B592" s="362" t="s">
        <v>3023</v>
      </c>
      <c r="C592" s="362"/>
      <c r="D592" s="362"/>
      <c r="E592" s="362">
        <v>4420</v>
      </c>
      <c r="F592" s="362" t="s">
        <v>3024</v>
      </c>
      <c r="G592" s="74">
        <v>1</v>
      </c>
      <c r="H592" s="82" t="s">
        <v>72</v>
      </c>
      <c r="I592" s="82"/>
      <c r="J592" s="82"/>
      <c r="K592" s="82"/>
      <c r="L592" s="82" t="s">
        <v>145</v>
      </c>
      <c r="M592" s="468">
        <v>18100170248996</v>
      </c>
      <c r="N592" s="82">
        <v>9354612220</v>
      </c>
      <c r="O592" s="82">
        <v>94659124877</v>
      </c>
      <c r="P592" s="364" t="s">
        <v>8</v>
      </c>
      <c r="Q592" s="73">
        <v>46062</v>
      </c>
      <c r="R592" s="59" t="s">
        <v>8</v>
      </c>
      <c r="S592" s="75">
        <v>40000</v>
      </c>
      <c r="T592" s="56">
        <f t="shared" si="64"/>
        <v>4100</v>
      </c>
      <c r="U592" s="461">
        <f>S592-T592</f>
        <v>35900</v>
      </c>
      <c r="V592" s="360">
        <f>U592/1.1</f>
        <v>32636.363636363632</v>
      </c>
      <c r="W592" s="65">
        <f>IF(H592=재고내역!$F$9,출고요청서_raw!G592*1,IF(H592=재고내역!$F$10,출고요청서_raw!G592*2,IF(출고요청서_raw!H592=재고내역!$F$11,출고요청서_raw!G592*4,IF(출고요청서_raw!H592=재고내역!$F$12,출고요청서_raw!G592*6,IF(출고요청서_raw!H592=재고내역!$F$13,출고요청서_raw!G592*8)))))</f>
        <v>2</v>
      </c>
      <c r="X592" s="69">
        <v>0.1166</v>
      </c>
      <c r="Y592" s="60">
        <f>U592*X592</f>
        <v>4185.9399999999996</v>
      </c>
      <c r="Z592" s="56">
        <f>W592*재고내역!$M$6</f>
        <v>15374</v>
      </c>
      <c r="AA592" s="56">
        <f>IF(W592&gt;8,4550*2,4550)</f>
        <v>4550</v>
      </c>
      <c r="AB592" s="56">
        <f t="shared" si="65"/>
        <v>8526.4236363636337</v>
      </c>
      <c r="AC592" s="376">
        <f t="shared" si="66"/>
        <v>0.2612553203342618</v>
      </c>
      <c r="AD592" s="74"/>
      <c r="AE592" s="60">
        <f>U592-Y592</f>
        <v>31714.06</v>
      </c>
    </row>
    <row r="593" spans="1:29" ht="15.75" customHeight="1">
      <c r="A593" s="430" t="s">
        <v>3025</v>
      </c>
      <c r="B593" s="430" t="s">
        <v>3026</v>
      </c>
      <c r="E593" s="430">
        <v>4080</v>
      </c>
      <c r="F593" s="430" t="s">
        <v>3027</v>
      </c>
      <c r="G593" s="371">
        <v>1</v>
      </c>
      <c r="H593" s="54" t="s">
        <v>73</v>
      </c>
      <c r="L593" s="351" t="s">
        <v>2306</v>
      </c>
      <c r="M593" s="351">
        <v>2.02602100800559E+18</v>
      </c>
      <c r="O593" s="351" t="s">
        <v>3028</v>
      </c>
      <c r="P593" s="57" t="s">
        <v>41</v>
      </c>
      <c r="Q593" s="73">
        <v>46063</v>
      </c>
      <c r="R593" s="59" t="s">
        <v>41</v>
      </c>
      <c r="S593" s="359">
        <v>45500</v>
      </c>
      <c r="T593" s="56" t="str">
        <f t="shared" si="64"/>
        <v>0</v>
      </c>
      <c r="U593" s="359">
        <v>45500</v>
      </c>
      <c r="V593" s="56">
        <f t="shared" ref="V593:V621" si="67">U593/1.1</f>
        <v>41363.63636363636</v>
      </c>
      <c r="W593" s="65">
        <f>IF(H593=재고내역!$F$9,출고요청서_raw!G593*1,IF(H593=재고내역!$F$10,출고요청서_raw!G593*2,IF(출고요청서_raw!H593=재고내역!$F$11,출고요청서_raw!G593*4,IF(출고요청서_raw!H593=재고내역!$F$12,출고요청서_raw!G593*6,IF(출고요청서_raw!H593=재고내역!$F$13,출고요청서_raw!G593*8)))))</f>
        <v>4</v>
      </c>
      <c r="Z593" s="56">
        <f>W593*재고내역!$M$6</f>
        <v>30748</v>
      </c>
      <c r="AA593" s="56">
        <f t="shared" ref="AA593:AA637" si="68">IF(W593&gt;8,4550*2,4550)</f>
        <v>4550</v>
      </c>
      <c r="AB593" s="56">
        <f t="shared" si="65"/>
        <v>6065.6363636363603</v>
      </c>
      <c r="AC593" s="376">
        <f t="shared" si="66"/>
        <v>0.14664175824175818</v>
      </c>
    </row>
    <row r="594" spans="1:29" ht="15.75" customHeight="1">
      <c r="A594" s="430" t="s">
        <v>3029</v>
      </c>
      <c r="B594" s="430" t="s">
        <v>3030</v>
      </c>
      <c r="E594" s="430">
        <v>14600</v>
      </c>
      <c r="F594" s="430" t="s">
        <v>3031</v>
      </c>
      <c r="G594" s="371">
        <v>1</v>
      </c>
      <c r="H594" s="54" t="s">
        <v>73</v>
      </c>
      <c r="L594" s="351" t="s">
        <v>1890</v>
      </c>
      <c r="M594" s="351">
        <v>2.02602100717117E+18</v>
      </c>
      <c r="O594" s="351" t="s">
        <v>3032</v>
      </c>
      <c r="P594" s="57" t="s">
        <v>41</v>
      </c>
      <c r="Q594" s="73">
        <v>46063</v>
      </c>
      <c r="R594" s="59" t="s">
        <v>41</v>
      </c>
      <c r="S594" s="359">
        <v>45500</v>
      </c>
      <c r="T594" s="56" t="str">
        <f t="shared" si="64"/>
        <v>0</v>
      </c>
      <c r="U594" s="359">
        <v>45500</v>
      </c>
      <c r="V594" s="56">
        <f t="shared" si="67"/>
        <v>41363.63636363636</v>
      </c>
      <c r="W594" s="65">
        <f>IF(H594=재고내역!$F$9,출고요청서_raw!G594*1,IF(H594=재고내역!$F$10,출고요청서_raw!G594*2,IF(출고요청서_raw!H594=재고내역!$F$11,출고요청서_raw!G594*4,IF(출고요청서_raw!H594=재고내역!$F$12,출고요청서_raw!G594*6,IF(출고요청서_raw!H594=재고내역!$F$13,출고요청서_raw!G594*8)))))</f>
        <v>4</v>
      </c>
      <c r="Z594" s="56">
        <f>W594*재고내역!$M$6</f>
        <v>30748</v>
      </c>
      <c r="AA594" s="56">
        <f t="shared" si="68"/>
        <v>4550</v>
      </c>
      <c r="AB594" s="56">
        <f t="shared" si="65"/>
        <v>6065.6363636363603</v>
      </c>
      <c r="AC594" s="376">
        <f t="shared" si="66"/>
        <v>0.14664175824175818</v>
      </c>
    </row>
    <row r="595" spans="1:29" ht="15.75" customHeight="1">
      <c r="A595" s="430" t="s">
        <v>3033</v>
      </c>
      <c r="B595" s="430" t="s">
        <v>3034</v>
      </c>
      <c r="E595" s="430">
        <v>10494</v>
      </c>
      <c r="F595" s="430" t="s">
        <v>3035</v>
      </c>
      <c r="G595" s="371">
        <v>1</v>
      </c>
      <c r="H595" s="54" t="s">
        <v>73</v>
      </c>
      <c r="L595" s="351" t="s">
        <v>2306</v>
      </c>
      <c r="M595" s="351">
        <v>2.0260210070557E+18</v>
      </c>
      <c r="O595" s="351" t="s">
        <v>3036</v>
      </c>
      <c r="P595" s="57" t="s">
        <v>41</v>
      </c>
      <c r="Q595" s="73">
        <v>46063</v>
      </c>
      <c r="R595" s="59" t="s">
        <v>41</v>
      </c>
      <c r="S595" s="359">
        <v>45500</v>
      </c>
      <c r="T595" s="56" t="str">
        <f t="shared" si="64"/>
        <v>0</v>
      </c>
      <c r="U595" s="359">
        <v>45500</v>
      </c>
      <c r="V595" s="56">
        <f t="shared" si="67"/>
        <v>41363.63636363636</v>
      </c>
      <c r="W595" s="65">
        <f>IF(H595=재고내역!$F$9,출고요청서_raw!G595*1,IF(H595=재고내역!$F$10,출고요청서_raw!G595*2,IF(출고요청서_raw!H595=재고내역!$F$11,출고요청서_raw!G595*4,IF(출고요청서_raw!H595=재고내역!$F$12,출고요청서_raw!G595*6,IF(출고요청서_raw!H595=재고내역!$F$13,출고요청서_raw!G595*8)))))</f>
        <v>4</v>
      </c>
      <c r="Z595" s="56">
        <f>W595*재고내역!$M$6</f>
        <v>30748</v>
      </c>
      <c r="AA595" s="56">
        <f t="shared" si="68"/>
        <v>4550</v>
      </c>
      <c r="AB595" s="56">
        <f t="shared" si="65"/>
        <v>6065.6363636363603</v>
      </c>
      <c r="AC595" s="376">
        <f t="shared" si="66"/>
        <v>0.14664175824175818</v>
      </c>
    </row>
    <row r="596" spans="1:29" ht="15.75" customHeight="1">
      <c r="A596" s="430" t="s">
        <v>3037</v>
      </c>
      <c r="B596" s="430" t="s">
        <v>3038</v>
      </c>
      <c r="E596" s="430">
        <v>21097</v>
      </c>
      <c r="F596" s="430" t="s">
        <v>3039</v>
      </c>
      <c r="G596" s="371">
        <v>1</v>
      </c>
      <c r="H596" s="54" t="s">
        <v>73</v>
      </c>
      <c r="L596" s="351" t="s">
        <v>3040</v>
      </c>
      <c r="M596" s="351">
        <v>2.02602100020302E+18</v>
      </c>
      <c r="O596" s="351" t="s">
        <v>3041</v>
      </c>
      <c r="P596" s="57" t="s">
        <v>41</v>
      </c>
      <c r="Q596" s="73">
        <v>46063</v>
      </c>
      <c r="R596" s="59" t="s">
        <v>41</v>
      </c>
      <c r="S596" s="359">
        <v>45500</v>
      </c>
      <c r="T596" s="56" t="str">
        <f t="shared" si="64"/>
        <v>0</v>
      </c>
      <c r="U596" s="359">
        <v>45500</v>
      </c>
      <c r="V596" s="56">
        <f t="shared" si="67"/>
        <v>41363.63636363636</v>
      </c>
      <c r="W596" s="65">
        <f>IF(H596=재고내역!$F$9,출고요청서_raw!G596*1,IF(H596=재고내역!$F$10,출고요청서_raw!G596*2,IF(출고요청서_raw!H596=재고내역!$F$11,출고요청서_raw!G596*4,IF(출고요청서_raw!H596=재고내역!$F$12,출고요청서_raw!G596*6,IF(출고요청서_raw!H596=재고내역!$F$13,출고요청서_raw!G596*8)))))</f>
        <v>4</v>
      </c>
      <c r="Z596" s="56">
        <f>W596*재고내역!$M$6</f>
        <v>30748</v>
      </c>
      <c r="AA596" s="56">
        <f t="shared" si="68"/>
        <v>4550</v>
      </c>
      <c r="AB596" s="56">
        <f t="shared" si="65"/>
        <v>6065.6363636363603</v>
      </c>
      <c r="AC596" s="376">
        <f t="shared" si="66"/>
        <v>0.14664175824175818</v>
      </c>
    </row>
    <row r="597" spans="1:29" ht="15.75" customHeight="1">
      <c r="A597" s="430" t="s">
        <v>3042</v>
      </c>
      <c r="B597" s="430" t="s">
        <v>3043</v>
      </c>
      <c r="E597" s="430">
        <v>59423</v>
      </c>
      <c r="F597" s="430" t="s">
        <v>3044</v>
      </c>
      <c r="G597" s="371">
        <v>2</v>
      </c>
      <c r="H597" s="54" t="s">
        <v>73</v>
      </c>
      <c r="L597" s="351" t="s">
        <v>3045</v>
      </c>
      <c r="M597" s="351">
        <v>2.0260209204757601E+18</v>
      </c>
      <c r="O597" s="351" t="s">
        <v>3046</v>
      </c>
      <c r="P597" s="57" t="s">
        <v>41</v>
      </c>
      <c r="Q597" s="73">
        <v>46063</v>
      </c>
      <c r="R597" s="59" t="s">
        <v>41</v>
      </c>
      <c r="S597" s="359">
        <v>91000</v>
      </c>
      <c r="T597" s="56" t="str">
        <f t="shared" si="64"/>
        <v>0</v>
      </c>
      <c r="U597" s="359">
        <v>91000</v>
      </c>
      <c r="V597" s="56">
        <f t="shared" si="67"/>
        <v>82727.272727272721</v>
      </c>
      <c r="W597" s="65">
        <f>IF(H597=재고내역!$F$9,출고요청서_raw!G597*1,IF(H597=재고내역!$F$10,출고요청서_raw!G597*2,IF(출고요청서_raw!H597=재고내역!$F$11,출고요청서_raw!G597*4,IF(출고요청서_raw!H597=재고내역!$F$12,출고요청서_raw!G597*6,IF(출고요청서_raw!H597=재고내역!$F$13,출고요청서_raw!G597*8)))))</f>
        <v>8</v>
      </c>
      <c r="Z597" s="56">
        <f>W597*재고내역!$M$6</f>
        <v>61496</v>
      </c>
      <c r="AA597" s="56">
        <f t="shared" si="68"/>
        <v>4550</v>
      </c>
      <c r="AB597" s="56">
        <f t="shared" si="65"/>
        <v>16681.272727272721</v>
      </c>
      <c r="AC597" s="376">
        <f t="shared" si="66"/>
        <v>0.20164175824175817</v>
      </c>
    </row>
    <row r="598" spans="1:29" ht="15.75" customHeight="1">
      <c r="A598" s="430" t="s">
        <v>3047</v>
      </c>
      <c r="B598" s="430" t="s">
        <v>3048</v>
      </c>
      <c r="E598" s="430">
        <v>21976</v>
      </c>
      <c r="F598" s="430" t="s">
        <v>3049</v>
      </c>
      <c r="G598" s="371">
        <v>2</v>
      </c>
      <c r="H598" s="54" t="s">
        <v>73</v>
      </c>
      <c r="L598" s="351" t="s">
        <v>2306</v>
      </c>
      <c r="M598" s="351">
        <v>2.0260209191840901E+18</v>
      </c>
      <c r="O598" s="351" t="s">
        <v>3050</v>
      </c>
      <c r="P598" s="57" t="s">
        <v>41</v>
      </c>
      <c r="Q598" s="73">
        <v>46063</v>
      </c>
      <c r="R598" s="59" t="s">
        <v>41</v>
      </c>
      <c r="S598" s="359">
        <v>91000</v>
      </c>
      <c r="T598" s="56" t="str">
        <f t="shared" si="64"/>
        <v>0</v>
      </c>
      <c r="U598" s="359">
        <v>91000</v>
      </c>
      <c r="V598" s="56">
        <f t="shared" si="67"/>
        <v>82727.272727272721</v>
      </c>
      <c r="W598" s="65">
        <f>IF(H598=재고내역!$F$9,출고요청서_raw!G598*1,IF(H598=재고내역!$F$10,출고요청서_raw!G598*2,IF(출고요청서_raw!H598=재고내역!$F$11,출고요청서_raw!G598*4,IF(출고요청서_raw!H598=재고내역!$F$12,출고요청서_raw!G598*6,IF(출고요청서_raw!H598=재고내역!$F$13,출고요청서_raw!G598*8)))))</f>
        <v>8</v>
      </c>
      <c r="Z598" s="56">
        <f>W598*재고내역!$M$6</f>
        <v>61496</v>
      </c>
      <c r="AA598" s="56">
        <f t="shared" si="68"/>
        <v>4550</v>
      </c>
      <c r="AB598" s="56">
        <f t="shared" si="65"/>
        <v>16681.272727272721</v>
      </c>
      <c r="AC598" s="376">
        <f t="shared" si="66"/>
        <v>0.20164175824175817</v>
      </c>
    </row>
    <row r="599" spans="1:29" ht="15.75" customHeight="1">
      <c r="A599" s="430" t="s">
        <v>3051</v>
      </c>
      <c r="B599" s="430" t="s">
        <v>3052</v>
      </c>
      <c r="E599" s="430">
        <v>54944</v>
      </c>
      <c r="F599" s="430" t="s">
        <v>3053</v>
      </c>
      <c r="G599" s="371">
        <v>1</v>
      </c>
      <c r="H599" s="54" t="s">
        <v>73</v>
      </c>
      <c r="L599" s="351" t="s">
        <v>3054</v>
      </c>
      <c r="M599" s="351">
        <v>2.0260209191610199E+18</v>
      </c>
      <c r="O599" s="351" t="s">
        <v>3055</v>
      </c>
      <c r="P599" s="57" t="s">
        <v>41</v>
      </c>
      <c r="Q599" s="73">
        <v>46063</v>
      </c>
      <c r="R599" s="59" t="s">
        <v>41</v>
      </c>
      <c r="S599" s="359">
        <v>45500</v>
      </c>
      <c r="T599" s="56" t="str">
        <f t="shared" si="64"/>
        <v>0</v>
      </c>
      <c r="U599" s="359">
        <v>45500</v>
      </c>
      <c r="V599" s="56">
        <f t="shared" si="67"/>
        <v>41363.63636363636</v>
      </c>
      <c r="W599" s="65">
        <f>IF(H599=재고내역!$F$9,출고요청서_raw!G599*1,IF(H599=재고내역!$F$10,출고요청서_raw!G599*2,IF(출고요청서_raw!H599=재고내역!$F$11,출고요청서_raw!G599*4,IF(출고요청서_raw!H599=재고내역!$F$12,출고요청서_raw!G599*6,IF(출고요청서_raw!H599=재고내역!$F$13,출고요청서_raw!G599*8)))))</f>
        <v>4</v>
      </c>
      <c r="Z599" s="56">
        <f>W599*재고내역!$M$6</f>
        <v>30748</v>
      </c>
      <c r="AA599" s="56">
        <f t="shared" si="68"/>
        <v>4550</v>
      </c>
      <c r="AB599" s="56">
        <f t="shared" si="65"/>
        <v>6065.6363636363603</v>
      </c>
      <c r="AC599" s="376">
        <f t="shared" si="66"/>
        <v>0.14664175824175818</v>
      </c>
    </row>
    <row r="600" spans="1:29" ht="15.75" customHeight="1">
      <c r="A600" s="430" t="s">
        <v>3056</v>
      </c>
      <c r="B600" s="430" t="s">
        <v>3057</v>
      </c>
      <c r="E600" s="430">
        <v>16543</v>
      </c>
      <c r="F600" s="430" t="s">
        <v>3058</v>
      </c>
      <c r="G600" s="371">
        <v>1</v>
      </c>
      <c r="H600" s="54" t="s">
        <v>73</v>
      </c>
      <c r="L600" s="351" t="s">
        <v>2306</v>
      </c>
      <c r="M600" s="351">
        <v>2.0260209191336699E+18</v>
      </c>
      <c r="O600" s="351" t="s">
        <v>3059</v>
      </c>
      <c r="P600" s="57" t="s">
        <v>41</v>
      </c>
      <c r="Q600" s="73">
        <v>46063</v>
      </c>
      <c r="R600" s="59" t="s">
        <v>41</v>
      </c>
      <c r="S600" s="359">
        <v>45500</v>
      </c>
      <c r="T600" s="56" t="str">
        <f t="shared" si="64"/>
        <v>0</v>
      </c>
      <c r="U600" s="359">
        <v>45500</v>
      </c>
      <c r="V600" s="56">
        <f t="shared" si="67"/>
        <v>41363.63636363636</v>
      </c>
      <c r="W600" s="65">
        <f>IF(H600=재고내역!$F$9,출고요청서_raw!G600*1,IF(H600=재고내역!$F$10,출고요청서_raw!G600*2,IF(출고요청서_raw!H600=재고내역!$F$11,출고요청서_raw!G600*4,IF(출고요청서_raw!H600=재고내역!$F$12,출고요청서_raw!G600*6,IF(출고요청서_raw!H600=재고내역!$F$13,출고요청서_raw!G600*8)))))</f>
        <v>4</v>
      </c>
      <c r="Z600" s="56">
        <f>W600*재고내역!$M$6</f>
        <v>30748</v>
      </c>
      <c r="AA600" s="56">
        <f t="shared" si="68"/>
        <v>4550</v>
      </c>
      <c r="AB600" s="56">
        <f t="shared" si="65"/>
        <v>6065.6363636363603</v>
      </c>
      <c r="AC600" s="376">
        <f t="shared" si="66"/>
        <v>0.14664175824175818</v>
      </c>
    </row>
    <row r="601" spans="1:29" ht="15.75" customHeight="1">
      <c r="A601" s="430" t="s">
        <v>3060</v>
      </c>
      <c r="B601" s="430" t="s">
        <v>3061</v>
      </c>
      <c r="E601" s="430">
        <v>11764</v>
      </c>
      <c r="F601" s="430" t="s">
        <v>3062</v>
      </c>
      <c r="G601" s="371">
        <v>1</v>
      </c>
      <c r="H601" s="54" t="s">
        <v>73</v>
      </c>
      <c r="L601" s="351" t="s">
        <v>823</v>
      </c>
      <c r="M601" s="351">
        <v>2.0260209190055401E+18</v>
      </c>
      <c r="O601" s="351" t="s">
        <v>3063</v>
      </c>
      <c r="P601" s="57" t="s">
        <v>41</v>
      </c>
      <c r="Q601" s="73">
        <v>46063</v>
      </c>
      <c r="R601" s="59" t="s">
        <v>41</v>
      </c>
      <c r="S601" s="359">
        <v>45500</v>
      </c>
      <c r="T601" s="56" t="str">
        <f t="shared" si="64"/>
        <v>0</v>
      </c>
      <c r="U601" s="359">
        <v>45500</v>
      </c>
      <c r="V601" s="56">
        <f t="shared" si="67"/>
        <v>41363.63636363636</v>
      </c>
      <c r="W601" s="65">
        <f>IF(H601=재고내역!$F$9,출고요청서_raw!G601*1,IF(H601=재고내역!$F$10,출고요청서_raw!G601*2,IF(출고요청서_raw!H601=재고내역!$F$11,출고요청서_raw!G601*4,IF(출고요청서_raw!H601=재고내역!$F$12,출고요청서_raw!G601*6,IF(출고요청서_raw!H601=재고내역!$F$13,출고요청서_raw!G601*8)))))</f>
        <v>4</v>
      </c>
      <c r="Z601" s="56">
        <f>W601*재고내역!$M$6</f>
        <v>30748</v>
      </c>
      <c r="AA601" s="56">
        <f t="shared" si="68"/>
        <v>4550</v>
      </c>
      <c r="AB601" s="56">
        <f t="shared" si="65"/>
        <v>6065.6363636363603</v>
      </c>
      <c r="AC601" s="376">
        <f t="shared" si="66"/>
        <v>0.14664175824175818</v>
      </c>
    </row>
    <row r="602" spans="1:29" ht="15.75" customHeight="1">
      <c r="A602" s="430" t="s">
        <v>3064</v>
      </c>
      <c r="B602" s="430" t="s">
        <v>3065</v>
      </c>
      <c r="E602" s="430">
        <v>4743</v>
      </c>
      <c r="F602" s="430" t="s">
        <v>3066</v>
      </c>
      <c r="G602" s="371">
        <v>2</v>
      </c>
      <c r="H602" s="54" t="s">
        <v>73</v>
      </c>
      <c r="L602" s="351" t="s">
        <v>2306</v>
      </c>
      <c r="M602" s="351">
        <v>2.02602091852097E+18</v>
      </c>
      <c r="O602" s="351" t="s">
        <v>3067</v>
      </c>
      <c r="P602" s="57" t="s">
        <v>41</v>
      </c>
      <c r="Q602" s="73">
        <v>46063</v>
      </c>
      <c r="R602" s="59" t="s">
        <v>41</v>
      </c>
      <c r="S602" s="359">
        <v>91000</v>
      </c>
      <c r="T602" s="56" t="str">
        <f t="shared" si="64"/>
        <v>0</v>
      </c>
      <c r="U602" s="359">
        <v>91000</v>
      </c>
      <c r="V602" s="56">
        <f t="shared" si="67"/>
        <v>82727.272727272721</v>
      </c>
      <c r="W602" s="65">
        <f>IF(H602=재고내역!$F$9,출고요청서_raw!G602*1,IF(H602=재고내역!$F$10,출고요청서_raw!G602*2,IF(출고요청서_raw!H602=재고내역!$F$11,출고요청서_raw!G602*4,IF(출고요청서_raw!H602=재고내역!$F$12,출고요청서_raw!G602*6,IF(출고요청서_raw!H602=재고내역!$F$13,출고요청서_raw!G602*8)))))</f>
        <v>8</v>
      </c>
      <c r="Z602" s="56">
        <f>W602*재고내역!$M$6</f>
        <v>61496</v>
      </c>
      <c r="AA602" s="56">
        <f t="shared" si="68"/>
        <v>4550</v>
      </c>
      <c r="AB602" s="56">
        <f t="shared" si="65"/>
        <v>16681.272727272721</v>
      </c>
      <c r="AC602" s="376">
        <f t="shared" si="66"/>
        <v>0.20164175824175817</v>
      </c>
    </row>
    <row r="603" spans="1:29" ht="15.75" customHeight="1">
      <c r="A603" s="430" t="s">
        <v>3068</v>
      </c>
      <c r="B603" s="430" t="s">
        <v>3069</v>
      </c>
      <c r="E603" s="430">
        <v>4162</v>
      </c>
      <c r="F603" s="430" t="s">
        <v>3070</v>
      </c>
      <c r="G603" s="371">
        <v>1</v>
      </c>
      <c r="H603" s="54" t="s">
        <v>73</v>
      </c>
      <c r="L603" s="351" t="s">
        <v>2306</v>
      </c>
      <c r="M603" s="351">
        <v>2.02602091849039E+18</v>
      </c>
      <c r="O603" s="351" t="s">
        <v>3071</v>
      </c>
      <c r="P603" s="57" t="s">
        <v>41</v>
      </c>
      <c r="Q603" s="73">
        <v>46063</v>
      </c>
      <c r="R603" s="59" t="s">
        <v>41</v>
      </c>
      <c r="S603" s="359">
        <v>45500</v>
      </c>
      <c r="T603" s="56" t="str">
        <f t="shared" si="64"/>
        <v>0</v>
      </c>
      <c r="U603" s="359">
        <v>45500</v>
      </c>
      <c r="V603" s="56">
        <f t="shared" si="67"/>
        <v>41363.63636363636</v>
      </c>
      <c r="W603" s="65">
        <f>IF(H603=재고내역!$F$9,출고요청서_raw!G603*1,IF(H603=재고내역!$F$10,출고요청서_raw!G603*2,IF(출고요청서_raw!H603=재고내역!$F$11,출고요청서_raw!G603*4,IF(출고요청서_raw!H603=재고내역!$F$12,출고요청서_raw!G603*6,IF(출고요청서_raw!H603=재고내역!$F$13,출고요청서_raw!G603*8)))))</f>
        <v>4</v>
      </c>
      <c r="Z603" s="56">
        <f>W603*재고내역!$M$6</f>
        <v>30748</v>
      </c>
      <c r="AA603" s="56">
        <f t="shared" si="68"/>
        <v>4550</v>
      </c>
      <c r="AB603" s="56">
        <f t="shared" si="65"/>
        <v>6065.6363636363603</v>
      </c>
      <c r="AC603" s="376">
        <f t="shared" si="66"/>
        <v>0.14664175824175818</v>
      </c>
    </row>
    <row r="604" spans="1:29" ht="15.75" customHeight="1">
      <c r="A604" s="430" t="s">
        <v>3072</v>
      </c>
      <c r="B604" s="430" t="s">
        <v>3073</v>
      </c>
      <c r="E604" s="430">
        <v>50959</v>
      </c>
      <c r="F604" s="430" t="s">
        <v>3074</v>
      </c>
      <c r="G604" s="371">
        <v>1</v>
      </c>
      <c r="H604" s="54" t="s">
        <v>73</v>
      </c>
      <c r="L604" s="351" t="s">
        <v>3075</v>
      </c>
      <c r="M604" s="351">
        <v>2.0260209183941E+18</v>
      </c>
      <c r="O604" s="351" t="s">
        <v>3076</v>
      </c>
      <c r="P604" s="57" t="s">
        <v>41</v>
      </c>
      <c r="Q604" s="73">
        <v>46063</v>
      </c>
      <c r="R604" s="59" t="s">
        <v>41</v>
      </c>
      <c r="S604" s="359">
        <v>45500</v>
      </c>
      <c r="T604" s="56" t="str">
        <f t="shared" si="64"/>
        <v>0</v>
      </c>
      <c r="U604" s="359">
        <v>45500</v>
      </c>
      <c r="V604" s="56">
        <f t="shared" si="67"/>
        <v>41363.63636363636</v>
      </c>
      <c r="W604" s="65">
        <f>IF(H604=재고내역!$F$9,출고요청서_raw!G604*1,IF(H604=재고내역!$F$10,출고요청서_raw!G604*2,IF(출고요청서_raw!H604=재고내역!$F$11,출고요청서_raw!G604*4,IF(출고요청서_raw!H604=재고내역!$F$12,출고요청서_raw!G604*6,IF(출고요청서_raw!H604=재고내역!$F$13,출고요청서_raw!G604*8)))))</f>
        <v>4</v>
      </c>
      <c r="Z604" s="56">
        <f>W604*재고내역!$M$6</f>
        <v>30748</v>
      </c>
      <c r="AA604" s="56">
        <f t="shared" si="68"/>
        <v>4550</v>
      </c>
      <c r="AB604" s="56">
        <f t="shared" si="65"/>
        <v>6065.6363636363603</v>
      </c>
      <c r="AC604" s="376">
        <f t="shared" si="66"/>
        <v>0.14664175824175818</v>
      </c>
    </row>
    <row r="605" spans="1:29" ht="15.75" customHeight="1">
      <c r="A605" s="430" t="s">
        <v>3077</v>
      </c>
      <c r="B605" s="430" t="s">
        <v>3078</v>
      </c>
      <c r="E605" s="430">
        <v>30130</v>
      </c>
      <c r="F605" s="430" t="s">
        <v>3079</v>
      </c>
      <c r="G605" s="371">
        <v>1</v>
      </c>
      <c r="H605" s="54" t="s">
        <v>73</v>
      </c>
      <c r="L605" s="351" t="s">
        <v>2306</v>
      </c>
      <c r="M605" s="351">
        <v>2.02602091813166E+18</v>
      </c>
      <c r="O605" s="351" t="s">
        <v>3080</v>
      </c>
      <c r="P605" s="57" t="s">
        <v>41</v>
      </c>
      <c r="Q605" s="73">
        <v>46063</v>
      </c>
      <c r="R605" s="59" t="s">
        <v>41</v>
      </c>
      <c r="S605" s="359">
        <v>45500</v>
      </c>
      <c r="T605" s="56" t="str">
        <f t="shared" si="64"/>
        <v>0</v>
      </c>
      <c r="U605" s="359">
        <v>45500</v>
      </c>
      <c r="V605" s="56">
        <f t="shared" si="67"/>
        <v>41363.63636363636</v>
      </c>
      <c r="W605" s="65">
        <f>IF(H605=재고내역!$F$9,출고요청서_raw!G605*1,IF(H605=재고내역!$F$10,출고요청서_raw!G605*2,IF(출고요청서_raw!H605=재고내역!$F$11,출고요청서_raw!G605*4,IF(출고요청서_raw!H605=재고내역!$F$12,출고요청서_raw!G605*6,IF(출고요청서_raw!H605=재고내역!$F$13,출고요청서_raw!G605*8)))))</f>
        <v>4</v>
      </c>
      <c r="Z605" s="56">
        <f>W605*재고내역!$M$6</f>
        <v>30748</v>
      </c>
      <c r="AA605" s="56">
        <f t="shared" si="68"/>
        <v>4550</v>
      </c>
      <c r="AB605" s="56">
        <f t="shared" si="65"/>
        <v>6065.6363636363603</v>
      </c>
      <c r="AC605" s="376">
        <f t="shared" si="66"/>
        <v>0.14664175824175818</v>
      </c>
    </row>
    <row r="606" spans="1:29" ht="15.75" customHeight="1">
      <c r="A606" s="430" t="s">
        <v>3081</v>
      </c>
      <c r="B606" s="430" t="s">
        <v>3082</v>
      </c>
      <c r="E606" s="430">
        <v>14102</v>
      </c>
      <c r="F606" s="430" t="s">
        <v>3083</v>
      </c>
      <c r="G606" s="371">
        <v>1</v>
      </c>
      <c r="H606" s="54" t="s">
        <v>73</v>
      </c>
      <c r="L606" s="351" t="s">
        <v>2306</v>
      </c>
      <c r="M606" s="351">
        <v>2.0260209180852201E+18</v>
      </c>
      <c r="O606" s="351" t="s">
        <v>3084</v>
      </c>
      <c r="P606" s="57" t="s">
        <v>41</v>
      </c>
      <c r="Q606" s="73">
        <v>46063</v>
      </c>
      <c r="R606" s="59" t="s">
        <v>41</v>
      </c>
      <c r="S606" s="359">
        <v>45500</v>
      </c>
      <c r="T606" s="56" t="str">
        <f t="shared" si="64"/>
        <v>0</v>
      </c>
      <c r="U606" s="359">
        <v>45500</v>
      </c>
      <c r="V606" s="56">
        <f t="shared" si="67"/>
        <v>41363.63636363636</v>
      </c>
      <c r="W606" s="65">
        <f>IF(H606=재고내역!$F$9,출고요청서_raw!G606*1,IF(H606=재고내역!$F$10,출고요청서_raw!G606*2,IF(출고요청서_raw!H606=재고내역!$F$11,출고요청서_raw!G606*4,IF(출고요청서_raw!H606=재고내역!$F$12,출고요청서_raw!G606*6,IF(출고요청서_raw!H606=재고내역!$F$13,출고요청서_raw!G606*8)))))</f>
        <v>4</v>
      </c>
      <c r="Z606" s="56">
        <f>W606*재고내역!$M$6</f>
        <v>30748</v>
      </c>
      <c r="AA606" s="56">
        <f t="shared" si="68"/>
        <v>4550</v>
      </c>
      <c r="AB606" s="56">
        <f t="shared" si="65"/>
        <v>6065.6363636363603</v>
      </c>
      <c r="AC606" s="376">
        <f t="shared" si="66"/>
        <v>0.14664175824175818</v>
      </c>
    </row>
    <row r="607" spans="1:29" ht="15.75" customHeight="1">
      <c r="A607" s="430" t="s">
        <v>3085</v>
      </c>
      <c r="B607" s="430" t="s">
        <v>3086</v>
      </c>
      <c r="E607" s="430">
        <v>10311</v>
      </c>
      <c r="F607" s="430" t="s">
        <v>3087</v>
      </c>
      <c r="G607" s="371">
        <v>1</v>
      </c>
      <c r="H607" s="54" t="s">
        <v>73</v>
      </c>
      <c r="L607" s="351" t="s">
        <v>2306</v>
      </c>
      <c r="M607" s="351">
        <v>2.0260209180133801E+18</v>
      </c>
      <c r="O607" s="351" t="s">
        <v>3088</v>
      </c>
      <c r="P607" s="57" t="s">
        <v>41</v>
      </c>
      <c r="Q607" s="73">
        <v>46063</v>
      </c>
      <c r="R607" s="59" t="s">
        <v>41</v>
      </c>
      <c r="S607" s="359">
        <v>45500</v>
      </c>
      <c r="T607" s="56" t="str">
        <f t="shared" si="64"/>
        <v>0</v>
      </c>
      <c r="U607" s="359">
        <v>45500</v>
      </c>
      <c r="V607" s="56">
        <f t="shared" si="67"/>
        <v>41363.63636363636</v>
      </c>
      <c r="W607" s="65">
        <f>IF(H607=재고내역!$F$9,출고요청서_raw!G607*1,IF(H607=재고내역!$F$10,출고요청서_raw!G607*2,IF(출고요청서_raw!H607=재고내역!$F$11,출고요청서_raw!G607*4,IF(출고요청서_raw!H607=재고내역!$F$12,출고요청서_raw!G607*6,IF(출고요청서_raw!H607=재고내역!$F$13,출고요청서_raw!G607*8)))))</f>
        <v>4</v>
      </c>
      <c r="Z607" s="56">
        <f>W607*재고내역!$M$6</f>
        <v>30748</v>
      </c>
      <c r="AA607" s="56">
        <f t="shared" si="68"/>
        <v>4550</v>
      </c>
      <c r="AB607" s="56">
        <f t="shared" si="65"/>
        <v>6065.6363636363603</v>
      </c>
      <c r="AC607" s="376">
        <f t="shared" si="66"/>
        <v>0.14664175824175818</v>
      </c>
    </row>
    <row r="608" spans="1:29" ht="15.75" customHeight="1">
      <c r="A608" s="430" t="s">
        <v>3089</v>
      </c>
      <c r="B608" s="430" t="s">
        <v>3090</v>
      </c>
      <c r="E608" s="430">
        <v>7439</v>
      </c>
      <c r="F608" s="430" t="s">
        <v>3091</v>
      </c>
      <c r="G608" s="371">
        <v>1</v>
      </c>
      <c r="H608" s="54" t="s">
        <v>73</v>
      </c>
      <c r="L608" s="351" t="s">
        <v>2306</v>
      </c>
      <c r="M608" s="351">
        <v>2.02602091214286E+18</v>
      </c>
      <c r="O608" s="351" t="s">
        <v>3092</v>
      </c>
      <c r="P608" s="57" t="s">
        <v>41</v>
      </c>
      <c r="Q608" s="73">
        <v>46063</v>
      </c>
      <c r="R608" s="59" t="s">
        <v>41</v>
      </c>
      <c r="S608" s="359">
        <v>45500</v>
      </c>
      <c r="T608" s="56" t="str">
        <f t="shared" si="64"/>
        <v>0</v>
      </c>
      <c r="U608" s="359">
        <v>45500</v>
      </c>
      <c r="V608" s="56">
        <f t="shared" si="67"/>
        <v>41363.63636363636</v>
      </c>
      <c r="W608" s="65">
        <f>IF(H608=재고내역!$F$9,출고요청서_raw!G608*1,IF(H608=재고내역!$F$10,출고요청서_raw!G608*2,IF(출고요청서_raw!H608=재고내역!$F$11,출고요청서_raw!G608*4,IF(출고요청서_raw!H608=재고내역!$F$12,출고요청서_raw!G608*6,IF(출고요청서_raw!H608=재고내역!$F$13,출고요청서_raw!G608*8)))))</f>
        <v>4</v>
      </c>
      <c r="Z608" s="56">
        <f>W608*재고내역!$M$6</f>
        <v>30748</v>
      </c>
      <c r="AA608" s="56">
        <f t="shared" si="68"/>
        <v>4550</v>
      </c>
      <c r="AB608" s="56">
        <f t="shared" si="65"/>
        <v>6065.6363636363603</v>
      </c>
      <c r="AC608" s="376">
        <f t="shared" si="66"/>
        <v>0.14664175824175818</v>
      </c>
    </row>
    <row r="609" spans="1:29" ht="15.75" customHeight="1">
      <c r="A609" s="430" t="s">
        <v>3093</v>
      </c>
      <c r="B609" s="430" t="s">
        <v>3094</v>
      </c>
      <c r="E609" s="430">
        <v>4148</v>
      </c>
      <c r="F609" s="430" t="s">
        <v>3095</v>
      </c>
      <c r="G609" s="371">
        <v>1</v>
      </c>
      <c r="H609" s="54" t="s">
        <v>73</v>
      </c>
      <c r="L609" s="351" t="s">
        <v>2306</v>
      </c>
      <c r="M609" s="351">
        <v>2.02602091204319E+18</v>
      </c>
      <c r="O609" s="351" t="s">
        <v>3096</v>
      </c>
      <c r="P609" s="57" t="s">
        <v>41</v>
      </c>
      <c r="Q609" s="73">
        <v>46063</v>
      </c>
      <c r="R609" s="59" t="s">
        <v>41</v>
      </c>
      <c r="S609" s="359">
        <v>45500</v>
      </c>
      <c r="T609" s="56" t="str">
        <f t="shared" si="64"/>
        <v>0</v>
      </c>
      <c r="U609" s="359">
        <v>45500</v>
      </c>
      <c r="V609" s="56">
        <f t="shared" si="67"/>
        <v>41363.63636363636</v>
      </c>
      <c r="W609" s="65">
        <f>IF(H609=재고내역!$F$9,출고요청서_raw!G609*1,IF(H609=재고내역!$F$10,출고요청서_raw!G609*2,IF(출고요청서_raw!H609=재고내역!$F$11,출고요청서_raw!G609*4,IF(출고요청서_raw!H609=재고내역!$F$12,출고요청서_raw!G609*6,IF(출고요청서_raw!H609=재고내역!$F$13,출고요청서_raw!G609*8)))))</f>
        <v>4</v>
      </c>
      <c r="Z609" s="56">
        <f>W609*재고내역!$M$6</f>
        <v>30748</v>
      </c>
      <c r="AA609" s="56">
        <f t="shared" si="68"/>
        <v>4550</v>
      </c>
      <c r="AB609" s="56">
        <f t="shared" si="65"/>
        <v>6065.6363636363603</v>
      </c>
      <c r="AC609" s="376">
        <f t="shared" si="66"/>
        <v>0.14664175824175818</v>
      </c>
    </row>
    <row r="610" spans="1:29" ht="15.75" customHeight="1">
      <c r="A610" s="430" t="s">
        <v>3097</v>
      </c>
      <c r="B610" s="430" t="s">
        <v>3098</v>
      </c>
      <c r="E610" s="430">
        <v>53283</v>
      </c>
      <c r="F610" s="430" t="s">
        <v>3099</v>
      </c>
      <c r="G610" s="371">
        <v>2</v>
      </c>
      <c r="H610" s="54" t="s">
        <v>73</v>
      </c>
      <c r="L610" s="351" t="s">
        <v>2306</v>
      </c>
      <c r="M610" s="351">
        <v>2.0260209113237499E+18</v>
      </c>
      <c r="O610" s="351" t="s">
        <v>3100</v>
      </c>
      <c r="P610" s="57" t="s">
        <v>41</v>
      </c>
      <c r="Q610" s="73">
        <v>46063</v>
      </c>
      <c r="R610" s="59" t="s">
        <v>41</v>
      </c>
      <c r="S610" s="359">
        <v>91000</v>
      </c>
      <c r="T610" s="56" t="str">
        <f t="shared" si="64"/>
        <v>0</v>
      </c>
      <c r="U610" s="359">
        <v>91000</v>
      </c>
      <c r="V610" s="56">
        <f t="shared" si="67"/>
        <v>82727.272727272721</v>
      </c>
      <c r="W610" s="65">
        <f>IF(H610=재고내역!$F$9,출고요청서_raw!G610*1,IF(H610=재고내역!$F$10,출고요청서_raw!G610*2,IF(출고요청서_raw!H610=재고내역!$F$11,출고요청서_raw!G610*4,IF(출고요청서_raw!H610=재고내역!$F$12,출고요청서_raw!G610*6,IF(출고요청서_raw!H610=재고내역!$F$13,출고요청서_raw!G610*8)))))</f>
        <v>8</v>
      </c>
      <c r="Z610" s="56">
        <f>W610*재고내역!$M$6</f>
        <v>61496</v>
      </c>
      <c r="AA610" s="56">
        <f t="shared" si="68"/>
        <v>4550</v>
      </c>
      <c r="AB610" s="56">
        <f t="shared" si="65"/>
        <v>16681.272727272721</v>
      </c>
      <c r="AC610" s="376">
        <f t="shared" si="66"/>
        <v>0.20164175824175817</v>
      </c>
    </row>
    <row r="611" spans="1:29" ht="15.75" customHeight="1">
      <c r="A611" s="430" t="s">
        <v>3101</v>
      </c>
      <c r="B611" s="430" t="s">
        <v>3102</v>
      </c>
      <c r="E611" s="430">
        <v>4164</v>
      </c>
      <c r="F611" s="430" t="s">
        <v>3103</v>
      </c>
      <c r="G611" s="371">
        <v>1</v>
      </c>
      <c r="H611" s="54" t="s">
        <v>73</v>
      </c>
      <c r="L611" s="351" t="s">
        <v>2306</v>
      </c>
      <c r="M611" s="351">
        <v>2.0260209112015601E+18</v>
      </c>
      <c r="O611" s="351" t="s">
        <v>3104</v>
      </c>
      <c r="P611" s="57" t="s">
        <v>41</v>
      </c>
      <c r="Q611" s="73">
        <v>46063</v>
      </c>
      <c r="R611" s="59" t="s">
        <v>41</v>
      </c>
      <c r="S611" s="359">
        <v>45500</v>
      </c>
      <c r="T611" s="56" t="str">
        <f t="shared" si="64"/>
        <v>0</v>
      </c>
      <c r="U611" s="359">
        <v>45500</v>
      </c>
      <c r="V611" s="56">
        <f t="shared" si="67"/>
        <v>41363.63636363636</v>
      </c>
      <c r="W611" s="65">
        <f>IF(H611=재고내역!$F$9,출고요청서_raw!G611*1,IF(H611=재고내역!$F$10,출고요청서_raw!G611*2,IF(출고요청서_raw!H611=재고내역!$F$11,출고요청서_raw!G611*4,IF(출고요청서_raw!H611=재고내역!$F$12,출고요청서_raw!G611*6,IF(출고요청서_raw!H611=재고내역!$F$13,출고요청서_raw!G611*8)))))</f>
        <v>4</v>
      </c>
      <c r="Z611" s="56">
        <f>W611*재고내역!$M$6</f>
        <v>30748</v>
      </c>
      <c r="AA611" s="56">
        <f t="shared" si="68"/>
        <v>4550</v>
      </c>
      <c r="AB611" s="56">
        <f t="shared" si="65"/>
        <v>6065.6363636363603</v>
      </c>
      <c r="AC611" s="376">
        <f t="shared" si="66"/>
        <v>0.14664175824175818</v>
      </c>
    </row>
    <row r="612" spans="1:29" ht="15.75" customHeight="1">
      <c r="A612" s="430" t="s">
        <v>3105</v>
      </c>
      <c r="B612" s="430" t="s">
        <v>3106</v>
      </c>
      <c r="E612" s="430">
        <v>25257</v>
      </c>
      <c r="F612" s="430" t="s">
        <v>3107</v>
      </c>
      <c r="G612" s="371">
        <v>1</v>
      </c>
      <c r="H612" s="54" t="s">
        <v>73</v>
      </c>
      <c r="L612" s="351" t="s">
        <v>3108</v>
      </c>
      <c r="M612" s="351">
        <v>2.0260209110911201E+18</v>
      </c>
      <c r="O612" s="351" t="s">
        <v>3109</v>
      </c>
      <c r="P612" s="57" t="s">
        <v>41</v>
      </c>
      <c r="Q612" s="73">
        <v>46063</v>
      </c>
      <c r="R612" s="59" t="s">
        <v>41</v>
      </c>
      <c r="S612" s="359">
        <v>45500</v>
      </c>
      <c r="T612" s="56" t="str">
        <f t="shared" si="64"/>
        <v>0</v>
      </c>
      <c r="U612" s="359">
        <v>45500</v>
      </c>
      <c r="V612" s="56">
        <f t="shared" si="67"/>
        <v>41363.63636363636</v>
      </c>
      <c r="W612" s="65">
        <f>IF(H612=재고내역!$F$9,출고요청서_raw!G612*1,IF(H612=재고내역!$F$10,출고요청서_raw!G612*2,IF(출고요청서_raw!H612=재고내역!$F$11,출고요청서_raw!G612*4,IF(출고요청서_raw!H612=재고내역!$F$12,출고요청서_raw!G612*6,IF(출고요청서_raw!H612=재고내역!$F$13,출고요청서_raw!G612*8)))))</f>
        <v>4</v>
      </c>
      <c r="Z612" s="56">
        <f>W612*재고내역!$M$6</f>
        <v>30748</v>
      </c>
      <c r="AA612" s="56">
        <f t="shared" si="68"/>
        <v>4550</v>
      </c>
      <c r="AB612" s="56">
        <f t="shared" si="65"/>
        <v>6065.6363636363603</v>
      </c>
      <c r="AC612" s="376">
        <f t="shared" si="66"/>
        <v>0.14664175824175818</v>
      </c>
    </row>
    <row r="613" spans="1:29" ht="15.75" customHeight="1">
      <c r="A613" s="430" t="s">
        <v>3110</v>
      </c>
      <c r="B613" s="430" t="s">
        <v>3111</v>
      </c>
      <c r="E613" s="430">
        <v>46317</v>
      </c>
      <c r="F613" s="430" t="s">
        <v>3112</v>
      </c>
      <c r="G613" s="371">
        <v>1</v>
      </c>
      <c r="H613" s="54" t="s">
        <v>73</v>
      </c>
      <c r="L613" s="351" t="s">
        <v>3113</v>
      </c>
      <c r="M613" s="351">
        <v>2.02602091054205E+18</v>
      </c>
      <c r="O613" s="351" t="s">
        <v>3114</v>
      </c>
      <c r="P613" s="57" t="s">
        <v>41</v>
      </c>
      <c r="Q613" s="73">
        <v>46063</v>
      </c>
      <c r="R613" s="59" t="s">
        <v>41</v>
      </c>
      <c r="S613" s="359">
        <v>45500</v>
      </c>
      <c r="T613" s="56" t="str">
        <f t="shared" si="64"/>
        <v>0</v>
      </c>
      <c r="U613" s="359">
        <v>45500</v>
      </c>
      <c r="V613" s="56">
        <f t="shared" si="67"/>
        <v>41363.63636363636</v>
      </c>
      <c r="W613" s="65">
        <f>IF(H613=재고내역!$F$9,출고요청서_raw!G613*1,IF(H613=재고내역!$F$10,출고요청서_raw!G613*2,IF(출고요청서_raw!H613=재고내역!$F$11,출고요청서_raw!G613*4,IF(출고요청서_raw!H613=재고내역!$F$12,출고요청서_raw!G613*6,IF(출고요청서_raw!H613=재고내역!$F$13,출고요청서_raw!G613*8)))))</f>
        <v>4</v>
      </c>
      <c r="Z613" s="56">
        <f>W613*재고내역!$M$6</f>
        <v>30748</v>
      </c>
      <c r="AA613" s="56">
        <f t="shared" si="68"/>
        <v>4550</v>
      </c>
      <c r="AB613" s="56">
        <f t="shared" si="65"/>
        <v>6065.6363636363603</v>
      </c>
      <c r="AC613" s="376">
        <f t="shared" si="66"/>
        <v>0.14664175824175818</v>
      </c>
    </row>
    <row r="614" spans="1:29" ht="15.75" customHeight="1">
      <c r="A614" s="430" t="s">
        <v>3115</v>
      </c>
      <c r="B614" s="430" t="s">
        <v>3116</v>
      </c>
      <c r="E614" s="430">
        <v>15823</v>
      </c>
      <c r="F614" s="430" t="s">
        <v>3117</v>
      </c>
      <c r="G614" s="371">
        <v>1</v>
      </c>
      <c r="H614" s="54" t="s">
        <v>73</v>
      </c>
      <c r="L614" s="351" t="s">
        <v>2306</v>
      </c>
      <c r="M614" s="351">
        <v>2.02602091027362E+18</v>
      </c>
      <c r="O614" s="351" t="s">
        <v>3118</v>
      </c>
      <c r="P614" s="57" t="s">
        <v>41</v>
      </c>
      <c r="Q614" s="73">
        <v>46063</v>
      </c>
      <c r="R614" s="59" t="s">
        <v>41</v>
      </c>
      <c r="S614" s="359">
        <v>45500</v>
      </c>
      <c r="T614" s="56" t="str">
        <f t="shared" si="64"/>
        <v>0</v>
      </c>
      <c r="U614" s="359">
        <v>45500</v>
      </c>
      <c r="V614" s="56">
        <f t="shared" si="67"/>
        <v>41363.63636363636</v>
      </c>
      <c r="W614" s="65">
        <f>IF(H614=재고내역!$F$9,출고요청서_raw!G614*1,IF(H614=재고내역!$F$10,출고요청서_raw!G614*2,IF(출고요청서_raw!H614=재고내역!$F$11,출고요청서_raw!G614*4,IF(출고요청서_raw!H614=재고내역!$F$12,출고요청서_raw!G614*6,IF(출고요청서_raw!H614=재고내역!$F$13,출고요청서_raw!G614*8)))))</f>
        <v>4</v>
      </c>
      <c r="Z614" s="56">
        <f>W614*재고내역!$M$6</f>
        <v>30748</v>
      </c>
      <c r="AA614" s="56">
        <f t="shared" si="68"/>
        <v>4550</v>
      </c>
      <c r="AB614" s="56">
        <f t="shared" si="65"/>
        <v>6065.6363636363603</v>
      </c>
      <c r="AC614" s="376">
        <f t="shared" si="66"/>
        <v>0.14664175824175818</v>
      </c>
    </row>
    <row r="615" spans="1:29" ht="15.75" customHeight="1">
      <c r="A615" s="430" t="s">
        <v>3119</v>
      </c>
      <c r="B615" s="430" t="s">
        <v>3120</v>
      </c>
      <c r="E615" s="430">
        <v>41001</v>
      </c>
      <c r="F615" s="430" t="s">
        <v>3121</v>
      </c>
      <c r="G615" s="371">
        <v>1</v>
      </c>
      <c r="H615" s="54" t="s">
        <v>73</v>
      </c>
      <c r="L615" s="351" t="s">
        <v>2306</v>
      </c>
      <c r="M615" s="351">
        <v>2.02602081428446E+18</v>
      </c>
      <c r="O615" s="351" t="s">
        <v>3122</v>
      </c>
      <c r="P615" s="57" t="s">
        <v>41</v>
      </c>
      <c r="Q615" s="73">
        <v>46063</v>
      </c>
      <c r="R615" s="59" t="s">
        <v>41</v>
      </c>
      <c r="S615" s="359">
        <v>45500</v>
      </c>
      <c r="T615" s="56" t="str">
        <f t="shared" si="64"/>
        <v>0</v>
      </c>
      <c r="U615" s="359">
        <v>45500</v>
      </c>
      <c r="V615" s="56">
        <f t="shared" si="67"/>
        <v>41363.63636363636</v>
      </c>
      <c r="W615" s="65">
        <f>IF(H615=재고내역!$F$9,출고요청서_raw!G615*1,IF(H615=재고내역!$F$10,출고요청서_raw!G615*2,IF(출고요청서_raw!H615=재고내역!$F$11,출고요청서_raw!G615*4,IF(출고요청서_raw!H615=재고내역!$F$12,출고요청서_raw!G615*6,IF(출고요청서_raw!H615=재고내역!$F$13,출고요청서_raw!G615*8)))))</f>
        <v>4</v>
      </c>
      <c r="Z615" s="56">
        <f>W615*재고내역!$M$6</f>
        <v>30748</v>
      </c>
      <c r="AA615" s="56">
        <f t="shared" si="68"/>
        <v>4550</v>
      </c>
      <c r="AB615" s="56">
        <f t="shared" si="65"/>
        <v>6065.6363636363603</v>
      </c>
      <c r="AC615" s="376">
        <f t="shared" si="66"/>
        <v>0.14664175824175818</v>
      </c>
    </row>
    <row r="616" spans="1:29" ht="15.75" customHeight="1">
      <c r="A616" s="430" t="s">
        <v>3123</v>
      </c>
      <c r="B616" s="430" t="s">
        <v>3124</v>
      </c>
      <c r="E616" s="430">
        <v>6002</v>
      </c>
      <c r="F616" s="430" t="s">
        <v>3125</v>
      </c>
      <c r="G616" s="371">
        <v>1</v>
      </c>
      <c r="H616" s="54" t="s">
        <v>73</v>
      </c>
      <c r="L616" s="351" t="s">
        <v>2306</v>
      </c>
      <c r="M616" s="351">
        <v>2.0260208133629E+18</v>
      </c>
      <c r="O616" s="351" t="s">
        <v>3126</v>
      </c>
      <c r="P616" s="57" t="s">
        <v>41</v>
      </c>
      <c r="Q616" s="73">
        <v>46063</v>
      </c>
      <c r="R616" s="59" t="s">
        <v>41</v>
      </c>
      <c r="S616" s="359">
        <v>45500</v>
      </c>
      <c r="T616" s="56" t="str">
        <f t="shared" si="64"/>
        <v>0</v>
      </c>
      <c r="U616" s="359">
        <v>45500</v>
      </c>
      <c r="V616" s="56">
        <f t="shared" si="67"/>
        <v>41363.63636363636</v>
      </c>
      <c r="W616" s="65">
        <f>IF(H616=재고내역!$F$9,출고요청서_raw!G616*1,IF(H616=재고내역!$F$10,출고요청서_raw!G616*2,IF(출고요청서_raw!H616=재고내역!$F$11,출고요청서_raw!G616*4,IF(출고요청서_raw!H616=재고내역!$F$12,출고요청서_raw!G616*6,IF(출고요청서_raw!H616=재고내역!$F$13,출고요청서_raw!G616*8)))))</f>
        <v>4</v>
      </c>
      <c r="Z616" s="56">
        <f>W616*재고내역!$M$6</f>
        <v>30748</v>
      </c>
      <c r="AA616" s="56">
        <f t="shared" si="68"/>
        <v>4550</v>
      </c>
      <c r="AB616" s="56">
        <f t="shared" si="65"/>
        <v>6065.6363636363603</v>
      </c>
      <c r="AC616" s="376">
        <f t="shared" si="66"/>
        <v>0.14664175824175818</v>
      </c>
    </row>
    <row r="617" spans="1:29" ht="15.75" customHeight="1">
      <c r="A617" s="430" t="s">
        <v>3127</v>
      </c>
      <c r="B617" s="430" t="s">
        <v>3128</v>
      </c>
      <c r="E617" s="430">
        <v>17917</v>
      </c>
      <c r="F617" s="430" t="s">
        <v>3129</v>
      </c>
      <c r="G617" s="371">
        <v>1</v>
      </c>
      <c r="H617" s="54" t="s">
        <v>73</v>
      </c>
      <c r="L617" s="351" t="s">
        <v>2306</v>
      </c>
      <c r="M617" s="351">
        <v>2.02602071452271E+18</v>
      </c>
      <c r="O617" s="351" t="s">
        <v>3130</v>
      </c>
      <c r="P617" s="57" t="s">
        <v>41</v>
      </c>
      <c r="Q617" s="73">
        <v>46063</v>
      </c>
      <c r="R617" s="59" t="s">
        <v>41</v>
      </c>
      <c r="S617" s="359">
        <v>45500</v>
      </c>
      <c r="T617" s="56" t="str">
        <f t="shared" si="64"/>
        <v>0</v>
      </c>
      <c r="U617" s="359">
        <v>45500</v>
      </c>
      <c r="V617" s="56">
        <f t="shared" si="67"/>
        <v>41363.63636363636</v>
      </c>
      <c r="W617" s="65">
        <f>IF(H617=재고내역!$F$9,출고요청서_raw!G617*1,IF(H617=재고내역!$F$10,출고요청서_raw!G617*2,IF(출고요청서_raw!H617=재고내역!$F$11,출고요청서_raw!G617*4,IF(출고요청서_raw!H617=재고내역!$F$12,출고요청서_raw!G617*6,IF(출고요청서_raw!H617=재고내역!$F$13,출고요청서_raw!G617*8)))))</f>
        <v>4</v>
      </c>
      <c r="Z617" s="56">
        <f>W617*재고내역!$M$6</f>
        <v>30748</v>
      </c>
      <c r="AA617" s="56">
        <f t="shared" si="68"/>
        <v>4550</v>
      </c>
      <c r="AB617" s="56">
        <f t="shared" si="65"/>
        <v>6065.6363636363603</v>
      </c>
      <c r="AC617" s="376">
        <f t="shared" si="66"/>
        <v>0.14664175824175818</v>
      </c>
    </row>
    <row r="618" spans="1:29" ht="15.75" customHeight="1">
      <c r="A618" s="430" t="s">
        <v>3131</v>
      </c>
      <c r="B618" s="430" t="s">
        <v>3132</v>
      </c>
      <c r="E618" s="430">
        <v>51320</v>
      </c>
      <c r="F618" s="430" t="s">
        <v>3133</v>
      </c>
      <c r="G618" s="371">
        <v>2</v>
      </c>
      <c r="H618" s="54" t="s">
        <v>73</v>
      </c>
      <c r="L618" s="351" t="s">
        <v>2306</v>
      </c>
      <c r="M618" s="351">
        <v>2.0260207133730601E+18</v>
      </c>
      <c r="O618" s="351" t="s">
        <v>3134</v>
      </c>
      <c r="P618" s="57" t="s">
        <v>41</v>
      </c>
      <c r="Q618" s="73">
        <v>46063</v>
      </c>
      <c r="R618" s="59" t="s">
        <v>41</v>
      </c>
      <c r="S618" s="359">
        <v>91000</v>
      </c>
      <c r="T618" s="56" t="str">
        <f t="shared" si="64"/>
        <v>0</v>
      </c>
      <c r="U618" s="359">
        <v>91000</v>
      </c>
      <c r="V618" s="56">
        <f t="shared" si="67"/>
        <v>82727.272727272721</v>
      </c>
      <c r="W618" s="65">
        <f>IF(H618=재고내역!$F$9,출고요청서_raw!G618*1,IF(H618=재고내역!$F$10,출고요청서_raw!G618*2,IF(출고요청서_raw!H618=재고내역!$F$11,출고요청서_raw!G618*4,IF(출고요청서_raw!H618=재고내역!$F$12,출고요청서_raw!G618*6,IF(출고요청서_raw!H618=재고내역!$F$13,출고요청서_raw!G618*8)))))</f>
        <v>8</v>
      </c>
      <c r="Z618" s="56">
        <f>W618*재고내역!$M$6</f>
        <v>61496</v>
      </c>
      <c r="AA618" s="56">
        <f t="shared" si="68"/>
        <v>4550</v>
      </c>
      <c r="AB618" s="56">
        <f t="shared" si="65"/>
        <v>16681.272727272721</v>
      </c>
      <c r="AC618" s="376">
        <f t="shared" si="66"/>
        <v>0.20164175824175817</v>
      </c>
    </row>
    <row r="619" spans="1:29" ht="15.75" customHeight="1">
      <c r="A619" s="430" t="s">
        <v>3135</v>
      </c>
      <c r="B619" s="430" t="s">
        <v>3136</v>
      </c>
      <c r="E619" s="430">
        <v>15011</v>
      </c>
      <c r="F619" s="430" t="s">
        <v>3137</v>
      </c>
      <c r="G619" s="371">
        <v>1</v>
      </c>
      <c r="H619" s="54" t="s">
        <v>73</v>
      </c>
      <c r="L619" s="351" t="s">
        <v>2306</v>
      </c>
      <c r="M619" s="351">
        <v>2.02602070922176E+18</v>
      </c>
      <c r="O619" s="351" t="s">
        <v>3138</v>
      </c>
      <c r="P619" s="57" t="s">
        <v>41</v>
      </c>
      <c r="Q619" s="73">
        <v>46063</v>
      </c>
      <c r="R619" s="59" t="s">
        <v>41</v>
      </c>
      <c r="S619" s="359">
        <v>45500</v>
      </c>
      <c r="T619" s="56" t="str">
        <f t="shared" si="64"/>
        <v>0</v>
      </c>
      <c r="U619" s="359">
        <v>45500</v>
      </c>
      <c r="V619" s="56">
        <f t="shared" si="67"/>
        <v>41363.63636363636</v>
      </c>
      <c r="W619" s="65">
        <f>IF(H619=재고내역!$F$9,출고요청서_raw!G619*1,IF(H619=재고내역!$F$10,출고요청서_raw!G619*2,IF(출고요청서_raw!H619=재고내역!$F$11,출고요청서_raw!G619*4,IF(출고요청서_raw!H619=재고내역!$F$12,출고요청서_raw!G619*6,IF(출고요청서_raw!H619=재고내역!$F$13,출고요청서_raw!G619*8)))))</f>
        <v>4</v>
      </c>
      <c r="Z619" s="56">
        <f>W619*재고내역!$M$6</f>
        <v>30748</v>
      </c>
      <c r="AA619" s="56">
        <f t="shared" si="68"/>
        <v>4550</v>
      </c>
      <c r="AB619" s="56">
        <f t="shared" si="65"/>
        <v>6065.6363636363603</v>
      </c>
      <c r="AC619" s="376">
        <f t="shared" si="66"/>
        <v>0.14664175824175818</v>
      </c>
    </row>
    <row r="620" spans="1:29" ht="15.75" customHeight="1">
      <c r="A620" s="430" t="s">
        <v>3139</v>
      </c>
      <c r="B620" s="430" t="s">
        <v>3140</v>
      </c>
      <c r="E620" s="430">
        <v>31963</v>
      </c>
      <c r="F620" s="430" t="s">
        <v>3141</v>
      </c>
      <c r="G620" s="371">
        <v>1</v>
      </c>
      <c r="H620" s="54" t="s">
        <v>73</v>
      </c>
      <c r="L620" s="351" t="s">
        <v>2306</v>
      </c>
      <c r="M620" s="351">
        <v>2.02602060402002E+18</v>
      </c>
      <c r="O620" s="351" t="s">
        <v>3142</v>
      </c>
      <c r="P620" s="57" t="s">
        <v>41</v>
      </c>
      <c r="Q620" s="73">
        <v>46063</v>
      </c>
      <c r="R620" s="59" t="s">
        <v>41</v>
      </c>
      <c r="S620" s="359">
        <v>45500</v>
      </c>
      <c r="T620" s="56" t="str">
        <f t="shared" si="64"/>
        <v>0</v>
      </c>
      <c r="U620" s="359">
        <v>45500</v>
      </c>
      <c r="V620" s="56">
        <f t="shared" si="67"/>
        <v>41363.63636363636</v>
      </c>
      <c r="W620" s="65">
        <f>IF(H620=재고내역!$F$9,출고요청서_raw!G620*1,IF(H620=재고내역!$F$10,출고요청서_raw!G620*2,IF(출고요청서_raw!H620=재고내역!$F$11,출고요청서_raw!G620*4,IF(출고요청서_raw!H620=재고내역!$F$12,출고요청서_raw!G620*6,IF(출고요청서_raw!H620=재고내역!$F$13,출고요청서_raw!G620*8)))))</f>
        <v>4</v>
      </c>
      <c r="Z620" s="56">
        <f>W620*재고내역!$M$6</f>
        <v>30748</v>
      </c>
      <c r="AA620" s="56">
        <f t="shared" si="68"/>
        <v>4550</v>
      </c>
      <c r="AB620" s="56">
        <f t="shared" si="65"/>
        <v>6065.6363636363603</v>
      </c>
      <c r="AC620" s="376">
        <f t="shared" si="66"/>
        <v>0.14664175824175818</v>
      </c>
    </row>
    <row r="621" spans="1:29" ht="15.75" customHeight="1">
      <c r="A621" s="430" t="s">
        <v>2898</v>
      </c>
      <c r="B621" s="430" t="s">
        <v>3143</v>
      </c>
      <c r="E621" s="430">
        <v>14019</v>
      </c>
      <c r="F621" s="430" t="s">
        <v>3144</v>
      </c>
      <c r="G621" s="371">
        <v>1</v>
      </c>
      <c r="H621" s="54" t="s">
        <v>73</v>
      </c>
      <c r="L621" s="351" t="s">
        <v>2306</v>
      </c>
      <c r="M621" s="351">
        <v>2.02602060328353E+18</v>
      </c>
      <c r="O621" s="351" t="s">
        <v>3145</v>
      </c>
      <c r="P621" s="57" t="s">
        <v>41</v>
      </c>
      <c r="Q621" s="73">
        <v>46063</v>
      </c>
      <c r="R621" s="59" t="s">
        <v>41</v>
      </c>
      <c r="S621" s="359">
        <v>45500</v>
      </c>
      <c r="T621" s="56" t="str">
        <f t="shared" si="64"/>
        <v>0</v>
      </c>
      <c r="U621" s="359">
        <v>45500</v>
      </c>
      <c r="V621" s="56">
        <f t="shared" si="67"/>
        <v>41363.63636363636</v>
      </c>
      <c r="W621" s="65">
        <f>IF(H621=재고내역!$F$9,출고요청서_raw!G621*1,IF(H621=재고내역!$F$10,출고요청서_raw!G621*2,IF(출고요청서_raw!H621=재고내역!$F$11,출고요청서_raw!G621*4,IF(출고요청서_raw!H621=재고내역!$F$12,출고요청서_raw!G621*6,IF(출고요청서_raw!H621=재고내역!$F$13,출고요청서_raw!G621*8)))))</f>
        <v>4</v>
      </c>
      <c r="Z621" s="56">
        <f>W621*재고내역!$M$6</f>
        <v>30748</v>
      </c>
      <c r="AA621" s="56">
        <f t="shared" si="68"/>
        <v>4550</v>
      </c>
      <c r="AB621" s="56">
        <f t="shared" si="65"/>
        <v>6065.6363636363603</v>
      </c>
      <c r="AC621" s="376">
        <f t="shared" si="66"/>
        <v>0.14664175824175818</v>
      </c>
    </row>
    <row r="622" spans="1:29" ht="15.75" customHeight="1">
      <c r="A622" s="430" t="s">
        <v>3146</v>
      </c>
      <c r="B622" s="430" t="s">
        <v>3147</v>
      </c>
      <c r="E622" s="430">
        <v>48113</v>
      </c>
      <c r="F622" s="430" t="s">
        <v>3148</v>
      </c>
      <c r="G622" s="371">
        <v>1</v>
      </c>
      <c r="H622" s="54" t="s">
        <v>73</v>
      </c>
      <c r="L622" s="351" t="s">
        <v>2306</v>
      </c>
      <c r="M622" s="351">
        <v>2.02602050941566E+18</v>
      </c>
      <c r="O622" s="351" t="s">
        <v>3149</v>
      </c>
      <c r="P622" s="57" t="s">
        <v>41</v>
      </c>
      <c r="Q622" s="73">
        <v>46063</v>
      </c>
      <c r="R622" s="59" t="s">
        <v>41</v>
      </c>
      <c r="S622" s="359">
        <v>45500</v>
      </c>
      <c r="T622" s="56" t="str">
        <f t="shared" si="64"/>
        <v>0</v>
      </c>
      <c r="U622" s="359">
        <v>45500</v>
      </c>
      <c r="V622" s="56">
        <f t="shared" ref="V622:V637" si="69">U622/1.1</f>
        <v>41363.63636363636</v>
      </c>
      <c r="W622" s="65">
        <f>IF(H622=재고내역!$F$9,출고요청서_raw!G622*1,IF(H622=재고내역!$F$10,출고요청서_raw!G622*2,IF(출고요청서_raw!H622=재고내역!$F$11,출고요청서_raw!G622*4,IF(출고요청서_raw!H622=재고내역!$F$12,출고요청서_raw!G622*6,IF(출고요청서_raw!H622=재고내역!$F$13,출고요청서_raw!G622*8)))))</f>
        <v>4</v>
      </c>
      <c r="Z622" s="56">
        <f>W622*재고내역!$M$6</f>
        <v>30748</v>
      </c>
      <c r="AA622" s="56">
        <f t="shared" si="68"/>
        <v>4550</v>
      </c>
      <c r="AB622" s="56">
        <f t="shared" si="65"/>
        <v>6065.6363636363603</v>
      </c>
      <c r="AC622" s="376">
        <f t="shared" si="66"/>
        <v>0.14664175824175818</v>
      </c>
    </row>
    <row r="623" spans="1:29" ht="15.75" customHeight="1">
      <c r="A623" s="430" t="s">
        <v>3150</v>
      </c>
      <c r="B623" s="430" t="s">
        <v>3151</v>
      </c>
      <c r="E623" s="430">
        <v>5767</v>
      </c>
      <c r="F623" s="430" t="s">
        <v>3152</v>
      </c>
      <c r="G623" s="371">
        <v>1</v>
      </c>
      <c r="H623" s="54" t="s">
        <v>73</v>
      </c>
      <c r="L623" s="351" t="s">
        <v>2306</v>
      </c>
      <c r="M623" s="351">
        <v>2.02602101100081E+18</v>
      </c>
      <c r="O623" s="351" t="s">
        <v>3153</v>
      </c>
      <c r="P623" s="57" t="s">
        <v>41</v>
      </c>
      <c r="Q623" s="73">
        <v>46063</v>
      </c>
      <c r="R623" s="59" t="s">
        <v>41</v>
      </c>
      <c r="S623" s="359">
        <v>45500</v>
      </c>
      <c r="T623" s="56" t="str">
        <f t="shared" si="64"/>
        <v>0</v>
      </c>
      <c r="U623" s="359">
        <v>45500</v>
      </c>
      <c r="V623" s="56">
        <f t="shared" si="69"/>
        <v>41363.63636363636</v>
      </c>
      <c r="W623" s="65">
        <f>IF(H623=재고내역!$F$9,출고요청서_raw!G623*1,IF(H623=재고내역!$F$10,출고요청서_raw!G623*2,IF(출고요청서_raw!H623=재고내역!$F$11,출고요청서_raw!G623*4,IF(출고요청서_raw!H623=재고내역!$F$12,출고요청서_raw!G623*6,IF(출고요청서_raw!H623=재고내역!$F$13,출고요청서_raw!G623*8)))))</f>
        <v>4</v>
      </c>
      <c r="Z623" s="56">
        <f>W623*재고내역!$M$6</f>
        <v>30748</v>
      </c>
      <c r="AA623" s="56">
        <f t="shared" si="68"/>
        <v>4550</v>
      </c>
      <c r="AB623" s="56">
        <f t="shared" si="65"/>
        <v>6065.6363636363603</v>
      </c>
      <c r="AC623" s="376">
        <f t="shared" si="66"/>
        <v>0.14664175824175818</v>
      </c>
    </row>
    <row r="624" spans="1:29" ht="15.75" customHeight="1">
      <c r="A624" s="430" t="s">
        <v>3150</v>
      </c>
      <c r="B624" s="430" t="s">
        <v>3151</v>
      </c>
      <c r="E624" s="430">
        <v>5767</v>
      </c>
      <c r="F624" s="430" t="s">
        <v>3152</v>
      </c>
      <c r="G624" s="371">
        <v>1</v>
      </c>
      <c r="H624" s="54" t="s">
        <v>73</v>
      </c>
      <c r="L624" s="351" t="s">
        <v>2306</v>
      </c>
      <c r="M624" s="351">
        <v>2.02602101050351E+18</v>
      </c>
      <c r="O624" s="351" t="s">
        <v>3154</v>
      </c>
      <c r="P624" s="57" t="s">
        <v>41</v>
      </c>
      <c r="Q624" s="73">
        <v>46063</v>
      </c>
      <c r="R624" s="59" t="s">
        <v>41</v>
      </c>
      <c r="S624" s="359">
        <v>45500</v>
      </c>
      <c r="T624" s="56" t="str">
        <f t="shared" si="64"/>
        <v>0</v>
      </c>
      <c r="U624" s="359">
        <v>45500</v>
      </c>
      <c r="V624" s="56">
        <f t="shared" si="69"/>
        <v>41363.63636363636</v>
      </c>
      <c r="W624" s="65">
        <f>IF(H624=재고내역!$F$9,출고요청서_raw!G624*1,IF(H624=재고내역!$F$10,출고요청서_raw!G624*2,IF(출고요청서_raw!H624=재고내역!$F$11,출고요청서_raw!G624*4,IF(출고요청서_raw!H624=재고내역!$F$12,출고요청서_raw!G624*6,IF(출고요청서_raw!H624=재고내역!$F$13,출고요청서_raw!G624*8)))))</f>
        <v>4</v>
      </c>
      <c r="Z624" s="56">
        <f>W624*재고내역!$M$6</f>
        <v>30748</v>
      </c>
      <c r="AA624" s="56">
        <f t="shared" si="68"/>
        <v>4550</v>
      </c>
      <c r="AB624" s="56">
        <f t="shared" si="65"/>
        <v>6065.6363636363603</v>
      </c>
      <c r="AC624" s="376">
        <f t="shared" si="66"/>
        <v>0.14664175824175818</v>
      </c>
    </row>
    <row r="625" spans="1:31" ht="15.75" customHeight="1">
      <c r="A625" s="430" t="s">
        <v>3155</v>
      </c>
      <c r="B625" s="430" t="s">
        <v>3156</v>
      </c>
      <c r="E625" s="430">
        <v>38026</v>
      </c>
      <c r="F625" s="430" t="s">
        <v>3157</v>
      </c>
      <c r="G625" s="371">
        <v>2</v>
      </c>
      <c r="H625" s="54" t="s">
        <v>73</v>
      </c>
      <c r="L625" s="351" t="s">
        <v>2306</v>
      </c>
      <c r="M625" s="351">
        <v>2.0260210104103501E+18</v>
      </c>
      <c r="O625" s="351" t="s">
        <v>3158</v>
      </c>
      <c r="P625" s="57" t="s">
        <v>41</v>
      </c>
      <c r="Q625" s="73">
        <v>46063</v>
      </c>
      <c r="R625" s="59" t="s">
        <v>41</v>
      </c>
      <c r="S625" s="359">
        <v>91000</v>
      </c>
      <c r="T625" s="56" t="str">
        <f t="shared" si="64"/>
        <v>0</v>
      </c>
      <c r="U625" s="359">
        <v>91000</v>
      </c>
      <c r="V625" s="56">
        <f t="shared" si="69"/>
        <v>82727.272727272721</v>
      </c>
      <c r="W625" s="65">
        <f>IF(H625=재고내역!$F$9,출고요청서_raw!G625*1,IF(H625=재고내역!$F$10,출고요청서_raw!G625*2,IF(출고요청서_raw!H625=재고내역!$F$11,출고요청서_raw!G625*4,IF(출고요청서_raw!H625=재고내역!$F$12,출고요청서_raw!G625*6,IF(출고요청서_raw!H625=재고내역!$F$13,출고요청서_raw!G625*8)))))</f>
        <v>8</v>
      </c>
      <c r="Z625" s="56">
        <f>W625*재고내역!$M$6</f>
        <v>61496</v>
      </c>
      <c r="AA625" s="56">
        <f t="shared" si="68"/>
        <v>4550</v>
      </c>
      <c r="AB625" s="56">
        <f t="shared" si="65"/>
        <v>16681.272727272721</v>
      </c>
      <c r="AC625" s="376">
        <f t="shared" si="66"/>
        <v>0.20164175824175817</v>
      </c>
    </row>
    <row r="626" spans="1:31" ht="15.75" customHeight="1">
      <c r="A626" s="430" t="s">
        <v>3159</v>
      </c>
      <c r="B626" s="430" t="s">
        <v>3160</v>
      </c>
      <c r="E626" s="430">
        <v>16865</v>
      </c>
      <c r="F626" s="430" t="s">
        <v>3161</v>
      </c>
      <c r="G626" s="371">
        <v>2</v>
      </c>
      <c r="H626" s="54" t="s">
        <v>73</v>
      </c>
      <c r="L626" s="351" t="s">
        <v>2306</v>
      </c>
      <c r="M626" s="351">
        <v>2.02602101024515E+18</v>
      </c>
      <c r="O626" s="351" t="s">
        <v>3162</v>
      </c>
      <c r="P626" s="57" t="s">
        <v>41</v>
      </c>
      <c r="Q626" s="73">
        <v>46063</v>
      </c>
      <c r="R626" s="59" t="s">
        <v>41</v>
      </c>
      <c r="S626" s="359">
        <v>91000</v>
      </c>
      <c r="T626" s="56" t="str">
        <f t="shared" si="64"/>
        <v>0</v>
      </c>
      <c r="U626" s="359">
        <v>91000</v>
      </c>
      <c r="V626" s="56">
        <f t="shared" si="69"/>
        <v>82727.272727272721</v>
      </c>
      <c r="W626" s="65">
        <f>IF(H626=재고내역!$F$9,출고요청서_raw!G626*1,IF(H626=재고내역!$F$10,출고요청서_raw!G626*2,IF(출고요청서_raw!H626=재고내역!$F$11,출고요청서_raw!G626*4,IF(출고요청서_raw!H626=재고내역!$F$12,출고요청서_raw!G626*6,IF(출고요청서_raw!H626=재고내역!$F$13,출고요청서_raw!G626*8)))))</f>
        <v>8</v>
      </c>
      <c r="Z626" s="56">
        <f>W626*재고내역!$M$6</f>
        <v>61496</v>
      </c>
      <c r="AA626" s="56">
        <f t="shared" si="68"/>
        <v>4550</v>
      </c>
      <c r="AB626" s="56">
        <f t="shared" si="65"/>
        <v>16681.272727272721</v>
      </c>
      <c r="AC626" s="376">
        <f t="shared" si="66"/>
        <v>0.20164175824175817</v>
      </c>
    </row>
    <row r="627" spans="1:31" ht="15.75" customHeight="1">
      <c r="A627" s="430" t="s">
        <v>3163</v>
      </c>
      <c r="B627" s="430" t="s">
        <v>3164</v>
      </c>
      <c r="E627" s="430">
        <v>5649</v>
      </c>
      <c r="F627" s="430" t="s">
        <v>3165</v>
      </c>
      <c r="G627" s="371">
        <v>1</v>
      </c>
      <c r="H627" s="54" t="s">
        <v>73</v>
      </c>
      <c r="L627" s="351" t="s">
        <v>2306</v>
      </c>
      <c r="M627" s="351">
        <v>2.02602100812031E+18</v>
      </c>
      <c r="O627" s="351" t="s">
        <v>3166</v>
      </c>
      <c r="P627" s="57" t="s">
        <v>41</v>
      </c>
      <c r="Q627" s="73">
        <v>46063</v>
      </c>
      <c r="R627" s="59" t="s">
        <v>41</v>
      </c>
      <c r="S627" s="359">
        <v>45500</v>
      </c>
      <c r="T627" s="56" t="str">
        <f t="shared" si="64"/>
        <v>0</v>
      </c>
      <c r="U627" s="359">
        <v>45500</v>
      </c>
      <c r="V627" s="56">
        <f t="shared" si="69"/>
        <v>41363.63636363636</v>
      </c>
      <c r="W627" s="65">
        <f>IF(H627=재고내역!$F$9,출고요청서_raw!G627*1,IF(H627=재고내역!$F$10,출고요청서_raw!G627*2,IF(출고요청서_raw!H627=재고내역!$F$11,출고요청서_raw!G627*4,IF(출고요청서_raw!H627=재고내역!$F$12,출고요청서_raw!G627*6,IF(출고요청서_raw!H627=재고내역!$F$13,출고요청서_raw!G627*8)))))</f>
        <v>4</v>
      </c>
      <c r="Z627" s="56">
        <f>W627*재고내역!$M$6</f>
        <v>30748</v>
      </c>
      <c r="AA627" s="56">
        <f t="shared" si="68"/>
        <v>4550</v>
      </c>
      <c r="AB627" s="56">
        <f t="shared" si="65"/>
        <v>6065.6363636363603</v>
      </c>
      <c r="AC627" s="376">
        <f t="shared" si="66"/>
        <v>0.14664175824175818</v>
      </c>
    </row>
    <row r="628" spans="1:31" ht="15.75" customHeight="1">
      <c r="A628" s="430" t="s">
        <v>3167</v>
      </c>
      <c r="B628" s="430" t="s">
        <v>3168</v>
      </c>
      <c r="E628" s="430">
        <v>8338</v>
      </c>
      <c r="F628" s="430" t="s">
        <v>3169</v>
      </c>
      <c r="G628" s="371">
        <v>1</v>
      </c>
      <c r="H628" s="54" t="s">
        <v>73</v>
      </c>
      <c r="L628" s="351" t="s">
        <v>2306</v>
      </c>
      <c r="M628" s="351">
        <v>2.02602091905057E+18</v>
      </c>
      <c r="O628" s="351" t="s">
        <v>3170</v>
      </c>
      <c r="P628" s="57" t="s">
        <v>41</v>
      </c>
      <c r="Q628" s="73">
        <v>46063</v>
      </c>
      <c r="R628" s="59" t="s">
        <v>41</v>
      </c>
      <c r="S628" s="359">
        <v>45500</v>
      </c>
      <c r="T628" s="56" t="str">
        <f t="shared" si="64"/>
        <v>0</v>
      </c>
      <c r="U628" s="359">
        <v>45500</v>
      </c>
      <c r="V628" s="56">
        <f t="shared" si="69"/>
        <v>41363.63636363636</v>
      </c>
      <c r="W628" s="65">
        <f>IF(H628=재고내역!$F$9,출고요청서_raw!G628*1,IF(H628=재고내역!$F$10,출고요청서_raw!G628*2,IF(출고요청서_raw!H628=재고내역!$F$11,출고요청서_raw!G628*4,IF(출고요청서_raw!H628=재고내역!$F$12,출고요청서_raw!G628*6,IF(출고요청서_raw!H628=재고내역!$F$13,출고요청서_raw!G628*8)))))</f>
        <v>4</v>
      </c>
      <c r="Z628" s="56">
        <f>W628*재고내역!$M$6</f>
        <v>30748</v>
      </c>
      <c r="AA628" s="56">
        <f t="shared" si="68"/>
        <v>4550</v>
      </c>
      <c r="AB628" s="56">
        <f t="shared" si="65"/>
        <v>6065.6363636363603</v>
      </c>
      <c r="AC628" s="376">
        <f t="shared" si="66"/>
        <v>0.14664175824175818</v>
      </c>
    </row>
    <row r="629" spans="1:31" ht="15.75" customHeight="1">
      <c r="A629" s="430" t="s">
        <v>3171</v>
      </c>
      <c r="B629" s="430" t="s">
        <v>3172</v>
      </c>
      <c r="E629" s="430">
        <v>54637</v>
      </c>
      <c r="F629" s="430" t="s">
        <v>3173</v>
      </c>
      <c r="G629" s="371">
        <v>1</v>
      </c>
      <c r="H629" s="54" t="s">
        <v>73</v>
      </c>
      <c r="L629" s="351" t="s">
        <v>2306</v>
      </c>
      <c r="M629" s="351">
        <v>2.0260209180623601E+18</v>
      </c>
      <c r="O629" s="351" t="s">
        <v>3174</v>
      </c>
      <c r="P629" s="57" t="s">
        <v>41</v>
      </c>
      <c r="Q629" s="73">
        <v>46063</v>
      </c>
      <c r="R629" s="59" t="s">
        <v>41</v>
      </c>
      <c r="S629" s="359">
        <v>45500</v>
      </c>
      <c r="T629" s="56" t="str">
        <f t="shared" si="64"/>
        <v>0</v>
      </c>
      <c r="U629" s="359">
        <v>45500</v>
      </c>
      <c r="V629" s="56">
        <f t="shared" si="69"/>
        <v>41363.63636363636</v>
      </c>
      <c r="W629" s="65">
        <f>IF(H629=재고내역!$F$9,출고요청서_raw!G629*1,IF(H629=재고내역!$F$10,출고요청서_raw!G629*2,IF(출고요청서_raw!H629=재고내역!$F$11,출고요청서_raw!G629*4,IF(출고요청서_raw!H629=재고내역!$F$12,출고요청서_raw!G629*6,IF(출고요청서_raw!H629=재고내역!$F$13,출고요청서_raw!G629*8)))))</f>
        <v>4</v>
      </c>
      <c r="Z629" s="56">
        <f>W629*재고내역!$M$6</f>
        <v>30748</v>
      </c>
      <c r="AA629" s="56">
        <f t="shared" si="68"/>
        <v>4550</v>
      </c>
      <c r="AB629" s="56">
        <f t="shared" si="65"/>
        <v>6065.6363636363603</v>
      </c>
      <c r="AC629" s="376">
        <f t="shared" si="66"/>
        <v>0.14664175824175818</v>
      </c>
    </row>
    <row r="630" spans="1:31" ht="15.75" customHeight="1">
      <c r="A630" s="430" t="s">
        <v>3175</v>
      </c>
      <c r="B630" s="430" t="s">
        <v>3176</v>
      </c>
      <c r="E630" s="430">
        <v>7436</v>
      </c>
      <c r="F630" s="430" t="s">
        <v>3177</v>
      </c>
      <c r="G630" s="371">
        <v>1</v>
      </c>
      <c r="H630" s="54" t="s">
        <v>73</v>
      </c>
      <c r="L630" s="351" t="s">
        <v>2306</v>
      </c>
      <c r="M630" s="351">
        <v>2.0260209175346701E+18</v>
      </c>
      <c r="O630" s="351" t="s">
        <v>3178</v>
      </c>
      <c r="P630" s="57" t="s">
        <v>41</v>
      </c>
      <c r="Q630" s="73">
        <v>46063</v>
      </c>
      <c r="R630" s="59" t="s">
        <v>41</v>
      </c>
      <c r="S630" s="359">
        <v>45500</v>
      </c>
      <c r="T630" s="56" t="str">
        <f t="shared" si="64"/>
        <v>0</v>
      </c>
      <c r="U630" s="359">
        <v>45500</v>
      </c>
      <c r="V630" s="56">
        <f t="shared" si="69"/>
        <v>41363.63636363636</v>
      </c>
      <c r="W630" s="65">
        <f>IF(H630=재고내역!$F$9,출고요청서_raw!G630*1,IF(H630=재고내역!$F$10,출고요청서_raw!G630*2,IF(출고요청서_raw!H630=재고내역!$F$11,출고요청서_raw!G630*4,IF(출고요청서_raw!H630=재고내역!$F$12,출고요청서_raw!G630*6,IF(출고요청서_raw!H630=재고내역!$F$13,출고요청서_raw!G630*8)))))</f>
        <v>4</v>
      </c>
      <c r="Z630" s="56">
        <f>W630*재고내역!$M$6</f>
        <v>30748</v>
      </c>
      <c r="AA630" s="56">
        <f t="shared" si="68"/>
        <v>4550</v>
      </c>
      <c r="AB630" s="56">
        <f t="shared" si="65"/>
        <v>6065.6363636363603</v>
      </c>
      <c r="AC630" s="376">
        <f t="shared" si="66"/>
        <v>0.14664175824175818</v>
      </c>
    </row>
    <row r="631" spans="1:31" ht="15.75" customHeight="1">
      <c r="A631" s="430" t="s">
        <v>3179</v>
      </c>
      <c r="B631" s="430" t="s">
        <v>3180</v>
      </c>
      <c r="E631" s="430">
        <v>27161</v>
      </c>
      <c r="F631" s="430" t="s">
        <v>3181</v>
      </c>
      <c r="G631" s="371">
        <v>1</v>
      </c>
      <c r="H631" s="54" t="s">
        <v>73</v>
      </c>
      <c r="L631" s="351" t="s">
        <v>2306</v>
      </c>
      <c r="M631" s="351">
        <v>2.02602091655022E+18</v>
      </c>
      <c r="O631" s="351" t="s">
        <v>3182</v>
      </c>
      <c r="P631" s="57" t="s">
        <v>41</v>
      </c>
      <c r="Q631" s="73">
        <v>46063</v>
      </c>
      <c r="R631" s="59" t="s">
        <v>41</v>
      </c>
      <c r="S631" s="359">
        <v>45500</v>
      </c>
      <c r="T631" s="56" t="str">
        <f t="shared" si="64"/>
        <v>0</v>
      </c>
      <c r="U631" s="359">
        <v>45500</v>
      </c>
      <c r="V631" s="56">
        <f t="shared" si="69"/>
        <v>41363.63636363636</v>
      </c>
      <c r="W631" s="65">
        <f>IF(H631=재고내역!$F$9,출고요청서_raw!G631*1,IF(H631=재고내역!$F$10,출고요청서_raw!G631*2,IF(출고요청서_raw!H631=재고내역!$F$11,출고요청서_raw!G631*4,IF(출고요청서_raw!H631=재고내역!$F$12,출고요청서_raw!G631*6,IF(출고요청서_raw!H631=재고내역!$F$13,출고요청서_raw!G631*8)))))</f>
        <v>4</v>
      </c>
      <c r="Z631" s="56">
        <f>W631*재고내역!$M$6</f>
        <v>30748</v>
      </c>
      <c r="AA631" s="56">
        <f t="shared" si="68"/>
        <v>4550</v>
      </c>
      <c r="AB631" s="56">
        <f t="shared" si="65"/>
        <v>6065.6363636363603</v>
      </c>
      <c r="AC631" s="376">
        <f t="shared" si="66"/>
        <v>0.14664175824175818</v>
      </c>
    </row>
    <row r="632" spans="1:31" ht="15.75" customHeight="1">
      <c r="A632" s="430" t="s">
        <v>3183</v>
      </c>
      <c r="B632" s="430" t="s">
        <v>3184</v>
      </c>
      <c r="E632" s="430">
        <v>3648</v>
      </c>
      <c r="F632" s="430" t="s">
        <v>3185</v>
      </c>
      <c r="G632" s="371">
        <v>1</v>
      </c>
      <c r="H632" s="54" t="s">
        <v>73</v>
      </c>
      <c r="L632" s="351" t="s">
        <v>2306</v>
      </c>
      <c r="M632" s="351">
        <v>2.02602091221472E+18</v>
      </c>
      <c r="O632" s="351" t="s">
        <v>3186</v>
      </c>
      <c r="P632" s="57" t="s">
        <v>41</v>
      </c>
      <c r="Q632" s="73">
        <v>46063</v>
      </c>
      <c r="R632" s="59" t="s">
        <v>41</v>
      </c>
      <c r="S632" s="359">
        <v>45500</v>
      </c>
      <c r="T632" s="56" t="str">
        <f t="shared" si="64"/>
        <v>0</v>
      </c>
      <c r="U632" s="359">
        <v>45500</v>
      </c>
      <c r="V632" s="56">
        <f t="shared" si="69"/>
        <v>41363.63636363636</v>
      </c>
      <c r="W632" s="65">
        <f>IF(H632=재고내역!$F$9,출고요청서_raw!G632*1,IF(H632=재고내역!$F$10,출고요청서_raw!G632*2,IF(출고요청서_raw!H632=재고내역!$F$11,출고요청서_raw!G632*4,IF(출고요청서_raw!H632=재고내역!$F$12,출고요청서_raw!G632*6,IF(출고요청서_raw!H632=재고내역!$F$13,출고요청서_raw!G632*8)))))</f>
        <v>4</v>
      </c>
      <c r="Z632" s="56">
        <f>W632*재고내역!$M$6</f>
        <v>30748</v>
      </c>
      <c r="AA632" s="56">
        <f t="shared" si="68"/>
        <v>4550</v>
      </c>
      <c r="AB632" s="56">
        <f t="shared" si="65"/>
        <v>6065.6363636363603</v>
      </c>
      <c r="AC632" s="376">
        <f t="shared" si="66"/>
        <v>0.14664175824175818</v>
      </c>
    </row>
    <row r="633" spans="1:31" s="72" customFormat="1" ht="15.75" customHeight="1">
      <c r="A633" s="430" t="s">
        <v>3187</v>
      </c>
      <c r="B633" s="430" t="s">
        <v>3188</v>
      </c>
      <c r="C633" s="426"/>
      <c r="D633" s="427"/>
      <c r="E633" s="430">
        <v>14106</v>
      </c>
      <c r="F633" s="430" t="s">
        <v>3189</v>
      </c>
      <c r="G633" s="371">
        <v>1</v>
      </c>
      <c r="H633" s="72" t="s">
        <v>74</v>
      </c>
      <c r="L633" s="351" t="s">
        <v>2306</v>
      </c>
      <c r="M633" s="351">
        <v>2.02602092250146E+18</v>
      </c>
      <c r="O633" s="351" t="s">
        <v>3190</v>
      </c>
      <c r="P633" s="353" t="s">
        <v>41</v>
      </c>
      <c r="Q633" s="361">
        <v>46063</v>
      </c>
      <c r="R633" s="362" t="s">
        <v>41</v>
      </c>
      <c r="S633" s="359">
        <v>63000</v>
      </c>
      <c r="T633" s="56" t="str">
        <f t="shared" si="64"/>
        <v>0</v>
      </c>
      <c r="U633" s="359">
        <v>63000</v>
      </c>
      <c r="V633" s="354">
        <f t="shared" si="69"/>
        <v>57272.727272727265</v>
      </c>
      <c r="W633" s="365">
        <f>IF(H633=재고내역!$F$9,출고요청서_raw!G633*1,IF(H633=재고내역!$F$10,출고요청서_raw!G633*2,IF(출고요청서_raw!H633=재고내역!$F$11,출고요청서_raw!G633*4,IF(출고요청서_raw!H633=재고내역!$F$12,출고요청서_raw!G633*6,IF(출고요청서_raw!H633=재고내역!$F$13,출고요청서_raw!G633*8)))))</f>
        <v>6</v>
      </c>
      <c r="X633" s="74"/>
      <c r="Y633" s="74"/>
      <c r="Z633" s="354">
        <f>W633*재고내역!$M$6</f>
        <v>46122</v>
      </c>
      <c r="AA633" s="354">
        <f t="shared" si="68"/>
        <v>4550</v>
      </c>
      <c r="AB633" s="56">
        <f t="shared" si="65"/>
        <v>6600.7272727272648</v>
      </c>
      <c r="AC633" s="376">
        <f t="shared" si="66"/>
        <v>0.11525079365079353</v>
      </c>
      <c r="AD633" s="74"/>
      <c r="AE633" s="74"/>
    </row>
    <row r="634" spans="1:31" s="72" customFormat="1" ht="15.75" customHeight="1">
      <c r="A634" s="430" t="s">
        <v>3191</v>
      </c>
      <c r="B634" s="430" t="s">
        <v>3192</v>
      </c>
      <c r="C634" s="426"/>
      <c r="D634" s="427"/>
      <c r="E634" s="430">
        <v>5367</v>
      </c>
      <c r="F634" s="430" t="s">
        <v>3193</v>
      </c>
      <c r="G634" s="371">
        <v>1</v>
      </c>
      <c r="H634" s="72" t="s">
        <v>74</v>
      </c>
      <c r="L634" s="351" t="s">
        <v>2306</v>
      </c>
      <c r="M634" s="351">
        <v>2.0260209191557199E+18</v>
      </c>
      <c r="O634" s="351" t="s">
        <v>3194</v>
      </c>
      <c r="P634" s="353" t="s">
        <v>41</v>
      </c>
      <c r="Q634" s="361">
        <v>46063</v>
      </c>
      <c r="R634" s="362" t="s">
        <v>41</v>
      </c>
      <c r="S634" s="359">
        <v>63000</v>
      </c>
      <c r="T634" s="56" t="str">
        <f t="shared" si="64"/>
        <v>0</v>
      </c>
      <c r="U634" s="359">
        <v>63000</v>
      </c>
      <c r="V634" s="354">
        <f t="shared" si="69"/>
        <v>57272.727272727265</v>
      </c>
      <c r="W634" s="365">
        <f>IF(H634=재고내역!$F$9,출고요청서_raw!G634*1,IF(H634=재고내역!$F$10,출고요청서_raw!G634*2,IF(출고요청서_raw!H634=재고내역!$F$11,출고요청서_raw!G634*4,IF(출고요청서_raw!H634=재고내역!$F$12,출고요청서_raw!G634*6,IF(출고요청서_raw!H634=재고내역!$F$13,출고요청서_raw!G634*8)))))</f>
        <v>6</v>
      </c>
      <c r="X634" s="74"/>
      <c r="Y634" s="74"/>
      <c r="Z634" s="354">
        <f>W634*재고내역!$M$6</f>
        <v>46122</v>
      </c>
      <c r="AA634" s="354">
        <f t="shared" si="68"/>
        <v>4550</v>
      </c>
      <c r="AB634" s="56">
        <f t="shared" si="65"/>
        <v>6600.7272727272648</v>
      </c>
      <c r="AC634" s="376">
        <f t="shared" si="66"/>
        <v>0.11525079365079353</v>
      </c>
      <c r="AD634" s="74"/>
      <c r="AE634" s="74"/>
    </row>
    <row r="635" spans="1:31" s="72" customFormat="1" ht="15.75" customHeight="1">
      <c r="A635" s="430" t="s">
        <v>3195</v>
      </c>
      <c r="B635" s="430" t="s">
        <v>3196</v>
      </c>
      <c r="C635" s="426"/>
      <c r="D635" s="427"/>
      <c r="E635" s="430">
        <v>5248</v>
      </c>
      <c r="F635" s="430" t="s">
        <v>3197</v>
      </c>
      <c r="G635" s="371">
        <v>1</v>
      </c>
      <c r="H635" s="72" t="s">
        <v>74</v>
      </c>
      <c r="L635" s="351" t="s">
        <v>1743</v>
      </c>
      <c r="M635" s="351">
        <v>2.0260209173520599E+18</v>
      </c>
      <c r="O635" s="351" t="s">
        <v>3198</v>
      </c>
      <c r="P635" s="353" t="s">
        <v>41</v>
      </c>
      <c r="Q635" s="361">
        <v>46063</v>
      </c>
      <c r="R635" s="362" t="s">
        <v>41</v>
      </c>
      <c r="S635" s="359">
        <v>63000</v>
      </c>
      <c r="T635" s="56" t="str">
        <f t="shared" si="64"/>
        <v>0</v>
      </c>
      <c r="U635" s="359">
        <v>63000</v>
      </c>
      <c r="V635" s="354">
        <f t="shared" si="69"/>
        <v>57272.727272727265</v>
      </c>
      <c r="W635" s="365">
        <f>IF(H635=재고내역!$F$9,출고요청서_raw!G635*1,IF(H635=재고내역!$F$10,출고요청서_raw!G635*2,IF(출고요청서_raw!H635=재고내역!$F$11,출고요청서_raw!G635*4,IF(출고요청서_raw!H635=재고내역!$F$12,출고요청서_raw!G635*6,IF(출고요청서_raw!H635=재고내역!$F$13,출고요청서_raw!G635*8)))))</f>
        <v>6</v>
      </c>
      <c r="X635" s="74"/>
      <c r="Y635" s="74"/>
      <c r="Z635" s="354">
        <f>W635*재고내역!$M$6</f>
        <v>46122</v>
      </c>
      <c r="AA635" s="354">
        <f t="shared" si="68"/>
        <v>4550</v>
      </c>
      <c r="AB635" s="56">
        <f t="shared" si="65"/>
        <v>6600.7272727272648</v>
      </c>
      <c r="AC635" s="376">
        <f t="shared" si="66"/>
        <v>0.11525079365079353</v>
      </c>
      <c r="AD635" s="74"/>
      <c r="AE635" s="74"/>
    </row>
    <row r="636" spans="1:31" s="72" customFormat="1" ht="15.75" customHeight="1">
      <c r="A636" s="430" t="s">
        <v>3199</v>
      </c>
      <c r="B636" s="430" t="s">
        <v>532</v>
      </c>
      <c r="C636" s="426"/>
      <c r="D636" s="427"/>
      <c r="E636" s="430">
        <v>16704</v>
      </c>
      <c r="F636" s="430" t="s">
        <v>534</v>
      </c>
      <c r="G636" s="371">
        <v>1</v>
      </c>
      <c r="H636" s="72" t="s">
        <v>74</v>
      </c>
      <c r="L636" s="351" t="s">
        <v>2306</v>
      </c>
      <c r="M636" s="351">
        <v>2.02602091257277E+18</v>
      </c>
      <c r="O636" s="351" t="s">
        <v>3200</v>
      </c>
      <c r="P636" s="353" t="s">
        <v>41</v>
      </c>
      <c r="Q636" s="361">
        <v>46063</v>
      </c>
      <c r="R636" s="362" t="s">
        <v>41</v>
      </c>
      <c r="S636" s="359">
        <v>63000</v>
      </c>
      <c r="T636" s="56" t="str">
        <f t="shared" si="64"/>
        <v>0</v>
      </c>
      <c r="U636" s="359">
        <v>63000</v>
      </c>
      <c r="V636" s="354">
        <f t="shared" si="69"/>
        <v>57272.727272727265</v>
      </c>
      <c r="W636" s="365">
        <f>IF(H636=재고내역!$F$9,출고요청서_raw!G636*1,IF(H636=재고내역!$F$10,출고요청서_raw!G636*2,IF(출고요청서_raw!H636=재고내역!$F$11,출고요청서_raw!G636*4,IF(출고요청서_raw!H636=재고내역!$F$12,출고요청서_raw!G636*6,IF(출고요청서_raw!H636=재고내역!$F$13,출고요청서_raw!G636*8)))))</f>
        <v>6</v>
      </c>
      <c r="X636" s="74"/>
      <c r="Y636" s="74"/>
      <c r="Z636" s="354">
        <f>W636*재고내역!$M$6</f>
        <v>46122</v>
      </c>
      <c r="AA636" s="354">
        <f t="shared" si="68"/>
        <v>4550</v>
      </c>
      <c r="AB636" s="56">
        <f t="shared" si="65"/>
        <v>6600.7272727272648</v>
      </c>
      <c r="AC636" s="376">
        <f t="shared" si="66"/>
        <v>0.11525079365079353</v>
      </c>
      <c r="AD636" s="74"/>
      <c r="AE636" s="74"/>
    </row>
    <row r="637" spans="1:31" s="72" customFormat="1" ht="15.75" customHeight="1">
      <c r="A637" s="430" t="s">
        <v>3201</v>
      </c>
      <c r="B637" s="430" t="s">
        <v>3202</v>
      </c>
      <c r="C637" s="426"/>
      <c r="D637" s="427"/>
      <c r="E637" s="430">
        <v>1057</v>
      </c>
      <c r="F637" s="430" t="s">
        <v>3203</v>
      </c>
      <c r="G637" s="371">
        <v>2</v>
      </c>
      <c r="H637" s="72" t="s">
        <v>74</v>
      </c>
      <c r="L637" s="351" t="s">
        <v>2306</v>
      </c>
      <c r="M637" s="351">
        <v>2.0260206143417201E+18</v>
      </c>
      <c r="O637" s="351" t="s">
        <v>3204</v>
      </c>
      <c r="P637" s="353" t="s">
        <v>41</v>
      </c>
      <c r="Q637" s="361">
        <v>46063</v>
      </c>
      <c r="R637" s="362" t="s">
        <v>41</v>
      </c>
      <c r="S637" s="359">
        <v>126000</v>
      </c>
      <c r="T637" s="56" t="str">
        <f t="shared" si="64"/>
        <v>0</v>
      </c>
      <c r="U637" s="359">
        <v>126000</v>
      </c>
      <c r="V637" s="354">
        <f t="shared" si="69"/>
        <v>114545.45454545453</v>
      </c>
      <c r="W637" s="365">
        <f>IF(H637=재고내역!$F$9,출고요청서_raw!G637*1,IF(H637=재고내역!$F$10,출고요청서_raw!G637*2,IF(출고요청서_raw!H637=재고내역!$F$11,출고요청서_raw!G637*4,IF(출고요청서_raw!H637=재고내역!$F$12,출고요청서_raw!G637*6,IF(출고요청서_raw!H637=재고내역!$F$13,출고요청서_raw!G637*8)))))</f>
        <v>12</v>
      </c>
      <c r="X637" s="74"/>
      <c r="Y637" s="74"/>
      <c r="Z637" s="354">
        <f>W637*재고내역!$M$6</f>
        <v>92244</v>
      </c>
      <c r="AA637" s="354">
        <f t="shared" si="68"/>
        <v>9100</v>
      </c>
      <c r="AB637" s="56">
        <f t="shared" si="65"/>
        <v>13201.45454545453</v>
      </c>
      <c r="AC637" s="376">
        <f t="shared" si="66"/>
        <v>0.11525079365079353</v>
      </c>
      <c r="AD637" s="74"/>
      <c r="AE637" s="74"/>
    </row>
    <row r="638" spans="1:31" s="72" customFormat="1" ht="15.75" customHeight="1">
      <c r="A638" s="362" t="s">
        <v>3205</v>
      </c>
      <c r="B638" s="362" t="s">
        <v>3206</v>
      </c>
      <c r="C638" s="426"/>
      <c r="D638" s="427"/>
      <c r="E638" s="429" t="s">
        <v>3207</v>
      </c>
      <c r="F638" s="362" t="s">
        <v>3208</v>
      </c>
      <c r="G638" s="371">
        <v>1</v>
      </c>
      <c r="H638" s="54" t="s">
        <v>73</v>
      </c>
      <c r="L638" s="82" t="s">
        <v>145</v>
      </c>
      <c r="M638" s="468">
        <v>9100170443201</v>
      </c>
      <c r="N638" s="82">
        <v>9361402632</v>
      </c>
      <c r="O638" s="82">
        <v>94659124878</v>
      </c>
      <c r="P638" s="353" t="s">
        <v>8</v>
      </c>
      <c r="Q638" s="361">
        <v>46064</v>
      </c>
      <c r="R638" s="362" t="s">
        <v>8</v>
      </c>
      <c r="S638" s="82">
        <v>78000</v>
      </c>
      <c r="T638" s="56">
        <f t="shared" si="64"/>
        <v>13000</v>
      </c>
      <c r="U638" s="461">
        <f>S638-T638</f>
        <v>65000</v>
      </c>
      <c r="V638" s="354">
        <f>U638/1.1</f>
        <v>59090.909090909088</v>
      </c>
      <c r="W638" s="365">
        <f>IF(H638=재고내역!$F$9,출고요청서_raw!G638*1,IF(H638=재고내역!$F$10,출고요청서_raw!G638*2,IF(출고요청서_raw!H638=재고내역!$F$11,출고요청서_raw!G638*4,IF(출고요청서_raw!H638=재고내역!$F$12,출고요청서_raw!G638*6,IF(출고요청서_raw!H638=재고내역!$F$13,출고요청서_raw!G638*8)))))</f>
        <v>4</v>
      </c>
      <c r="X638" s="69">
        <v>0.1166</v>
      </c>
      <c r="Y638" s="60">
        <f>U638*X638</f>
        <v>7579</v>
      </c>
      <c r="Z638" s="56">
        <f>W638*재고내역!$M$6</f>
        <v>30748</v>
      </c>
      <c r="AA638" s="56">
        <f>IF(W638&gt;8,4550*2,4550)</f>
        <v>4550</v>
      </c>
      <c r="AB638" s="56">
        <f t="shared" si="65"/>
        <v>16213.909090909088</v>
      </c>
      <c r="AC638" s="376">
        <f t="shared" si="66"/>
        <v>0.27438923076923072</v>
      </c>
      <c r="AD638" s="367"/>
      <c r="AE638" s="60">
        <f>U638-Y638</f>
        <v>57421</v>
      </c>
    </row>
    <row r="639" spans="1:31" ht="15.75" customHeight="1">
      <c r="A639" s="362" t="s">
        <v>3209</v>
      </c>
      <c r="B639" s="362" t="s">
        <v>3210</v>
      </c>
      <c r="E639" s="362">
        <v>10423</v>
      </c>
      <c r="F639" s="362" t="s">
        <v>3211</v>
      </c>
      <c r="G639" s="371">
        <v>1</v>
      </c>
      <c r="H639" s="54" t="s">
        <v>73</v>
      </c>
      <c r="L639" s="82" t="s">
        <v>145</v>
      </c>
      <c r="M639" s="468">
        <v>9100170453124</v>
      </c>
      <c r="N639" s="82">
        <v>9361402632</v>
      </c>
      <c r="O639" s="82">
        <v>94659124878</v>
      </c>
      <c r="P639" s="57" t="s">
        <v>8</v>
      </c>
      <c r="Q639" s="361">
        <v>46064</v>
      </c>
      <c r="R639" s="59" t="s">
        <v>8</v>
      </c>
      <c r="S639" s="82">
        <v>78000</v>
      </c>
      <c r="T639" s="56">
        <f t="shared" si="64"/>
        <v>13000</v>
      </c>
      <c r="U639" s="461">
        <f t="shared" ref="U639:U640" si="70">S639-T639</f>
        <v>65000</v>
      </c>
      <c r="V639" s="354">
        <f>U639/1.1</f>
        <v>59090.909090909088</v>
      </c>
      <c r="W639" s="365">
        <f>IF(H639=재고내역!$F$9,출고요청서_raw!G639*1,IF(H639=재고내역!$F$10,출고요청서_raw!G639*2,IF(출고요청서_raw!H639=재고내역!$F$11,출고요청서_raw!G639*4,IF(출고요청서_raw!H639=재고내역!$F$12,출고요청서_raw!G639*6,IF(출고요청서_raw!H639=재고내역!$F$13,출고요청서_raw!G639*8)))))</f>
        <v>4</v>
      </c>
      <c r="X639" s="69">
        <v>0.1166</v>
      </c>
      <c r="Y639" s="60">
        <f>U639*X639</f>
        <v>7579</v>
      </c>
      <c r="Z639" s="56">
        <f>W639*재고내역!$M$6</f>
        <v>30748</v>
      </c>
      <c r="AA639" s="56">
        <f>IF(W639&gt;8,4550*2,4550)</f>
        <v>4550</v>
      </c>
      <c r="AB639" s="56">
        <f t="shared" si="65"/>
        <v>16213.909090909088</v>
      </c>
      <c r="AC639" s="376">
        <f t="shared" si="66"/>
        <v>0.27438923076923072</v>
      </c>
      <c r="AD639" s="464"/>
      <c r="AE639" s="60">
        <f t="shared" ref="AE639:AE640" si="71">U639-Y639</f>
        <v>57421</v>
      </c>
    </row>
    <row r="640" spans="1:31" ht="15.75" customHeight="1">
      <c r="A640" s="362" t="s">
        <v>3212</v>
      </c>
      <c r="B640" s="362" t="s">
        <v>3213</v>
      </c>
      <c r="E640" s="362">
        <v>13928</v>
      </c>
      <c r="F640" s="362" t="s">
        <v>3214</v>
      </c>
      <c r="G640" s="371">
        <v>1</v>
      </c>
      <c r="H640" s="54" t="s">
        <v>72</v>
      </c>
      <c r="L640" s="82" t="s">
        <v>3215</v>
      </c>
      <c r="M640" s="468">
        <v>16100171241527</v>
      </c>
      <c r="N640" s="82">
        <v>9354612220</v>
      </c>
      <c r="O640" s="82">
        <v>94659124877</v>
      </c>
      <c r="P640" s="57" t="s">
        <v>8</v>
      </c>
      <c r="Q640" s="361">
        <v>46064</v>
      </c>
      <c r="R640" s="59" t="s">
        <v>8</v>
      </c>
      <c r="S640" s="82">
        <v>40000</v>
      </c>
      <c r="T640" s="56">
        <f t="shared" si="64"/>
        <v>4100</v>
      </c>
      <c r="U640" s="461">
        <f t="shared" si="70"/>
        <v>35900</v>
      </c>
      <c r="V640" s="354">
        <f>U640/1.1</f>
        <v>32636.363636363632</v>
      </c>
      <c r="W640" s="365">
        <f>IF(H640=재고내역!$F$9,출고요청서_raw!G640*1,IF(H640=재고내역!$F$10,출고요청서_raw!G640*2,IF(출고요청서_raw!H640=재고내역!$F$11,출고요청서_raw!G640*4,IF(출고요청서_raw!H640=재고내역!$F$12,출고요청서_raw!G640*6,IF(출고요청서_raw!H640=재고내역!$F$13,출고요청서_raw!G640*8)))))</f>
        <v>2</v>
      </c>
      <c r="X640" s="69">
        <v>0.1166</v>
      </c>
      <c r="Y640" s="60">
        <f>U640*X640</f>
        <v>4185.9399999999996</v>
      </c>
      <c r="Z640" s="56">
        <f>W640*재고내역!$M$6</f>
        <v>15374</v>
      </c>
      <c r="AA640" s="56">
        <f>IF(W640&gt;8,4550*2,4550)</f>
        <v>4550</v>
      </c>
      <c r="AB640" s="56">
        <f>V640-Z640-AA640-Y640</f>
        <v>8526.4236363636337</v>
      </c>
      <c r="AC640" s="376">
        <f t="shared" si="66"/>
        <v>0.2612553203342618</v>
      </c>
      <c r="AE640" s="60">
        <f t="shared" si="71"/>
        <v>31714.06</v>
      </c>
    </row>
    <row r="641" spans="1:31" ht="15.75" customHeight="1">
      <c r="A641" s="362" t="s">
        <v>3216</v>
      </c>
      <c r="B641" s="362" t="s">
        <v>3217</v>
      </c>
      <c r="E641" s="418" t="s">
        <v>3218</v>
      </c>
      <c r="F641" s="362" t="s">
        <v>3219</v>
      </c>
      <c r="G641" s="371">
        <v>8</v>
      </c>
      <c r="H641" s="54" t="s">
        <v>67</v>
      </c>
      <c r="Q641" s="361">
        <v>46064</v>
      </c>
      <c r="T641" s="56" t="str">
        <f t="shared" si="64"/>
        <v>0</v>
      </c>
      <c r="W641" s="365">
        <v>8</v>
      </c>
      <c r="Z641" s="58"/>
      <c r="AA641" s="58"/>
      <c r="AB641" s="58"/>
      <c r="AC641" s="65"/>
      <c r="AD641" s="58" t="s">
        <v>3220</v>
      </c>
    </row>
    <row r="642" spans="1:31" ht="15.75" customHeight="1">
      <c r="A642" s="362" t="s">
        <v>3221</v>
      </c>
      <c r="B642" s="362" t="s">
        <v>3222</v>
      </c>
      <c r="E642" s="418" t="s">
        <v>3223</v>
      </c>
      <c r="F642" s="362" t="s">
        <v>3224</v>
      </c>
      <c r="G642" s="371">
        <v>8</v>
      </c>
      <c r="H642" s="54" t="s">
        <v>67</v>
      </c>
      <c r="Q642" s="361">
        <v>46064</v>
      </c>
      <c r="T642" s="56" t="str">
        <f t="shared" si="64"/>
        <v>0</v>
      </c>
      <c r="W642" s="365">
        <v>8</v>
      </c>
      <c r="AD642" s="58" t="s">
        <v>3220</v>
      </c>
    </row>
    <row r="643" spans="1:31" ht="15.75" customHeight="1">
      <c r="A643" s="424" t="s">
        <v>3225</v>
      </c>
      <c r="B643" s="362" t="s">
        <v>3226</v>
      </c>
      <c r="E643" s="418" t="s">
        <v>3227</v>
      </c>
      <c r="F643" s="362" t="s">
        <v>3228</v>
      </c>
      <c r="G643" s="371">
        <v>8</v>
      </c>
      <c r="H643" s="54" t="s">
        <v>67</v>
      </c>
      <c r="Q643" s="361">
        <v>46064</v>
      </c>
      <c r="T643" s="56" t="str">
        <f t="shared" si="64"/>
        <v>0</v>
      </c>
      <c r="W643" s="365">
        <v>8</v>
      </c>
      <c r="AD643" s="58" t="s">
        <v>3220</v>
      </c>
    </row>
    <row r="644" spans="1:31" ht="15.75" customHeight="1">
      <c r="A644" s="362" t="s">
        <v>3229</v>
      </c>
      <c r="B644" s="362" t="s">
        <v>3230</v>
      </c>
      <c r="E644" s="418" t="s">
        <v>3231</v>
      </c>
      <c r="F644" s="362" t="s">
        <v>3232</v>
      </c>
      <c r="G644" s="371">
        <v>8</v>
      </c>
      <c r="H644" s="54" t="s">
        <v>67</v>
      </c>
      <c r="Q644" s="361">
        <v>46064</v>
      </c>
      <c r="T644" s="56" t="str">
        <f t="shared" si="64"/>
        <v>0</v>
      </c>
      <c r="W644" s="365">
        <v>8</v>
      </c>
      <c r="AD644" s="58" t="s">
        <v>3220</v>
      </c>
    </row>
    <row r="645" spans="1:31" ht="15.75" customHeight="1">
      <c r="A645" s="362" t="s">
        <v>3233</v>
      </c>
      <c r="B645" s="362" t="s">
        <v>3234</v>
      </c>
      <c r="E645" s="418" t="s">
        <v>3235</v>
      </c>
      <c r="F645" s="362" t="s">
        <v>3236</v>
      </c>
      <c r="G645" s="371">
        <v>8</v>
      </c>
      <c r="H645" s="54" t="s">
        <v>67</v>
      </c>
      <c r="Q645" s="361">
        <v>46064</v>
      </c>
      <c r="T645" s="56" t="str">
        <f t="shared" si="64"/>
        <v>0</v>
      </c>
      <c r="W645" s="365">
        <v>8</v>
      </c>
      <c r="AD645" s="58" t="s">
        <v>3220</v>
      </c>
    </row>
    <row r="646" spans="1:31" ht="15.75" customHeight="1">
      <c r="A646" s="362" t="s">
        <v>3237</v>
      </c>
      <c r="B646" s="362" t="s">
        <v>3238</v>
      </c>
      <c r="E646" s="431" t="s">
        <v>3239</v>
      </c>
      <c r="F646" s="362" t="s">
        <v>3240</v>
      </c>
      <c r="G646" s="371">
        <v>8</v>
      </c>
      <c r="H646" s="54" t="s">
        <v>67</v>
      </c>
      <c r="Q646" s="361">
        <v>46064</v>
      </c>
      <c r="T646" s="56" t="str">
        <f>IF(R646="쿠팡",VLOOKUP(H646,$AF$7:$AG$10,2,0)*G646,"0")</f>
        <v>0</v>
      </c>
      <c r="W646" s="365">
        <v>8</v>
      </c>
      <c r="AD646" s="58" t="s">
        <v>3220</v>
      </c>
    </row>
    <row r="647" spans="1:31" ht="15.75" customHeight="1">
      <c r="A647" s="362" t="s">
        <v>3241</v>
      </c>
      <c r="B647" s="362" t="s">
        <v>3242</v>
      </c>
      <c r="E647" s="418" t="s">
        <v>3243</v>
      </c>
      <c r="F647" s="362" t="s">
        <v>3244</v>
      </c>
      <c r="G647" s="371">
        <v>8</v>
      </c>
      <c r="H647" s="54" t="s">
        <v>67</v>
      </c>
      <c r="Q647" s="361">
        <v>46064</v>
      </c>
      <c r="S647" s="74"/>
      <c r="T647" s="56" t="str">
        <f>IF(R647="쿠팡",VLOOKUP(H647,$AF$7:$AG$10,2,0)*G647,"0")</f>
        <v>0</v>
      </c>
      <c r="U647" s="74"/>
      <c r="W647" s="365">
        <v>8</v>
      </c>
      <c r="AD647" s="58" t="s">
        <v>3220</v>
      </c>
    </row>
    <row r="648" spans="1:31" ht="15.75" customHeight="1">
      <c r="A648" s="362" t="s">
        <v>3245</v>
      </c>
      <c r="B648" s="362" t="s">
        <v>3246</v>
      </c>
      <c r="E648" s="418" t="s">
        <v>3247</v>
      </c>
      <c r="F648" s="362" t="s">
        <v>3248</v>
      </c>
      <c r="G648" s="371">
        <v>8</v>
      </c>
      <c r="H648" s="54" t="s">
        <v>67</v>
      </c>
      <c r="Q648" s="361">
        <v>46064</v>
      </c>
      <c r="S648" s="74"/>
      <c r="T648" s="56" t="str">
        <f>IF(R648="쿠팡",VLOOKUP(H648,$AF$7:$AG$10,2,0)*G648,"0")</f>
        <v>0</v>
      </c>
      <c r="U648" s="74"/>
      <c r="W648" s="365">
        <v>8</v>
      </c>
      <c r="AD648" s="58" t="s">
        <v>3220</v>
      </c>
    </row>
    <row r="649" spans="1:31" ht="15.75" customHeight="1">
      <c r="A649" s="362" t="s">
        <v>3249</v>
      </c>
      <c r="B649" s="362" t="s">
        <v>136</v>
      </c>
      <c r="E649" s="429" t="s">
        <v>137</v>
      </c>
      <c r="F649" s="362" t="s">
        <v>3250</v>
      </c>
      <c r="G649" s="60">
        <v>1</v>
      </c>
      <c r="H649" s="82" t="s">
        <v>71</v>
      </c>
      <c r="L649" s="72"/>
      <c r="M649" s="82">
        <v>3242789909</v>
      </c>
      <c r="N649" s="82">
        <v>691542495</v>
      </c>
      <c r="O649" s="72"/>
      <c r="P649" s="57" t="s">
        <v>9</v>
      </c>
      <c r="Q649" s="361">
        <v>46064</v>
      </c>
      <c r="R649" s="59" t="s">
        <v>9</v>
      </c>
      <c r="S649" s="367">
        <v>22900</v>
      </c>
      <c r="T649" s="377">
        <v>2000</v>
      </c>
      <c r="U649" s="367">
        <f>S649-2500</f>
        <v>20400</v>
      </c>
      <c r="V649" s="60">
        <f>U649/1.1</f>
        <v>18545.454545454544</v>
      </c>
      <c r="W649" s="365">
        <f>IF(H649=재고내역!$F$9,출고요청서_raw!G649*1,IF(H649=재고내역!$F$10,출고요청서_raw!G649*2,IF(출고요청서_raw!H649=재고내역!$F$11,출고요청서_raw!G649*4,IF(출고요청서_raw!H649=재고내역!$F$12,출고요청서_raw!G649*6,IF(출고요청서_raw!H649=재고내역!$F$13,출고요청서_raw!G649*8)))))</f>
        <v>1</v>
      </c>
      <c r="X649" s="66">
        <v>3.3000000000000002E-2</v>
      </c>
      <c r="Y649" s="60">
        <f>X649*U649</f>
        <v>673.2</v>
      </c>
      <c r="Z649" s="56">
        <f>W649*재고내역!$M$6</f>
        <v>7687</v>
      </c>
      <c r="AA649" s="56">
        <f t="shared" ref="AA649:AA685" si="72">IF(W649&gt;8,4550*2,4550)</f>
        <v>4550</v>
      </c>
      <c r="AB649" s="56">
        <f>V649-Z649-AA649-Y649</f>
        <v>5635.2545454545443</v>
      </c>
      <c r="AC649" s="376">
        <f t="shared" ref="AC649" si="73">AB649/V649</f>
        <v>0.30386176470588233</v>
      </c>
      <c r="AE649" s="60">
        <f>U649-Y649</f>
        <v>19726.8</v>
      </c>
    </row>
    <row r="650" spans="1:31" ht="15.75" customHeight="1">
      <c r="A650" s="432" t="s">
        <v>3251</v>
      </c>
      <c r="B650" s="432" t="s">
        <v>3252</v>
      </c>
      <c r="C650" s="426"/>
      <c r="D650" s="427"/>
      <c r="E650" s="432">
        <v>3025</v>
      </c>
      <c r="F650" s="432" t="s">
        <v>3253</v>
      </c>
      <c r="G650" s="372">
        <v>1</v>
      </c>
      <c r="H650" s="54" t="s">
        <v>73</v>
      </c>
      <c r="L650" s="350" t="s">
        <v>3254</v>
      </c>
      <c r="M650" s="350">
        <v>2.0260211094551401E+18</v>
      </c>
      <c r="N650" s="350">
        <v>143790</v>
      </c>
      <c r="O650" s="350" t="s">
        <v>3255</v>
      </c>
      <c r="P650" s="353" t="s">
        <v>41</v>
      </c>
      <c r="Q650" s="361">
        <v>46064</v>
      </c>
      <c r="R650" s="362" t="s">
        <v>41</v>
      </c>
      <c r="S650" s="368">
        <v>45500</v>
      </c>
      <c r="T650" s="56" t="str">
        <f t="shared" ref="T650:T684" si="74">IF(R650="쿠팡",VLOOKUP(H650,$AF$7:$AG$10,2,0)*G650,"0")</f>
        <v>0</v>
      </c>
      <c r="U650" s="368">
        <v>45500</v>
      </c>
      <c r="V650" s="60">
        <f t="shared" ref="V650:V681" si="75">U650/1.1</f>
        <v>41363.63636363636</v>
      </c>
      <c r="W650" s="365">
        <f>IF(H650=재고내역!$F$9,출고요청서_raw!G650*1,IF(H650=재고내역!$F$10,출고요청서_raw!G650*2,IF(출고요청서_raw!H650=재고내역!$F$11,출고요청서_raw!G650*4,IF(출고요청서_raw!H650=재고내역!$F$12,출고요청서_raw!G650*6,IF(출고요청서_raw!H650=재고내역!$F$13,출고요청서_raw!G650*8)))))</f>
        <v>4</v>
      </c>
      <c r="Z650" s="354">
        <f>W650*재고내역!$M$6</f>
        <v>30748</v>
      </c>
      <c r="AA650" s="354">
        <f t="shared" si="72"/>
        <v>4550</v>
      </c>
      <c r="AB650" s="56">
        <f t="shared" ref="AB650:AB699" si="76">V650-Z650-AA650-Y650</f>
        <v>6065.6363636363603</v>
      </c>
      <c r="AC650" s="376">
        <f t="shared" ref="AC650:AC699" si="77">AB650/V650</f>
        <v>0.14664175824175818</v>
      </c>
    </row>
    <row r="651" spans="1:31" ht="15.75" customHeight="1">
      <c r="A651" s="432" t="s">
        <v>3256</v>
      </c>
      <c r="B651" s="432" t="s">
        <v>3257</v>
      </c>
      <c r="C651" s="426"/>
      <c r="D651" s="427"/>
      <c r="E651" s="432">
        <v>12108</v>
      </c>
      <c r="F651" s="432" t="s">
        <v>3258</v>
      </c>
      <c r="G651" s="372">
        <v>1</v>
      </c>
      <c r="H651" s="54" t="s">
        <v>73</v>
      </c>
      <c r="L651" s="350" t="s">
        <v>2306</v>
      </c>
      <c r="M651" s="350">
        <v>2.02602110945587E+18</v>
      </c>
      <c r="N651" s="350">
        <v>143790</v>
      </c>
      <c r="O651" s="350" t="s">
        <v>3259</v>
      </c>
      <c r="P651" s="353" t="s">
        <v>41</v>
      </c>
      <c r="Q651" s="361">
        <v>46064</v>
      </c>
      <c r="R651" s="362" t="s">
        <v>41</v>
      </c>
      <c r="S651" s="368">
        <v>45500</v>
      </c>
      <c r="T651" s="56" t="str">
        <f t="shared" si="74"/>
        <v>0</v>
      </c>
      <c r="U651" s="368">
        <v>45500</v>
      </c>
      <c r="V651" s="60">
        <f t="shared" si="75"/>
        <v>41363.63636363636</v>
      </c>
      <c r="W651" s="365">
        <f>IF(H651=재고내역!$F$9,출고요청서_raw!G651*1,IF(H651=재고내역!$F$10,출고요청서_raw!G651*2,IF(출고요청서_raw!H651=재고내역!$F$11,출고요청서_raw!G651*4,IF(출고요청서_raw!H651=재고내역!$F$12,출고요청서_raw!G651*6,IF(출고요청서_raw!H651=재고내역!$F$13,출고요청서_raw!G651*8)))))</f>
        <v>4</v>
      </c>
      <c r="Z651" s="354">
        <f>W651*재고내역!$M$6</f>
        <v>30748</v>
      </c>
      <c r="AA651" s="354">
        <f t="shared" si="72"/>
        <v>4550</v>
      </c>
      <c r="AB651" s="56">
        <f t="shared" si="76"/>
        <v>6065.6363636363603</v>
      </c>
      <c r="AC651" s="376">
        <f t="shared" si="77"/>
        <v>0.14664175824175818</v>
      </c>
    </row>
    <row r="652" spans="1:31" ht="15.75" customHeight="1">
      <c r="A652" s="432" t="s">
        <v>3260</v>
      </c>
      <c r="B652" s="432" t="s">
        <v>3261</v>
      </c>
      <c r="C652" s="426"/>
      <c r="D652" s="427"/>
      <c r="E652" s="432">
        <v>38136</v>
      </c>
      <c r="F652" s="432" t="s">
        <v>3262</v>
      </c>
      <c r="G652" s="372">
        <v>1</v>
      </c>
      <c r="H652" s="54" t="s">
        <v>73</v>
      </c>
      <c r="L652" s="350" t="s">
        <v>2306</v>
      </c>
      <c r="M652" s="350">
        <v>2.0260211081100401E+18</v>
      </c>
      <c r="N652" s="350">
        <v>143790</v>
      </c>
      <c r="O652" s="350" t="s">
        <v>3263</v>
      </c>
      <c r="P652" s="353" t="s">
        <v>41</v>
      </c>
      <c r="Q652" s="361">
        <v>46064</v>
      </c>
      <c r="R652" s="362" t="s">
        <v>41</v>
      </c>
      <c r="S652" s="368">
        <v>45500</v>
      </c>
      <c r="T652" s="56" t="str">
        <f t="shared" si="74"/>
        <v>0</v>
      </c>
      <c r="U652" s="368">
        <v>45500</v>
      </c>
      <c r="V652" s="60">
        <f t="shared" si="75"/>
        <v>41363.63636363636</v>
      </c>
      <c r="W652" s="365">
        <f>IF(H652=재고내역!$F$9,출고요청서_raw!G652*1,IF(H652=재고내역!$F$10,출고요청서_raw!G652*2,IF(출고요청서_raw!H652=재고내역!$F$11,출고요청서_raw!G652*4,IF(출고요청서_raw!H652=재고내역!$F$12,출고요청서_raw!G652*6,IF(출고요청서_raw!H652=재고내역!$F$13,출고요청서_raw!G652*8)))))</f>
        <v>4</v>
      </c>
      <c r="Z652" s="354">
        <f>W652*재고내역!$M$6</f>
        <v>30748</v>
      </c>
      <c r="AA652" s="354">
        <f t="shared" si="72"/>
        <v>4550</v>
      </c>
      <c r="AB652" s="56">
        <f t="shared" si="76"/>
        <v>6065.6363636363603</v>
      </c>
      <c r="AC652" s="376">
        <f t="shared" si="77"/>
        <v>0.14664175824175818</v>
      </c>
    </row>
    <row r="653" spans="1:31" ht="15.75" customHeight="1">
      <c r="A653" s="432" t="s">
        <v>3264</v>
      </c>
      <c r="B653" s="432" t="s">
        <v>3265</v>
      </c>
      <c r="C653" s="426"/>
      <c r="D653" s="427"/>
      <c r="E653" s="432">
        <v>1169</v>
      </c>
      <c r="F653" s="432" t="s">
        <v>3266</v>
      </c>
      <c r="G653" s="372">
        <v>1</v>
      </c>
      <c r="H653" s="54" t="s">
        <v>73</v>
      </c>
      <c r="L653" s="350" t="s">
        <v>2306</v>
      </c>
      <c r="M653" s="350">
        <v>2.0260211024110799E+18</v>
      </c>
      <c r="N653" s="350">
        <v>143790</v>
      </c>
      <c r="O653" s="350" t="s">
        <v>3267</v>
      </c>
      <c r="P653" s="353" t="s">
        <v>41</v>
      </c>
      <c r="Q653" s="361">
        <v>46064</v>
      </c>
      <c r="R653" s="362" t="s">
        <v>41</v>
      </c>
      <c r="S653" s="368">
        <v>45500</v>
      </c>
      <c r="T653" s="56" t="str">
        <f t="shared" si="74"/>
        <v>0</v>
      </c>
      <c r="U653" s="368">
        <v>45500</v>
      </c>
      <c r="V653" s="60">
        <f t="shared" si="75"/>
        <v>41363.63636363636</v>
      </c>
      <c r="W653" s="365">
        <f>IF(H653=재고내역!$F$9,출고요청서_raw!G653*1,IF(H653=재고내역!$F$10,출고요청서_raw!G653*2,IF(출고요청서_raw!H653=재고내역!$F$11,출고요청서_raw!G653*4,IF(출고요청서_raw!H653=재고내역!$F$12,출고요청서_raw!G653*6,IF(출고요청서_raw!H653=재고내역!$F$13,출고요청서_raw!G653*8)))))</f>
        <v>4</v>
      </c>
      <c r="Z653" s="354">
        <f>W653*재고내역!$M$6</f>
        <v>30748</v>
      </c>
      <c r="AA653" s="354">
        <f t="shared" si="72"/>
        <v>4550</v>
      </c>
      <c r="AB653" s="56">
        <f t="shared" si="76"/>
        <v>6065.6363636363603</v>
      </c>
      <c r="AC653" s="376">
        <f t="shared" si="77"/>
        <v>0.14664175824175818</v>
      </c>
    </row>
    <row r="654" spans="1:31" ht="15.75" customHeight="1">
      <c r="A654" s="432" t="s">
        <v>3268</v>
      </c>
      <c r="B654" s="432" t="s">
        <v>3269</v>
      </c>
      <c r="C654" s="426"/>
      <c r="D654" s="427"/>
      <c r="E654" s="432">
        <v>4153</v>
      </c>
      <c r="F654" s="432" t="s">
        <v>3270</v>
      </c>
      <c r="G654" s="372">
        <v>1</v>
      </c>
      <c r="H654" s="54" t="s">
        <v>73</v>
      </c>
      <c r="L654" s="350" t="s">
        <v>2306</v>
      </c>
      <c r="M654" s="350">
        <v>2.02602110238321E+18</v>
      </c>
      <c r="N654" s="350">
        <v>143790</v>
      </c>
      <c r="O654" s="350" t="s">
        <v>3271</v>
      </c>
      <c r="P654" s="353" t="s">
        <v>41</v>
      </c>
      <c r="Q654" s="361">
        <v>46064</v>
      </c>
      <c r="R654" s="362" t="s">
        <v>41</v>
      </c>
      <c r="S654" s="368">
        <v>45500</v>
      </c>
      <c r="T654" s="56" t="str">
        <f t="shared" si="74"/>
        <v>0</v>
      </c>
      <c r="U654" s="368">
        <v>45500</v>
      </c>
      <c r="V654" s="60">
        <f t="shared" si="75"/>
        <v>41363.63636363636</v>
      </c>
      <c r="W654" s="365">
        <f>IF(H654=재고내역!$F$9,출고요청서_raw!G654*1,IF(H654=재고내역!$F$10,출고요청서_raw!G654*2,IF(출고요청서_raw!H654=재고내역!$F$11,출고요청서_raw!G654*4,IF(출고요청서_raw!H654=재고내역!$F$12,출고요청서_raw!G654*6,IF(출고요청서_raw!H654=재고내역!$F$13,출고요청서_raw!G654*8)))))</f>
        <v>4</v>
      </c>
      <c r="Z654" s="354">
        <f>W654*재고내역!$M$6</f>
        <v>30748</v>
      </c>
      <c r="AA654" s="354">
        <f t="shared" si="72"/>
        <v>4550</v>
      </c>
      <c r="AB654" s="56">
        <f t="shared" si="76"/>
        <v>6065.6363636363603</v>
      </c>
      <c r="AC654" s="376">
        <f t="shared" si="77"/>
        <v>0.14664175824175818</v>
      </c>
    </row>
    <row r="655" spans="1:31" ht="15.75" customHeight="1">
      <c r="A655" s="432" t="s">
        <v>3272</v>
      </c>
      <c r="B655" s="432" t="s">
        <v>3273</v>
      </c>
      <c r="C655" s="426"/>
      <c r="D655" s="427"/>
      <c r="E655" s="432">
        <v>12917</v>
      </c>
      <c r="F655" s="432" t="s">
        <v>3274</v>
      </c>
      <c r="G655" s="372">
        <v>1</v>
      </c>
      <c r="H655" s="54" t="s">
        <v>73</v>
      </c>
      <c r="L655" s="350" t="s">
        <v>2306</v>
      </c>
      <c r="M655" s="350">
        <v>2.0260211023513201E+18</v>
      </c>
      <c r="N655" s="350">
        <v>143790</v>
      </c>
      <c r="O655" s="350" t="s">
        <v>3275</v>
      </c>
      <c r="P655" s="353" t="s">
        <v>41</v>
      </c>
      <c r="Q655" s="361">
        <v>46064</v>
      </c>
      <c r="R655" s="362" t="s">
        <v>41</v>
      </c>
      <c r="S655" s="368">
        <v>45500</v>
      </c>
      <c r="T655" s="56" t="str">
        <f t="shared" si="74"/>
        <v>0</v>
      </c>
      <c r="U655" s="368">
        <v>45500</v>
      </c>
      <c r="V655" s="60">
        <f t="shared" si="75"/>
        <v>41363.63636363636</v>
      </c>
      <c r="W655" s="365">
        <f>IF(H655=재고내역!$F$9,출고요청서_raw!G655*1,IF(H655=재고내역!$F$10,출고요청서_raw!G655*2,IF(출고요청서_raw!H655=재고내역!$F$11,출고요청서_raw!G655*4,IF(출고요청서_raw!H655=재고내역!$F$12,출고요청서_raw!G655*6,IF(출고요청서_raw!H655=재고내역!$F$13,출고요청서_raw!G655*8)))))</f>
        <v>4</v>
      </c>
      <c r="Z655" s="354">
        <f>W655*재고내역!$M$6</f>
        <v>30748</v>
      </c>
      <c r="AA655" s="354">
        <f t="shared" si="72"/>
        <v>4550</v>
      </c>
      <c r="AB655" s="56">
        <f t="shared" si="76"/>
        <v>6065.6363636363603</v>
      </c>
      <c r="AC655" s="376">
        <f t="shared" si="77"/>
        <v>0.14664175824175818</v>
      </c>
    </row>
    <row r="656" spans="1:31" ht="15.75" customHeight="1">
      <c r="A656" s="432" t="s">
        <v>3276</v>
      </c>
      <c r="B656" s="432" t="s">
        <v>3277</v>
      </c>
      <c r="C656" s="426"/>
      <c r="D656" s="427"/>
      <c r="E656" s="432">
        <v>10388</v>
      </c>
      <c r="F656" s="432" t="s">
        <v>3278</v>
      </c>
      <c r="G656" s="372">
        <v>1</v>
      </c>
      <c r="H656" s="54" t="s">
        <v>73</v>
      </c>
      <c r="L656" s="350" t="s">
        <v>2306</v>
      </c>
      <c r="M656" s="350">
        <v>2.0260211022456801E+18</v>
      </c>
      <c r="N656" s="350">
        <v>143790</v>
      </c>
      <c r="O656" s="350" t="s">
        <v>3279</v>
      </c>
      <c r="P656" s="353" t="s">
        <v>41</v>
      </c>
      <c r="Q656" s="361">
        <v>46064</v>
      </c>
      <c r="R656" s="362" t="s">
        <v>41</v>
      </c>
      <c r="S656" s="368">
        <v>45500</v>
      </c>
      <c r="T656" s="56" t="str">
        <f t="shared" si="74"/>
        <v>0</v>
      </c>
      <c r="U656" s="368">
        <v>45500</v>
      </c>
      <c r="V656" s="60">
        <f t="shared" si="75"/>
        <v>41363.63636363636</v>
      </c>
      <c r="W656" s="365">
        <f>IF(H656=재고내역!$F$9,출고요청서_raw!G656*1,IF(H656=재고내역!$F$10,출고요청서_raw!G656*2,IF(출고요청서_raw!H656=재고내역!$F$11,출고요청서_raw!G656*4,IF(출고요청서_raw!H656=재고내역!$F$12,출고요청서_raw!G656*6,IF(출고요청서_raw!H656=재고내역!$F$13,출고요청서_raw!G656*8)))))</f>
        <v>4</v>
      </c>
      <c r="Z656" s="354">
        <f>W656*재고내역!$M$6</f>
        <v>30748</v>
      </c>
      <c r="AA656" s="354">
        <f t="shared" si="72"/>
        <v>4550</v>
      </c>
      <c r="AB656" s="56">
        <f t="shared" si="76"/>
        <v>6065.6363636363603</v>
      </c>
      <c r="AC656" s="376">
        <f t="shared" si="77"/>
        <v>0.14664175824175818</v>
      </c>
    </row>
    <row r="657" spans="1:29" ht="15.75" customHeight="1">
      <c r="A657" s="432" t="s">
        <v>3280</v>
      </c>
      <c r="B657" s="432" t="s">
        <v>3281</v>
      </c>
      <c r="C657" s="426"/>
      <c r="D657" s="427"/>
      <c r="E657" s="432">
        <v>52201</v>
      </c>
      <c r="F657" s="432" t="s">
        <v>3282</v>
      </c>
      <c r="G657" s="372">
        <v>1</v>
      </c>
      <c r="H657" s="54" t="s">
        <v>73</v>
      </c>
      <c r="L657" s="350" t="s">
        <v>2306</v>
      </c>
      <c r="M657" s="350">
        <v>2.02602102021279E+18</v>
      </c>
      <c r="N657" s="350">
        <v>143790</v>
      </c>
      <c r="O657" s="350" t="s">
        <v>3283</v>
      </c>
      <c r="P657" s="353" t="s">
        <v>41</v>
      </c>
      <c r="Q657" s="361">
        <v>46064</v>
      </c>
      <c r="R657" s="362" t="s">
        <v>41</v>
      </c>
      <c r="S657" s="368">
        <v>45500</v>
      </c>
      <c r="T657" s="56" t="str">
        <f t="shared" si="74"/>
        <v>0</v>
      </c>
      <c r="U657" s="368">
        <v>45500</v>
      </c>
      <c r="V657" s="60">
        <f t="shared" si="75"/>
        <v>41363.63636363636</v>
      </c>
      <c r="W657" s="365">
        <f>IF(H657=재고내역!$F$9,출고요청서_raw!G657*1,IF(H657=재고내역!$F$10,출고요청서_raw!G657*2,IF(출고요청서_raw!H657=재고내역!$F$11,출고요청서_raw!G657*4,IF(출고요청서_raw!H657=재고내역!$F$12,출고요청서_raw!G657*6,IF(출고요청서_raw!H657=재고내역!$F$13,출고요청서_raw!G657*8)))))</f>
        <v>4</v>
      </c>
      <c r="Z657" s="354">
        <f>W657*재고내역!$M$6</f>
        <v>30748</v>
      </c>
      <c r="AA657" s="354">
        <f t="shared" si="72"/>
        <v>4550</v>
      </c>
      <c r="AB657" s="56">
        <f t="shared" si="76"/>
        <v>6065.6363636363603</v>
      </c>
      <c r="AC657" s="376">
        <f t="shared" si="77"/>
        <v>0.14664175824175818</v>
      </c>
    </row>
    <row r="658" spans="1:29" ht="15.75" customHeight="1">
      <c r="A658" s="432" t="s">
        <v>3284</v>
      </c>
      <c r="B658" s="432" t="s">
        <v>3285</v>
      </c>
      <c r="C658" s="426"/>
      <c r="D658" s="427"/>
      <c r="E658" s="432">
        <v>44640</v>
      </c>
      <c r="F658" s="432" t="s">
        <v>3286</v>
      </c>
      <c r="G658" s="372">
        <v>1</v>
      </c>
      <c r="H658" s="54" t="s">
        <v>73</v>
      </c>
      <c r="L658" s="350" t="s">
        <v>2306</v>
      </c>
      <c r="M658" s="350">
        <v>2.0260210175539999E+18</v>
      </c>
      <c r="N658" s="350">
        <v>143790</v>
      </c>
      <c r="O658" s="350" t="s">
        <v>3287</v>
      </c>
      <c r="P658" s="353" t="s">
        <v>41</v>
      </c>
      <c r="Q658" s="361">
        <v>46064</v>
      </c>
      <c r="R658" s="362" t="s">
        <v>41</v>
      </c>
      <c r="S658" s="368">
        <v>45500</v>
      </c>
      <c r="T658" s="56" t="str">
        <f t="shared" si="74"/>
        <v>0</v>
      </c>
      <c r="U658" s="368">
        <v>45500</v>
      </c>
      <c r="V658" s="60">
        <f t="shared" si="75"/>
        <v>41363.63636363636</v>
      </c>
      <c r="W658" s="365">
        <f>IF(H658=재고내역!$F$9,출고요청서_raw!G658*1,IF(H658=재고내역!$F$10,출고요청서_raw!G658*2,IF(출고요청서_raw!H658=재고내역!$F$11,출고요청서_raw!G658*4,IF(출고요청서_raw!H658=재고내역!$F$12,출고요청서_raw!G658*6,IF(출고요청서_raw!H658=재고내역!$F$13,출고요청서_raw!G658*8)))))</f>
        <v>4</v>
      </c>
      <c r="Z658" s="354">
        <f>W658*재고내역!$M$6</f>
        <v>30748</v>
      </c>
      <c r="AA658" s="354">
        <f t="shared" si="72"/>
        <v>4550</v>
      </c>
      <c r="AB658" s="56">
        <f t="shared" si="76"/>
        <v>6065.6363636363603</v>
      </c>
      <c r="AC658" s="376">
        <f t="shared" si="77"/>
        <v>0.14664175824175818</v>
      </c>
    </row>
    <row r="659" spans="1:29" ht="15.75" customHeight="1">
      <c r="A659" s="432" t="s">
        <v>3288</v>
      </c>
      <c r="B659" s="432" t="s">
        <v>3289</v>
      </c>
      <c r="C659" s="426"/>
      <c r="D659" s="427"/>
      <c r="E659" s="432">
        <v>58671</v>
      </c>
      <c r="F659" s="432" t="s">
        <v>3290</v>
      </c>
      <c r="G659" s="372">
        <v>1</v>
      </c>
      <c r="H659" s="54" t="s">
        <v>73</v>
      </c>
      <c r="L659" s="350" t="s">
        <v>2306</v>
      </c>
      <c r="M659" s="350">
        <v>2.0260210141758999E+18</v>
      </c>
      <c r="N659" s="350">
        <v>143790</v>
      </c>
      <c r="O659" s="350" t="s">
        <v>3291</v>
      </c>
      <c r="P659" s="353" t="s">
        <v>41</v>
      </c>
      <c r="Q659" s="361">
        <v>46064</v>
      </c>
      <c r="R659" s="362" t="s">
        <v>41</v>
      </c>
      <c r="S659" s="368">
        <v>45500</v>
      </c>
      <c r="T659" s="56" t="str">
        <f t="shared" si="74"/>
        <v>0</v>
      </c>
      <c r="U659" s="368">
        <v>45500</v>
      </c>
      <c r="V659" s="60">
        <f t="shared" si="75"/>
        <v>41363.63636363636</v>
      </c>
      <c r="W659" s="365">
        <f>IF(H659=재고내역!$F$9,출고요청서_raw!G659*1,IF(H659=재고내역!$F$10,출고요청서_raw!G659*2,IF(출고요청서_raw!H659=재고내역!$F$11,출고요청서_raw!G659*4,IF(출고요청서_raw!H659=재고내역!$F$12,출고요청서_raw!G659*6,IF(출고요청서_raw!H659=재고내역!$F$13,출고요청서_raw!G659*8)))))</f>
        <v>4</v>
      </c>
      <c r="Z659" s="354">
        <f>W659*재고내역!$M$6</f>
        <v>30748</v>
      </c>
      <c r="AA659" s="354">
        <f t="shared" si="72"/>
        <v>4550</v>
      </c>
      <c r="AB659" s="56">
        <f t="shared" si="76"/>
        <v>6065.6363636363603</v>
      </c>
      <c r="AC659" s="376">
        <f t="shared" si="77"/>
        <v>0.14664175824175818</v>
      </c>
    </row>
    <row r="660" spans="1:29" ht="15.75" customHeight="1">
      <c r="A660" s="432" t="s">
        <v>3292</v>
      </c>
      <c r="B660" s="432" t="s">
        <v>3293</v>
      </c>
      <c r="C660" s="426"/>
      <c r="D660" s="427"/>
      <c r="E660" s="432">
        <v>12104</v>
      </c>
      <c r="F660" s="432" t="s">
        <v>3294</v>
      </c>
      <c r="G660" s="372">
        <v>1</v>
      </c>
      <c r="H660" s="54" t="s">
        <v>73</v>
      </c>
      <c r="L660" s="350" t="s">
        <v>2306</v>
      </c>
      <c r="M660" s="350">
        <v>2.0260210122407401E+18</v>
      </c>
      <c r="N660" s="350">
        <v>143790</v>
      </c>
      <c r="O660" s="350" t="s">
        <v>3295</v>
      </c>
      <c r="P660" s="353" t="s">
        <v>41</v>
      </c>
      <c r="Q660" s="361">
        <v>46064</v>
      </c>
      <c r="R660" s="362" t="s">
        <v>41</v>
      </c>
      <c r="S660" s="368">
        <v>45500</v>
      </c>
      <c r="T660" s="56" t="str">
        <f t="shared" si="74"/>
        <v>0</v>
      </c>
      <c r="U660" s="368">
        <v>45500</v>
      </c>
      <c r="V660" s="60">
        <f t="shared" si="75"/>
        <v>41363.63636363636</v>
      </c>
      <c r="W660" s="365">
        <f>IF(H660=재고내역!$F$9,출고요청서_raw!G660*1,IF(H660=재고내역!$F$10,출고요청서_raw!G660*2,IF(출고요청서_raw!H660=재고내역!$F$11,출고요청서_raw!G660*4,IF(출고요청서_raw!H660=재고내역!$F$12,출고요청서_raw!G660*6,IF(출고요청서_raw!H660=재고내역!$F$13,출고요청서_raw!G660*8)))))</f>
        <v>4</v>
      </c>
      <c r="Z660" s="354">
        <f>W660*재고내역!$M$6</f>
        <v>30748</v>
      </c>
      <c r="AA660" s="354">
        <f t="shared" si="72"/>
        <v>4550</v>
      </c>
      <c r="AB660" s="56">
        <f t="shared" si="76"/>
        <v>6065.6363636363603</v>
      </c>
      <c r="AC660" s="376">
        <f t="shared" si="77"/>
        <v>0.14664175824175818</v>
      </c>
    </row>
    <row r="661" spans="1:29" ht="15.75" customHeight="1">
      <c r="A661" s="432" t="s">
        <v>3296</v>
      </c>
      <c r="B661" s="432" t="s">
        <v>3297</v>
      </c>
      <c r="C661" s="426"/>
      <c r="D661" s="427"/>
      <c r="E661" s="432">
        <v>11615</v>
      </c>
      <c r="F661" s="432" t="s">
        <v>3298</v>
      </c>
      <c r="G661" s="372">
        <v>2</v>
      </c>
      <c r="H661" s="54" t="s">
        <v>73</v>
      </c>
      <c r="L661" s="350" t="s">
        <v>3299</v>
      </c>
      <c r="M661" s="350">
        <v>2.0260210111835699E+18</v>
      </c>
      <c r="N661" s="350">
        <v>143790</v>
      </c>
      <c r="O661" s="350" t="s">
        <v>3300</v>
      </c>
      <c r="P661" s="353" t="s">
        <v>41</v>
      </c>
      <c r="Q661" s="361">
        <v>46064</v>
      </c>
      <c r="R661" s="362" t="s">
        <v>41</v>
      </c>
      <c r="S661" s="368">
        <v>91000</v>
      </c>
      <c r="T661" s="56" t="str">
        <f t="shared" si="74"/>
        <v>0</v>
      </c>
      <c r="U661" s="368">
        <v>91000</v>
      </c>
      <c r="V661" s="60">
        <f t="shared" si="75"/>
        <v>82727.272727272721</v>
      </c>
      <c r="W661" s="365">
        <f>IF(H661=재고내역!$F$9,출고요청서_raw!G661*1,IF(H661=재고내역!$F$10,출고요청서_raw!G661*2,IF(출고요청서_raw!H661=재고내역!$F$11,출고요청서_raw!G661*4,IF(출고요청서_raw!H661=재고내역!$F$12,출고요청서_raw!G661*6,IF(출고요청서_raw!H661=재고내역!$F$13,출고요청서_raw!G661*8)))))</f>
        <v>8</v>
      </c>
      <c r="Z661" s="354">
        <f>W661*재고내역!$M$6</f>
        <v>61496</v>
      </c>
      <c r="AA661" s="354">
        <f t="shared" si="72"/>
        <v>4550</v>
      </c>
      <c r="AB661" s="56">
        <f t="shared" si="76"/>
        <v>16681.272727272721</v>
      </c>
      <c r="AC661" s="376">
        <f t="shared" si="77"/>
        <v>0.20164175824175817</v>
      </c>
    </row>
    <row r="662" spans="1:29" ht="15.75" customHeight="1">
      <c r="A662" s="432" t="s">
        <v>3301</v>
      </c>
      <c r="B662" s="432" t="s">
        <v>3302</v>
      </c>
      <c r="C662" s="426"/>
      <c r="D662" s="427"/>
      <c r="E662" s="432">
        <v>5501</v>
      </c>
      <c r="F662" s="432" t="s">
        <v>3303</v>
      </c>
      <c r="G662" s="372">
        <v>1</v>
      </c>
      <c r="H662" s="54" t="s">
        <v>73</v>
      </c>
      <c r="L662" s="350" t="s">
        <v>2306</v>
      </c>
      <c r="M662" s="350">
        <v>2.0260210111528801E+18</v>
      </c>
      <c r="N662" s="350">
        <v>143790</v>
      </c>
      <c r="O662" s="350" t="s">
        <v>3304</v>
      </c>
      <c r="P662" s="353" t="s">
        <v>41</v>
      </c>
      <c r="Q662" s="361">
        <v>46064</v>
      </c>
      <c r="R662" s="362" t="s">
        <v>41</v>
      </c>
      <c r="S662" s="368">
        <v>45500</v>
      </c>
      <c r="T662" s="56" t="str">
        <f t="shared" si="74"/>
        <v>0</v>
      </c>
      <c r="U662" s="368">
        <v>45500</v>
      </c>
      <c r="V662" s="60">
        <f t="shared" si="75"/>
        <v>41363.63636363636</v>
      </c>
      <c r="W662" s="365">
        <f>IF(H662=재고내역!$F$9,출고요청서_raw!G662*1,IF(H662=재고내역!$F$10,출고요청서_raw!G662*2,IF(출고요청서_raw!H662=재고내역!$F$11,출고요청서_raw!G662*4,IF(출고요청서_raw!H662=재고내역!$F$12,출고요청서_raw!G662*6,IF(출고요청서_raw!H662=재고내역!$F$13,출고요청서_raw!G662*8)))))</f>
        <v>4</v>
      </c>
      <c r="Z662" s="354">
        <f>W662*재고내역!$M$6</f>
        <v>30748</v>
      </c>
      <c r="AA662" s="354">
        <f t="shared" si="72"/>
        <v>4550</v>
      </c>
      <c r="AB662" s="56">
        <f t="shared" si="76"/>
        <v>6065.6363636363603</v>
      </c>
      <c r="AC662" s="376">
        <f t="shared" si="77"/>
        <v>0.14664175824175818</v>
      </c>
    </row>
    <row r="663" spans="1:29" ht="15.75" customHeight="1">
      <c r="A663" s="432" t="s">
        <v>3305</v>
      </c>
      <c r="B663" s="432" t="s">
        <v>3306</v>
      </c>
      <c r="C663" s="426"/>
      <c r="D663" s="427"/>
      <c r="E663" s="432">
        <v>2437</v>
      </c>
      <c r="F663" s="432" t="s">
        <v>3307</v>
      </c>
      <c r="G663" s="372">
        <v>1</v>
      </c>
      <c r="H663" s="54" t="s">
        <v>73</v>
      </c>
      <c r="L663" s="350" t="s">
        <v>2306</v>
      </c>
      <c r="M663" s="350">
        <v>2.0260211093647301E+18</v>
      </c>
      <c r="N663" s="350">
        <v>143812</v>
      </c>
      <c r="O663" s="350" t="s">
        <v>3308</v>
      </c>
      <c r="P663" s="353" t="s">
        <v>41</v>
      </c>
      <c r="Q663" s="361">
        <v>46064</v>
      </c>
      <c r="R663" s="362" t="s">
        <v>41</v>
      </c>
      <c r="S663" s="368">
        <v>45500</v>
      </c>
      <c r="T663" s="56" t="str">
        <f t="shared" si="74"/>
        <v>0</v>
      </c>
      <c r="U663" s="368">
        <v>45500</v>
      </c>
      <c r="V663" s="60">
        <f t="shared" si="75"/>
        <v>41363.63636363636</v>
      </c>
      <c r="W663" s="365">
        <f>IF(H663=재고내역!$F$9,출고요청서_raw!G663*1,IF(H663=재고내역!$F$10,출고요청서_raw!G663*2,IF(출고요청서_raw!H663=재고내역!$F$11,출고요청서_raw!G663*4,IF(출고요청서_raw!H663=재고내역!$F$12,출고요청서_raw!G663*6,IF(출고요청서_raw!H663=재고내역!$F$13,출고요청서_raw!G663*8)))))</f>
        <v>4</v>
      </c>
      <c r="Z663" s="354">
        <f>W663*재고내역!$M$6</f>
        <v>30748</v>
      </c>
      <c r="AA663" s="354">
        <f t="shared" si="72"/>
        <v>4550</v>
      </c>
      <c r="AB663" s="56">
        <f t="shared" si="76"/>
        <v>6065.6363636363603</v>
      </c>
      <c r="AC663" s="376">
        <f t="shared" si="77"/>
        <v>0.14664175824175818</v>
      </c>
    </row>
    <row r="664" spans="1:29" ht="15.75" customHeight="1">
      <c r="A664" s="432" t="s">
        <v>3309</v>
      </c>
      <c r="B664" s="432" t="s">
        <v>3310</v>
      </c>
      <c r="C664" s="426"/>
      <c r="D664" s="427"/>
      <c r="E664" s="432">
        <v>8752</v>
      </c>
      <c r="F664" s="432" t="s">
        <v>3311</v>
      </c>
      <c r="G664" s="372">
        <v>2</v>
      </c>
      <c r="H664" s="54" t="s">
        <v>73</v>
      </c>
      <c r="L664" s="350" t="s">
        <v>3312</v>
      </c>
      <c r="M664" s="350">
        <v>2.02602110819517E+18</v>
      </c>
      <c r="N664" s="350">
        <v>143812</v>
      </c>
      <c r="O664" s="350" t="s">
        <v>3313</v>
      </c>
      <c r="P664" s="353" t="s">
        <v>41</v>
      </c>
      <c r="Q664" s="361">
        <v>46064</v>
      </c>
      <c r="R664" s="362" t="s">
        <v>41</v>
      </c>
      <c r="S664" s="368">
        <v>91000</v>
      </c>
      <c r="T664" s="56" t="str">
        <f t="shared" si="74"/>
        <v>0</v>
      </c>
      <c r="U664" s="368">
        <v>91000</v>
      </c>
      <c r="V664" s="60">
        <f t="shared" si="75"/>
        <v>82727.272727272721</v>
      </c>
      <c r="W664" s="365">
        <f>IF(H664=재고내역!$F$9,출고요청서_raw!G664*1,IF(H664=재고내역!$F$10,출고요청서_raw!G664*2,IF(출고요청서_raw!H664=재고내역!$F$11,출고요청서_raw!G664*4,IF(출고요청서_raw!H664=재고내역!$F$12,출고요청서_raw!G664*6,IF(출고요청서_raw!H664=재고내역!$F$13,출고요청서_raw!G664*8)))))</f>
        <v>8</v>
      </c>
      <c r="Z664" s="354">
        <f>W664*재고내역!$M$6</f>
        <v>61496</v>
      </c>
      <c r="AA664" s="354">
        <f t="shared" si="72"/>
        <v>4550</v>
      </c>
      <c r="AB664" s="56">
        <f t="shared" si="76"/>
        <v>16681.272727272721</v>
      </c>
      <c r="AC664" s="376">
        <f t="shared" si="77"/>
        <v>0.20164175824175817</v>
      </c>
    </row>
    <row r="665" spans="1:29" ht="15.75" customHeight="1">
      <c r="A665" s="432" t="s">
        <v>3314</v>
      </c>
      <c r="B665" s="432" t="s">
        <v>3315</v>
      </c>
      <c r="C665" s="426"/>
      <c r="D665" s="427"/>
      <c r="E665" s="432">
        <v>27192</v>
      </c>
      <c r="F665" s="432" t="s">
        <v>3316</v>
      </c>
      <c r="G665" s="372">
        <v>1</v>
      </c>
      <c r="H665" s="54" t="s">
        <v>73</v>
      </c>
      <c r="L665" s="350" t="s">
        <v>2306</v>
      </c>
      <c r="M665" s="350">
        <v>2.02602110815502E+18</v>
      </c>
      <c r="N665" s="350">
        <v>143812</v>
      </c>
      <c r="O665" s="350" t="s">
        <v>3317</v>
      </c>
      <c r="P665" s="353" t="s">
        <v>41</v>
      </c>
      <c r="Q665" s="361">
        <v>46064</v>
      </c>
      <c r="R665" s="362" t="s">
        <v>41</v>
      </c>
      <c r="S665" s="368">
        <v>45500</v>
      </c>
      <c r="T665" s="56" t="str">
        <f t="shared" si="74"/>
        <v>0</v>
      </c>
      <c r="U665" s="368">
        <v>45500</v>
      </c>
      <c r="V665" s="60">
        <f t="shared" si="75"/>
        <v>41363.63636363636</v>
      </c>
      <c r="W665" s="365">
        <f>IF(H665=재고내역!$F$9,출고요청서_raw!G665*1,IF(H665=재고내역!$F$10,출고요청서_raw!G665*2,IF(출고요청서_raw!H665=재고내역!$F$11,출고요청서_raw!G665*4,IF(출고요청서_raw!H665=재고내역!$F$12,출고요청서_raw!G665*6,IF(출고요청서_raw!H665=재고내역!$F$13,출고요청서_raw!G665*8)))))</f>
        <v>4</v>
      </c>
      <c r="Z665" s="354">
        <f>W665*재고내역!$M$6</f>
        <v>30748</v>
      </c>
      <c r="AA665" s="354">
        <f t="shared" si="72"/>
        <v>4550</v>
      </c>
      <c r="AB665" s="56">
        <f t="shared" si="76"/>
        <v>6065.6363636363603</v>
      </c>
      <c r="AC665" s="376">
        <f t="shared" si="77"/>
        <v>0.14664175824175818</v>
      </c>
    </row>
    <row r="666" spans="1:29" ht="15.75" customHeight="1">
      <c r="A666" s="432" t="s">
        <v>3318</v>
      </c>
      <c r="B666" s="432" t="s">
        <v>3319</v>
      </c>
      <c r="C666" s="426"/>
      <c r="D666" s="427"/>
      <c r="E666" s="432">
        <v>16919</v>
      </c>
      <c r="F666" s="432" t="s">
        <v>3320</v>
      </c>
      <c r="G666" s="372">
        <v>1</v>
      </c>
      <c r="H666" s="54" t="s">
        <v>73</v>
      </c>
      <c r="L666" s="350" t="s">
        <v>2306</v>
      </c>
      <c r="M666" s="350">
        <v>2.02602110746018E+18</v>
      </c>
      <c r="N666" s="350">
        <v>143812</v>
      </c>
      <c r="O666" s="350" t="s">
        <v>3321</v>
      </c>
      <c r="P666" s="353" t="s">
        <v>41</v>
      </c>
      <c r="Q666" s="361">
        <v>46064</v>
      </c>
      <c r="R666" s="362" t="s">
        <v>41</v>
      </c>
      <c r="S666" s="368">
        <v>45500</v>
      </c>
      <c r="T666" s="56" t="str">
        <f t="shared" si="74"/>
        <v>0</v>
      </c>
      <c r="U666" s="368">
        <v>45500</v>
      </c>
      <c r="V666" s="60">
        <f t="shared" si="75"/>
        <v>41363.63636363636</v>
      </c>
      <c r="W666" s="365">
        <f>IF(H666=재고내역!$F$9,출고요청서_raw!G666*1,IF(H666=재고내역!$F$10,출고요청서_raw!G666*2,IF(출고요청서_raw!H666=재고내역!$F$11,출고요청서_raw!G666*4,IF(출고요청서_raw!H666=재고내역!$F$12,출고요청서_raw!G666*6,IF(출고요청서_raw!H666=재고내역!$F$13,출고요청서_raw!G666*8)))))</f>
        <v>4</v>
      </c>
      <c r="Z666" s="354">
        <f>W666*재고내역!$M$6</f>
        <v>30748</v>
      </c>
      <c r="AA666" s="354">
        <f t="shared" si="72"/>
        <v>4550</v>
      </c>
      <c r="AB666" s="56">
        <f t="shared" si="76"/>
        <v>6065.6363636363603</v>
      </c>
      <c r="AC666" s="376">
        <f t="shared" si="77"/>
        <v>0.14664175824175818</v>
      </c>
    </row>
    <row r="667" spans="1:29" ht="15.75" customHeight="1">
      <c r="A667" s="432" t="s">
        <v>3322</v>
      </c>
      <c r="B667" s="432" t="s">
        <v>3323</v>
      </c>
      <c r="C667" s="426"/>
      <c r="D667" s="427"/>
      <c r="E667" s="432">
        <v>14211</v>
      </c>
      <c r="F667" s="432" t="s">
        <v>3324</v>
      </c>
      <c r="G667" s="372">
        <v>1</v>
      </c>
      <c r="H667" s="54" t="s">
        <v>73</v>
      </c>
      <c r="L667" s="350" t="s">
        <v>2306</v>
      </c>
      <c r="M667" s="350">
        <v>2.02602102307346E+18</v>
      </c>
      <c r="N667" s="350">
        <v>143812</v>
      </c>
      <c r="O667" s="350" t="s">
        <v>3325</v>
      </c>
      <c r="P667" s="353" t="s">
        <v>41</v>
      </c>
      <c r="Q667" s="361">
        <v>46064</v>
      </c>
      <c r="R667" s="362" t="s">
        <v>41</v>
      </c>
      <c r="S667" s="368">
        <v>45500</v>
      </c>
      <c r="T667" s="56" t="str">
        <f t="shared" si="74"/>
        <v>0</v>
      </c>
      <c r="U667" s="368">
        <v>45500</v>
      </c>
      <c r="V667" s="60">
        <f t="shared" si="75"/>
        <v>41363.63636363636</v>
      </c>
      <c r="W667" s="365">
        <f>IF(H667=재고내역!$F$9,출고요청서_raw!G667*1,IF(H667=재고내역!$F$10,출고요청서_raw!G667*2,IF(출고요청서_raw!H667=재고내역!$F$11,출고요청서_raw!G667*4,IF(출고요청서_raw!H667=재고내역!$F$12,출고요청서_raw!G667*6,IF(출고요청서_raw!H667=재고내역!$F$13,출고요청서_raw!G667*8)))))</f>
        <v>4</v>
      </c>
      <c r="Z667" s="354">
        <f>W667*재고내역!$M$6</f>
        <v>30748</v>
      </c>
      <c r="AA667" s="354">
        <f t="shared" si="72"/>
        <v>4550</v>
      </c>
      <c r="AB667" s="56">
        <f t="shared" si="76"/>
        <v>6065.6363636363603</v>
      </c>
      <c r="AC667" s="376">
        <f t="shared" si="77"/>
        <v>0.14664175824175818</v>
      </c>
    </row>
    <row r="668" spans="1:29" ht="15.75" customHeight="1">
      <c r="A668" s="432" t="s">
        <v>3326</v>
      </c>
      <c r="B668" s="432" t="s">
        <v>3327</v>
      </c>
      <c r="C668" s="426"/>
      <c r="D668" s="427"/>
      <c r="E668" s="432">
        <v>33213</v>
      </c>
      <c r="F668" s="432" t="s">
        <v>3328</v>
      </c>
      <c r="G668" s="372">
        <v>3</v>
      </c>
      <c r="H668" s="54" t="s">
        <v>73</v>
      </c>
      <c r="L668" s="350" t="s">
        <v>2306</v>
      </c>
      <c r="M668" s="350">
        <v>2.02602102207504E+18</v>
      </c>
      <c r="N668" s="350">
        <v>143812</v>
      </c>
      <c r="O668" s="350" t="s">
        <v>3329</v>
      </c>
      <c r="P668" s="353" t="s">
        <v>41</v>
      </c>
      <c r="Q668" s="361">
        <v>46064</v>
      </c>
      <c r="R668" s="362" t="s">
        <v>41</v>
      </c>
      <c r="S668" s="368">
        <v>136500</v>
      </c>
      <c r="T668" s="56" t="str">
        <f t="shared" si="74"/>
        <v>0</v>
      </c>
      <c r="U668" s="368">
        <v>136500</v>
      </c>
      <c r="V668" s="60">
        <f t="shared" si="75"/>
        <v>124090.90909090907</v>
      </c>
      <c r="W668" s="365">
        <f>IF(H668=재고내역!$F$9,출고요청서_raw!G668*1,IF(H668=재고내역!$F$10,출고요청서_raw!G668*2,IF(출고요청서_raw!H668=재고내역!$F$11,출고요청서_raw!G668*4,IF(출고요청서_raw!H668=재고내역!$F$12,출고요청서_raw!G668*6,IF(출고요청서_raw!H668=재고내역!$F$13,출고요청서_raw!G668*8)))))</f>
        <v>12</v>
      </c>
      <c r="Z668" s="354">
        <f>W668*재고내역!$M$6</f>
        <v>92244</v>
      </c>
      <c r="AA668" s="354">
        <f t="shared" si="72"/>
        <v>9100</v>
      </c>
      <c r="AB668" s="56">
        <f t="shared" si="76"/>
        <v>22746.909090909074</v>
      </c>
      <c r="AC668" s="376">
        <f t="shared" si="77"/>
        <v>0.18330842490842481</v>
      </c>
    </row>
    <row r="669" spans="1:29" ht="15.75" customHeight="1">
      <c r="A669" s="432" t="s">
        <v>3330</v>
      </c>
      <c r="B669" s="432" t="s">
        <v>3331</v>
      </c>
      <c r="C669" s="426"/>
      <c r="D669" s="427"/>
      <c r="E669" s="432">
        <v>1709</v>
      </c>
      <c r="F669" s="432" t="s">
        <v>3332</v>
      </c>
      <c r="G669" s="372">
        <v>1</v>
      </c>
      <c r="H669" s="54" t="s">
        <v>73</v>
      </c>
      <c r="L669" s="350" t="s">
        <v>2306</v>
      </c>
      <c r="M669" s="350">
        <v>2.0260210212955799E+18</v>
      </c>
      <c r="N669" s="350">
        <v>143812</v>
      </c>
      <c r="O669" s="350" t="s">
        <v>3333</v>
      </c>
      <c r="P669" s="353" t="s">
        <v>41</v>
      </c>
      <c r="Q669" s="361">
        <v>46064</v>
      </c>
      <c r="R669" s="362" t="s">
        <v>41</v>
      </c>
      <c r="S669" s="368">
        <v>45500</v>
      </c>
      <c r="T669" s="56" t="str">
        <f t="shared" si="74"/>
        <v>0</v>
      </c>
      <c r="U669" s="368">
        <v>45500</v>
      </c>
      <c r="V669" s="60">
        <f t="shared" si="75"/>
        <v>41363.63636363636</v>
      </c>
      <c r="W669" s="365">
        <f>IF(H669=재고내역!$F$9,출고요청서_raw!G669*1,IF(H669=재고내역!$F$10,출고요청서_raw!G669*2,IF(출고요청서_raw!H669=재고내역!$F$11,출고요청서_raw!G669*4,IF(출고요청서_raw!H669=재고내역!$F$12,출고요청서_raw!G669*6,IF(출고요청서_raw!H669=재고내역!$F$13,출고요청서_raw!G669*8)))))</f>
        <v>4</v>
      </c>
      <c r="Z669" s="354">
        <f>W669*재고내역!$M$6</f>
        <v>30748</v>
      </c>
      <c r="AA669" s="354">
        <f t="shared" si="72"/>
        <v>4550</v>
      </c>
      <c r="AB669" s="56">
        <f t="shared" si="76"/>
        <v>6065.6363636363603</v>
      </c>
      <c r="AC669" s="376">
        <f t="shared" si="77"/>
        <v>0.14664175824175818</v>
      </c>
    </row>
    <row r="670" spans="1:29" ht="15.75" customHeight="1">
      <c r="A670" s="432" t="s">
        <v>3334</v>
      </c>
      <c r="B670" s="432" t="s">
        <v>3335</v>
      </c>
      <c r="C670" s="426"/>
      <c r="D670" s="427"/>
      <c r="E670" s="432">
        <v>18487</v>
      </c>
      <c r="F670" s="432" t="s">
        <v>3336</v>
      </c>
      <c r="G670" s="372">
        <v>1</v>
      </c>
      <c r="H670" s="54" t="s">
        <v>73</v>
      </c>
      <c r="L670" s="350" t="s">
        <v>689</v>
      </c>
      <c r="M670" s="350">
        <v>2.02602102114354E+18</v>
      </c>
      <c r="N670" s="350">
        <v>143812</v>
      </c>
      <c r="O670" s="350" t="s">
        <v>3337</v>
      </c>
      <c r="P670" s="353" t="s">
        <v>41</v>
      </c>
      <c r="Q670" s="361">
        <v>46064</v>
      </c>
      <c r="R670" s="362" t="s">
        <v>41</v>
      </c>
      <c r="S670" s="368">
        <v>45500</v>
      </c>
      <c r="T670" s="56" t="str">
        <f t="shared" si="74"/>
        <v>0</v>
      </c>
      <c r="U670" s="368">
        <v>45500</v>
      </c>
      <c r="V670" s="60">
        <f t="shared" si="75"/>
        <v>41363.63636363636</v>
      </c>
      <c r="W670" s="365">
        <f>IF(H670=재고내역!$F$9,출고요청서_raw!G670*1,IF(H670=재고내역!$F$10,출고요청서_raw!G670*2,IF(출고요청서_raw!H670=재고내역!$F$11,출고요청서_raw!G670*4,IF(출고요청서_raw!H670=재고내역!$F$12,출고요청서_raw!G670*6,IF(출고요청서_raw!H670=재고내역!$F$13,출고요청서_raw!G670*8)))))</f>
        <v>4</v>
      </c>
      <c r="Z670" s="354">
        <f>W670*재고내역!$M$6</f>
        <v>30748</v>
      </c>
      <c r="AA670" s="354">
        <f t="shared" si="72"/>
        <v>4550</v>
      </c>
      <c r="AB670" s="56">
        <f t="shared" si="76"/>
        <v>6065.6363636363603</v>
      </c>
      <c r="AC670" s="376">
        <f t="shared" si="77"/>
        <v>0.14664175824175818</v>
      </c>
    </row>
    <row r="671" spans="1:29" ht="15.75" customHeight="1">
      <c r="A671" s="432" t="s">
        <v>3338</v>
      </c>
      <c r="B671" s="432" t="s">
        <v>3339</v>
      </c>
      <c r="C671" s="426"/>
      <c r="D671" s="427"/>
      <c r="E671" s="432">
        <v>39108</v>
      </c>
      <c r="F671" s="432" t="s">
        <v>3340</v>
      </c>
      <c r="G671" s="372">
        <v>1</v>
      </c>
      <c r="H671" s="54" t="s">
        <v>73</v>
      </c>
      <c r="L671" s="350" t="s">
        <v>2306</v>
      </c>
      <c r="M671" s="350">
        <v>2.0260210191937001E+18</v>
      </c>
      <c r="N671" s="350">
        <v>143812</v>
      </c>
      <c r="O671" s="350" t="s">
        <v>3341</v>
      </c>
      <c r="P671" s="353" t="s">
        <v>41</v>
      </c>
      <c r="Q671" s="361">
        <v>46064</v>
      </c>
      <c r="R671" s="362" t="s">
        <v>41</v>
      </c>
      <c r="S671" s="368">
        <v>45500</v>
      </c>
      <c r="T671" s="56" t="str">
        <f t="shared" si="74"/>
        <v>0</v>
      </c>
      <c r="U671" s="368">
        <v>45500</v>
      </c>
      <c r="V671" s="60">
        <f t="shared" si="75"/>
        <v>41363.63636363636</v>
      </c>
      <c r="W671" s="365">
        <f>IF(H671=재고내역!$F$9,출고요청서_raw!G671*1,IF(H671=재고내역!$F$10,출고요청서_raw!G671*2,IF(출고요청서_raw!H671=재고내역!$F$11,출고요청서_raw!G671*4,IF(출고요청서_raw!H671=재고내역!$F$12,출고요청서_raw!G671*6,IF(출고요청서_raw!H671=재고내역!$F$13,출고요청서_raw!G671*8)))))</f>
        <v>4</v>
      </c>
      <c r="Z671" s="354">
        <f>W671*재고내역!$M$6</f>
        <v>30748</v>
      </c>
      <c r="AA671" s="354">
        <f t="shared" si="72"/>
        <v>4550</v>
      </c>
      <c r="AB671" s="56">
        <f t="shared" si="76"/>
        <v>6065.6363636363603</v>
      </c>
      <c r="AC671" s="376">
        <f t="shared" si="77"/>
        <v>0.14664175824175818</v>
      </c>
    </row>
    <row r="672" spans="1:29" ht="15.75" customHeight="1">
      <c r="A672" s="432" t="s">
        <v>3342</v>
      </c>
      <c r="B672" s="432" t="s">
        <v>3343</v>
      </c>
      <c r="C672" s="426"/>
      <c r="D672" s="427"/>
      <c r="E672" s="432">
        <v>39102</v>
      </c>
      <c r="F672" s="432" t="s">
        <v>3344</v>
      </c>
      <c r="G672" s="372">
        <v>1</v>
      </c>
      <c r="H672" s="54" t="s">
        <v>73</v>
      </c>
      <c r="L672" s="350" t="s">
        <v>2306</v>
      </c>
      <c r="M672" s="350">
        <v>2.0260210191627E+18</v>
      </c>
      <c r="N672" s="350">
        <v>143812</v>
      </c>
      <c r="O672" s="350" t="s">
        <v>3345</v>
      </c>
      <c r="P672" s="353" t="s">
        <v>41</v>
      </c>
      <c r="Q672" s="361">
        <v>46064</v>
      </c>
      <c r="R672" s="362" t="s">
        <v>41</v>
      </c>
      <c r="S672" s="368">
        <v>45500</v>
      </c>
      <c r="T672" s="56" t="str">
        <f t="shared" si="74"/>
        <v>0</v>
      </c>
      <c r="U672" s="368">
        <v>45500</v>
      </c>
      <c r="V672" s="60">
        <f t="shared" si="75"/>
        <v>41363.63636363636</v>
      </c>
      <c r="W672" s="365">
        <f>IF(H672=재고내역!$F$9,출고요청서_raw!G672*1,IF(H672=재고내역!$F$10,출고요청서_raw!G672*2,IF(출고요청서_raw!H672=재고내역!$F$11,출고요청서_raw!G672*4,IF(출고요청서_raw!H672=재고내역!$F$12,출고요청서_raw!G672*6,IF(출고요청서_raw!H672=재고내역!$F$13,출고요청서_raw!G672*8)))))</f>
        <v>4</v>
      </c>
      <c r="Z672" s="354">
        <f>W672*재고내역!$M$6</f>
        <v>30748</v>
      </c>
      <c r="AA672" s="354">
        <f t="shared" si="72"/>
        <v>4550</v>
      </c>
      <c r="AB672" s="56">
        <f t="shared" si="76"/>
        <v>6065.6363636363603</v>
      </c>
      <c r="AC672" s="376">
        <f t="shared" si="77"/>
        <v>0.14664175824175818</v>
      </c>
    </row>
    <row r="673" spans="1:31" ht="15.75" customHeight="1">
      <c r="A673" s="432" t="s">
        <v>3346</v>
      </c>
      <c r="B673" s="432" t="s">
        <v>3347</v>
      </c>
      <c r="C673" s="426"/>
      <c r="D673" s="427"/>
      <c r="E673" s="432">
        <v>4094</v>
      </c>
      <c r="F673" s="432" t="s">
        <v>3348</v>
      </c>
      <c r="G673" s="372">
        <v>2</v>
      </c>
      <c r="H673" s="54" t="s">
        <v>73</v>
      </c>
      <c r="L673" s="350" t="s">
        <v>2306</v>
      </c>
      <c r="M673" s="350">
        <v>2.0260210165845499E+18</v>
      </c>
      <c r="N673" s="350">
        <v>143812</v>
      </c>
      <c r="O673" s="350" t="s">
        <v>3349</v>
      </c>
      <c r="P673" s="353" t="s">
        <v>41</v>
      </c>
      <c r="Q673" s="361">
        <v>46064</v>
      </c>
      <c r="R673" s="362" t="s">
        <v>41</v>
      </c>
      <c r="S673" s="368">
        <v>91000</v>
      </c>
      <c r="T673" s="56" t="str">
        <f t="shared" si="74"/>
        <v>0</v>
      </c>
      <c r="U673" s="368">
        <v>91000</v>
      </c>
      <c r="V673" s="60">
        <f t="shared" si="75"/>
        <v>82727.272727272721</v>
      </c>
      <c r="W673" s="365">
        <f>IF(H673=재고내역!$F$9,출고요청서_raw!G673*1,IF(H673=재고내역!$F$10,출고요청서_raw!G673*2,IF(출고요청서_raw!H673=재고내역!$F$11,출고요청서_raw!G673*4,IF(출고요청서_raw!H673=재고내역!$F$12,출고요청서_raw!G673*6,IF(출고요청서_raw!H673=재고내역!$F$13,출고요청서_raw!G673*8)))))</f>
        <v>8</v>
      </c>
      <c r="Z673" s="354">
        <f>W673*재고내역!$M$6</f>
        <v>61496</v>
      </c>
      <c r="AA673" s="354">
        <f t="shared" si="72"/>
        <v>4550</v>
      </c>
      <c r="AB673" s="56">
        <f t="shared" si="76"/>
        <v>16681.272727272721</v>
      </c>
      <c r="AC673" s="376">
        <f t="shared" si="77"/>
        <v>0.20164175824175817</v>
      </c>
    </row>
    <row r="674" spans="1:31" ht="15.75" customHeight="1">
      <c r="A674" s="432" t="s">
        <v>3350</v>
      </c>
      <c r="B674" s="432" t="s">
        <v>3351</v>
      </c>
      <c r="C674" s="426"/>
      <c r="D674" s="427"/>
      <c r="E674" s="432">
        <v>28686</v>
      </c>
      <c r="F674" s="432" t="s">
        <v>3352</v>
      </c>
      <c r="G674" s="372">
        <v>1</v>
      </c>
      <c r="H674" s="54" t="s">
        <v>73</v>
      </c>
      <c r="L674" s="350" t="s">
        <v>2306</v>
      </c>
      <c r="M674" s="350">
        <v>2.02602101139282E+18</v>
      </c>
      <c r="N674" s="350">
        <v>143812</v>
      </c>
      <c r="O674" s="350" t="s">
        <v>3353</v>
      </c>
      <c r="P674" s="353" t="s">
        <v>41</v>
      </c>
      <c r="Q674" s="361">
        <v>46064</v>
      </c>
      <c r="R674" s="362" t="s">
        <v>41</v>
      </c>
      <c r="S674" s="368">
        <v>45500</v>
      </c>
      <c r="T674" s="56" t="str">
        <f t="shared" si="74"/>
        <v>0</v>
      </c>
      <c r="U674" s="368">
        <v>45500</v>
      </c>
      <c r="V674" s="60">
        <f t="shared" si="75"/>
        <v>41363.63636363636</v>
      </c>
      <c r="W674" s="365">
        <f>IF(H674=재고내역!$F$9,출고요청서_raw!G674*1,IF(H674=재고내역!$F$10,출고요청서_raw!G674*2,IF(출고요청서_raw!H674=재고내역!$F$11,출고요청서_raw!G674*4,IF(출고요청서_raw!H674=재고내역!$F$12,출고요청서_raw!G674*6,IF(출고요청서_raw!H674=재고내역!$F$13,출고요청서_raw!G674*8)))))</f>
        <v>4</v>
      </c>
      <c r="Z674" s="354">
        <f>W674*재고내역!$M$6</f>
        <v>30748</v>
      </c>
      <c r="AA674" s="354">
        <f t="shared" si="72"/>
        <v>4550</v>
      </c>
      <c r="AB674" s="56">
        <f t="shared" si="76"/>
        <v>6065.6363636363603</v>
      </c>
      <c r="AC674" s="376">
        <f t="shared" si="77"/>
        <v>0.14664175824175818</v>
      </c>
    </row>
    <row r="675" spans="1:31" ht="15.75" customHeight="1">
      <c r="A675" s="432" t="s">
        <v>3354</v>
      </c>
      <c r="B675" s="432" t="s">
        <v>3355</v>
      </c>
      <c r="C675" s="426"/>
      <c r="D675" s="427"/>
      <c r="E675" s="432">
        <v>7024</v>
      </c>
      <c r="F675" s="432" t="s">
        <v>3356</v>
      </c>
      <c r="G675" s="372">
        <v>1</v>
      </c>
      <c r="H675" s="72" t="s">
        <v>74</v>
      </c>
      <c r="L675" s="350" t="s">
        <v>2306</v>
      </c>
      <c r="M675" s="350">
        <v>2.0260211080026399E+18</v>
      </c>
      <c r="N675" s="350">
        <v>143790</v>
      </c>
      <c r="O675" s="350" t="s">
        <v>3357</v>
      </c>
      <c r="P675" s="353" t="s">
        <v>41</v>
      </c>
      <c r="Q675" s="361">
        <v>46064</v>
      </c>
      <c r="R675" s="362" t="s">
        <v>41</v>
      </c>
      <c r="S675" s="368">
        <v>63000</v>
      </c>
      <c r="T675" s="56" t="str">
        <f t="shared" si="74"/>
        <v>0</v>
      </c>
      <c r="U675" s="368">
        <v>63000</v>
      </c>
      <c r="V675" s="60">
        <f t="shared" si="75"/>
        <v>57272.727272727265</v>
      </c>
      <c r="W675" s="365">
        <f>IF(H675=재고내역!$F$9,출고요청서_raw!G675*1,IF(H675=재고내역!$F$10,출고요청서_raw!G675*2,IF(출고요청서_raw!H675=재고내역!$F$11,출고요청서_raw!G675*4,IF(출고요청서_raw!H675=재고내역!$F$12,출고요청서_raw!G675*6,IF(출고요청서_raw!H675=재고내역!$F$13,출고요청서_raw!G675*8)))))</f>
        <v>6</v>
      </c>
      <c r="Z675" s="354">
        <f>W675*재고내역!$M$6</f>
        <v>46122</v>
      </c>
      <c r="AA675" s="354">
        <f t="shared" si="72"/>
        <v>4550</v>
      </c>
      <c r="AB675" s="56">
        <f t="shared" si="76"/>
        <v>6600.7272727272648</v>
      </c>
      <c r="AC675" s="376">
        <f t="shared" si="77"/>
        <v>0.11525079365079353</v>
      </c>
    </row>
    <row r="676" spans="1:31" ht="15.75" customHeight="1">
      <c r="A676" s="432" t="s">
        <v>3358</v>
      </c>
      <c r="B676" s="432" t="s">
        <v>3359</v>
      </c>
      <c r="C676" s="426"/>
      <c r="D676" s="427"/>
      <c r="E676" s="432">
        <v>14321</v>
      </c>
      <c r="F676" s="432" t="s">
        <v>3360</v>
      </c>
      <c r="G676" s="372">
        <v>1</v>
      </c>
      <c r="H676" s="72" t="s">
        <v>74</v>
      </c>
      <c r="L676" s="350" t="s">
        <v>2306</v>
      </c>
      <c r="M676" s="350">
        <v>2.0260211002741399E+18</v>
      </c>
      <c r="N676" s="350">
        <v>143790</v>
      </c>
      <c r="O676" s="350" t="s">
        <v>3361</v>
      </c>
      <c r="P676" s="353" t="s">
        <v>41</v>
      </c>
      <c r="Q676" s="361">
        <v>46064</v>
      </c>
      <c r="R676" s="362" t="s">
        <v>41</v>
      </c>
      <c r="S676" s="368">
        <v>63000</v>
      </c>
      <c r="T676" s="56" t="str">
        <f t="shared" si="74"/>
        <v>0</v>
      </c>
      <c r="U676" s="368">
        <v>63000</v>
      </c>
      <c r="V676" s="60">
        <f t="shared" si="75"/>
        <v>57272.727272727265</v>
      </c>
      <c r="W676" s="365">
        <f>IF(H676=재고내역!$F$9,출고요청서_raw!G676*1,IF(H676=재고내역!$F$10,출고요청서_raw!G676*2,IF(출고요청서_raw!H676=재고내역!$F$11,출고요청서_raw!G676*4,IF(출고요청서_raw!H676=재고내역!$F$12,출고요청서_raw!G676*6,IF(출고요청서_raw!H676=재고내역!$F$13,출고요청서_raw!G676*8)))))</f>
        <v>6</v>
      </c>
      <c r="Z676" s="354">
        <f>W676*재고내역!$M$6</f>
        <v>46122</v>
      </c>
      <c r="AA676" s="354">
        <f t="shared" si="72"/>
        <v>4550</v>
      </c>
      <c r="AB676" s="56">
        <f t="shared" si="76"/>
        <v>6600.7272727272648</v>
      </c>
      <c r="AC676" s="376">
        <f t="shared" si="77"/>
        <v>0.11525079365079353</v>
      </c>
    </row>
    <row r="677" spans="1:31" ht="15.75" customHeight="1">
      <c r="A677" s="432" t="s">
        <v>3362</v>
      </c>
      <c r="B677" s="432" t="s">
        <v>3363</v>
      </c>
      <c r="C677" s="426"/>
      <c r="D677" s="427"/>
      <c r="E677" s="432">
        <v>37617</v>
      </c>
      <c r="F677" s="432" t="s">
        <v>3364</v>
      </c>
      <c r="G677" s="372">
        <v>1</v>
      </c>
      <c r="H677" s="72" t="s">
        <v>74</v>
      </c>
      <c r="L677" s="350" t="s">
        <v>2306</v>
      </c>
      <c r="M677" s="350">
        <v>2.0260210233352901E+18</v>
      </c>
      <c r="N677" s="350">
        <v>143790</v>
      </c>
      <c r="O677" s="350" t="s">
        <v>3365</v>
      </c>
      <c r="P677" s="353" t="s">
        <v>41</v>
      </c>
      <c r="Q677" s="361">
        <v>46064</v>
      </c>
      <c r="R677" s="362" t="s">
        <v>41</v>
      </c>
      <c r="S677" s="368">
        <v>63000</v>
      </c>
      <c r="T677" s="56" t="str">
        <f t="shared" si="74"/>
        <v>0</v>
      </c>
      <c r="U677" s="368">
        <v>63000</v>
      </c>
      <c r="V677" s="60">
        <f t="shared" si="75"/>
        <v>57272.727272727265</v>
      </c>
      <c r="W677" s="365">
        <f>IF(H677=재고내역!$F$9,출고요청서_raw!G677*1,IF(H677=재고내역!$F$10,출고요청서_raw!G677*2,IF(출고요청서_raw!H677=재고내역!$F$11,출고요청서_raw!G677*4,IF(출고요청서_raw!H677=재고내역!$F$12,출고요청서_raw!G677*6,IF(출고요청서_raw!H677=재고내역!$F$13,출고요청서_raw!G677*8)))))</f>
        <v>6</v>
      </c>
      <c r="Z677" s="354">
        <f>W677*재고내역!$M$6</f>
        <v>46122</v>
      </c>
      <c r="AA677" s="354">
        <f t="shared" si="72"/>
        <v>4550</v>
      </c>
      <c r="AB677" s="56">
        <f t="shared" si="76"/>
        <v>6600.7272727272648</v>
      </c>
      <c r="AC677" s="376">
        <f t="shared" si="77"/>
        <v>0.11525079365079353</v>
      </c>
    </row>
    <row r="678" spans="1:31" ht="15.75" customHeight="1">
      <c r="A678" s="432" t="s">
        <v>3366</v>
      </c>
      <c r="B678" s="432" t="s">
        <v>3367</v>
      </c>
      <c r="C678" s="426"/>
      <c r="D678" s="427"/>
      <c r="E678" s="432">
        <v>10908</v>
      </c>
      <c r="F678" s="432" t="s">
        <v>3368</v>
      </c>
      <c r="G678" s="372">
        <v>1</v>
      </c>
      <c r="H678" s="72" t="s">
        <v>74</v>
      </c>
      <c r="L678" s="350" t="s">
        <v>2306</v>
      </c>
      <c r="M678" s="350">
        <v>2.02602102153071E+18</v>
      </c>
      <c r="N678" s="350">
        <v>143790</v>
      </c>
      <c r="O678" s="350" t="s">
        <v>3369</v>
      </c>
      <c r="P678" s="353" t="s">
        <v>41</v>
      </c>
      <c r="Q678" s="361">
        <v>46064</v>
      </c>
      <c r="R678" s="362" t="s">
        <v>41</v>
      </c>
      <c r="S678" s="368">
        <v>63000</v>
      </c>
      <c r="T678" s="56" t="str">
        <f t="shared" si="74"/>
        <v>0</v>
      </c>
      <c r="U678" s="368">
        <v>63000</v>
      </c>
      <c r="V678" s="60">
        <f t="shared" si="75"/>
        <v>57272.727272727265</v>
      </c>
      <c r="W678" s="365">
        <f>IF(H678=재고내역!$F$9,출고요청서_raw!G678*1,IF(H678=재고내역!$F$10,출고요청서_raw!G678*2,IF(출고요청서_raw!H678=재고내역!$F$11,출고요청서_raw!G678*4,IF(출고요청서_raw!H678=재고내역!$F$12,출고요청서_raw!G678*6,IF(출고요청서_raw!H678=재고내역!$F$13,출고요청서_raw!G678*8)))))</f>
        <v>6</v>
      </c>
      <c r="Z678" s="354">
        <f>W678*재고내역!$M$6</f>
        <v>46122</v>
      </c>
      <c r="AA678" s="354">
        <f t="shared" si="72"/>
        <v>4550</v>
      </c>
      <c r="AB678" s="56">
        <f t="shared" si="76"/>
        <v>6600.7272727272648</v>
      </c>
      <c r="AC678" s="376">
        <f t="shared" si="77"/>
        <v>0.11525079365079353</v>
      </c>
    </row>
    <row r="679" spans="1:31" ht="15.75" customHeight="1">
      <c r="A679" s="432" t="s">
        <v>3370</v>
      </c>
      <c r="B679" s="432" t="s">
        <v>3371</v>
      </c>
      <c r="C679" s="426"/>
      <c r="D679" s="427"/>
      <c r="E679" s="432">
        <v>31141</v>
      </c>
      <c r="F679" s="432" t="s">
        <v>3372</v>
      </c>
      <c r="G679" s="372">
        <v>2</v>
      </c>
      <c r="H679" s="72" t="s">
        <v>74</v>
      </c>
      <c r="L679" s="350" t="s">
        <v>2306</v>
      </c>
      <c r="M679" s="350">
        <v>2.02602102010162E+18</v>
      </c>
      <c r="N679" s="350">
        <v>143790</v>
      </c>
      <c r="O679" s="350" t="s">
        <v>3373</v>
      </c>
      <c r="P679" s="353" t="s">
        <v>41</v>
      </c>
      <c r="Q679" s="361">
        <v>46064</v>
      </c>
      <c r="R679" s="362" t="s">
        <v>41</v>
      </c>
      <c r="S679" s="368">
        <v>126000</v>
      </c>
      <c r="T679" s="56" t="str">
        <f t="shared" si="74"/>
        <v>0</v>
      </c>
      <c r="U679" s="368">
        <v>126000</v>
      </c>
      <c r="V679" s="60">
        <f t="shared" si="75"/>
        <v>114545.45454545453</v>
      </c>
      <c r="W679" s="365">
        <f>IF(H679=재고내역!$F$9,출고요청서_raw!G679*1,IF(H679=재고내역!$F$10,출고요청서_raw!G679*2,IF(출고요청서_raw!H679=재고내역!$F$11,출고요청서_raw!G679*4,IF(출고요청서_raw!H679=재고내역!$F$12,출고요청서_raw!G679*6,IF(출고요청서_raw!H679=재고내역!$F$13,출고요청서_raw!G679*8)))))</f>
        <v>12</v>
      </c>
      <c r="Z679" s="354">
        <f>W679*재고내역!$M$6</f>
        <v>92244</v>
      </c>
      <c r="AA679" s="354">
        <f t="shared" si="72"/>
        <v>9100</v>
      </c>
      <c r="AB679" s="56">
        <f t="shared" si="76"/>
        <v>13201.45454545453</v>
      </c>
      <c r="AC679" s="376">
        <f t="shared" si="77"/>
        <v>0.11525079365079353</v>
      </c>
    </row>
    <row r="680" spans="1:31" ht="15.75" customHeight="1">
      <c r="A680" s="432" t="s">
        <v>3374</v>
      </c>
      <c r="B680" s="432" t="s">
        <v>3375</v>
      </c>
      <c r="C680" s="426"/>
      <c r="D680" s="427"/>
      <c r="E680" s="432">
        <v>54997</v>
      </c>
      <c r="F680" s="432" t="s">
        <v>3376</v>
      </c>
      <c r="G680" s="372">
        <v>1</v>
      </c>
      <c r="H680" s="72" t="s">
        <v>74</v>
      </c>
      <c r="L680" s="350" t="s">
        <v>2306</v>
      </c>
      <c r="M680" s="350">
        <v>2.02602101352161E+18</v>
      </c>
      <c r="N680" s="350">
        <v>143790</v>
      </c>
      <c r="O680" s="350" t="s">
        <v>3377</v>
      </c>
      <c r="P680" s="353" t="s">
        <v>41</v>
      </c>
      <c r="Q680" s="361">
        <v>46064</v>
      </c>
      <c r="R680" s="362" t="s">
        <v>41</v>
      </c>
      <c r="S680" s="368">
        <v>63000</v>
      </c>
      <c r="T680" s="56" t="str">
        <f t="shared" si="74"/>
        <v>0</v>
      </c>
      <c r="U680" s="368">
        <v>63000</v>
      </c>
      <c r="V680" s="60">
        <f t="shared" si="75"/>
        <v>57272.727272727265</v>
      </c>
      <c r="W680" s="365">
        <f>IF(H680=재고내역!$F$9,출고요청서_raw!G680*1,IF(H680=재고내역!$F$10,출고요청서_raw!G680*2,IF(출고요청서_raw!H680=재고내역!$F$11,출고요청서_raw!G680*4,IF(출고요청서_raw!H680=재고내역!$F$12,출고요청서_raw!G680*6,IF(출고요청서_raw!H680=재고내역!$F$13,출고요청서_raw!G680*8)))))</f>
        <v>6</v>
      </c>
      <c r="Z680" s="354">
        <f>W680*재고내역!$M$6</f>
        <v>46122</v>
      </c>
      <c r="AA680" s="354">
        <f t="shared" si="72"/>
        <v>4550</v>
      </c>
      <c r="AB680" s="56">
        <f t="shared" si="76"/>
        <v>6600.7272727272648</v>
      </c>
      <c r="AC680" s="376">
        <f t="shared" si="77"/>
        <v>0.11525079365079353</v>
      </c>
    </row>
    <row r="681" spans="1:31" ht="15.75" customHeight="1">
      <c r="A681" s="432" t="s">
        <v>3378</v>
      </c>
      <c r="B681" s="432" t="s">
        <v>3379</v>
      </c>
      <c r="C681" s="426"/>
      <c r="D681" s="427"/>
      <c r="E681" s="432">
        <v>8830</v>
      </c>
      <c r="F681" s="432" t="s">
        <v>3380</v>
      </c>
      <c r="G681" s="372">
        <v>1</v>
      </c>
      <c r="H681" s="72" t="s">
        <v>74</v>
      </c>
      <c r="L681" s="350" t="s">
        <v>3381</v>
      </c>
      <c r="M681" s="350">
        <v>2.0260210112219899E+18</v>
      </c>
      <c r="N681" s="350">
        <v>143790</v>
      </c>
      <c r="O681" s="350" t="s">
        <v>3382</v>
      </c>
      <c r="P681" s="353" t="s">
        <v>41</v>
      </c>
      <c r="Q681" s="361">
        <v>46064</v>
      </c>
      <c r="R681" s="362" t="s">
        <v>41</v>
      </c>
      <c r="S681" s="368">
        <v>63000</v>
      </c>
      <c r="T681" s="56" t="str">
        <f t="shared" si="74"/>
        <v>0</v>
      </c>
      <c r="U681" s="368">
        <v>63000</v>
      </c>
      <c r="V681" s="60">
        <f t="shared" si="75"/>
        <v>57272.727272727265</v>
      </c>
      <c r="W681" s="365">
        <f>IF(H681=재고내역!$F$9,출고요청서_raw!G681*1,IF(H681=재고내역!$F$10,출고요청서_raw!G681*2,IF(출고요청서_raw!H681=재고내역!$F$11,출고요청서_raw!G681*4,IF(출고요청서_raw!H681=재고내역!$F$12,출고요청서_raw!G681*6,IF(출고요청서_raw!H681=재고내역!$F$13,출고요청서_raw!G681*8)))))</f>
        <v>6</v>
      </c>
      <c r="Z681" s="354">
        <f>W681*재고내역!$M$6</f>
        <v>46122</v>
      </c>
      <c r="AA681" s="354">
        <f t="shared" si="72"/>
        <v>4550</v>
      </c>
      <c r="AB681" s="56">
        <f t="shared" si="76"/>
        <v>6600.7272727272648</v>
      </c>
      <c r="AC681" s="376">
        <f t="shared" si="77"/>
        <v>0.11525079365079353</v>
      </c>
    </row>
    <row r="682" spans="1:31" ht="15.75" customHeight="1">
      <c r="A682" s="426" t="s">
        <v>3383</v>
      </c>
      <c r="B682" s="427" t="s">
        <v>3384</v>
      </c>
      <c r="C682" s="426"/>
      <c r="D682" s="427"/>
      <c r="E682" s="427" t="s">
        <v>3385</v>
      </c>
      <c r="F682" s="426" t="s">
        <v>3386</v>
      </c>
      <c r="G682" s="372">
        <v>1</v>
      </c>
      <c r="H682" s="72" t="s">
        <v>75</v>
      </c>
      <c r="P682" s="57" t="s">
        <v>11</v>
      </c>
      <c r="Q682" s="361">
        <v>46064</v>
      </c>
      <c r="R682" s="59" t="s">
        <v>11</v>
      </c>
      <c r="S682" s="56">
        <f>89000*G682</f>
        <v>89000</v>
      </c>
      <c r="T682" s="56" t="str">
        <f t="shared" si="74"/>
        <v>0</v>
      </c>
      <c r="U682" s="456">
        <f>S682</f>
        <v>89000</v>
      </c>
      <c r="V682" s="56">
        <f>U682/1.1</f>
        <v>80909.090909090897</v>
      </c>
      <c r="W682" s="65">
        <f>IF(H682=재고내역!$F$9,출고요청서_raw!G682*1,IF(H682=재고내역!$F$10,출고요청서_raw!G682*2,IF(출고요청서_raw!H682=재고내역!$F$11,출고요청서_raw!G682*4,IF(출고요청서_raw!H682=재고내역!$F$12,출고요청서_raw!G682*6,IF(출고요청서_raw!H682=재고내역!$F$13,출고요청서_raw!G682*8)))))</f>
        <v>8</v>
      </c>
      <c r="X682" s="53"/>
      <c r="Y682" s="53"/>
      <c r="Z682" s="56">
        <f>W682*재고내역!$M$6</f>
        <v>61496</v>
      </c>
      <c r="AA682" s="56">
        <f t="shared" si="72"/>
        <v>4550</v>
      </c>
      <c r="AB682" s="56">
        <f t="shared" si="76"/>
        <v>14863.090909090897</v>
      </c>
      <c r="AC682" s="376">
        <f t="shared" si="77"/>
        <v>0.1837011235955055</v>
      </c>
    </row>
    <row r="683" spans="1:31" ht="15.75" customHeight="1">
      <c r="A683" s="55" t="s">
        <v>3387</v>
      </c>
      <c r="B683" s="418" t="s">
        <v>3388</v>
      </c>
      <c r="E683" s="418" t="s">
        <v>1520</v>
      </c>
      <c r="F683" s="55" t="s">
        <v>3389</v>
      </c>
      <c r="G683" s="372">
        <v>1</v>
      </c>
      <c r="H683" s="72" t="s">
        <v>75</v>
      </c>
      <c r="P683" s="57" t="s">
        <v>11</v>
      </c>
      <c r="Q683" s="361">
        <v>46064</v>
      </c>
      <c r="R683" s="59" t="s">
        <v>11</v>
      </c>
      <c r="S683" s="56">
        <f>89000*G683</f>
        <v>89000</v>
      </c>
      <c r="T683" s="56" t="str">
        <f t="shared" si="74"/>
        <v>0</v>
      </c>
      <c r="U683" s="456">
        <f>S683</f>
        <v>89000</v>
      </c>
      <c r="V683" s="56">
        <f>U683/1.1</f>
        <v>80909.090909090897</v>
      </c>
      <c r="W683" s="65">
        <f>IF(H683=재고내역!$F$9,출고요청서_raw!G683*1,IF(H683=재고내역!$F$10,출고요청서_raw!G683*2,IF(출고요청서_raw!H683=재고내역!$F$11,출고요청서_raw!G683*4,IF(출고요청서_raw!H683=재고내역!$F$12,출고요청서_raw!G683*6,IF(출고요청서_raw!H683=재고내역!$F$13,출고요청서_raw!G683*8)))))</f>
        <v>8</v>
      </c>
      <c r="X683" s="53"/>
      <c r="Y683" s="53"/>
      <c r="Z683" s="56">
        <f>W683*재고내역!$M$6</f>
        <v>61496</v>
      </c>
      <c r="AA683" s="56">
        <f t="shared" si="72"/>
        <v>4550</v>
      </c>
      <c r="AB683" s="56">
        <f t="shared" si="76"/>
        <v>14863.090909090897</v>
      </c>
      <c r="AC683" s="376">
        <f t="shared" si="77"/>
        <v>0.1837011235955055</v>
      </c>
    </row>
    <row r="684" spans="1:31" ht="15.75" customHeight="1">
      <c r="A684" s="362" t="s">
        <v>3390</v>
      </c>
      <c r="B684" s="362" t="s">
        <v>3391</v>
      </c>
      <c r="E684" s="362">
        <v>5507</v>
      </c>
      <c r="F684" s="362" t="s">
        <v>3392</v>
      </c>
      <c r="G684" s="60">
        <v>1</v>
      </c>
      <c r="H684" s="82" t="s">
        <v>73</v>
      </c>
      <c r="M684" s="468">
        <v>32100170791524</v>
      </c>
      <c r="N684" s="82">
        <v>9361402632</v>
      </c>
      <c r="O684" s="82">
        <v>94659124878</v>
      </c>
      <c r="P684" s="57" t="s">
        <v>8</v>
      </c>
      <c r="Q684" s="361">
        <v>46064</v>
      </c>
      <c r="R684" s="59" t="s">
        <v>8</v>
      </c>
      <c r="S684" s="82">
        <v>78000</v>
      </c>
      <c r="T684" s="56">
        <f t="shared" si="74"/>
        <v>13000</v>
      </c>
      <c r="U684" s="461">
        <f>S684-T684</f>
        <v>65000</v>
      </c>
      <c r="V684" s="354">
        <f>U684/1.1</f>
        <v>59090.909090909088</v>
      </c>
      <c r="W684" s="365">
        <f>IF(H684=재고내역!$F$9,출고요청서_raw!G684*1,IF(H684=재고내역!$F$10,출고요청서_raw!G684*2,IF(출고요청서_raw!H684=재고내역!$F$11,출고요청서_raw!G684*4,IF(출고요청서_raw!H684=재고내역!$F$12,출고요청서_raw!G684*6,IF(출고요청서_raw!H684=재고내역!$F$13,출고요청서_raw!G684*8)))))</f>
        <v>4</v>
      </c>
      <c r="X684" s="69">
        <v>0.1166</v>
      </c>
      <c r="Y684" s="60">
        <f>U684*X684</f>
        <v>7579</v>
      </c>
      <c r="Z684" s="56">
        <f>W684*재고내역!$M$6</f>
        <v>30748</v>
      </c>
      <c r="AA684" s="56">
        <f t="shared" si="72"/>
        <v>4550</v>
      </c>
      <c r="AB684" s="56">
        <f t="shared" si="76"/>
        <v>16213.909090909088</v>
      </c>
      <c r="AC684" s="376">
        <f t="shared" si="77"/>
        <v>0.27438923076923072</v>
      </c>
      <c r="AE684" s="60">
        <f>U684-Y684</f>
        <v>57421</v>
      </c>
    </row>
    <row r="685" spans="1:31" ht="15.75" customHeight="1">
      <c r="A685" s="362" t="s">
        <v>3393</v>
      </c>
      <c r="B685" s="362" t="s">
        <v>3394</v>
      </c>
      <c r="E685" s="362">
        <v>27404</v>
      </c>
      <c r="F685" s="362" t="s">
        <v>3395</v>
      </c>
      <c r="G685" s="60">
        <v>2</v>
      </c>
      <c r="H685" s="82" t="s">
        <v>71</v>
      </c>
      <c r="M685" s="82">
        <v>3242866950</v>
      </c>
      <c r="O685" s="82">
        <v>691542495</v>
      </c>
      <c r="P685" s="57" t="s">
        <v>9</v>
      </c>
      <c r="Q685" s="361">
        <v>46064</v>
      </c>
      <c r="R685" s="59" t="s">
        <v>9</v>
      </c>
      <c r="S685" s="367">
        <v>45800</v>
      </c>
      <c r="T685" s="377">
        <v>2000</v>
      </c>
      <c r="U685" s="367">
        <f>45800-6000</f>
        <v>39800</v>
      </c>
      <c r="V685" s="60">
        <f>U685/1.1</f>
        <v>36181.818181818177</v>
      </c>
      <c r="W685" s="365">
        <f>IF(H685=재고내역!$F$9,출고요청서_raw!G685*1,IF(H685=재고내역!$F$10,출고요청서_raw!G685*2,IF(출고요청서_raw!H685=재고내역!$F$11,출고요청서_raw!G685*4,IF(출고요청서_raw!H685=재고내역!$F$12,출고요청서_raw!G685*6,IF(출고요청서_raw!H685=재고내역!$F$13,출고요청서_raw!G685*8)))))</f>
        <v>2</v>
      </c>
      <c r="X685" s="66">
        <v>3.3000000000000002E-2</v>
      </c>
      <c r="Y685" s="60">
        <f>X685*U685</f>
        <v>1313.4</v>
      </c>
      <c r="Z685" s="56">
        <f>W685*재고내역!$M$6</f>
        <v>15374</v>
      </c>
      <c r="AA685" s="56">
        <f t="shared" si="72"/>
        <v>4550</v>
      </c>
      <c r="AB685" s="56">
        <f t="shared" si="76"/>
        <v>14944.418181818177</v>
      </c>
      <c r="AC685" s="376">
        <f t="shared" si="77"/>
        <v>0.41303668341708533</v>
      </c>
      <c r="AE685" s="60">
        <f>U685-Y685</f>
        <v>38486.6</v>
      </c>
    </row>
    <row r="686" spans="1:31" ht="15.75" customHeight="1">
      <c r="A686" s="433" t="s">
        <v>3396</v>
      </c>
      <c r="B686" s="433" t="s">
        <v>3397</v>
      </c>
      <c r="E686" s="433">
        <v>10422</v>
      </c>
      <c r="F686" s="433" t="s">
        <v>3398</v>
      </c>
      <c r="G686" s="434">
        <v>1</v>
      </c>
      <c r="H686" s="82" t="s">
        <v>72</v>
      </c>
      <c r="L686" s="193" t="s">
        <v>3399</v>
      </c>
      <c r="M686" s="469">
        <v>6100170728171</v>
      </c>
      <c r="N686" s="193">
        <v>9354612220</v>
      </c>
      <c r="O686" s="193">
        <v>94659124877</v>
      </c>
      <c r="P686" s="57" t="s">
        <v>8</v>
      </c>
      <c r="Q686" s="470">
        <v>46065</v>
      </c>
      <c r="R686" s="471" t="s">
        <v>8</v>
      </c>
      <c r="S686" s="193">
        <v>40000</v>
      </c>
      <c r="T686" s="56">
        <f>IF(R686="쿠팡",VLOOKUP(H686,$AF$7:$AG$10,2,0)*G686,"0")</f>
        <v>4100</v>
      </c>
      <c r="U686" s="461">
        <f>S686-T686</f>
        <v>35900</v>
      </c>
      <c r="V686" s="354">
        <f t="shared" ref="V686:V688" si="78">U686/1.1</f>
        <v>32636.363636363632</v>
      </c>
      <c r="W686" s="365">
        <f>IF(H686=재고내역!$F$9,출고요청서_raw!G686*1,IF(H686=재고내역!$F$10,출고요청서_raw!G686*2,IF(출고요청서_raw!H686=재고내역!$F$11,출고요청서_raw!G686*4,IF(출고요청서_raw!H686=재고내역!$F$12,출고요청서_raw!G686*6,IF(출고요청서_raw!H686=재고내역!$F$13,출고요청서_raw!G686*8)))))</f>
        <v>2</v>
      </c>
      <c r="X686" s="69">
        <v>0.1166</v>
      </c>
      <c r="Y686" s="60">
        <f t="shared" ref="Y686:Y688" si="79">U686*X686</f>
        <v>4185.9399999999996</v>
      </c>
      <c r="Z686" s="56">
        <f>W686*재고내역!$M$6</f>
        <v>15374</v>
      </c>
      <c r="AA686" s="56">
        <f t="shared" ref="AA686:AA691" si="80">IF(W686&gt;8,4550*2,4550)</f>
        <v>4550</v>
      </c>
      <c r="AB686" s="56">
        <f t="shared" si="76"/>
        <v>8526.4236363636337</v>
      </c>
      <c r="AC686" s="376">
        <f t="shared" si="77"/>
        <v>0.2612553203342618</v>
      </c>
      <c r="AE686" s="60">
        <f>U686-Y686</f>
        <v>31714.06</v>
      </c>
    </row>
    <row r="687" spans="1:31" ht="15.75" customHeight="1">
      <c r="A687" s="433" t="s">
        <v>3400</v>
      </c>
      <c r="B687" s="433" t="s">
        <v>3401</v>
      </c>
      <c r="E687" s="433">
        <v>3020</v>
      </c>
      <c r="F687" s="433" t="s">
        <v>3402</v>
      </c>
      <c r="G687" s="434">
        <v>2</v>
      </c>
      <c r="H687" s="82" t="s">
        <v>72</v>
      </c>
      <c r="L687" s="193" t="s">
        <v>3403</v>
      </c>
      <c r="M687" s="469">
        <v>17100170827220</v>
      </c>
      <c r="N687" s="193">
        <v>9354612220</v>
      </c>
      <c r="O687" s="193">
        <v>94659124877</v>
      </c>
      <c r="P687" s="57" t="s">
        <v>8</v>
      </c>
      <c r="Q687" s="470">
        <v>46065</v>
      </c>
      <c r="R687" s="471" t="s">
        <v>8</v>
      </c>
      <c r="S687" s="193">
        <v>80000</v>
      </c>
      <c r="T687" s="377">
        <f>IF(R687="쿠팡",VLOOKUP(H687,$AF$7:$AG$10,2,0),"0")</f>
        <v>4100</v>
      </c>
      <c r="U687" s="461">
        <f>S687-T687</f>
        <v>75900</v>
      </c>
      <c r="V687" s="354">
        <f t="shared" si="78"/>
        <v>69000</v>
      </c>
      <c r="W687" s="365">
        <f>IF(H687=재고내역!$F$9,출고요청서_raw!G687*1,IF(H687=재고내역!$F$10,출고요청서_raw!G687*2,IF(출고요청서_raw!H687=재고내역!$F$11,출고요청서_raw!G687*4,IF(출고요청서_raw!H687=재고내역!$F$12,출고요청서_raw!G687*6,IF(출고요청서_raw!H687=재고내역!$F$13,출고요청서_raw!G687*8)))))</f>
        <v>4</v>
      </c>
      <c r="X687" s="69">
        <v>0.1166</v>
      </c>
      <c r="Y687" s="60">
        <f t="shared" si="79"/>
        <v>8849.94</v>
      </c>
      <c r="Z687" s="56">
        <f>W687*재고내역!$M$6</f>
        <v>30748</v>
      </c>
      <c r="AA687" s="56">
        <f t="shared" si="80"/>
        <v>4550</v>
      </c>
      <c r="AB687" s="56">
        <f t="shared" si="76"/>
        <v>24852.059999999998</v>
      </c>
      <c r="AC687" s="376">
        <f t="shared" si="77"/>
        <v>0.36017478260869562</v>
      </c>
      <c r="AE687" s="60">
        <f t="shared" ref="AE687:AE688" si="81">U687-Y687</f>
        <v>67050.06</v>
      </c>
    </row>
    <row r="688" spans="1:31" ht="15.75" customHeight="1">
      <c r="A688" s="433" t="s">
        <v>3404</v>
      </c>
      <c r="B688" s="433" t="s">
        <v>3405</v>
      </c>
      <c r="E688" s="433">
        <v>7291</v>
      </c>
      <c r="F688" s="433" t="s">
        <v>3406</v>
      </c>
      <c r="G688" s="434">
        <v>1</v>
      </c>
      <c r="H688" s="82" t="s">
        <v>71</v>
      </c>
      <c r="L688" s="193" t="s">
        <v>145</v>
      </c>
      <c r="M688" s="469">
        <v>20100171016693</v>
      </c>
      <c r="N688" s="193">
        <v>9361402619</v>
      </c>
      <c r="O688" s="193">
        <v>94659124876</v>
      </c>
      <c r="P688" s="57" t="s">
        <v>8</v>
      </c>
      <c r="Q688" s="470">
        <v>46065</v>
      </c>
      <c r="R688" s="471" t="s">
        <v>8</v>
      </c>
      <c r="S688" s="193">
        <v>20900</v>
      </c>
      <c r="T688" s="56">
        <f>IF(R688="쿠팡",VLOOKUP(H688,$AF$7:$AG$10,2,0)*G688,"0")</f>
        <v>1100</v>
      </c>
      <c r="U688" s="461">
        <f>S688-T688</f>
        <v>19800</v>
      </c>
      <c r="V688" s="354">
        <f t="shared" si="78"/>
        <v>18000</v>
      </c>
      <c r="W688" s="365">
        <f>IF(H688=재고내역!$F$9,출고요청서_raw!G688*1,IF(H688=재고내역!$F$10,출고요청서_raw!G688*2,IF(출고요청서_raw!H688=재고내역!$F$11,출고요청서_raw!G688*4,IF(출고요청서_raw!H688=재고내역!$F$12,출고요청서_raw!G688*6,IF(출고요청서_raw!H688=재고내역!$F$13,출고요청서_raw!G688*8)))))</f>
        <v>1</v>
      </c>
      <c r="X688" s="69">
        <v>0.1166</v>
      </c>
      <c r="Y688" s="60">
        <f t="shared" si="79"/>
        <v>2308.6799999999998</v>
      </c>
      <c r="Z688" s="56">
        <f>W688*재고내역!$M$6</f>
        <v>7687</v>
      </c>
      <c r="AA688" s="56">
        <f t="shared" si="80"/>
        <v>4550</v>
      </c>
      <c r="AB688" s="56">
        <f t="shared" si="76"/>
        <v>3454.32</v>
      </c>
      <c r="AC688" s="376">
        <f t="shared" si="77"/>
        <v>0.19190666666666667</v>
      </c>
      <c r="AE688" s="60">
        <f t="shared" si="81"/>
        <v>17491.32</v>
      </c>
    </row>
    <row r="689" spans="1:31" ht="15.75" customHeight="1">
      <c r="A689" s="433" t="s">
        <v>3249</v>
      </c>
      <c r="B689" s="433" t="s">
        <v>3407</v>
      </c>
      <c r="E689" s="433">
        <v>2535</v>
      </c>
      <c r="F689" s="433" t="s">
        <v>3408</v>
      </c>
      <c r="G689" s="434">
        <v>1</v>
      </c>
      <c r="H689" s="193" t="s">
        <v>71</v>
      </c>
      <c r="M689" s="193">
        <v>2698218645</v>
      </c>
      <c r="P689" s="57" t="s">
        <v>9</v>
      </c>
      <c r="Q689" s="73">
        <v>46065</v>
      </c>
      <c r="R689" s="59" t="s">
        <v>9</v>
      </c>
      <c r="S689" s="193">
        <v>22900</v>
      </c>
      <c r="T689" s="377">
        <v>2000</v>
      </c>
      <c r="U689" s="193">
        <f>S689-2000</f>
        <v>20900</v>
      </c>
      <c r="V689" s="60">
        <f t="shared" ref="V689:V699" si="82">U689/1.1</f>
        <v>19000</v>
      </c>
      <c r="W689" s="365">
        <f>IF(H689=재고내역!$F$9,출고요청서_raw!G689*1,IF(H689=재고내역!$F$10,출고요청서_raw!G689*2,IF(출고요청서_raw!H689=재고내역!$F$11,출고요청서_raw!G689*4,IF(출고요청서_raw!H689=재고내역!$F$12,출고요청서_raw!G689*6,IF(출고요청서_raw!H689=재고내역!$F$13,출고요청서_raw!G689*8)))))</f>
        <v>1</v>
      </c>
      <c r="X689" s="66">
        <v>3.3000000000000002E-2</v>
      </c>
      <c r="Y689" s="60">
        <f>X689*U689</f>
        <v>689.7</v>
      </c>
      <c r="Z689" s="56">
        <f>W689*재고내역!$M$6</f>
        <v>7687</v>
      </c>
      <c r="AA689" s="56">
        <f t="shared" si="80"/>
        <v>4550</v>
      </c>
      <c r="AB689" s="56">
        <f t="shared" si="76"/>
        <v>6073.3</v>
      </c>
      <c r="AC689" s="376">
        <f t="shared" si="77"/>
        <v>0.31964736842105262</v>
      </c>
      <c r="AE689" s="60">
        <f>U689-Y689</f>
        <v>20210.3</v>
      </c>
    </row>
    <row r="690" spans="1:31" ht="15.75" customHeight="1">
      <c r="A690" s="433" t="s">
        <v>3409</v>
      </c>
      <c r="B690" s="433" t="s">
        <v>3410</v>
      </c>
      <c r="E690" s="433">
        <v>27416</v>
      </c>
      <c r="F690" s="433" t="s">
        <v>3411</v>
      </c>
      <c r="G690" s="434">
        <v>2</v>
      </c>
      <c r="H690" s="193" t="s">
        <v>71</v>
      </c>
      <c r="M690" s="193">
        <v>2698226324</v>
      </c>
      <c r="P690" s="57" t="s">
        <v>9</v>
      </c>
      <c r="Q690" s="73">
        <v>46065</v>
      </c>
      <c r="R690" s="59" t="s">
        <v>9</v>
      </c>
      <c r="S690" s="193">
        <v>45800</v>
      </c>
      <c r="T690" s="377">
        <v>2000</v>
      </c>
      <c r="U690" s="193">
        <f>S690-6000</f>
        <v>39800</v>
      </c>
      <c r="V690" s="60">
        <f t="shared" si="82"/>
        <v>36181.818181818177</v>
      </c>
      <c r="W690" s="365">
        <f>IF(H690=재고내역!$F$9,출고요청서_raw!G690*1,IF(H690=재고내역!$F$10,출고요청서_raw!G690*2,IF(출고요청서_raw!H690=재고내역!$F$11,출고요청서_raw!G690*4,IF(출고요청서_raw!H690=재고내역!$F$12,출고요청서_raw!G690*6,IF(출고요청서_raw!H690=재고내역!$F$13,출고요청서_raw!G690*8)))))</f>
        <v>2</v>
      </c>
      <c r="X690" s="66">
        <v>3.3000000000000002E-2</v>
      </c>
      <c r="Y690" s="60">
        <f>X690*U690</f>
        <v>1313.4</v>
      </c>
      <c r="Z690" s="56">
        <f>W690*재고내역!$M$6</f>
        <v>15374</v>
      </c>
      <c r="AA690" s="56">
        <f t="shared" si="80"/>
        <v>4550</v>
      </c>
      <c r="AB690" s="56">
        <f t="shared" si="76"/>
        <v>14944.418181818177</v>
      </c>
      <c r="AC690" s="376">
        <f t="shared" si="77"/>
        <v>0.41303668341708533</v>
      </c>
      <c r="AE690" s="60">
        <f>U690-Y690</f>
        <v>38486.6</v>
      </c>
    </row>
    <row r="691" spans="1:31" ht="15.75" customHeight="1">
      <c r="A691" s="433" t="s">
        <v>3412</v>
      </c>
      <c r="B691" s="433" t="s">
        <v>3413</v>
      </c>
      <c r="E691" s="433">
        <v>7751</v>
      </c>
      <c r="F691" s="433" t="s">
        <v>3414</v>
      </c>
      <c r="G691" s="434">
        <v>2</v>
      </c>
      <c r="H691" s="193" t="s">
        <v>71</v>
      </c>
      <c r="M691" s="193">
        <v>2698235082</v>
      </c>
      <c r="P691" s="57" t="s">
        <v>9</v>
      </c>
      <c r="Q691" s="73">
        <v>46065</v>
      </c>
      <c r="R691" s="59" t="s">
        <v>9</v>
      </c>
      <c r="S691" s="193">
        <v>45800</v>
      </c>
      <c r="T691" s="377">
        <v>2000</v>
      </c>
      <c r="U691" s="193">
        <f>S691-4000</f>
        <v>41800</v>
      </c>
      <c r="V691" s="60">
        <f t="shared" si="82"/>
        <v>38000</v>
      </c>
      <c r="W691" s="365">
        <f>IF(H691=재고내역!$F$9,출고요청서_raw!G691*1,IF(H691=재고내역!$F$10,출고요청서_raw!G691*2,IF(출고요청서_raw!H691=재고내역!$F$11,출고요청서_raw!G691*4,IF(출고요청서_raw!H691=재고내역!$F$12,출고요청서_raw!G691*6,IF(출고요청서_raw!H691=재고내역!$F$13,출고요청서_raw!G691*8)))))</f>
        <v>2</v>
      </c>
      <c r="X691" s="66">
        <v>3.3000000000000002E-2</v>
      </c>
      <c r="Y691" s="60">
        <f>X691*U691</f>
        <v>1379.4</v>
      </c>
      <c r="Z691" s="56">
        <f>W691*재고내역!$M$6</f>
        <v>15374</v>
      </c>
      <c r="AA691" s="56">
        <f t="shared" si="80"/>
        <v>4550</v>
      </c>
      <c r="AB691" s="56">
        <f t="shared" si="76"/>
        <v>16696.599999999999</v>
      </c>
      <c r="AC691" s="376">
        <f t="shared" si="77"/>
        <v>0.43938421052631577</v>
      </c>
      <c r="AE691" s="60">
        <f t="shared" ref="AE691" si="83">U691-Y691</f>
        <v>40420.6</v>
      </c>
    </row>
    <row r="692" spans="1:31" ht="15.75" customHeight="1">
      <c r="A692" s="55" t="s">
        <v>3415</v>
      </c>
      <c r="B692" s="418" t="s">
        <v>3416</v>
      </c>
      <c r="E692" s="418" t="s">
        <v>3417</v>
      </c>
      <c r="F692" s="55" t="s">
        <v>3418</v>
      </c>
      <c r="G692" s="372">
        <v>1</v>
      </c>
      <c r="H692" s="72" t="s">
        <v>75</v>
      </c>
      <c r="P692" s="57" t="s">
        <v>11</v>
      </c>
      <c r="Q692" s="73">
        <v>46065</v>
      </c>
      <c r="R692" s="59" t="s">
        <v>11</v>
      </c>
      <c r="S692" s="56">
        <f t="shared" ref="S692:S699" si="84">89000*G692</f>
        <v>89000</v>
      </c>
      <c r="T692" s="56" t="str">
        <f t="shared" ref="T692:T700" si="85">IF(R692="쿠팡",VLOOKUP(H692,$AF$7:$AG$10,2,0)*G692,"0")</f>
        <v>0</v>
      </c>
      <c r="U692" s="456">
        <f t="shared" ref="U692:U699" si="86">S692</f>
        <v>89000</v>
      </c>
      <c r="V692" s="56">
        <f t="shared" si="82"/>
        <v>80909.090909090897</v>
      </c>
      <c r="W692" s="65">
        <f>IF(H692=재고내역!$F$9,출고요청서_raw!G692*1,IF(H692=재고내역!$F$10,출고요청서_raw!G692*2,IF(출고요청서_raw!H692=재고내역!$F$11,출고요청서_raw!G692*4,IF(출고요청서_raw!H692=재고내역!$F$12,출고요청서_raw!G692*6,IF(출고요청서_raw!H692=재고내역!$F$13,출고요청서_raw!G692*8)))))</f>
        <v>8</v>
      </c>
      <c r="X692" s="53"/>
      <c r="Y692" s="53"/>
      <c r="Z692" s="56">
        <f>W692*재고내역!$M$6</f>
        <v>61496</v>
      </c>
      <c r="AA692" s="56">
        <f>IF(W692&gt;8,4550*2,4550)</f>
        <v>4550</v>
      </c>
      <c r="AB692" s="56">
        <f t="shared" si="76"/>
        <v>14863.090909090897</v>
      </c>
      <c r="AC692" s="376">
        <f t="shared" si="77"/>
        <v>0.1837011235955055</v>
      </c>
    </row>
    <row r="693" spans="1:31" ht="15.75" customHeight="1">
      <c r="A693" s="55" t="s">
        <v>3419</v>
      </c>
      <c r="B693" s="418" t="s">
        <v>3416</v>
      </c>
      <c r="E693" s="418" t="s">
        <v>3420</v>
      </c>
      <c r="F693" s="55" t="s">
        <v>3421</v>
      </c>
      <c r="G693" s="372">
        <v>1</v>
      </c>
      <c r="H693" s="72" t="s">
        <v>75</v>
      </c>
      <c r="P693" s="57" t="s">
        <v>11</v>
      </c>
      <c r="Q693" s="73">
        <v>46065</v>
      </c>
      <c r="R693" s="59" t="s">
        <v>11</v>
      </c>
      <c r="S693" s="56">
        <f t="shared" si="84"/>
        <v>89000</v>
      </c>
      <c r="T693" s="56" t="str">
        <f t="shared" si="85"/>
        <v>0</v>
      </c>
      <c r="U693" s="456">
        <f t="shared" si="86"/>
        <v>89000</v>
      </c>
      <c r="V693" s="56">
        <f t="shared" si="82"/>
        <v>80909.090909090897</v>
      </c>
      <c r="W693" s="65">
        <f>IF(H693=재고내역!$F$9,출고요청서_raw!G693*1,IF(H693=재고내역!$F$10,출고요청서_raw!G693*2,IF(출고요청서_raw!H693=재고내역!$F$11,출고요청서_raw!G693*4,IF(출고요청서_raw!H693=재고내역!$F$12,출고요청서_raw!G693*6,IF(출고요청서_raw!H693=재고내역!$F$13,출고요청서_raw!G693*8)))))</f>
        <v>8</v>
      </c>
      <c r="X693" s="53"/>
      <c r="Y693" s="53"/>
      <c r="Z693" s="56">
        <f>W693*재고내역!$M$6</f>
        <v>61496</v>
      </c>
      <c r="AA693" s="56">
        <f>IF(W693&gt;8,4550*2,4550)</f>
        <v>4550</v>
      </c>
      <c r="AB693" s="56">
        <f t="shared" si="76"/>
        <v>14863.090909090897</v>
      </c>
      <c r="AC693" s="376">
        <f t="shared" si="77"/>
        <v>0.1837011235955055</v>
      </c>
    </row>
    <row r="694" spans="1:31" ht="15.75" customHeight="1">
      <c r="A694" s="55" t="s">
        <v>3422</v>
      </c>
      <c r="B694" s="418" t="s">
        <v>3423</v>
      </c>
      <c r="E694" s="418" t="s">
        <v>3424</v>
      </c>
      <c r="F694" s="55" t="s">
        <v>3425</v>
      </c>
      <c r="G694" s="372">
        <v>1</v>
      </c>
      <c r="H694" s="72" t="s">
        <v>75</v>
      </c>
      <c r="P694" s="57" t="s">
        <v>11</v>
      </c>
      <c r="Q694" s="73">
        <v>46065</v>
      </c>
      <c r="R694" s="59" t="s">
        <v>11</v>
      </c>
      <c r="S694" s="56">
        <f t="shared" si="84"/>
        <v>89000</v>
      </c>
      <c r="T694" s="56" t="str">
        <f t="shared" si="85"/>
        <v>0</v>
      </c>
      <c r="U694" s="456">
        <f t="shared" si="86"/>
        <v>89000</v>
      </c>
      <c r="V694" s="56">
        <f t="shared" si="82"/>
        <v>80909.090909090897</v>
      </c>
      <c r="W694" s="65">
        <f>IF(H694=재고내역!$F$9,출고요청서_raw!G694*1,IF(H694=재고내역!$F$10,출고요청서_raw!G694*2,IF(출고요청서_raw!H694=재고내역!$F$11,출고요청서_raw!G694*4,IF(출고요청서_raw!H694=재고내역!$F$12,출고요청서_raw!G694*6,IF(출고요청서_raw!H694=재고내역!$F$13,출고요청서_raw!G694*8)))))</f>
        <v>8</v>
      </c>
      <c r="X694" s="53"/>
      <c r="Y694" s="53"/>
      <c r="Z694" s="56">
        <f>W694*재고내역!$M$6</f>
        <v>61496</v>
      </c>
      <c r="AA694" s="56">
        <f>IF(W694&gt;8,4550*2,4550)</f>
        <v>4550</v>
      </c>
      <c r="AB694" s="56">
        <f t="shared" si="76"/>
        <v>14863.090909090897</v>
      </c>
      <c r="AC694" s="376">
        <f t="shared" si="77"/>
        <v>0.1837011235955055</v>
      </c>
    </row>
    <row r="695" spans="1:31" ht="15.75" customHeight="1">
      <c r="A695" s="55" t="s">
        <v>3426</v>
      </c>
      <c r="B695" s="418" t="s">
        <v>3427</v>
      </c>
      <c r="E695" s="418" t="s">
        <v>3428</v>
      </c>
      <c r="F695" s="55" t="s">
        <v>3429</v>
      </c>
      <c r="G695" s="372">
        <v>1</v>
      </c>
      <c r="H695" s="72" t="s">
        <v>75</v>
      </c>
      <c r="P695" s="57" t="s">
        <v>11</v>
      </c>
      <c r="Q695" s="73">
        <v>46065</v>
      </c>
      <c r="R695" s="59" t="s">
        <v>11</v>
      </c>
      <c r="S695" s="56">
        <f t="shared" si="84"/>
        <v>89000</v>
      </c>
      <c r="T695" s="56" t="str">
        <f t="shared" si="85"/>
        <v>0</v>
      </c>
      <c r="U695" s="456">
        <f t="shared" si="86"/>
        <v>89000</v>
      </c>
      <c r="V695" s="56">
        <f t="shared" si="82"/>
        <v>80909.090909090897</v>
      </c>
      <c r="W695" s="65">
        <f>IF(H695=재고내역!$F$9,출고요청서_raw!G695*1,IF(H695=재고내역!$F$10,출고요청서_raw!G695*2,IF(출고요청서_raw!H695=재고내역!$F$11,출고요청서_raw!G695*4,IF(출고요청서_raw!H695=재고내역!$F$12,출고요청서_raw!G695*6,IF(출고요청서_raw!H695=재고내역!$F$13,출고요청서_raw!G695*8)))))</f>
        <v>8</v>
      </c>
      <c r="X695" s="53"/>
      <c r="Y695" s="53"/>
      <c r="Z695" s="56">
        <f>W695*재고내역!$M$6</f>
        <v>61496</v>
      </c>
      <c r="AA695" s="56">
        <f>IF(W695&gt;8,4550*2,4550)</f>
        <v>4550</v>
      </c>
      <c r="AB695" s="56">
        <f t="shared" si="76"/>
        <v>14863.090909090897</v>
      </c>
      <c r="AC695" s="376">
        <f t="shared" si="77"/>
        <v>0.1837011235955055</v>
      </c>
    </row>
    <row r="696" spans="1:31" ht="15.75" customHeight="1">
      <c r="A696" s="55" t="s">
        <v>3422</v>
      </c>
      <c r="B696" s="418" t="s">
        <v>3430</v>
      </c>
      <c r="E696" s="418" t="s">
        <v>3431</v>
      </c>
      <c r="F696" s="55" t="s">
        <v>3432</v>
      </c>
      <c r="G696" s="372">
        <v>1</v>
      </c>
      <c r="H696" s="72" t="s">
        <v>75</v>
      </c>
      <c r="P696" s="57" t="s">
        <v>11</v>
      </c>
      <c r="Q696" s="73">
        <v>46065</v>
      </c>
      <c r="R696" s="59" t="s">
        <v>11</v>
      </c>
      <c r="S696" s="56">
        <f t="shared" si="84"/>
        <v>89000</v>
      </c>
      <c r="T696" s="56" t="str">
        <f t="shared" si="85"/>
        <v>0</v>
      </c>
      <c r="U696" s="456">
        <f t="shared" si="86"/>
        <v>89000</v>
      </c>
      <c r="V696" s="56">
        <f t="shared" si="82"/>
        <v>80909.090909090897</v>
      </c>
      <c r="W696" s="65">
        <f>IF(H696=재고내역!$F$9,출고요청서_raw!G696*1,IF(H696=재고내역!$F$10,출고요청서_raw!G696*2,IF(출고요청서_raw!H696=재고내역!$F$11,출고요청서_raw!G696*4,IF(출고요청서_raw!H696=재고내역!$F$12,출고요청서_raw!G696*6,IF(출고요청서_raw!H696=재고내역!$F$13,출고요청서_raw!G696*8)))))</f>
        <v>8</v>
      </c>
      <c r="X696" s="53"/>
      <c r="Y696" s="53"/>
      <c r="Z696" s="56">
        <f>W696*재고내역!$M$6</f>
        <v>61496</v>
      </c>
      <c r="AA696" s="56">
        <f t="shared" ref="AA696:AA697" si="87">IF(W696&gt;8,4550*2,4550)</f>
        <v>4550</v>
      </c>
      <c r="AB696" s="56">
        <f t="shared" si="76"/>
        <v>14863.090909090897</v>
      </c>
      <c r="AC696" s="376">
        <f t="shared" si="77"/>
        <v>0.1837011235955055</v>
      </c>
    </row>
    <row r="697" spans="1:31" ht="15.75" customHeight="1">
      <c r="A697" s="55" t="s">
        <v>3433</v>
      </c>
      <c r="B697" s="418" t="s">
        <v>3434</v>
      </c>
      <c r="E697" s="418" t="s">
        <v>3435</v>
      </c>
      <c r="F697" s="55" t="s">
        <v>3436</v>
      </c>
      <c r="G697" s="372">
        <v>1</v>
      </c>
      <c r="H697" s="72" t="s">
        <v>75</v>
      </c>
      <c r="P697" s="57" t="s">
        <v>11</v>
      </c>
      <c r="Q697" s="73">
        <v>46065</v>
      </c>
      <c r="R697" s="59" t="s">
        <v>11</v>
      </c>
      <c r="S697" s="56">
        <f t="shared" si="84"/>
        <v>89000</v>
      </c>
      <c r="T697" s="56" t="str">
        <f t="shared" si="85"/>
        <v>0</v>
      </c>
      <c r="U697" s="456">
        <f t="shared" si="86"/>
        <v>89000</v>
      </c>
      <c r="V697" s="56">
        <f t="shared" si="82"/>
        <v>80909.090909090897</v>
      </c>
      <c r="W697" s="65">
        <f>IF(H697=재고내역!$F$9,출고요청서_raw!G697*1,IF(H697=재고내역!$F$10,출고요청서_raw!G697*2,IF(출고요청서_raw!H697=재고내역!$F$11,출고요청서_raw!G697*4,IF(출고요청서_raw!H697=재고내역!$F$12,출고요청서_raw!G697*6,IF(출고요청서_raw!H697=재고내역!$F$13,출고요청서_raw!G697*8)))))</f>
        <v>8</v>
      </c>
      <c r="X697" s="53"/>
      <c r="Y697" s="53"/>
      <c r="Z697" s="56">
        <f>W697*재고내역!$M$6</f>
        <v>61496</v>
      </c>
      <c r="AA697" s="56">
        <f t="shared" si="87"/>
        <v>4550</v>
      </c>
      <c r="AB697" s="56">
        <f t="shared" si="76"/>
        <v>14863.090909090897</v>
      </c>
      <c r="AC697" s="376">
        <f t="shared" si="77"/>
        <v>0.1837011235955055</v>
      </c>
    </row>
    <row r="698" spans="1:31" ht="15.75" customHeight="1">
      <c r="A698" s="193" t="s">
        <v>3437</v>
      </c>
      <c r="B698" s="193"/>
      <c r="C698" s="435"/>
      <c r="D698" s="435"/>
      <c r="E698" s="193">
        <v>16822</v>
      </c>
      <c r="F698" s="193" t="s">
        <v>3438</v>
      </c>
      <c r="G698" s="193">
        <v>1</v>
      </c>
      <c r="H698" s="82" t="s">
        <v>75</v>
      </c>
      <c r="I698" s="435"/>
      <c r="J698" s="435"/>
      <c r="K698" s="435"/>
      <c r="L698" s="193"/>
      <c r="M698" s="193"/>
      <c r="N698" s="193"/>
      <c r="O698" s="193"/>
      <c r="P698" s="364" t="s">
        <v>11</v>
      </c>
      <c r="Q698" s="73">
        <v>46065</v>
      </c>
      <c r="R698" s="59" t="s">
        <v>11</v>
      </c>
      <c r="S698" s="56">
        <f t="shared" si="84"/>
        <v>89000</v>
      </c>
      <c r="T698" s="56" t="str">
        <f t="shared" si="85"/>
        <v>0</v>
      </c>
      <c r="U698" s="456">
        <f t="shared" si="86"/>
        <v>89000</v>
      </c>
      <c r="V698" s="56">
        <f t="shared" si="82"/>
        <v>80909.090909090897</v>
      </c>
      <c r="W698" s="65">
        <f>IF(H698=재고내역!$F$9,출고요청서_raw!G698*1,IF(H698=재고내역!$F$10,출고요청서_raw!G698*2,IF(출고요청서_raw!H698=재고내역!$F$11,출고요청서_raw!G698*4,IF(출고요청서_raw!H698=재고내역!$F$12,출고요청서_raw!G698*6,IF(출고요청서_raw!H698=재고내역!$F$13,출고요청서_raw!G698*8)))))</f>
        <v>8</v>
      </c>
      <c r="X698" s="53"/>
      <c r="Y698" s="53"/>
      <c r="Z698" s="56">
        <f>W698*재고내역!$M$6</f>
        <v>61496</v>
      </c>
      <c r="AA698" s="56">
        <f t="shared" ref="AA698" si="88">IF(W698&gt;8,4550*2,4550)</f>
        <v>4550</v>
      </c>
      <c r="AB698" s="56">
        <f t="shared" si="76"/>
        <v>14863.090909090897</v>
      </c>
      <c r="AC698" s="376">
        <f t="shared" si="77"/>
        <v>0.1837011235955055</v>
      </c>
    </row>
    <row r="699" spans="1:31" ht="15.75" customHeight="1">
      <c r="A699" s="193" t="s">
        <v>3439</v>
      </c>
      <c r="B699" s="193"/>
      <c r="C699" s="435"/>
      <c r="D699" s="435"/>
      <c r="E699" s="193">
        <v>13539</v>
      </c>
      <c r="F699" s="193" t="s">
        <v>3440</v>
      </c>
      <c r="G699" s="193">
        <v>1</v>
      </c>
      <c r="H699" s="82" t="s">
        <v>75</v>
      </c>
      <c r="I699" s="435"/>
      <c r="J699" s="435"/>
      <c r="K699" s="435"/>
      <c r="L699" s="193"/>
      <c r="M699" s="193"/>
      <c r="N699" s="193"/>
      <c r="O699" s="193"/>
      <c r="P699" s="364" t="s">
        <v>11</v>
      </c>
      <c r="Q699" s="73">
        <v>46065</v>
      </c>
      <c r="R699" s="59" t="s">
        <v>11</v>
      </c>
      <c r="S699" s="56">
        <f t="shared" si="84"/>
        <v>89000</v>
      </c>
      <c r="T699" s="56" t="str">
        <f t="shared" si="85"/>
        <v>0</v>
      </c>
      <c r="U699" s="456">
        <f t="shared" si="86"/>
        <v>89000</v>
      </c>
      <c r="V699" s="56">
        <f t="shared" si="82"/>
        <v>80909.090909090897</v>
      </c>
      <c r="W699" s="65">
        <f>IF(H699=재고내역!$F$9,출고요청서_raw!G699*1,IF(H699=재고내역!$F$10,출고요청서_raw!G699*2,IF(출고요청서_raw!H699=재고내역!$F$11,출고요청서_raw!G699*4,IF(출고요청서_raw!H699=재고내역!$F$12,출고요청서_raw!G699*6,IF(출고요청서_raw!H699=재고내역!$F$13,출고요청서_raw!G699*8)))))</f>
        <v>8</v>
      </c>
      <c r="X699" s="53"/>
      <c r="Y699" s="53"/>
      <c r="Z699" s="56">
        <f>W699*재고내역!$M$6</f>
        <v>61496</v>
      </c>
      <c r="AA699" s="56">
        <f>IF(W699&gt;8,4550*2,4550)</f>
        <v>4550</v>
      </c>
      <c r="AB699" s="56">
        <f t="shared" si="76"/>
        <v>14863.090909090897</v>
      </c>
      <c r="AC699" s="376">
        <f t="shared" si="77"/>
        <v>0.1837011235955055</v>
      </c>
    </row>
    <row r="700" spans="1:31" ht="15.75" customHeight="1">
      <c r="G700" s="472">
        <v>8</v>
      </c>
      <c r="H700" s="54" t="s">
        <v>67</v>
      </c>
      <c r="M700" s="467"/>
      <c r="Q700" s="73">
        <v>46049</v>
      </c>
      <c r="T700" s="56" t="str">
        <f t="shared" si="85"/>
        <v>0</v>
      </c>
      <c r="W700" s="65">
        <v>8</v>
      </c>
      <c r="AD700" s="59" t="s">
        <v>3441</v>
      </c>
      <c r="AE700" s="59"/>
    </row>
    <row r="701" spans="1:31" ht="15.75" customHeight="1">
      <c r="A701" s="473" t="s">
        <v>3442</v>
      </c>
      <c r="B701" s="473" t="s">
        <v>3443</v>
      </c>
      <c r="E701" s="473">
        <v>44959</v>
      </c>
      <c r="F701" s="473" t="s">
        <v>3444</v>
      </c>
      <c r="G701" s="473">
        <v>1</v>
      </c>
      <c r="H701" s="82" t="s">
        <v>72</v>
      </c>
      <c r="L701" s="473" t="s">
        <v>145</v>
      </c>
      <c r="M701" s="473">
        <v>656901888933890</v>
      </c>
      <c r="N701" s="473">
        <v>30100172727586</v>
      </c>
      <c r="O701" s="473">
        <v>94659124877</v>
      </c>
      <c r="P701" s="57" t="s">
        <v>8</v>
      </c>
      <c r="Q701" s="73">
        <v>46076</v>
      </c>
      <c r="R701" s="59" t="s">
        <v>8</v>
      </c>
      <c r="S701" s="193">
        <v>40000</v>
      </c>
      <c r="T701" s="56">
        <f>IF(R701="쿠팡",VLOOKUP(H701,$AF$13:$AG$16,2,0)*G701,"0")</f>
        <v>0</v>
      </c>
      <c r="U701" s="461">
        <f t="shared" ref="U701:U702" si="89">S701-T701</f>
        <v>40000</v>
      </c>
      <c r="V701" s="354">
        <f t="shared" ref="V701:V702" si="90">U701/1.1</f>
        <v>36363.63636363636</v>
      </c>
      <c r="W701" s="365">
        <f>IF(H701=재고내역!$F$9,출고요청서_raw!G701*1,IF(H701=재고내역!$F$10,출고요청서_raw!G701*2,IF(출고요청서_raw!H701=재고내역!$F$11,출고요청서_raw!G701*4,IF(출고요청서_raw!H701=재고내역!$F$12,출고요청서_raw!G701*6,IF(출고요청서_raw!H701=재고내역!$F$13,출고요청서_raw!G701*8)))))</f>
        <v>2</v>
      </c>
      <c r="X701" s="69">
        <v>0.1166</v>
      </c>
      <c r="Y701" s="60">
        <f>U701*X701</f>
        <v>4664</v>
      </c>
      <c r="Z701" s="56">
        <f>W701*재고내역!$M$6</f>
        <v>15374</v>
      </c>
      <c r="AA701" s="56">
        <f>IF(W701&gt;8,4550*2,4550)</f>
        <v>4550</v>
      </c>
      <c r="AB701" s="56">
        <f>V701-Z701-AA701-Y701</f>
        <v>11775.63636363636</v>
      </c>
      <c r="AC701" s="376">
        <f>AB701/V701</f>
        <v>0.32382999999999995</v>
      </c>
    </row>
    <row r="702" spans="1:31" ht="15.75" customHeight="1">
      <c r="A702" s="473" t="s">
        <v>3445</v>
      </c>
      <c r="B702" s="473" t="s">
        <v>3446</v>
      </c>
      <c r="E702" s="473">
        <v>10896</v>
      </c>
      <c r="F702" s="473" t="s">
        <v>3447</v>
      </c>
      <c r="G702" s="473">
        <v>1</v>
      </c>
      <c r="H702" s="82" t="s">
        <v>71</v>
      </c>
      <c r="L702" s="473" t="s">
        <v>145</v>
      </c>
      <c r="M702" s="473">
        <v>657565369090065</v>
      </c>
      <c r="N702" s="473">
        <v>11100172760680</v>
      </c>
      <c r="O702" s="473">
        <v>94659124876</v>
      </c>
      <c r="P702" s="57" t="s">
        <v>8</v>
      </c>
      <c r="Q702" s="73">
        <v>46076</v>
      </c>
      <c r="R702" s="59" t="s">
        <v>8</v>
      </c>
      <c r="S702" s="193">
        <v>20900</v>
      </c>
      <c r="T702" s="56">
        <f>IF(R702="쿠팡",VLOOKUP(H702,$AF$13:$AG$16,2,0)*G702,"0")</f>
        <v>1100</v>
      </c>
      <c r="U702" s="461">
        <f t="shared" si="89"/>
        <v>19800</v>
      </c>
      <c r="V702" s="354">
        <f t="shared" si="90"/>
        <v>18000</v>
      </c>
      <c r="W702" s="365">
        <f>IF(H702=재고내역!$F$9,출고요청서_raw!G702*1,IF(H702=재고내역!$F$10,출고요청서_raw!G702*2,IF(출고요청서_raw!H702=재고내역!$F$11,출고요청서_raw!G702*4,IF(출고요청서_raw!H702=재고내역!$F$12,출고요청서_raw!G702*6,IF(출고요청서_raw!H702=재고내역!$F$13,출고요청서_raw!G702*8)))))</f>
        <v>1</v>
      </c>
      <c r="X702" s="69">
        <v>0.1166</v>
      </c>
      <c r="Y702" s="60">
        <f t="shared" ref="Y702" si="91">U702*X702</f>
        <v>2308.6799999999998</v>
      </c>
      <c r="Z702" s="56">
        <f>W702*재고내역!$M$6</f>
        <v>7687</v>
      </c>
      <c r="AA702" s="56">
        <f t="shared" ref="AA702" si="92">IF(W702&gt;8,4550*2,4550)</f>
        <v>4550</v>
      </c>
      <c r="AB702" s="56">
        <f t="shared" ref="AB702" si="93">V702-Z702-AA702-Y702</f>
        <v>3454.32</v>
      </c>
      <c r="AC702" s="376">
        <f t="shared" ref="AC702" si="94">AB702/V702</f>
        <v>0.19190666666666667</v>
      </c>
    </row>
  </sheetData>
  <autoFilter ref="A3:DI699" xr:uid="{F9125875-4EC4-4C1E-B5F6-B9735A9EE6E5}"/>
  <phoneticPr fontId="18" type="noConversion"/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2701-0978-4E7A-B008-A8F93CCF7421}">
  <dimension ref="A1:AS2922"/>
  <sheetViews>
    <sheetView workbookViewId="0">
      <pane ySplit="2" topLeftCell="A928" activePane="bottomLeft" state="frozen"/>
      <selection pane="bottomLeft" activeCell="F952" sqref="F952"/>
    </sheetView>
  </sheetViews>
  <sheetFormatPr defaultRowHeight="16.5"/>
  <cols>
    <col min="1" max="1" width="5" style="406" customWidth="1"/>
    <col min="2" max="3" width="10" style="406" customWidth="1"/>
    <col min="4" max="4" width="15" style="406" customWidth="1"/>
    <col min="5" max="5" width="12" style="406" customWidth="1"/>
    <col min="6" max="6" width="14" style="406" customWidth="1"/>
    <col min="7" max="7" width="8" style="406" customWidth="1"/>
    <col min="8" max="8" width="20" style="406" customWidth="1"/>
    <col min="9" max="10" width="10" style="406" customWidth="1"/>
    <col min="11" max="11" width="9.875" style="406" bestFit="1" customWidth="1"/>
    <col min="12" max="12" width="10" style="406" customWidth="1"/>
    <col min="13" max="14" width="12" style="406" customWidth="1"/>
    <col min="15" max="17" width="10" style="406" customWidth="1"/>
    <col min="18" max="18" width="13.875" style="406" customWidth="1"/>
    <col min="19" max="21" width="10" style="406" customWidth="1"/>
    <col min="22" max="22" width="8" style="406" customWidth="1"/>
    <col min="23" max="23" width="9.125" style="406" customWidth="1"/>
    <col min="24" max="24" width="12" style="406" customWidth="1"/>
    <col min="25" max="25" width="10" style="406" customWidth="1"/>
    <col min="26" max="27" width="12" style="406" customWidth="1"/>
    <col min="28" max="28" width="15" style="406" customWidth="1"/>
    <col min="29" max="29" width="11.875" style="406" bestFit="1" customWidth="1"/>
    <col min="30" max="30" width="10.75" style="406" bestFit="1" customWidth="1"/>
    <col min="31" max="31" width="9" style="406"/>
    <col min="32" max="32" width="9.625" style="406" bestFit="1" customWidth="1"/>
    <col min="33" max="33" width="11.875" style="406" bestFit="1" customWidth="1"/>
    <col min="34" max="35" width="10.75" style="406" bestFit="1" customWidth="1"/>
    <col min="36" max="36" width="9.625" style="406" bestFit="1" customWidth="1"/>
    <col min="37" max="37" width="10.75" style="406" bestFit="1" customWidth="1"/>
    <col min="38" max="38" width="45.875" style="406" customWidth="1"/>
    <col min="39" max="39" width="12" style="406" customWidth="1"/>
    <col min="40" max="40" width="10" style="406" customWidth="1"/>
    <col min="41" max="42" width="12" style="406" customWidth="1"/>
    <col min="43" max="43" width="15" style="406" customWidth="1"/>
    <col min="44" max="16384" width="9" style="406"/>
  </cols>
  <sheetData>
    <row r="1" spans="1:45">
      <c r="Z1" s="407"/>
      <c r="AA1" s="407"/>
      <c r="AB1" s="407"/>
      <c r="AC1" s="407"/>
      <c r="AL1" s="408"/>
      <c r="AM1" s="408"/>
      <c r="AN1" s="408"/>
      <c r="AO1" s="409"/>
      <c r="AP1" s="409"/>
      <c r="AQ1" s="409"/>
    </row>
    <row r="2" spans="1:45">
      <c r="A2" s="410" t="s">
        <v>3448</v>
      </c>
      <c r="B2" s="410" t="s">
        <v>3449</v>
      </c>
      <c r="C2" s="410" t="s">
        <v>3450</v>
      </c>
      <c r="D2" s="410" t="s">
        <v>3451</v>
      </c>
      <c r="E2" s="410" t="s">
        <v>3452</v>
      </c>
      <c r="F2" s="410" t="s">
        <v>3453</v>
      </c>
      <c r="G2" s="410" t="s">
        <v>3454</v>
      </c>
      <c r="H2" s="410" t="s">
        <v>3455</v>
      </c>
      <c r="I2" s="410" t="s">
        <v>3456</v>
      </c>
      <c r="J2" s="410" t="s">
        <v>3457</v>
      </c>
      <c r="K2" s="410" t="s">
        <v>3458</v>
      </c>
      <c r="L2" s="410" t="s">
        <v>3459</v>
      </c>
      <c r="M2" s="410" t="s">
        <v>3460</v>
      </c>
      <c r="N2" s="410" t="s">
        <v>3461</v>
      </c>
      <c r="O2" s="410" t="s">
        <v>104</v>
      </c>
      <c r="P2" s="410" t="s">
        <v>3462</v>
      </c>
      <c r="Q2" s="410" t="s">
        <v>3463</v>
      </c>
      <c r="R2" s="410" t="s">
        <v>3464</v>
      </c>
      <c r="S2" s="410" t="s">
        <v>3465</v>
      </c>
      <c r="T2" s="410" t="s">
        <v>3466</v>
      </c>
      <c r="U2" s="410" t="s">
        <v>3467</v>
      </c>
      <c r="V2" s="410" t="s">
        <v>3468</v>
      </c>
      <c r="W2" s="410" t="s">
        <v>3469</v>
      </c>
      <c r="X2" s="410" t="s">
        <v>3470</v>
      </c>
      <c r="Y2" s="410" t="s">
        <v>3471</v>
      </c>
      <c r="Z2" s="410" t="s">
        <v>3472</v>
      </c>
      <c r="AA2" s="410" t="s">
        <v>3473</v>
      </c>
      <c r="AB2" s="410" t="s">
        <v>3474</v>
      </c>
      <c r="AC2" s="410" t="s">
        <v>3475</v>
      </c>
      <c r="AD2" s="410" t="s">
        <v>3476</v>
      </c>
      <c r="AE2" s="410" t="s">
        <v>3477</v>
      </c>
      <c r="AF2" s="410" t="s">
        <v>3478</v>
      </c>
      <c r="AG2" s="410" t="s">
        <v>3479</v>
      </c>
      <c r="AH2" s="410" t="s">
        <v>3480</v>
      </c>
      <c r="AI2" s="410" t="s">
        <v>3481</v>
      </c>
      <c r="AJ2" s="410" t="s">
        <v>3482</v>
      </c>
      <c r="AK2" s="410" t="s">
        <v>3483</v>
      </c>
      <c r="AL2" s="401" t="s">
        <v>3484</v>
      </c>
      <c r="AM2" s="401" t="s">
        <v>3485</v>
      </c>
      <c r="AN2" s="401" t="s">
        <v>3486</v>
      </c>
      <c r="AO2" s="401" t="s">
        <v>104</v>
      </c>
      <c r="AP2" s="401" t="s">
        <v>3487</v>
      </c>
      <c r="AQ2" s="401" t="s">
        <v>3488</v>
      </c>
    </row>
    <row r="3" spans="1:45" ht="24">
      <c r="A3" s="436" t="s">
        <v>3489</v>
      </c>
      <c r="B3" s="436" t="s">
        <v>3490</v>
      </c>
      <c r="C3" s="437" t="s">
        <v>3491</v>
      </c>
      <c r="D3" s="436" t="s">
        <v>3504</v>
      </c>
      <c r="E3" s="437" t="s">
        <v>3505</v>
      </c>
      <c r="F3" s="436" t="s">
        <v>3494</v>
      </c>
      <c r="G3" s="436" t="s">
        <v>3495</v>
      </c>
      <c r="H3" s="437" t="s">
        <v>3496</v>
      </c>
      <c r="I3" s="436" t="s">
        <v>3497</v>
      </c>
      <c r="J3" s="437" t="s">
        <v>3498</v>
      </c>
      <c r="K3" s="437" t="s">
        <v>3499</v>
      </c>
      <c r="L3" s="436" t="s">
        <v>3500</v>
      </c>
      <c r="M3" s="436" t="s">
        <v>3501</v>
      </c>
      <c r="N3" s="436" t="s">
        <v>3502</v>
      </c>
      <c r="O3" s="438">
        <v>119000</v>
      </c>
      <c r="P3" s="438">
        <v>82110</v>
      </c>
      <c r="Q3" s="438">
        <v>1</v>
      </c>
      <c r="R3" s="438">
        <v>0</v>
      </c>
      <c r="S3" s="438">
        <v>0</v>
      </c>
      <c r="T3" s="438">
        <v>0</v>
      </c>
      <c r="U3" s="438">
        <v>0</v>
      </c>
      <c r="V3" s="438">
        <v>0</v>
      </c>
      <c r="W3" s="438">
        <v>31</v>
      </c>
      <c r="X3" s="438">
        <v>0</v>
      </c>
      <c r="Y3" s="438">
        <v>10000</v>
      </c>
      <c r="Z3" s="438">
        <v>0</v>
      </c>
      <c r="AA3" s="438">
        <v>0</v>
      </c>
      <c r="AB3" s="438">
        <v>0</v>
      </c>
      <c r="AC3" s="438">
        <v>119000</v>
      </c>
      <c r="AD3" s="438">
        <v>82110</v>
      </c>
      <c r="AE3" s="438">
        <v>0</v>
      </c>
      <c r="AF3" s="438">
        <v>10000</v>
      </c>
      <c r="AG3" s="438">
        <v>109000</v>
      </c>
      <c r="AH3" s="438">
        <v>82110</v>
      </c>
      <c r="AI3" s="438">
        <v>24445</v>
      </c>
      <c r="AJ3" s="438">
        <v>2445</v>
      </c>
      <c r="AK3" s="438">
        <v>26890</v>
      </c>
      <c r="AL3" s="414" t="str">
        <f t="shared" ref="AL3:AL66" si="0">SUBSTITUTE(SUBSTITUTE(H3,"[워커힐]워커힐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3" s="395">
        <f t="shared" ref="AM3:AM66" si="1">IF(N3="배송완료", DATE(LEFT(M3,4), MID(M3,6,2), MID(M3,9,2)), "")</f>
        <v>46059</v>
      </c>
      <c r="AN3" s="396">
        <f t="shared" ref="AN3:AN66" si="2">IF(OR(N3="배송완료", Q3&lt;0), Q3, 0)</f>
        <v>1</v>
      </c>
      <c r="AO3" s="109">
        <f t="shared" ref="AO3:AO66" si="3">IF(AL3="워커힐 시그니처 양념 본갈비 300g, 8개",119000,IF(AL3="워커힐 시그니처 양념 본갈비 300g, 4개",78000,""))</f>
        <v>119000</v>
      </c>
      <c r="AP3" s="109">
        <f t="shared" ref="AP3:AP66" si="4">AO3/1.1</f>
        <v>108181.81818181818</v>
      </c>
      <c r="AQ3" s="397">
        <f t="shared" ref="AQ3:AQ66" si="5">AN3*AP3</f>
        <v>108181.81818181818</v>
      </c>
      <c r="AS3" s="408"/>
    </row>
    <row r="4" spans="1:45" ht="24">
      <c r="A4" s="436" t="s">
        <v>3503</v>
      </c>
      <c r="B4" s="436" t="s">
        <v>3490</v>
      </c>
      <c r="C4" s="437" t="s">
        <v>3491</v>
      </c>
      <c r="D4" s="436" t="s">
        <v>3492</v>
      </c>
      <c r="E4" s="437" t="s">
        <v>3493</v>
      </c>
      <c r="F4" s="436" t="s">
        <v>3494</v>
      </c>
      <c r="G4" s="436" t="s">
        <v>3495</v>
      </c>
      <c r="H4" s="437" t="s">
        <v>3496</v>
      </c>
      <c r="I4" s="436" t="s">
        <v>3497</v>
      </c>
      <c r="J4" s="437" t="s">
        <v>3498</v>
      </c>
      <c r="K4" s="437" t="s">
        <v>3499</v>
      </c>
      <c r="L4" s="436" t="s">
        <v>3500</v>
      </c>
      <c r="M4" s="436" t="s">
        <v>3501</v>
      </c>
      <c r="N4" s="436" t="s">
        <v>3502</v>
      </c>
      <c r="O4" s="438">
        <v>119000</v>
      </c>
      <c r="P4" s="438">
        <v>82110</v>
      </c>
      <c r="Q4" s="438">
        <v>1</v>
      </c>
      <c r="R4" s="438">
        <v>0</v>
      </c>
      <c r="S4" s="438">
        <v>0</v>
      </c>
      <c r="T4" s="438">
        <v>0</v>
      </c>
      <c r="U4" s="438">
        <v>0</v>
      </c>
      <c r="V4" s="438">
        <v>0</v>
      </c>
      <c r="W4" s="438">
        <v>31</v>
      </c>
      <c r="X4" s="438">
        <v>0</v>
      </c>
      <c r="Y4" s="438">
        <v>15000</v>
      </c>
      <c r="Z4" s="438">
        <v>0</v>
      </c>
      <c r="AA4" s="438">
        <v>0</v>
      </c>
      <c r="AB4" s="438">
        <v>5200</v>
      </c>
      <c r="AC4" s="438">
        <v>119000</v>
      </c>
      <c r="AD4" s="438">
        <v>82110</v>
      </c>
      <c r="AE4" s="438">
        <v>0</v>
      </c>
      <c r="AF4" s="438">
        <v>20200</v>
      </c>
      <c r="AG4" s="438">
        <v>98800</v>
      </c>
      <c r="AH4" s="438">
        <v>82110</v>
      </c>
      <c r="AI4" s="438">
        <v>15173</v>
      </c>
      <c r="AJ4" s="438">
        <v>1517</v>
      </c>
      <c r="AK4" s="438">
        <v>16690</v>
      </c>
      <c r="AL4" s="414" t="str">
        <f t="shared" si="0"/>
        <v>워커힐 시그니처 양념 본갈비 300g, 8개</v>
      </c>
      <c r="AM4" s="395">
        <f t="shared" si="1"/>
        <v>46059</v>
      </c>
      <c r="AN4" s="396">
        <f t="shared" si="2"/>
        <v>1</v>
      </c>
      <c r="AO4" s="109">
        <f t="shared" si="3"/>
        <v>119000</v>
      </c>
      <c r="AP4" s="109">
        <f t="shared" si="4"/>
        <v>108181.81818181818</v>
      </c>
      <c r="AQ4" s="397">
        <f t="shared" si="5"/>
        <v>108181.81818181818</v>
      </c>
    </row>
    <row r="5" spans="1:45" ht="24">
      <c r="A5" s="436" t="s">
        <v>3506</v>
      </c>
      <c r="B5" s="436" t="s">
        <v>3490</v>
      </c>
      <c r="C5" s="437" t="s">
        <v>3491</v>
      </c>
      <c r="D5" s="436" t="s">
        <v>3507</v>
      </c>
      <c r="E5" s="437" t="s">
        <v>3508</v>
      </c>
      <c r="F5" s="436" t="s">
        <v>3494</v>
      </c>
      <c r="G5" s="436" t="s">
        <v>3495</v>
      </c>
      <c r="H5" s="437" t="s">
        <v>3496</v>
      </c>
      <c r="I5" s="436" t="s">
        <v>3497</v>
      </c>
      <c r="J5" s="437" t="s">
        <v>3498</v>
      </c>
      <c r="K5" s="437" t="s">
        <v>3499</v>
      </c>
      <c r="L5" s="436" t="s">
        <v>3500</v>
      </c>
      <c r="M5" s="436" t="s">
        <v>3501</v>
      </c>
      <c r="N5" s="436" t="s">
        <v>3510</v>
      </c>
      <c r="O5" s="438">
        <v>119000</v>
      </c>
      <c r="P5" s="438">
        <v>82110</v>
      </c>
      <c r="Q5" s="438">
        <v>-1</v>
      </c>
      <c r="R5" s="438">
        <v>0</v>
      </c>
      <c r="S5" s="438">
        <v>0</v>
      </c>
      <c r="T5" s="438">
        <v>0</v>
      </c>
      <c r="U5" s="438">
        <v>0</v>
      </c>
      <c r="V5" s="438">
        <v>0</v>
      </c>
      <c r="W5" s="438">
        <v>31</v>
      </c>
      <c r="X5" s="438">
        <v>0</v>
      </c>
      <c r="Y5" s="438">
        <v>0</v>
      </c>
      <c r="Z5" s="438">
        <v>0</v>
      </c>
      <c r="AA5" s="438">
        <v>0</v>
      </c>
      <c r="AB5" s="438">
        <v>-5950</v>
      </c>
      <c r="AC5" s="438">
        <v>-119000</v>
      </c>
      <c r="AD5" s="438">
        <v>-82110</v>
      </c>
      <c r="AE5" s="438">
        <v>0</v>
      </c>
      <c r="AF5" s="438">
        <v>-5950</v>
      </c>
      <c r="AG5" s="438">
        <v>-113050</v>
      </c>
      <c r="AH5" s="438">
        <v>-82110</v>
      </c>
      <c r="AI5" s="438">
        <v>-28127</v>
      </c>
      <c r="AJ5" s="438">
        <v>-2813</v>
      </c>
      <c r="AK5" s="438">
        <v>-30940</v>
      </c>
      <c r="AL5" s="414" t="str">
        <f t="shared" si="0"/>
        <v>워커힐 시그니처 양념 본갈비 300g, 8개</v>
      </c>
      <c r="AM5" s="395" t="str">
        <f t="shared" si="1"/>
        <v/>
      </c>
      <c r="AN5" s="396">
        <f t="shared" si="2"/>
        <v>-1</v>
      </c>
      <c r="AO5" s="109">
        <f t="shared" si="3"/>
        <v>119000</v>
      </c>
      <c r="AP5" s="109">
        <f t="shared" si="4"/>
        <v>108181.81818181818</v>
      </c>
      <c r="AQ5" s="397">
        <f t="shared" si="5"/>
        <v>-108181.81818181818</v>
      </c>
    </row>
    <row r="6" spans="1:45" ht="24">
      <c r="A6" s="436" t="s">
        <v>3509</v>
      </c>
      <c r="B6" s="436" t="s">
        <v>3490</v>
      </c>
      <c r="C6" s="437" t="s">
        <v>3491</v>
      </c>
      <c r="D6" s="436" t="s">
        <v>3507</v>
      </c>
      <c r="E6" s="437" t="s">
        <v>3508</v>
      </c>
      <c r="F6" s="436" t="s">
        <v>3494</v>
      </c>
      <c r="G6" s="436" t="s">
        <v>3495</v>
      </c>
      <c r="H6" s="437" t="s">
        <v>3496</v>
      </c>
      <c r="I6" s="436" t="s">
        <v>3497</v>
      </c>
      <c r="J6" s="437" t="s">
        <v>3498</v>
      </c>
      <c r="K6" s="437" t="s">
        <v>3499</v>
      </c>
      <c r="L6" s="436" t="s">
        <v>3500</v>
      </c>
      <c r="M6" s="436" t="s">
        <v>3501</v>
      </c>
      <c r="N6" s="436" t="s">
        <v>3502</v>
      </c>
      <c r="O6" s="438">
        <v>119000</v>
      </c>
      <c r="P6" s="438">
        <v>82110</v>
      </c>
      <c r="Q6" s="438">
        <v>1</v>
      </c>
      <c r="R6" s="438">
        <v>0</v>
      </c>
      <c r="S6" s="438">
        <v>0</v>
      </c>
      <c r="T6" s="438">
        <v>0</v>
      </c>
      <c r="U6" s="438">
        <v>0</v>
      </c>
      <c r="V6" s="438">
        <v>0</v>
      </c>
      <c r="W6" s="438">
        <v>31</v>
      </c>
      <c r="X6" s="438">
        <v>0</v>
      </c>
      <c r="Y6" s="438">
        <v>0</v>
      </c>
      <c r="Z6" s="438">
        <v>0</v>
      </c>
      <c r="AA6" s="438">
        <v>0</v>
      </c>
      <c r="AB6" s="438">
        <v>5950</v>
      </c>
      <c r="AC6" s="438">
        <v>119000</v>
      </c>
      <c r="AD6" s="438">
        <v>82110</v>
      </c>
      <c r="AE6" s="438">
        <v>0</v>
      </c>
      <c r="AF6" s="438">
        <v>5950</v>
      </c>
      <c r="AG6" s="438">
        <v>113050</v>
      </c>
      <c r="AH6" s="438">
        <v>82110</v>
      </c>
      <c r="AI6" s="438">
        <v>28127</v>
      </c>
      <c r="AJ6" s="438">
        <v>2813</v>
      </c>
      <c r="AK6" s="438">
        <v>30940</v>
      </c>
      <c r="AL6" s="414" t="str">
        <f t="shared" si="0"/>
        <v>워커힐 시그니처 양념 본갈비 300g, 8개</v>
      </c>
      <c r="AM6" s="395">
        <f t="shared" si="1"/>
        <v>46059</v>
      </c>
      <c r="AN6" s="396">
        <f>IF(OR(N6="배송완료", Q6&lt;0), Q6, 0)</f>
        <v>1</v>
      </c>
      <c r="AO6" s="109">
        <f t="shared" si="3"/>
        <v>119000</v>
      </c>
      <c r="AP6" s="109">
        <f t="shared" si="4"/>
        <v>108181.81818181818</v>
      </c>
      <c r="AQ6" s="397">
        <f t="shared" si="5"/>
        <v>108181.81818181818</v>
      </c>
    </row>
    <row r="7" spans="1:45" ht="24">
      <c r="A7" s="436" t="s">
        <v>3511</v>
      </c>
      <c r="B7" s="436" t="s">
        <v>3490</v>
      </c>
      <c r="C7" s="437" t="s">
        <v>3491</v>
      </c>
      <c r="D7" s="436" t="s">
        <v>3519</v>
      </c>
      <c r="E7" s="437" t="s">
        <v>3520</v>
      </c>
      <c r="F7" s="436" t="s">
        <v>3514</v>
      </c>
      <c r="G7" s="436" t="s">
        <v>3495</v>
      </c>
      <c r="H7" s="437" t="s">
        <v>3496</v>
      </c>
      <c r="I7" s="436" t="s">
        <v>3497</v>
      </c>
      <c r="J7" s="437" t="s">
        <v>3498</v>
      </c>
      <c r="K7" s="437" t="s">
        <v>163</v>
      </c>
      <c r="L7" s="436" t="s">
        <v>3500</v>
      </c>
      <c r="M7" s="436" t="s">
        <v>3501</v>
      </c>
      <c r="N7" s="436" t="s">
        <v>3502</v>
      </c>
      <c r="O7" s="438">
        <v>119000</v>
      </c>
      <c r="P7" s="438">
        <v>82110</v>
      </c>
      <c r="Q7" s="438">
        <v>1</v>
      </c>
      <c r="R7" s="438">
        <v>0</v>
      </c>
      <c r="S7" s="438">
        <v>0</v>
      </c>
      <c r="T7" s="438">
        <v>0</v>
      </c>
      <c r="U7" s="438">
        <v>0</v>
      </c>
      <c r="V7" s="438">
        <v>0</v>
      </c>
      <c r="W7" s="438">
        <v>31</v>
      </c>
      <c r="X7" s="438">
        <v>0</v>
      </c>
      <c r="Y7" s="438">
        <v>0</v>
      </c>
      <c r="Z7" s="438">
        <v>0</v>
      </c>
      <c r="AA7" s="438">
        <v>0</v>
      </c>
      <c r="AB7" s="438">
        <v>0</v>
      </c>
      <c r="AC7" s="438">
        <v>119000</v>
      </c>
      <c r="AD7" s="438">
        <v>82110</v>
      </c>
      <c r="AE7" s="438">
        <v>0</v>
      </c>
      <c r="AF7" s="438">
        <v>0</v>
      </c>
      <c r="AG7" s="438">
        <v>119000</v>
      </c>
      <c r="AH7" s="438">
        <v>82110</v>
      </c>
      <c r="AI7" s="438">
        <v>33536</v>
      </c>
      <c r="AJ7" s="438">
        <v>3354</v>
      </c>
      <c r="AK7" s="438">
        <v>36890</v>
      </c>
      <c r="AL7" s="414" t="str">
        <f t="shared" si="0"/>
        <v>워커힐 시그니처 양념 본갈비 300g, 8개</v>
      </c>
      <c r="AM7" s="395">
        <f t="shared" si="1"/>
        <v>46059</v>
      </c>
      <c r="AN7" s="396">
        <f t="shared" si="2"/>
        <v>1</v>
      </c>
      <c r="AO7" s="109">
        <f t="shared" si="3"/>
        <v>119000</v>
      </c>
      <c r="AP7" s="109">
        <f t="shared" si="4"/>
        <v>108181.81818181818</v>
      </c>
      <c r="AQ7" s="397">
        <f t="shared" si="5"/>
        <v>108181.81818181818</v>
      </c>
    </row>
    <row r="8" spans="1:45" ht="24">
      <c r="A8" s="436" t="s">
        <v>3515</v>
      </c>
      <c r="B8" s="436" t="s">
        <v>3490</v>
      </c>
      <c r="C8" s="437" t="s">
        <v>3491</v>
      </c>
      <c r="D8" s="436" t="s">
        <v>3512</v>
      </c>
      <c r="E8" s="437" t="s">
        <v>3513</v>
      </c>
      <c r="F8" s="436" t="s">
        <v>3514</v>
      </c>
      <c r="G8" s="436" t="s">
        <v>3495</v>
      </c>
      <c r="H8" s="437" t="s">
        <v>3496</v>
      </c>
      <c r="I8" s="436" t="s">
        <v>3497</v>
      </c>
      <c r="J8" s="437" t="s">
        <v>3498</v>
      </c>
      <c r="K8" s="437" t="s">
        <v>163</v>
      </c>
      <c r="L8" s="436" t="s">
        <v>3500</v>
      </c>
      <c r="M8" s="436" t="s">
        <v>3501</v>
      </c>
      <c r="N8" s="436" t="s">
        <v>3502</v>
      </c>
      <c r="O8" s="438">
        <v>119000</v>
      </c>
      <c r="P8" s="438">
        <v>82110</v>
      </c>
      <c r="Q8" s="438">
        <v>1</v>
      </c>
      <c r="R8" s="438">
        <v>0</v>
      </c>
      <c r="S8" s="438">
        <v>0</v>
      </c>
      <c r="T8" s="438">
        <v>0</v>
      </c>
      <c r="U8" s="438">
        <v>0</v>
      </c>
      <c r="V8" s="438">
        <v>0</v>
      </c>
      <c r="W8" s="438">
        <v>31</v>
      </c>
      <c r="X8" s="438">
        <v>0</v>
      </c>
      <c r="Y8" s="438">
        <v>0</v>
      </c>
      <c r="Z8" s="438">
        <v>0</v>
      </c>
      <c r="AA8" s="438">
        <v>0</v>
      </c>
      <c r="AB8" s="438">
        <v>0</v>
      </c>
      <c r="AC8" s="438">
        <v>119000</v>
      </c>
      <c r="AD8" s="438">
        <v>82110</v>
      </c>
      <c r="AE8" s="438">
        <v>0</v>
      </c>
      <c r="AF8" s="438">
        <v>0</v>
      </c>
      <c r="AG8" s="438">
        <v>119000</v>
      </c>
      <c r="AH8" s="438">
        <v>82110</v>
      </c>
      <c r="AI8" s="438">
        <v>33536</v>
      </c>
      <c r="AJ8" s="438">
        <v>3354</v>
      </c>
      <c r="AK8" s="438">
        <v>36890</v>
      </c>
      <c r="AL8" s="414" t="str">
        <f t="shared" si="0"/>
        <v>워커힐 시그니처 양념 본갈비 300g, 8개</v>
      </c>
      <c r="AM8" s="395">
        <f t="shared" si="1"/>
        <v>46059</v>
      </c>
      <c r="AN8" s="396">
        <f t="shared" si="2"/>
        <v>1</v>
      </c>
      <c r="AO8" s="109">
        <f t="shared" si="3"/>
        <v>119000</v>
      </c>
      <c r="AP8" s="109">
        <f t="shared" si="4"/>
        <v>108181.81818181818</v>
      </c>
      <c r="AQ8" s="397">
        <f t="shared" si="5"/>
        <v>108181.81818181818</v>
      </c>
    </row>
    <row r="9" spans="1:45" ht="24">
      <c r="A9" s="436" t="s">
        <v>3518</v>
      </c>
      <c r="B9" s="436" t="s">
        <v>3490</v>
      </c>
      <c r="C9" s="437" t="s">
        <v>3491</v>
      </c>
      <c r="D9" s="436" t="s">
        <v>3516</v>
      </c>
      <c r="E9" s="437" t="s">
        <v>3517</v>
      </c>
      <c r="F9" s="436" t="s">
        <v>3514</v>
      </c>
      <c r="G9" s="436" t="s">
        <v>3495</v>
      </c>
      <c r="H9" s="437" t="s">
        <v>3496</v>
      </c>
      <c r="I9" s="436" t="s">
        <v>3497</v>
      </c>
      <c r="J9" s="437" t="s">
        <v>3498</v>
      </c>
      <c r="K9" s="437" t="s">
        <v>3499</v>
      </c>
      <c r="L9" s="436" t="s">
        <v>3500</v>
      </c>
      <c r="M9" s="436" t="s">
        <v>3501</v>
      </c>
      <c r="N9" s="436" t="s">
        <v>3502</v>
      </c>
      <c r="O9" s="438">
        <v>119000</v>
      </c>
      <c r="P9" s="438">
        <v>82110</v>
      </c>
      <c r="Q9" s="438">
        <v>1</v>
      </c>
      <c r="R9" s="438">
        <v>0</v>
      </c>
      <c r="S9" s="438">
        <v>0</v>
      </c>
      <c r="T9" s="438">
        <v>0</v>
      </c>
      <c r="U9" s="438">
        <v>0</v>
      </c>
      <c r="V9" s="438">
        <v>0</v>
      </c>
      <c r="W9" s="438">
        <v>31</v>
      </c>
      <c r="X9" s="438">
        <v>17850</v>
      </c>
      <c r="Y9" s="438">
        <v>0</v>
      </c>
      <c r="Z9" s="438">
        <v>0</v>
      </c>
      <c r="AA9" s="438">
        <v>0</v>
      </c>
      <c r="AB9" s="438">
        <v>0</v>
      </c>
      <c r="AC9" s="438">
        <v>119000</v>
      </c>
      <c r="AD9" s="438">
        <v>82110</v>
      </c>
      <c r="AE9" s="438">
        <v>0</v>
      </c>
      <c r="AF9" s="438">
        <v>17850</v>
      </c>
      <c r="AG9" s="438">
        <v>101150</v>
      </c>
      <c r="AH9" s="438">
        <v>82110</v>
      </c>
      <c r="AI9" s="438">
        <v>17309</v>
      </c>
      <c r="AJ9" s="438">
        <v>1731</v>
      </c>
      <c r="AK9" s="438">
        <v>19040</v>
      </c>
      <c r="AL9" s="414" t="str">
        <f t="shared" si="0"/>
        <v>워커힐 시그니처 양념 본갈비 300g, 8개</v>
      </c>
      <c r="AM9" s="395">
        <f t="shared" si="1"/>
        <v>46059</v>
      </c>
      <c r="AN9" s="396">
        <f t="shared" si="2"/>
        <v>1</v>
      </c>
      <c r="AO9" s="109">
        <f t="shared" si="3"/>
        <v>119000</v>
      </c>
      <c r="AP9" s="109">
        <f t="shared" si="4"/>
        <v>108181.81818181818</v>
      </c>
      <c r="AQ9" s="397">
        <f t="shared" si="5"/>
        <v>108181.81818181818</v>
      </c>
    </row>
    <row r="10" spans="1:45" ht="24">
      <c r="A10" s="436" t="s">
        <v>3521</v>
      </c>
      <c r="B10" s="436" t="s">
        <v>3490</v>
      </c>
      <c r="C10" s="437" t="s">
        <v>3491</v>
      </c>
      <c r="D10" s="436" t="s">
        <v>3762</v>
      </c>
      <c r="E10" s="437" t="s">
        <v>3763</v>
      </c>
      <c r="F10" s="436" t="s">
        <v>3494</v>
      </c>
      <c r="G10" s="436" t="s">
        <v>3495</v>
      </c>
      <c r="H10" s="437" t="s">
        <v>3496</v>
      </c>
      <c r="I10" s="436" t="s">
        <v>3497</v>
      </c>
      <c r="J10" s="437" t="s">
        <v>3498</v>
      </c>
      <c r="K10" s="437" t="s">
        <v>3499</v>
      </c>
      <c r="L10" s="436" t="s">
        <v>3500</v>
      </c>
      <c r="M10" s="436" t="s">
        <v>3524</v>
      </c>
      <c r="N10" s="436" t="s">
        <v>3502</v>
      </c>
      <c r="O10" s="438">
        <v>119000</v>
      </c>
      <c r="P10" s="438">
        <v>82110</v>
      </c>
      <c r="Q10" s="438">
        <v>1</v>
      </c>
      <c r="R10" s="438">
        <v>0</v>
      </c>
      <c r="S10" s="438">
        <v>0</v>
      </c>
      <c r="T10" s="438">
        <v>0</v>
      </c>
      <c r="U10" s="438">
        <v>0</v>
      </c>
      <c r="V10" s="438">
        <v>0</v>
      </c>
      <c r="W10" s="438">
        <v>31</v>
      </c>
      <c r="X10" s="438">
        <v>0</v>
      </c>
      <c r="Y10" s="438">
        <v>0</v>
      </c>
      <c r="Z10" s="438">
        <v>0</v>
      </c>
      <c r="AA10" s="438">
        <v>0</v>
      </c>
      <c r="AB10" s="438">
        <v>0</v>
      </c>
      <c r="AC10" s="438">
        <v>119000</v>
      </c>
      <c r="AD10" s="438">
        <v>82110</v>
      </c>
      <c r="AE10" s="438">
        <v>0</v>
      </c>
      <c r="AF10" s="438">
        <v>0</v>
      </c>
      <c r="AG10" s="438">
        <v>119000</v>
      </c>
      <c r="AH10" s="438">
        <v>82110</v>
      </c>
      <c r="AI10" s="438">
        <v>33536</v>
      </c>
      <c r="AJ10" s="438">
        <v>3354</v>
      </c>
      <c r="AK10" s="438">
        <v>36890</v>
      </c>
      <c r="AL10" s="414" t="str">
        <f t="shared" si="0"/>
        <v>워커힐 시그니처 양념 본갈비 300g, 8개</v>
      </c>
      <c r="AM10" s="395">
        <f t="shared" si="1"/>
        <v>46060</v>
      </c>
      <c r="AN10" s="396">
        <f t="shared" si="2"/>
        <v>1</v>
      </c>
      <c r="AO10" s="109">
        <f t="shared" si="3"/>
        <v>119000</v>
      </c>
      <c r="AP10" s="109">
        <f t="shared" si="4"/>
        <v>108181.81818181818</v>
      </c>
      <c r="AQ10" s="397">
        <f t="shared" si="5"/>
        <v>108181.81818181818</v>
      </c>
    </row>
    <row r="11" spans="1:45" ht="24">
      <c r="A11" s="436" t="s">
        <v>3525</v>
      </c>
      <c r="B11" s="436" t="s">
        <v>3490</v>
      </c>
      <c r="C11" s="437" t="s">
        <v>3491</v>
      </c>
      <c r="D11" s="436" t="s">
        <v>3768</v>
      </c>
      <c r="E11" s="437" t="s">
        <v>3769</v>
      </c>
      <c r="F11" s="436" t="s">
        <v>3494</v>
      </c>
      <c r="G11" s="436" t="s">
        <v>3495</v>
      </c>
      <c r="H11" s="437" t="s">
        <v>3496</v>
      </c>
      <c r="I11" s="436" t="s">
        <v>3497</v>
      </c>
      <c r="J11" s="437" t="s">
        <v>3498</v>
      </c>
      <c r="K11" s="437" t="s">
        <v>3499</v>
      </c>
      <c r="L11" s="436" t="s">
        <v>3500</v>
      </c>
      <c r="M11" s="436" t="s">
        <v>3524</v>
      </c>
      <c r="N11" s="436" t="s">
        <v>3502</v>
      </c>
      <c r="O11" s="438">
        <v>119000</v>
      </c>
      <c r="P11" s="438">
        <v>82110</v>
      </c>
      <c r="Q11" s="438">
        <v>1</v>
      </c>
      <c r="R11" s="438">
        <v>0</v>
      </c>
      <c r="S11" s="438">
        <v>0</v>
      </c>
      <c r="T11" s="438">
        <v>0</v>
      </c>
      <c r="U11" s="438">
        <v>0</v>
      </c>
      <c r="V11" s="438">
        <v>0</v>
      </c>
      <c r="W11" s="438">
        <v>31</v>
      </c>
      <c r="X11" s="438">
        <v>0</v>
      </c>
      <c r="Y11" s="438">
        <v>0</v>
      </c>
      <c r="Z11" s="438">
        <v>0</v>
      </c>
      <c r="AA11" s="438">
        <v>0</v>
      </c>
      <c r="AB11" s="438">
        <v>5950</v>
      </c>
      <c r="AC11" s="438">
        <v>119000</v>
      </c>
      <c r="AD11" s="438">
        <v>82110</v>
      </c>
      <c r="AE11" s="438">
        <v>0</v>
      </c>
      <c r="AF11" s="438">
        <v>5950</v>
      </c>
      <c r="AG11" s="438">
        <v>113050</v>
      </c>
      <c r="AH11" s="438">
        <v>82110</v>
      </c>
      <c r="AI11" s="438">
        <v>28127</v>
      </c>
      <c r="AJ11" s="438">
        <v>2813</v>
      </c>
      <c r="AK11" s="438">
        <v>30940</v>
      </c>
      <c r="AL11" s="414" t="str">
        <f t="shared" si="0"/>
        <v>워커힐 시그니처 양념 본갈비 300g, 8개</v>
      </c>
      <c r="AM11" s="395">
        <f t="shared" si="1"/>
        <v>46060</v>
      </c>
      <c r="AN11" s="396">
        <f t="shared" si="2"/>
        <v>1</v>
      </c>
      <c r="AO11" s="109">
        <f t="shared" si="3"/>
        <v>119000</v>
      </c>
      <c r="AP11" s="109">
        <f t="shared" si="4"/>
        <v>108181.81818181818</v>
      </c>
      <c r="AQ11" s="397">
        <f t="shared" si="5"/>
        <v>108181.81818181818</v>
      </c>
    </row>
    <row r="12" spans="1:45" ht="24">
      <c r="A12" s="436" t="s">
        <v>3528</v>
      </c>
      <c r="B12" s="436" t="s">
        <v>3490</v>
      </c>
      <c r="C12" s="437" t="s">
        <v>3491</v>
      </c>
      <c r="D12" s="436" t="s">
        <v>3777</v>
      </c>
      <c r="E12" s="437" t="s">
        <v>3778</v>
      </c>
      <c r="F12" s="436" t="s">
        <v>3494</v>
      </c>
      <c r="G12" s="436" t="s">
        <v>3495</v>
      </c>
      <c r="H12" s="437" t="s">
        <v>3496</v>
      </c>
      <c r="I12" s="436" t="s">
        <v>3497</v>
      </c>
      <c r="J12" s="437" t="s">
        <v>3498</v>
      </c>
      <c r="K12" s="437" t="s">
        <v>3499</v>
      </c>
      <c r="L12" s="436" t="s">
        <v>3500</v>
      </c>
      <c r="M12" s="436" t="s">
        <v>3524</v>
      </c>
      <c r="N12" s="436" t="s">
        <v>3502</v>
      </c>
      <c r="O12" s="438">
        <v>119000</v>
      </c>
      <c r="P12" s="438">
        <v>82110</v>
      </c>
      <c r="Q12" s="438">
        <v>1</v>
      </c>
      <c r="R12" s="438">
        <v>0</v>
      </c>
      <c r="S12" s="438">
        <v>0</v>
      </c>
      <c r="T12" s="438">
        <v>0</v>
      </c>
      <c r="U12" s="438">
        <v>0</v>
      </c>
      <c r="V12" s="438">
        <v>0</v>
      </c>
      <c r="W12" s="438">
        <v>31</v>
      </c>
      <c r="X12" s="438">
        <v>0</v>
      </c>
      <c r="Y12" s="438">
        <v>0</v>
      </c>
      <c r="Z12" s="438">
        <v>0</v>
      </c>
      <c r="AA12" s="438">
        <v>0</v>
      </c>
      <c r="AB12" s="438">
        <v>0</v>
      </c>
      <c r="AC12" s="438">
        <v>119000</v>
      </c>
      <c r="AD12" s="438">
        <v>82110</v>
      </c>
      <c r="AE12" s="438">
        <v>0</v>
      </c>
      <c r="AF12" s="438">
        <v>0</v>
      </c>
      <c r="AG12" s="438">
        <v>119000</v>
      </c>
      <c r="AH12" s="438">
        <v>82110</v>
      </c>
      <c r="AI12" s="438">
        <v>33536</v>
      </c>
      <c r="AJ12" s="438">
        <v>3354</v>
      </c>
      <c r="AK12" s="438">
        <v>36890</v>
      </c>
      <c r="AL12" s="414" t="str">
        <f t="shared" si="0"/>
        <v>워커힐 시그니처 양념 본갈비 300g, 8개</v>
      </c>
      <c r="AM12" s="395">
        <f t="shared" si="1"/>
        <v>46060</v>
      </c>
      <c r="AN12" s="396">
        <f t="shared" si="2"/>
        <v>1</v>
      </c>
      <c r="AO12" s="109">
        <f t="shared" si="3"/>
        <v>119000</v>
      </c>
      <c r="AP12" s="109">
        <f t="shared" si="4"/>
        <v>108181.81818181818</v>
      </c>
      <c r="AQ12" s="397">
        <f t="shared" si="5"/>
        <v>108181.81818181818</v>
      </c>
    </row>
    <row r="13" spans="1:45" ht="24">
      <c r="A13" s="436" t="s">
        <v>3531</v>
      </c>
      <c r="B13" s="436" t="s">
        <v>3490</v>
      </c>
      <c r="C13" s="437" t="s">
        <v>3491</v>
      </c>
      <c r="D13" s="436" t="s">
        <v>3626</v>
      </c>
      <c r="E13" s="437" t="s">
        <v>3627</v>
      </c>
      <c r="F13" s="436" t="s">
        <v>3494</v>
      </c>
      <c r="G13" s="436" t="s">
        <v>3495</v>
      </c>
      <c r="H13" s="437" t="s">
        <v>3496</v>
      </c>
      <c r="I13" s="436" t="s">
        <v>3497</v>
      </c>
      <c r="J13" s="437" t="s">
        <v>3498</v>
      </c>
      <c r="K13" s="437" t="s">
        <v>3499</v>
      </c>
      <c r="L13" s="436" t="s">
        <v>3500</v>
      </c>
      <c r="M13" s="436" t="s">
        <v>3524</v>
      </c>
      <c r="N13" s="436" t="s">
        <v>3502</v>
      </c>
      <c r="O13" s="438">
        <v>119000</v>
      </c>
      <c r="P13" s="438">
        <v>82110</v>
      </c>
      <c r="Q13" s="438">
        <v>1</v>
      </c>
      <c r="R13" s="438">
        <v>0</v>
      </c>
      <c r="S13" s="438">
        <v>0</v>
      </c>
      <c r="T13" s="438">
        <v>0</v>
      </c>
      <c r="U13" s="438">
        <v>0</v>
      </c>
      <c r="V13" s="438">
        <v>0</v>
      </c>
      <c r="W13" s="438">
        <v>31</v>
      </c>
      <c r="X13" s="438">
        <v>0</v>
      </c>
      <c r="Y13" s="438">
        <v>0</v>
      </c>
      <c r="Z13" s="438">
        <v>0</v>
      </c>
      <c r="AA13" s="438">
        <v>0</v>
      </c>
      <c r="AB13" s="438">
        <v>0</v>
      </c>
      <c r="AC13" s="438">
        <v>119000</v>
      </c>
      <c r="AD13" s="438">
        <v>82110</v>
      </c>
      <c r="AE13" s="438">
        <v>0</v>
      </c>
      <c r="AF13" s="438">
        <v>0</v>
      </c>
      <c r="AG13" s="438">
        <v>119000</v>
      </c>
      <c r="AH13" s="438">
        <v>82110</v>
      </c>
      <c r="AI13" s="438">
        <v>33536</v>
      </c>
      <c r="AJ13" s="438">
        <v>3354</v>
      </c>
      <c r="AK13" s="438">
        <v>36890</v>
      </c>
      <c r="AL13" s="414" t="str">
        <f t="shared" si="0"/>
        <v>워커힐 시그니처 양념 본갈비 300g, 8개</v>
      </c>
      <c r="AM13" s="395">
        <f t="shared" si="1"/>
        <v>46060</v>
      </c>
      <c r="AN13" s="396">
        <f t="shared" si="2"/>
        <v>1</v>
      </c>
      <c r="AO13" s="109">
        <f t="shared" si="3"/>
        <v>119000</v>
      </c>
      <c r="AP13" s="109">
        <f t="shared" si="4"/>
        <v>108181.81818181818</v>
      </c>
      <c r="AQ13" s="397">
        <f t="shared" si="5"/>
        <v>108181.81818181818</v>
      </c>
    </row>
    <row r="14" spans="1:45" ht="24">
      <c r="A14" s="436" t="s">
        <v>3534</v>
      </c>
      <c r="B14" s="436" t="s">
        <v>3490</v>
      </c>
      <c r="C14" s="437" t="s">
        <v>3491</v>
      </c>
      <c r="D14" s="436" t="s">
        <v>3806</v>
      </c>
      <c r="E14" s="437" t="s">
        <v>3807</v>
      </c>
      <c r="F14" s="436" t="s">
        <v>3494</v>
      </c>
      <c r="G14" s="436" t="s">
        <v>3495</v>
      </c>
      <c r="H14" s="437" t="s">
        <v>3496</v>
      </c>
      <c r="I14" s="436" t="s">
        <v>3497</v>
      </c>
      <c r="J14" s="437" t="s">
        <v>3498</v>
      </c>
      <c r="K14" s="437" t="s">
        <v>3499</v>
      </c>
      <c r="L14" s="436" t="s">
        <v>3500</v>
      </c>
      <c r="M14" s="436" t="s">
        <v>3524</v>
      </c>
      <c r="N14" s="436" t="s">
        <v>3502</v>
      </c>
      <c r="O14" s="438">
        <v>119000</v>
      </c>
      <c r="P14" s="438">
        <v>82110</v>
      </c>
      <c r="Q14" s="438">
        <v>1</v>
      </c>
      <c r="R14" s="438">
        <v>0</v>
      </c>
      <c r="S14" s="438">
        <v>0</v>
      </c>
      <c r="T14" s="438">
        <v>0</v>
      </c>
      <c r="U14" s="438">
        <v>0</v>
      </c>
      <c r="V14" s="438">
        <v>0</v>
      </c>
      <c r="W14" s="438">
        <v>31</v>
      </c>
      <c r="X14" s="438">
        <v>0</v>
      </c>
      <c r="Y14" s="438">
        <v>0</v>
      </c>
      <c r="Z14" s="438">
        <v>0</v>
      </c>
      <c r="AA14" s="438">
        <v>0</v>
      </c>
      <c r="AB14" s="438">
        <v>0</v>
      </c>
      <c r="AC14" s="438">
        <v>119000</v>
      </c>
      <c r="AD14" s="438">
        <v>82110</v>
      </c>
      <c r="AE14" s="438">
        <v>0</v>
      </c>
      <c r="AF14" s="438">
        <v>0</v>
      </c>
      <c r="AG14" s="438">
        <v>119000</v>
      </c>
      <c r="AH14" s="438">
        <v>82110</v>
      </c>
      <c r="AI14" s="438">
        <v>33536</v>
      </c>
      <c r="AJ14" s="438">
        <v>3354</v>
      </c>
      <c r="AK14" s="438">
        <v>36890</v>
      </c>
      <c r="AL14" s="414" t="str">
        <f t="shared" si="0"/>
        <v>워커힐 시그니처 양념 본갈비 300g, 8개</v>
      </c>
      <c r="AM14" s="395">
        <f t="shared" si="1"/>
        <v>46060</v>
      </c>
      <c r="AN14" s="396">
        <f t="shared" si="2"/>
        <v>1</v>
      </c>
      <c r="AO14" s="109">
        <f t="shared" si="3"/>
        <v>119000</v>
      </c>
      <c r="AP14" s="109">
        <f t="shared" si="4"/>
        <v>108181.81818181818</v>
      </c>
      <c r="AQ14" s="397">
        <f t="shared" si="5"/>
        <v>108181.81818181818</v>
      </c>
    </row>
    <row r="15" spans="1:45" ht="24">
      <c r="A15" s="436" t="s">
        <v>3537</v>
      </c>
      <c r="B15" s="436" t="s">
        <v>3490</v>
      </c>
      <c r="C15" s="437" t="s">
        <v>3491</v>
      </c>
      <c r="D15" s="436" t="s">
        <v>3532</v>
      </c>
      <c r="E15" s="437" t="s">
        <v>3533</v>
      </c>
      <c r="F15" s="436" t="s">
        <v>3494</v>
      </c>
      <c r="G15" s="436" t="s">
        <v>3495</v>
      </c>
      <c r="H15" s="437" t="s">
        <v>3496</v>
      </c>
      <c r="I15" s="436" t="s">
        <v>3497</v>
      </c>
      <c r="J15" s="437" t="s">
        <v>3498</v>
      </c>
      <c r="K15" s="437" t="s">
        <v>3499</v>
      </c>
      <c r="L15" s="436" t="s">
        <v>3500</v>
      </c>
      <c r="M15" s="436" t="s">
        <v>3524</v>
      </c>
      <c r="N15" s="436" t="s">
        <v>3502</v>
      </c>
      <c r="O15" s="438">
        <v>119000</v>
      </c>
      <c r="P15" s="438">
        <v>82110</v>
      </c>
      <c r="Q15" s="438">
        <v>1</v>
      </c>
      <c r="R15" s="438">
        <v>0</v>
      </c>
      <c r="S15" s="438">
        <v>0</v>
      </c>
      <c r="T15" s="438">
        <v>0</v>
      </c>
      <c r="U15" s="438">
        <v>0</v>
      </c>
      <c r="V15" s="438">
        <v>0</v>
      </c>
      <c r="W15" s="438">
        <v>31</v>
      </c>
      <c r="X15" s="438">
        <v>0</v>
      </c>
      <c r="Y15" s="438">
        <v>0</v>
      </c>
      <c r="Z15" s="438">
        <v>0</v>
      </c>
      <c r="AA15" s="438">
        <v>0</v>
      </c>
      <c r="AB15" s="438">
        <v>0</v>
      </c>
      <c r="AC15" s="438">
        <v>119000</v>
      </c>
      <c r="AD15" s="438">
        <v>82110</v>
      </c>
      <c r="AE15" s="438">
        <v>0</v>
      </c>
      <c r="AF15" s="438">
        <v>0</v>
      </c>
      <c r="AG15" s="438">
        <v>119000</v>
      </c>
      <c r="AH15" s="438">
        <v>82110</v>
      </c>
      <c r="AI15" s="438">
        <v>33536</v>
      </c>
      <c r="AJ15" s="438">
        <v>3354</v>
      </c>
      <c r="AK15" s="438">
        <v>36890</v>
      </c>
      <c r="AL15" s="414" t="str">
        <f t="shared" si="0"/>
        <v>워커힐 시그니처 양념 본갈비 300g, 8개</v>
      </c>
      <c r="AM15" s="395">
        <f t="shared" si="1"/>
        <v>46060</v>
      </c>
      <c r="AN15" s="396">
        <f t="shared" si="2"/>
        <v>1</v>
      </c>
      <c r="AO15" s="109">
        <f t="shared" si="3"/>
        <v>119000</v>
      </c>
      <c r="AP15" s="109">
        <f t="shared" si="4"/>
        <v>108181.81818181818</v>
      </c>
      <c r="AQ15" s="397">
        <f t="shared" si="5"/>
        <v>108181.81818181818</v>
      </c>
    </row>
    <row r="16" spans="1:45" ht="24">
      <c r="A16" s="436" t="s">
        <v>3539</v>
      </c>
      <c r="B16" s="436" t="s">
        <v>3490</v>
      </c>
      <c r="C16" s="437" t="s">
        <v>3491</v>
      </c>
      <c r="D16" s="436" t="s">
        <v>3635</v>
      </c>
      <c r="E16" s="437" t="s">
        <v>3636</v>
      </c>
      <c r="F16" s="436" t="s">
        <v>3494</v>
      </c>
      <c r="G16" s="436" t="s">
        <v>3495</v>
      </c>
      <c r="H16" s="437" t="s">
        <v>3496</v>
      </c>
      <c r="I16" s="436" t="s">
        <v>3497</v>
      </c>
      <c r="J16" s="437" t="s">
        <v>3498</v>
      </c>
      <c r="K16" s="437" t="s">
        <v>3499</v>
      </c>
      <c r="L16" s="436" t="s">
        <v>3500</v>
      </c>
      <c r="M16" s="436" t="s">
        <v>3524</v>
      </c>
      <c r="N16" s="436" t="s">
        <v>3502</v>
      </c>
      <c r="O16" s="438">
        <v>119000</v>
      </c>
      <c r="P16" s="438">
        <v>82110</v>
      </c>
      <c r="Q16" s="438">
        <v>1</v>
      </c>
      <c r="R16" s="438">
        <v>0</v>
      </c>
      <c r="S16" s="438">
        <v>0</v>
      </c>
      <c r="T16" s="438">
        <v>0</v>
      </c>
      <c r="U16" s="438">
        <v>0</v>
      </c>
      <c r="V16" s="438">
        <v>0</v>
      </c>
      <c r="W16" s="438">
        <v>31</v>
      </c>
      <c r="X16" s="438">
        <v>0</v>
      </c>
      <c r="Y16" s="438">
        <v>0</v>
      </c>
      <c r="Z16" s="438">
        <v>0</v>
      </c>
      <c r="AA16" s="438">
        <v>0</v>
      </c>
      <c r="AB16" s="438">
        <v>0</v>
      </c>
      <c r="AC16" s="438">
        <v>119000</v>
      </c>
      <c r="AD16" s="438">
        <v>82110</v>
      </c>
      <c r="AE16" s="438">
        <v>0</v>
      </c>
      <c r="AF16" s="438">
        <v>0</v>
      </c>
      <c r="AG16" s="438">
        <v>119000</v>
      </c>
      <c r="AH16" s="438">
        <v>82110</v>
      </c>
      <c r="AI16" s="438">
        <v>33536</v>
      </c>
      <c r="AJ16" s="438">
        <v>3354</v>
      </c>
      <c r="AK16" s="438">
        <v>36890</v>
      </c>
      <c r="AL16" s="414" t="str">
        <f t="shared" si="0"/>
        <v>워커힐 시그니처 양념 본갈비 300g, 8개</v>
      </c>
      <c r="AM16" s="395">
        <f t="shared" si="1"/>
        <v>46060</v>
      </c>
      <c r="AN16" s="396">
        <f t="shared" si="2"/>
        <v>1</v>
      </c>
      <c r="AO16" s="109">
        <f t="shared" si="3"/>
        <v>119000</v>
      </c>
      <c r="AP16" s="109">
        <f t="shared" si="4"/>
        <v>108181.81818181818</v>
      </c>
      <c r="AQ16" s="397">
        <f t="shared" si="5"/>
        <v>108181.81818181818</v>
      </c>
    </row>
    <row r="17" spans="1:43" ht="24">
      <c r="A17" s="436" t="s">
        <v>3542</v>
      </c>
      <c r="B17" s="436" t="s">
        <v>3490</v>
      </c>
      <c r="C17" s="437" t="s">
        <v>3491</v>
      </c>
      <c r="D17" s="436" t="s">
        <v>3828</v>
      </c>
      <c r="E17" s="437" t="s">
        <v>3829</v>
      </c>
      <c r="F17" s="436" t="s">
        <v>3494</v>
      </c>
      <c r="G17" s="436" t="s">
        <v>3495</v>
      </c>
      <c r="H17" s="437" t="s">
        <v>3496</v>
      </c>
      <c r="I17" s="436" t="s">
        <v>3497</v>
      </c>
      <c r="J17" s="437" t="s">
        <v>3498</v>
      </c>
      <c r="K17" s="437" t="s">
        <v>3499</v>
      </c>
      <c r="L17" s="436" t="s">
        <v>3500</v>
      </c>
      <c r="M17" s="436" t="s">
        <v>3524</v>
      </c>
      <c r="N17" s="436" t="s">
        <v>3502</v>
      </c>
      <c r="O17" s="438">
        <v>119000</v>
      </c>
      <c r="P17" s="438">
        <v>82110</v>
      </c>
      <c r="Q17" s="438">
        <v>1</v>
      </c>
      <c r="R17" s="438">
        <v>0</v>
      </c>
      <c r="S17" s="438">
        <v>0</v>
      </c>
      <c r="T17" s="438">
        <v>0</v>
      </c>
      <c r="U17" s="438">
        <v>0</v>
      </c>
      <c r="V17" s="438">
        <v>0</v>
      </c>
      <c r="W17" s="438">
        <v>31</v>
      </c>
      <c r="X17" s="438">
        <v>0</v>
      </c>
      <c r="Y17" s="438">
        <v>0</v>
      </c>
      <c r="Z17" s="438">
        <v>0</v>
      </c>
      <c r="AA17" s="438">
        <v>0</v>
      </c>
      <c r="AB17" s="438">
        <v>5950</v>
      </c>
      <c r="AC17" s="438">
        <v>119000</v>
      </c>
      <c r="AD17" s="438">
        <v>82110</v>
      </c>
      <c r="AE17" s="438">
        <v>0</v>
      </c>
      <c r="AF17" s="438">
        <v>5950</v>
      </c>
      <c r="AG17" s="438">
        <v>113050</v>
      </c>
      <c r="AH17" s="438">
        <v>82110</v>
      </c>
      <c r="AI17" s="438">
        <v>28127</v>
      </c>
      <c r="AJ17" s="438">
        <v>2813</v>
      </c>
      <c r="AK17" s="438">
        <v>30940</v>
      </c>
      <c r="AL17" s="414" t="str">
        <f t="shared" si="0"/>
        <v>워커힐 시그니처 양념 본갈비 300g, 8개</v>
      </c>
      <c r="AM17" s="395">
        <f t="shared" si="1"/>
        <v>46060</v>
      </c>
      <c r="AN17" s="396">
        <f t="shared" si="2"/>
        <v>1</v>
      </c>
      <c r="AO17" s="109">
        <f t="shared" si="3"/>
        <v>119000</v>
      </c>
      <c r="AP17" s="109">
        <f t="shared" si="4"/>
        <v>108181.81818181818</v>
      </c>
      <c r="AQ17" s="397">
        <f t="shared" si="5"/>
        <v>108181.81818181818</v>
      </c>
    </row>
    <row r="18" spans="1:43" ht="24">
      <c r="A18" s="436" t="s">
        <v>3545</v>
      </c>
      <c r="B18" s="436" t="s">
        <v>3490</v>
      </c>
      <c r="C18" s="437" t="s">
        <v>3491</v>
      </c>
      <c r="D18" s="436" t="s">
        <v>3867</v>
      </c>
      <c r="E18" s="437" t="s">
        <v>3868</v>
      </c>
      <c r="F18" s="436" t="s">
        <v>3494</v>
      </c>
      <c r="G18" s="436" t="s">
        <v>3495</v>
      </c>
      <c r="H18" s="437" t="s">
        <v>3496</v>
      </c>
      <c r="I18" s="436" t="s">
        <v>3497</v>
      </c>
      <c r="J18" s="437" t="s">
        <v>3498</v>
      </c>
      <c r="K18" s="437" t="s">
        <v>3499</v>
      </c>
      <c r="L18" s="436" t="s">
        <v>3500</v>
      </c>
      <c r="M18" s="436" t="s">
        <v>3524</v>
      </c>
      <c r="N18" s="436" t="s">
        <v>3502</v>
      </c>
      <c r="O18" s="438">
        <v>119000</v>
      </c>
      <c r="P18" s="438">
        <v>82110</v>
      </c>
      <c r="Q18" s="438">
        <v>1</v>
      </c>
      <c r="R18" s="438">
        <v>0</v>
      </c>
      <c r="S18" s="438">
        <v>0</v>
      </c>
      <c r="T18" s="438">
        <v>0</v>
      </c>
      <c r="U18" s="438">
        <v>0</v>
      </c>
      <c r="V18" s="438">
        <v>0</v>
      </c>
      <c r="W18" s="438">
        <v>31</v>
      </c>
      <c r="X18" s="438">
        <v>0</v>
      </c>
      <c r="Y18" s="438">
        <v>0</v>
      </c>
      <c r="Z18" s="438">
        <v>0</v>
      </c>
      <c r="AA18" s="438">
        <v>0</v>
      </c>
      <c r="AB18" s="438">
        <v>0</v>
      </c>
      <c r="AC18" s="438">
        <v>119000</v>
      </c>
      <c r="AD18" s="438">
        <v>82110</v>
      </c>
      <c r="AE18" s="438">
        <v>0</v>
      </c>
      <c r="AF18" s="438">
        <v>0</v>
      </c>
      <c r="AG18" s="438">
        <v>119000</v>
      </c>
      <c r="AH18" s="438">
        <v>82110</v>
      </c>
      <c r="AI18" s="438">
        <v>33536</v>
      </c>
      <c r="AJ18" s="438">
        <v>3354</v>
      </c>
      <c r="AK18" s="438">
        <v>36890</v>
      </c>
      <c r="AL18" s="414" t="str">
        <f t="shared" si="0"/>
        <v>워커힐 시그니처 양념 본갈비 300g, 8개</v>
      </c>
      <c r="AM18" s="395">
        <f t="shared" si="1"/>
        <v>46060</v>
      </c>
      <c r="AN18" s="396">
        <f t="shared" si="2"/>
        <v>1</v>
      </c>
      <c r="AO18" s="109">
        <f t="shared" si="3"/>
        <v>119000</v>
      </c>
      <c r="AP18" s="109">
        <f t="shared" si="4"/>
        <v>108181.81818181818</v>
      </c>
      <c r="AQ18" s="397">
        <f t="shared" si="5"/>
        <v>108181.81818181818</v>
      </c>
    </row>
    <row r="19" spans="1:43" ht="24">
      <c r="A19" s="436" t="s">
        <v>3549</v>
      </c>
      <c r="B19" s="436" t="s">
        <v>3490</v>
      </c>
      <c r="C19" s="437" t="s">
        <v>3491</v>
      </c>
      <c r="D19" s="436" t="s">
        <v>3660</v>
      </c>
      <c r="E19" s="437" t="s">
        <v>3661</v>
      </c>
      <c r="F19" s="436" t="s">
        <v>3494</v>
      </c>
      <c r="G19" s="436" t="s">
        <v>3495</v>
      </c>
      <c r="H19" s="437" t="s">
        <v>3496</v>
      </c>
      <c r="I19" s="436" t="s">
        <v>3497</v>
      </c>
      <c r="J19" s="437" t="s">
        <v>3498</v>
      </c>
      <c r="K19" s="437" t="s">
        <v>3499</v>
      </c>
      <c r="L19" s="436" t="s">
        <v>3500</v>
      </c>
      <c r="M19" s="436" t="s">
        <v>3524</v>
      </c>
      <c r="N19" s="436" t="s">
        <v>3502</v>
      </c>
      <c r="O19" s="438">
        <v>119000</v>
      </c>
      <c r="P19" s="438">
        <v>82110</v>
      </c>
      <c r="Q19" s="438">
        <v>1</v>
      </c>
      <c r="R19" s="438">
        <v>0</v>
      </c>
      <c r="S19" s="438">
        <v>0</v>
      </c>
      <c r="T19" s="438">
        <v>0</v>
      </c>
      <c r="U19" s="438">
        <v>0</v>
      </c>
      <c r="V19" s="438">
        <v>0</v>
      </c>
      <c r="W19" s="438">
        <v>31</v>
      </c>
      <c r="X19" s="438">
        <v>0</v>
      </c>
      <c r="Y19" s="438">
        <v>0</v>
      </c>
      <c r="Z19" s="438">
        <v>0</v>
      </c>
      <c r="AA19" s="438">
        <v>0</v>
      </c>
      <c r="AB19" s="438">
        <v>0</v>
      </c>
      <c r="AC19" s="438">
        <v>119000</v>
      </c>
      <c r="AD19" s="438">
        <v>82110</v>
      </c>
      <c r="AE19" s="438">
        <v>0</v>
      </c>
      <c r="AF19" s="438">
        <v>0</v>
      </c>
      <c r="AG19" s="438">
        <v>119000</v>
      </c>
      <c r="AH19" s="438">
        <v>82110</v>
      </c>
      <c r="AI19" s="438">
        <v>33536</v>
      </c>
      <c r="AJ19" s="438">
        <v>3354</v>
      </c>
      <c r="AK19" s="438">
        <v>36890</v>
      </c>
      <c r="AL19" s="414" t="str">
        <f t="shared" si="0"/>
        <v>워커힐 시그니처 양념 본갈비 300g, 8개</v>
      </c>
      <c r="AM19" s="395">
        <f t="shared" si="1"/>
        <v>46060</v>
      </c>
      <c r="AN19" s="396">
        <f t="shared" si="2"/>
        <v>1</v>
      </c>
      <c r="AO19" s="109">
        <f t="shared" si="3"/>
        <v>119000</v>
      </c>
      <c r="AP19" s="109">
        <f t="shared" si="4"/>
        <v>108181.81818181818</v>
      </c>
      <c r="AQ19" s="397">
        <f t="shared" si="5"/>
        <v>108181.81818181818</v>
      </c>
    </row>
    <row r="20" spans="1:43" ht="24">
      <c r="A20" s="436" t="s">
        <v>3552</v>
      </c>
      <c r="B20" s="436" t="s">
        <v>3490</v>
      </c>
      <c r="C20" s="437" t="s">
        <v>3491</v>
      </c>
      <c r="D20" s="436" t="s">
        <v>3663</v>
      </c>
      <c r="E20" s="437" t="s">
        <v>3541</v>
      </c>
      <c r="F20" s="436" t="s">
        <v>3494</v>
      </c>
      <c r="G20" s="436" t="s">
        <v>3495</v>
      </c>
      <c r="H20" s="437" t="s">
        <v>3496</v>
      </c>
      <c r="I20" s="436" t="s">
        <v>3497</v>
      </c>
      <c r="J20" s="437" t="s">
        <v>3498</v>
      </c>
      <c r="K20" s="437" t="s">
        <v>3499</v>
      </c>
      <c r="L20" s="436" t="s">
        <v>3500</v>
      </c>
      <c r="M20" s="436" t="s">
        <v>3524</v>
      </c>
      <c r="N20" s="436" t="s">
        <v>3502</v>
      </c>
      <c r="O20" s="438">
        <v>119000</v>
      </c>
      <c r="P20" s="438">
        <v>82110</v>
      </c>
      <c r="Q20" s="438">
        <v>1</v>
      </c>
      <c r="R20" s="438">
        <v>0</v>
      </c>
      <c r="S20" s="438">
        <v>0</v>
      </c>
      <c r="T20" s="438">
        <v>0</v>
      </c>
      <c r="U20" s="438">
        <v>0</v>
      </c>
      <c r="V20" s="438">
        <v>0</v>
      </c>
      <c r="W20" s="438">
        <v>31</v>
      </c>
      <c r="X20" s="438">
        <v>0</v>
      </c>
      <c r="Y20" s="438">
        <v>0</v>
      </c>
      <c r="Z20" s="438">
        <v>0</v>
      </c>
      <c r="AA20" s="438">
        <v>0</v>
      </c>
      <c r="AB20" s="438">
        <v>5950</v>
      </c>
      <c r="AC20" s="438">
        <v>119000</v>
      </c>
      <c r="AD20" s="438">
        <v>82110</v>
      </c>
      <c r="AE20" s="438">
        <v>0</v>
      </c>
      <c r="AF20" s="438">
        <v>5950</v>
      </c>
      <c r="AG20" s="438">
        <v>113050</v>
      </c>
      <c r="AH20" s="438">
        <v>82110</v>
      </c>
      <c r="AI20" s="438">
        <v>28127</v>
      </c>
      <c r="AJ20" s="438">
        <v>2813</v>
      </c>
      <c r="AK20" s="438">
        <v>30940</v>
      </c>
      <c r="AL20" s="414" t="str">
        <f t="shared" si="0"/>
        <v>워커힐 시그니처 양념 본갈비 300g, 8개</v>
      </c>
      <c r="AM20" s="395">
        <f t="shared" si="1"/>
        <v>46060</v>
      </c>
      <c r="AN20" s="396">
        <f t="shared" si="2"/>
        <v>1</v>
      </c>
      <c r="AO20" s="109">
        <f t="shared" si="3"/>
        <v>119000</v>
      </c>
      <c r="AP20" s="109">
        <f t="shared" si="4"/>
        <v>108181.81818181818</v>
      </c>
      <c r="AQ20" s="397">
        <f t="shared" si="5"/>
        <v>108181.81818181818</v>
      </c>
    </row>
    <row r="21" spans="1:43" ht="24">
      <c r="A21" s="436" t="s">
        <v>3553</v>
      </c>
      <c r="B21" s="436" t="s">
        <v>3490</v>
      </c>
      <c r="C21" s="437" t="s">
        <v>3491</v>
      </c>
      <c r="D21" s="436" t="s">
        <v>3560</v>
      </c>
      <c r="E21" s="437" t="s">
        <v>3561</v>
      </c>
      <c r="F21" s="436" t="s">
        <v>3494</v>
      </c>
      <c r="G21" s="436" t="s">
        <v>3495</v>
      </c>
      <c r="H21" s="437" t="s">
        <v>3496</v>
      </c>
      <c r="I21" s="436" t="s">
        <v>3497</v>
      </c>
      <c r="J21" s="437" t="s">
        <v>3498</v>
      </c>
      <c r="K21" s="437" t="s">
        <v>3499</v>
      </c>
      <c r="L21" s="436" t="s">
        <v>3500</v>
      </c>
      <c r="M21" s="436" t="s">
        <v>3524</v>
      </c>
      <c r="N21" s="436" t="s">
        <v>3502</v>
      </c>
      <c r="O21" s="438">
        <v>119000</v>
      </c>
      <c r="P21" s="438">
        <v>82110</v>
      </c>
      <c r="Q21" s="438">
        <v>1</v>
      </c>
      <c r="R21" s="438">
        <v>0</v>
      </c>
      <c r="S21" s="438">
        <v>0</v>
      </c>
      <c r="T21" s="438">
        <v>0</v>
      </c>
      <c r="U21" s="438">
        <v>0</v>
      </c>
      <c r="V21" s="438">
        <v>0</v>
      </c>
      <c r="W21" s="438">
        <v>31</v>
      </c>
      <c r="X21" s="438">
        <v>0</v>
      </c>
      <c r="Y21" s="438">
        <v>10000</v>
      </c>
      <c r="Z21" s="438">
        <v>0</v>
      </c>
      <c r="AA21" s="438">
        <v>0</v>
      </c>
      <c r="AB21" s="438">
        <v>0</v>
      </c>
      <c r="AC21" s="438">
        <v>119000</v>
      </c>
      <c r="AD21" s="438">
        <v>82110</v>
      </c>
      <c r="AE21" s="438">
        <v>0</v>
      </c>
      <c r="AF21" s="438">
        <v>10000</v>
      </c>
      <c r="AG21" s="438">
        <v>109000</v>
      </c>
      <c r="AH21" s="438">
        <v>82110</v>
      </c>
      <c r="AI21" s="438">
        <v>24445</v>
      </c>
      <c r="AJ21" s="438">
        <v>2445</v>
      </c>
      <c r="AK21" s="438">
        <v>26890</v>
      </c>
      <c r="AL21" s="414" t="str">
        <f t="shared" si="0"/>
        <v>워커힐 시그니처 양념 본갈비 300g, 8개</v>
      </c>
      <c r="AM21" s="395">
        <f t="shared" si="1"/>
        <v>46060</v>
      </c>
      <c r="AN21" s="396">
        <f t="shared" si="2"/>
        <v>1</v>
      </c>
      <c r="AO21" s="109">
        <f t="shared" si="3"/>
        <v>119000</v>
      </c>
      <c r="AP21" s="109">
        <f t="shared" si="4"/>
        <v>108181.81818181818</v>
      </c>
      <c r="AQ21" s="397">
        <f t="shared" si="5"/>
        <v>108181.81818181818</v>
      </c>
    </row>
    <row r="22" spans="1:43" ht="24">
      <c r="A22" s="436" t="s">
        <v>3556</v>
      </c>
      <c r="B22" s="436" t="s">
        <v>3490</v>
      </c>
      <c r="C22" s="437" t="s">
        <v>3491</v>
      </c>
      <c r="D22" s="436" t="s">
        <v>3563</v>
      </c>
      <c r="E22" s="437" t="s">
        <v>3564</v>
      </c>
      <c r="F22" s="436" t="s">
        <v>3494</v>
      </c>
      <c r="G22" s="436" t="s">
        <v>3495</v>
      </c>
      <c r="H22" s="437" t="s">
        <v>3496</v>
      </c>
      <c r="I22" s="436" t="s">
        <v>3497</v>
      </c>
      <c r="J22" s="437" t="s">
        <v>3498</v>
      </c>
      <c r="K22" s="437" t="s">
        <v>3499</v>
      </c>
      <c r="L22" s="436" t="s">
        <v>3500</v>
      </c>
      <c r="M22" s="436" t="s">
        <v>3524</v>
      </c>
      <c r="N22" s="436" t="s">
        <v>3502</v>
      </c>
      <c r="O22" s="438">
        <v>119000</v>
      </c>
      <c r="P22" s="438">
        <v>82110</v>
      </c>
      <c r="Q22" s="438">
        <v>2</v>
      </c>
      <c r="R22" s="438">
        <v>0</v>
      </c>
      <c r="S22" s="438">
        <v>0</v>
      </c>
      <c r="T22" s="438">
        <v>0</v>
      </c>
      <c r="U22" s="438">
        <v>0</v>
      </c>
      <c r="V22" s="438">
        <v>0</v>
      </c>
      <c r="W22" s="438">
        <v>31</v>
      </c>
      <c r="X22" s="438">
        <v>0</v>
      </c>
      <c r="Y22" s="438">
        <v>0</v>
      </c>
      <c r="Z22" s="438">
        <v>0</v>
      </c>
      <c r="AA22" s="438">
        <v>0</v>
      </c>
      <c r="AB22" s="438">
        <v>0</v>
      </c>
      <c r="AC22" s="438">
        <v>238000</v>
      </c>
      <c r="AD22" s="438">
        <v>164220</v>
      </c>
      <c r="AE22" s="438">
        <v>0</v>
      </c>
      <c r="AF22" s="438">
        <v>0</v>
      </c>
      <c r="AG22" s="438">
        <v>238000</v>
      </c>
      <c r="AH22" s="438">
        <v>164220</v>
      </c>
      <c r="AI22" s="438">
        <v>67073</v>
      </c>
      <c r="AJ22" s="438">
        <v>6707</v>
      </c>
      <c r="AK22" s="438">
        <v>73780</v>
      </c>
      <c r="AL22" s="414" t="str">
        <f t="shared" si="0"/>
        <v>워커힐 시그니처 양념 본갈비 300g, 8개</v>
      </c>
      <c r="AM22" s="395">
        <f t="shared" si="1"/>
        <v>46060</v>
      </c>
      <c r="AN22" s="396">
        <f t="shared" si="2"/>
        <v>2</v>
      </c>
      <c r="AO22" s="109">
        <f t="shared" si="3"/>
        <v>119000</v>
      </c>
      <c r="AP22" s="109">
        <f t="shared" si="4"/>
        <v>108181.81818181818</v>
      </c>
      <c r="AQ22" s="397">
        <f t="shared" si="5"/>
        <v>216363.63636363635</v>
      </c>
    </row>
    <row r="23" spans="1:43" ht="24">
      <c r="A23" s="436" t="s">
        <v>3559</v>
      </c>
      <c r="B23" s="436" t="s">
        <v>3490</v>
      </c>
      <c r="C23" s="437" t="s">
        <v>3491</v>
      </c>
      <c r="D23" s="436" t="s">
        <v>3667</v>
      </c>
      <c r="E23" s="437" t="s">
        <v>3668</v>
      </c>
      <c r="F23" s="436" t="s">
        <v>3494</v>
      </c>
      <c r="G23" s="436" t="s">
        <v>3495</v>
      </c>
      <c r="H23" s="437" t="s">
        <v>3496</v>
      </c>
      <c r="I23" s="436" t="s">
        <v>3497</v>
      </c>
      <c r="J23" s="437" t="s">
        <v>3498</v>
      </c>
      <c r="K23" s="437" t="s">
        <v>3499</v>
      </c>
      <c r="L23" s="436" t="s">
        <v>3500</v>
      </c>
      <c r="M23" s="436" t="s">
        <v>3524</v>
      </c>
      <c r="N23" s="436" t="s">
        <v>3502</v>
      </c>
      <c r="O23" s="438">
        <v>119000</v>
      </c>
      <c r="P23" s="438">
        <v>82110</v>
      </c>
      <c r="Q23" s="438">
        <v>1</v>
      </c>
      <c r="R23" s="438">
        <v>0</v>
      </c>
      <c r="S23" s="438">
        <v>0</v>
      </c>
      <c r="T23" s="438">
        <v>0</v>
      </c>
      <c r="U23" s="438">
        <v>0</v>
      </c>
      <c r="V23" s="438">
        <v>0</v>
      </c>
      <c r="W23" s="438">
        <v>31</v>
      </c>
      <c r="X23" s="438">
        <v>0</v>
      </c>
      <c r="Y23" s="438">
        <v>0</v>
      </c>
      <c r="Z23" s="438">
        <v>0</v>
      </c>
      <c r="AA23" s="438">
        <v>0</v>
      </c>
      <c r="AB23" s="438">
        <v>0</v>
      </c>
      <c r="AC23" s="438">
        <v>119000</v>
      </c>
      <c r="AD23" s="438">
        <v>82110</v>
      </c>
      <c r="AE23" s="438">
        <v>0</v>
      </c>
      <c r="AF23" s="438">
        <v>0</v>
      </c>
      <c r="AG23" s="438">
        <v>119000</v>
      </c>
      <c r="AH23" s="438">
        <v>82110</v>
      </c>
      <c r="AI23" s="438">
        <v>33536</v>
      </c>
      <c r="AJ23" s="438">
        <v>3354</v>
      </c>
      <c r="AK23" s="438">
        <v>36890</v>
      </c>
      <c r="AL23" s="414" t="str">
        <f t="shared" si="0"/>
        <v>워커힐 시그니처 양념 본갈비 300g, 8개</v>
      </c>
      <c r="AM23" s="395">
        <f t="shared" si="1"/>
        <v>46060</v>
      </c>
      <c r="AN23" s="396">
        <f t="shared" si="2"/>
        <v>1</v>
      </c>
      <c r="AO23" s="109">
        <f t="shared" si="3"/>
        <v>119000</v>
      </c>
      <c r="AP23" s="109">
        <f t="shared" si="4"/>
        <v>108181.81818181818</v>
      </c>
      <c r="AQ23" s="397">
        <f t="shared" si="5"/>
        <v>108181.81818181818</v>
      </c>
    </row>
    <row r="24" spans="1:43" ht="24">
      <c r="A24" s="436" t="s">
        <v>3562</v>
      </c>
      <c r="B24" s="436" t="s">
        <v>3490</v>
      </c>
      <c r="C24" s="437" t="s">
        <v>3491</v>
      </c>
      <c r="D24" s="436" t="s">
        <v>3717</v>
      </c>
      <c r="E24" s="437" t="s">
        <v>3718</v>
      </c>
      <c r="F24" s="436" t="s">
        <v>3494</v>
      </c>
      <c r="G24" s="436" t="s">
        <v>3495</v>
      </c>
      <c r="H24" s="437" t="s">
        <v>3496</v>
      </c>
      <c r="I24" s="436" t="s">
        <v>3497</v>
      </c>
      <c r="J24" s="437" t="s">
        <v>3498</v>
      </c>
      <c r="K24" s="437" t="s">
        <v>3499</v>
      </c>
      <c r="L24" s="436" t="s">
        <v>3500</v>
      </c>
      <c r="M24" s="436" t="s">
        <v>3524</v>
      </c>
      <c r="N24" s="436" t="s">
        <v>3502</v>
      </c>
      <c r="O24" s="438">
        <v>119000</v>
      </c>
      <c r="P24" s="438">
        <v>82110</v>
      </c>
      <c r="Q24" s="438">
        <v>1</v>
      </c>
      <c r="R24" s="438">
        <v>0</v>
      </c>
      <c r="S24" s="438">
        <v>0</v>
      </c>
      <c r="T24" s="438">
        <v>0</v>
      </c>
      <c r="U24" s="438">
        <v>0</v>
      </c>
      <c r="V24" s="438">
        <v>0</v>
      </c>
      <c r="W24" s="438">
        <v>31</v>
      </c>
      <c r="X24" s="438">
        <v>0</v>
      </c>
      <c r="Y24" s="438">
        <v>0</v>
      </c>
      <c r="Z24" s="438">
        <v>0</v>
      </c>
      <c r="AA24" s="438">
        <v>0</v>
      </c>
      <c r="AB24" s="438">
        <v>0</v>
      </c>
      <c r="AC24" s="438">
        <v>119000</v>
      </c>
      <c r="AD24" s="438">
        <v>82110</v>
      </c>
      <c r="AE24" s="438">
        <v>0</v>
      </c>
      <c r="AF24" s="438">
        <v>0</v>
      </c>
      <c r="AG24" s="438">
        <v>119000</v>
      </c>
      <c r="AH24" s="438">
        <v>82110</v>
      </c>
      <c r="AI24" s="438">
        <v>33536</v>
      </c>
      <c r="AJ24" s="438">
        <v>3354</v>
      </c>
      <c r="AK24" s="438">
        <v>36890</v>
      </c>
      <c r="AL24" s="414" t="str">
        <f t="shared" si="0"/>
        <v>워커힐 시그니처 양념 본갈비 300g, 8개</v>
      </c>
      <c r="AM24" s="395">
        <f t="shared" si="1"/>
        <v>46060</v>
      </c>
      <c r="AN24" s="396">
        <f t="shared" si="2"/>
        <v>1</v>
      </c>
      <c r="AO24" s="109">
        <f t="shared" si="3"/>
        <v>119000</v>
      </c>
      <c r="AP24" s="109">
        <f t="shared" si="4"/>
        <v>108181.81818181818</v>
      </c>
      <c r="AQ24" s="397">
        <f t="shared" si="5"/>
        <v>108181.81818181818</v>
      </c>
    </row>
    <row r="25" spans="1:43" ht="24">
      <c r="A25" s="436" t="s">
        <v>3565</v>
      </c>
      <c r="B25" s="436" t="s">
        <v>3490</v>
      </c>
      <c r="C25" s="437" t="s">
        <v>3491</v>
      </c>
      <c r="D25" s="436" t="s">
        <v>3676</v>
      </c>
      <c r="E25" s="437" t="s">
        <v>3677</v>
      </c>
      <c r="F25" s="436" t="s">
        <v>3494</v>
      </c>
      <c r="G25" s="436" t="s">
        <v>3495</v>
      </c>
      <c r="H25" s="437" t="s">
        <v>3496</v>
      </c>
      <c r="I25" s="436" t="s">
        <v>3497</v>
      </c>
      <c r="J25" s="437" t="s">
        <v>3498</v>
      </c>
      <c r="K25" s="437" t="s">
        <v>3548</v>
      </c>
      <c r="L25" s="436" t="s">
        <v>3500</v>
      </c>
      <c r="M25" s="436" t="s">
        <v>3524</v>
      </c>
      <c r="N25" s="436" t="s">
        <v>3502</v>
      </c>
      <c r="O25" s="438">
        <v>119000</v>
      </c>
      <c r="P25" s="438">
        <v>82110</v>
      </c>
      <c r="Q25" s="438">
        <v>1</v>
      </c>
      <c r="R25" s="438">
        <v>0</v>
      </c>
      <c r="S25" s="438">
        <v>0</v>
      </c>
      <c r="T25" s="438">
        <v>0</v>
      </c>
      <c r="U25" s="438">
        <v>0</v>
      </c>
      <c r="V25" s="438">
        <v>0</v>
      </c>
      <c r="W25" s="438">
        <v>31</v>
      </c>
      <c r="X25" s="438">
        <v>0</v>
      </c>
      <c r="Y25" s="438">
        <v>0</v>
      </c>
      <c r="Z25" s="438">
        <v>0</v>
      </c>
      <c r="AA25" s="438">
        <v>0</v>
      </c>
      <c r="AB25" s="438">
        <v>0</v>
      </c>
      <c r="AC25" s="438">
        <v>119000</v>
      </c>
      <c r="AD25" s="438">
        <v>82110</v>
      </c>
      <c r="AE25" s="438">
        <v>0</v>
      </c>
      <c r="AF25" s="438">
        <v>0</v>
      </c>
      <c r="AG25" s="438">
        <v>119000</v>
      </c>
      <c r="AH25" s="438">
        <v>82110</v>
      </c>
      <c r="AI25" s="438">
        <v>33536</v>
      </c>
      <c r="AJ25" s="438">
        <v>3354</v>
      </c>
      <c r="AK25" s="438">
        <v>36890</v>
      </c>
      <c r="AL25" s="414" t="str">
        <f t="shared" si="0"/>
        <v>워커힐 시그니처 양념 본갈비 300g, 8개</v>
      </c>
      <c r="AM25" s="395">
        <f t="shared" si="1"/>
        <v>46060</v>
      </c>
      <c r="AN25" s="396">
        <f t="shared" si="2"/>
        <v>1</v>
      </c>
      <c r="AO25" s="109">
        <f t="shared" si="3"/>
        <v>119000</v>
      </c>
      <c r="AP25" s="109">
        <f t="shared" si="4"/>
        <v>108181.81818181818</v>
      </c>
      <c r="AQ25" s="397">
        <f t="shared" si="5"/>
        <v>108181.81818181818</v>
      </c>
    </row>
    <row r="26" spans="1:43" ht="24">
      <c r="A26" s="436" t="s">
        <v>3568</v>
      </c>
      <c r="B26" s="436" t="s">
        <v>3490</v>
      </c>
      <c r="C26" s="437" t="s">
        <v>3491</v>
      </c>
      <c r="D26" s="436" t="s">
        <v>3569</v>
      </c>
      <c r="E26" s="437" t="s">
        <v>3570</v>
      </c>
      <c r="F26" s="436" t="s">
        <v>3494</v>
      </c>
      <c r="G26" s="436" t="s">
        <v>3495</v>
      </c>
      <c r="H26" s="437" t="s">
        <v>3496</v>
      </c>
      <c r="I26" s="436" t="s">
        <v>3497</v>
      </c>
      <c r="J26" s="437" t="s">
        <v>3498</v>
      </c>
      <c r="K26" s="437" t="s">
        <v>3548</v>
      </c>
      <c r="L26" s="436" t="s">
        <v>3500</v>
      </c>
      <c r="M26" s="436" t="s">
        <v>3524</v>
      </c>
      <c r="N26" s="436" t="s">
        <v>3502</v>
      </c>
      <c r="O26" s="438">
        <v>119000</v>
      </c>
      <c r="P26" s="438">
        <v>82110</v>
      </c>
      <c r="Q26" s="438">
        <v>1</v>
      </c>
      <c r="R26" s="438">
        <v>0</v>
      </c>
      <c r="S26" s="438">
        <v>0</v>
      </c>
      <c r="T26" s="438">
        <v>0</v>
      </c>
      <c r="U26" s="438">
        <v>0</v>
      </c>
      <c r="V26" s="438">
        <v>0</v>
      </c>
      <c r="W26" s="438">
        <v>31</v>
      </c>
      <c r="X26" s="438">
        <v>0</v>
      </c>
      <c r="Y26" s="438">
        <v>0</v>
      </c>
      <c r="Z26" s="438">
        <v>0</v>
      </c>
      <c r="AA26" s="438">
        <v>0</v>
      </c>
      <c r="AB26" s="438">
        <v>0</v>
      </c>
      <c r="AC26" s="438">
        <v>119000</v>
      </c>
      <c r="AD26" s="438">
        <v>82110</v>
      </c>
      <c r="AE26" s="438">
        <v>0</v>
      </c>
      <c r="AF26" s="438">
        <v>0</v>
      </c>
      <c r="AG26" s="438">
        <v>119000</v>
      </c>
      <c r="AH26" s="438">
        <v>82110</v>
      </c>
      <c r="AI26" s="438">
        <v>33536</v>
      </c>
      <c r="AJ26" s="438">
        <v>3354</v>
      </c>
      <c r="AK26" s="438">
        <v>36890</v>
      </c>
      <c r="AL26" s="414" t="str">
        <f t="shared" si="0"/>
        <v>워커힐 시그니처 양념 본갈비 300g, 8개</v>
      </c>
      <c r="AM26" s="395">
        <f t="shared" si="1"/>
        <v>46060</v>
      </c>
      <c r="AN26" s="396">
        <f t="shared" si="2"/>
        <v>1</v>
      </c>
      <c r="AO26" s="109">
        <f t="shared" si="3"/>
        <v>119000</v>
      </c>
      <c r="AP26" s="109">
        <f t="shared" si="4"/>
        <v>108181.81818181818</v>
      </c>
      <c r="AQ26" s="397">
        <f t="shared" si="5"/>
        <v>108181.81818181818</v>
      </c>
    </row>
    <row r="27" spans="1:43" ht="24">
      <c r="A27" s="436" t="s">
        <v>3571</v>
      </c>
      <c r="B27" s="436" t="s">
        <v>3490</v>
      </c>
      <c r="C27" s="437" t="s">
        <v>3491</v>
      </c>
      <c r="D27" s="436" t="s">
        <v>3665</v>
      </c>
      <c r="E27" s="437" t="s">
        <v>3541</v>
      </c>
      <c r="F27" s="436" t="s">
        <v>3494</v>
      </c>
      <c r="G27" s="436" t="s">
        <v>3495</v>
      </c>
      <c r="H27" s="437" t="s">
        <v>3496</v>
      </c>
      <c r="I27" s="436" t="s">
        <v>3497</v>
      </c>
      <c r="J27" s="437" t="s">
        <v>3498</v>
      </c>
      <c r="K27" s="437" t="s">
        <v>3499</v>
      </c>
      <c r="L27" s="436" t="s">
        <v>3500</v>
      </c>
      <c r="M27" s="436" t="s">
        <v>3524</v>
      </c>
      <c r="N27" s="436" t="s">
        <v>3502</v>
      </c>
      <c r="O27" s="438">
        <v>119000</v>
      </c>
      <c r="P27" s="438">
        <v>82110</v>
      </c>
      <c r="Q27" s="438">
        <v>1</v>
      </c>
      <c r="R27" s="438">
        <v>0</v>
      </c>
      <c r="S27" s="438">
        <v>0</v>
      </c>
      <c r="T27" s="438">
        <v>0</v>
      </c>
      <c r="U27" s="438">
        <v>0</v>
      </c>
      <c r="V27" s="438">
        <v>0</v>
      </c>
      <c r="W27" s="438">
        <v>31</v>
      </c>
      <c r="X27" s="438">
        <v>0</v>
      </c>
      <c r="Y27" s="438">
        <v>0</v>
      </c>
      <c r="Z27" s="438">
        <v>0</v>
      </c>
      <c r="AA27" s="438">
        <v>0</v>
      </c>
      <c r="AB27" s="438">
        <v>5950</v>
      </c>
      <c r="AC27" s="438">
        <v>119000</v>
      </c>
      <c r="AD27" s="438">
        <v>82110</v>
      </c>
      <c r="AE27" s="438">
        <v>0</v>
      </c>
      <c r="AF27" s="438">
        <v>5950</v>
      </c>
      <c r="AG27" s="438">
        <v>113050</v>
      </c>
      <c r="AH27" s="438">
        <v>82110</v>
      </c>
      <c r="AI27" s="438">
        <v>28127</v>
      </c>
      <c r="AJ27" s="438">
        <v>2813</v>
      </c>
      <c r="AK27" s="438">
        <v>30940</v>
      </c>
      <c r="AL27" s="414" t="str">
        <f t="shared" si="0"/>
        <v>워커힐 시그니처 양념 본갈비 300g, 8개</v>
      </c>
      <c r="AM27" s="395">
        <f t="shared" si="1"/>
        <v>46060</v>
      </c>
      <c r="AN27" s="396">
        <f t="shared" si="2"/>
        <v>1</v>
      </c>
      <c r="AO27" s="109">
        <f t="shared" si="3"/>
        <v>119000</v>
      </c>
      <c r="AP27" s="109">
        <f t="shared" si="4"/>
        <v>108181.81818181818</v>
      </c>
      <c r="AQ27" s="397">
        <f t="shared" si="5"/>
        <v>108181.81818181818</v>
      </c>
    </row>
    <row r="28" spans="1:43" ht="24">
      <c r="A28" s="436" t="s">
        <v>3574</v>
      </c>
      <c r="B28" s="436" t="s">
        <v>3490</v>
      </c>
      <c r="C28" s="437" t="s">
        <v>3491</v>
      </c>
      <c r="D28" s="436" t="s">
        <v>3572</v>
      </c>
      <c r="E28" s="437" t="s">
        <v>3573</v>
      </c>
      <c r="F28" s="436" t="s">
        <v>3494</v>
      </c>
      <c r="G28" s="436" t="s">
        <v>3495</v>
      </c>
      <c r="H28" s="437" t="s">
        <v>3496</v>
      </c>
      <c r="I28" s="436" t="s">
        <v>3497</v>
      </c>
      <c r="J28" s="437" t="s">
        <v>3498</v>
      </c>
      <c r="K28" s="437" t="s">
        <v>3499</v>
      </c>
      <c r="L28" s="436" t="s">
        <v>3500</v>
      </c>
      <c r="M28" s="436" t="s">
        <v>3524</v>
      </c>
      <c r="N28" s="436" t="s">
        <v>3502</v>
      </c>
      <c r="O28" s="438">
        <v>119000</v>
      </c>
      <c r="P28" s="438">
        <v>82110</v>
      </c>
      <c r="Q28" s="438">
        <v>1</v>
      </c>
      <c r="R28" s="438">
        <v>0</v>
      </c>
      <c r="S28" s="438">
        <v>0</v>
      </c>
      <c r="T28" s="438">
        <v>0</v>
      </c>
      <c r="U28" s="438">
        <v>0</v>
      </c>
      <c r="V28" s="438">
        <v>0</v>
      </c>
      <c r="W28" s="438">
        <v>31</v>
      </c>
      <c r="X28" s="438">
        <v>0</v>
      </c>
      <c r="Y28" s="438">
        <v>0</v>
      </c>
      <c r="Z28" s="438">
        <v>0</v>
      </c>
      <c r="AA28" s="438">
        <v>0</v>
      </c>
      <c r="AB28" s="438">
        <v>0</v>
      </c>
      <c r="AC28" s="438">
        <v>119000</v>
      </c>
      <c r="AD28" s="438">
        <v>82110</v>
      </c>
      <c r="AE28" s="438">
        <v>0</v>
      </c>
      <c r="AF28" s="438">
        <v>0</v>
      </c>
      <c r="AG28" s="438">
        <v>119000</v>
      </c>
      <c r="AH28" s="438">
        <v>82110</v>
      </c>
      <c r="AI28" s="438">
        <v>33536</v>
      </c>
      <c r="AJ28" s="438">
        <v>3354</v>
      </c>
      <c r="AK28" s="438">
        <v>36890</v>
      </c>
      <c r="AL28" s="414" t="str">
        <f t="shared" si="0"/>
        <v>워커힐 시그니처 양념 본갈비 300g, 8개</v>
      </c>
      <c r="AM28" s="395">
        <f t="shared" si="1"/>
        <v>46060</v>
      </c>
      <c r="AN28" s="396">
        <f t="shared" si="2"/>
        <v>1</v>
      </c>
      <c r="AO28" s="109">
        <f t="shared" si="3"/>
        <v>119000</v>
      </c>
      <c r="AP28" s="109">
        <f t="shared" si="4"/>
        <v>108181.81818181818</v>
      </c>
      <c r="AQ28" s="397">
        <f t="shared" si="5"/>
        <v>108181.81818181818</v>
      </c>
    </row>
    <row r="29" spans="1:43" ht="24">
      <c r="A29" s="436" t="s">
        <v>3576</v>
      </c>
      <c r="B29" s="436" t="s">
        <v>3490</v>
      </c>
      <c r="C29" s="437" t="s">
        <v>3491</v>
      </c>
      <c r="D29" s="436" t="s">
        <v>3577</v>
      </c>
      <c r="E29" s="437" t="s">
        <v>3578</v>
      </c>
      <c r="F29" s="436" t="s">
        <v>3494</v>
      </c>
      <c r="G29" s="436" t="s">
        <v>3495</v>
      </c>
      <c r="H29" s="437" t="s">
        <v>3496</v>
      </c>
      <c r="I29" s="436" t="s">
        <v>3497</v>
      </c>
      <c r="J29" s="437" t="s">
        <v>3498</v>
      </c>
      <c r="K29" s="437" t="s">
        <v>3499</v>
      </c>
      <c r="L29" s="436" t="s">
        <v>3500</v>
      </c>
      <c r="M29" s="436" t="s">
        <v>3524</v>
      </c>
      <c r="N29" s="436" t="s">
        <v>3502</v>
      </c>
      <c r="O29" s="438">
        <v>119000</v>
      </c>
      <c r="P29" s="438">
        <v>82110</v>
      </c>
      <c r="Q29" s="438">
        <v>1</v>
      </c>
      <c r="R29" s="438">
        <v>0</v>
      </c>
      <c r="S29" s="438">
        <v>0</v>
      </c>
      <c r="T29" s="438">
        <v>0</v>
      </c>
      <c r="U29" s="438">
        <v>0</v>
      </c>
      <c r="V29" s="438">
        <v>0</v>
      </c>
      <c r="W29" s="438">
        <v>31</v>
      </c>
      <c r="X29" s="438">
        <v>0</v>
      </c>
      <c r="Y29" s="438">
        <v>0</v>
      </c>
      <c r="Z29" s="438">
        <v>0</v>
      </c>
      <c r="AA29" s="438">
        <v>0</v>
      </c>
      <c r="AB29" s="438">
        <v>0</v>
      </c>
      <c r="AC29" s="438">
        <v>119000</v>
      </c>
      <c r="AD29" s="438">
        <v>82110</v>
      </c>
      <c r="AE29" s="438">
        <v>0</v>
      </c>
      <c r="AF29" s="438">
        <v>0</v>
      </c>
      <c r="AG29" s="438">
        <v>119000</v>
      </c>
      <c r="AH29" s="438">
        <v>82110</v>
      </c>
      <c r="AI29" s="438">
        <v>33536</v>
      </c>
      <c r="AJ29" s="438">
        <v>3354</v>
      </c>
      <c r="AK29" s="438">
        <v>36890</v>
      </c>
      <c r="AL29" s="414" t="str">
        <f t="shared" si="0"/>
        <v>워커힐 시그니처 양념 본갈비 300g, 8개</v>
      </c>
      <c r="AM29" s="395">
        <f t="shared" si="1"/>
        <v>46060</v>
      </c>
      <c r="AN29" s="396">
        <f t="shared" si="2"/>
        <v>1</v>
      </c>
      <c r="AO29" s="109">
        <f t="shared" si="3"/>
        <v>119000</v>
      </c>
      <c r="AP29" s="109">
        <f t="shared" si="4"/>
        <v>108181.81818181818</v>
      </c>
      <c r="AQ29" s="397">
        <f t="shared" si="5"/>
        <v>108181.81818181818</v>
      </c>
    </row>
    <row r="30" spans="1:43" ht="24">
      <c r="A30" s="436" t="s">
        <v>3579</v>
      </c>
      <c r="B30" s="436" t="s">
        <v>3490</v>
      </c>
      <c r="C30" s="437" t="s">
        <v>3491</v>
      </c>
      <c r="D30" s="436" t="s">
        <v>3693</v>
      </c>
      <c r="E30" s="437" t="s">
        <v>3694</v>
      </c>
      <c r="F30" s="436" t="s">
        <v>3494</v>
      </c>
      <c r="G30" s="436" t="s">
        <v>3495</v>
      </c>
      <c r="H30" s="437" t="s">
        <v>3496</v>
      </c>
      <c r="I30" s="436" t="s">
        <v>3497</v>
      </c>
      <c r="J30" s="437" t="s">
        <v>3498</v>
      </c>
      <c r="K30" s="437" t="s">
        <v>3499</v>
      </c>
      <c r="L30" s="436" t="s">
        <v>3500</v>
      </c>
      <c r="M30" s="436" t="s">
        <v>3524</v>
      </c>
      <c r="N30" s="436" t="s">
        <v>3502</v>
      </c>
      <c r="O30" s="438">
        <v>119000</v>
      </c>
      <c r="P30" s="438">
        <v>82110</v>
      </c>
      <c r="Q30" s="438">
        <v>1</v>
      </c>
      <c r="R30" s="438">
        <v>0</v>
      </c>
      <c r="S30" s="438">
        <v>0</v>
      </c>
      <c r="T30" s="438">
        <v>0</v>
      </c>
      <c r="U30" s="438">
        <v>0</v>
      </c>
      <c r="V30" s="438">
        <v>0</v>
      </c>
      <c r="W30" s="438">
        <v>31</v>
      </c>
      <c r="X30" s="438">
        <v>0</v>
      </c>
      <c r="Y30" s="438">
        <v>0</v>
      </c>
      <c r="Z30" s="438">
        <v>0</v>
      </c>
      <c r="AA30" s="438">
        <v>0</v>
      </c>
      <c r="AB30" s="438">
        <v>0</v>
      </c>
      <c r="AC30" s="438">
        <v>119000</v>
      </c>
      <c r="AD30" s="438">
        <v>82110</v>
      </c>
      <c r="AE30" s="438">
        <v>0</v>
      </c>
      <c r="AF30" s="438">
        <v>0</v>
      </c>
      <c r="AG30" s="438">
        <v>119000</v>
      </c>
      <c r="AH30" s="438">
        <v>82110</v>
      </c>
      <c r="AI30" s="438">
        <v>33536</v>
      </c>
      <c r="AJ30" s="438">
        <v>3354</v>
      </c>
      <c r="AK30" s="438">
        <v>36890</v>
      </c>
      <c r="AL30" s="414" t="str">
        <f t="shared" si="0"/>
        <v>워커힐 시그니처 양념 본갈비 300g, 8개</v>
      </c>
      <c r="AM30" s="395">
        <f t="shared" si="1"/>
        <v>46060</v>
      </c>
      <c r="AN30" s="396">
        <f t="shared" si="2"/>
        <v>1</v>
      </c>
      <c r="AO30" s="109">
        <f t="shared" si="3"/>
        <v>119000</v>
      </c>
      <c r="AP30" s="109">
        <f t="shared" si="4"/>
        <v>108181.81818181818</v>
      </c>
      <c r="AQ30" s="397">
        <f t="shared" si="5"/>
        <v>108181.81818181818</v>
      </c>
    </row>
    <row r="31" spans="1:43" ht="24">
      <c r="A31" s="436" t="s">
        <v>3581</v>
      </c>
      <c r="B31" s="436" t="s">
        <v>3490</v>
      </c>
      <c r="C31" s="437" t="s">
        <v>3491</v>
      </c>
      <c r="D31" s="436" t="s">
        <v>3699</v>
      </c>
      <c r="E31" s="437" t="s">
        <v>3700</v>
      </c>
      <c r="F31" s="436" t="s">
        <v>3494</v>
      </c>
      <c r="G31" s="436" t="s">
        <v>3495</v>
      </c>
      <c r="H31" s="437" t="s">
        <v>3496</v>
      </c>
      <c r="I31" s="436" t="s">
        <v>3497</v>
      </c>
      <c r="J31" s="437" t="s">
        <v>3498</v>
      </c>
      <c r="K31" s="437" t="s">
        <v>3499</v>
      </c>
      <c r="L31" s="436" t="s">
        <v>3500</v>
      </c>
      <c r="M31" s="436" t="s">
        <v>3524</v>
      </c>
      <c r="N31" s="436" t="s">
        <v>3502</v>
      </c>
      <c r="O31" s="438">
        <v>119000</v>
      </c>
      <c r="P31" s="438">
        <v>82110</v>
      </c>
      <c r="Q31" s="438">
        <v>1</v>
      </c>
      <c r="R31" s="438">
        <v>0</v>
      </c>
      <c r="S31" s="438">
        <v>0</v>
      </c>
      <c r="T31" s="438">
        <v>0</v>
      </c>
      <c r="U31" s="438">
        <v>0</v>
      </c>
      <c r="V31" s="438">
        <v>0</v>
      </c>
      <c r="W31" s="438">
        <v>31</v>
      </c>
      <c r="X31" s="438">
        <v>0</v>
      </c>
      <c r="Y31" s="438">
        <v>0</v>
      </c>
      <c r="Z31" s="438">
        <v>0</v>
      </c>
      <c r="AA31" s="438">
        <v>0</v>
      </c>
      <c r="AB31" s="438">
        <v>0</v>
      </c>
      <c r="AC31" s="438">
        <v>119000</v>
      </c>
      <c r="AD31" s="438">
        <v>82110</v>
      </c>
      <c r="AE31" s="438">
        <v>0</v>
      </c>
      <c r="AF31" s="438">
        <v>0</v>
      </c>
      <c r="AG31" s="438">
        <v>119000</v>
      </c>
      <c r="AH31" s="438">
        <v>82110</v>
      </c>
      <c r="AI31" s="438">
        <v>33536</v>
      </c>
      <c r="AJ31" s="438">
        <v>3354</v>
      </c>
      <c r="AK31" s="438">
        <v>36890</v>
      </c>
      <c r="AL31" s="414" t="str">
        <f t="shared" si="0"/>
        <v>워커힐 시그니처 양념 본갈비 300g, 8개</v>
      </c>
      <c r="AM31" s="395">
        <f t="shared" si="1"/>
        <v>46060</v>
      </c>
      <c r="AN31" s="396">
        <f t="shared" si="2"/>
        <v>1</v>
      </c>
      <c r="AO31" s="109">
        <f t="shared" si="3"/>
        <v>119000</v>
      </c>
      <c r="AP31" s="109">
        <f t="shared" si="4"/>
        <v>108181.81818181818</v>
      </c>
      <c r="AQ31" s="397">
        <f t="shared" si="5"/>
        <v>108181.81818181818</v>
      </c>
    </row>
    <row r="32" spans="1:43" ht="24">
      <c r="A32" s="436" t="s">
        <v>3584</v>
      </c>
      <c r="B32" s="436" t="s">
        <v>3490</v>
      </c>
      <c r="C32" s="437" t="s">
        <v>3491</v>
      </c>
      <c r="D32" s="436" t="s">
        <v>3971</v>
      </c>
      <c r="E32" s="437" t="s">
        <v>3972</v>
      </c>
      <c r="F32" s="436" t="s">
        <v>3494</v>
      </c>
      <c r="G32" s="436" t="s">
        <v>3495</v>
      </c>
      <c r="H32" s="437" t="s">
        <v>3496</v>
      </c>
      <c r="I32" s="436" t="s">
        <v>3497</v>
      </c>
      <c r="J32" s="437" t="s">
        <v>3498</v>
      </c>
      <c r="K32" s="437" t="s">
        <v>3499</v>
      </c>
      <c r="L32" s="436" t="s">
        <v>3500</v>
      </c>
      <c r="M32" s="436" t="s">
        <v>3524</v>
      </c>
      <c r="N32" s="436" t="s">
        <v>3502</v>
      </c>
      <c r="O32" s="438">
        <v>119000</v>
      </c>
      <c r="P32" s="438">
        <v>82110</v>
      </c>
      <c r="Q32" s="438">
        <v>1</v>
      </c>
      <c r="R32" s="438">
        <v>0</v>
      </c>
      <c r="S32" s="438">
        <v>0</v>
      </c>
      <c r="T32" s="438">
        <v>0</v>
      </c>
      <c r="U32" s="438">
        <v>0</v>
      </c>
      <c r="V32" s="438">
        <v>0</v>
      </c>
      <c r="W32" s="438">
        <v>31</v>
      </c>
      <c r="X32" s="438">
        <v>0</v>
      </c>
      <c r="Y32" s="438">
        <v>0</v>
      </c>
      <c r="Z32" s="438">
        <v>0</v>
      </c>
      <c r="AA32" s="438">
        <v>0</v>
      </c>
      <c r="AB32" s="438">
        <v>0</v>
      </c>
      <c r="AC32" s="438">
        <v>119000</v>
      </c>
      <c r="AD32" s="438">
        <v>82110</v>
      </c>
      <c r="AE32" s="438">
        <v>0</v>
      </c>
      <c r="AF32" s="438">
        <v>0</v>
      </c>
      <c r="AG32" s="438">
        <v>119000</v>
      </c>
      <c r="AH32" s="438">
        <v>82110</v>
      </c>
      <c r="AI32" s="438">
        <v>33536</v>
      </c>
      <c r="AJ32" s="438">
        <v>3354</v>
      </c>
      <c r="AK32" s="438">
        <v>36890</v>
      </c>
      <c r="AL32" s="414" t="str">
        <f t="shared" si="0"/>
        <v>워커힐 시그니처 양념 본갈비 300g, 8개</v>
      </c>
      <c r="AM32" s="395">
        <f t="shared" si="1"/>
        <v>46060</v>
      </c>
      <c r="AN32" s="396">
        <f t="shared" si="2"/>
        <v>1</v>
      </c>
      <c r="AO32" s="109">
        <f t="shared" si="3"/>
        <v>119000</v>
      </c>
      <c r="AP32" s="109">
        <f t="shared" si="4"/>
        <v>108181.81818181818</v>
      </c>
      <c r="AQ32" s="397">
        <f t="shared" si="5"/>
        <v>108181.81818181818</v>
      </c>
    </row>
    <row r="33" spans="1:43" ht="24">
      <c r="A33" s="436" t="s">
        <v>3587</v>
      </c>
      <c r="B33" s="436" t="s">
        <v>3490</v>
      </c>
      <c r="C33" s="437" t="s">
        <v>3491</v>
      </c>
      <c r="D33" s="436" t="s">
        <v>3522</v>
      </c>
      <c r="E33" s="437" t="s">
        <v>3523</v>
      </c>
      <c r="F33" s="436" t="s">
        <v>3494</v>
      </c>
      <c r="G33" s="436" t="s">
        <v>3495</v>
      </c>
      <c r="H33" s="437" t="s">
        <v>3496</v>
      </c>
      <c r="I33" s="436" t="s">
        <v>3497</v>
      </c>
      <c r="J33" s="437" t="s">
        <v>3498</v>
      </c>
      <c r="K33" s="437" t="s">
        <v>3499</v>
      </c>
      <c r="L33" s="436" t="s">
        <v>3500</v>
      </c>
      <c r="M33" s="436" t="s">
        <v>3524</v>
      </c>
      <c r="N33" s="436" t="s">
        <v>3502</v>
      </c>
      <c r="O33" s="438">
        <v>119000</v>
      </c>
      <c r="P33" s="438">
        <v>82110</v>
      </c>
      <c r="Q33" s="438">
        <v>1</v>
      </c>
      <c r="R33" s="438">
        <v>0</v>
      </c>
      <c r="S33" s="438">
        <v>0</v>
      </c>
      <c r="T33" s="438">
        <v>0</v>
      </c>
      <c r="U33" s="438">
        <v>0</v>
      </c>
      <c r="V33" s="438">
        <v>0</v>
      </c>
      <c r="W33" s="438">
        <v>31</v>
      </c>
      <c r="X33" s="438">
        <v>0</v>
      </c>
      <c r="Y33" s="438">
        <v>0</v>
      </c>
      <c r="Z33" s="438">
        <v>0</v>
      </c>
      <c r="AA33" s="438">
        <v>0</v>
      </c>
      <c r="AB33" s="438">
        <v>0</v>
      </c>
      <c r="AC33" s="438">
        <v>119000</v>
      </c>
      <c r="AD33" s="438">
        <v>82110</v>
      </c>
      <c r="AE33" s="438">
        <v>0</v>
      </c>
      <c r="AF33" s="438">
        <v>0</v>
      </c>
      <c r="AG33" s="438">
        <v>119000</v>
      </c>
      <c r="AH33" s="438">
        <v>82110</v>
      </c>
      <c r="AI33" s="438">
        <v>33536</v>
      </c>
      <c r="AJ33" s="438">
        <v>3354</v>
      </c>
      <c r="AK33" s="438">
        <v>36890</v>
      </c>
      <c r="AL33" s="414" t="str">
        <f t="shared" si="0"/>
        <v>워커힐 시그니처 양념 본갈비 300g, 8개</v>
      </c>
      <c r="AM33" s="395">
        <f t="shared" si="1"/>
        <v>46060</v>
      </c>
      <c r="AN33" s="396">
        <f t="shared" si="2"/>
        <v>1</v>
      </c>
      <c r="AO33" s="109">
        <f t="shared" si="3"/>
        <v>119000</v>
      </c>
      <c r="AP33" s="109">
        <f t="shared" si="4"/>
        <v>108181.81818181818</v>
      </c>
      <c r="AQ33" s="397">
        <f t="shared" si="5"/>
        <v>108181.81818181818</v>
      </c>
    </row>
    <row r="34" spans="1:43" ht="24">
      <c r="A34" s="436" t="s">
        <v>3590</v>
      </c>
      <c r="B34" s="436" t="s">
        <v>3490</v>
      </c>
      <c r="C34" s="437" t="s">
        <v>3491</v>
      </c>
      <c r="D34" s="436" t="s">
        <v>3599</v>
      </c>
      <c r="E34" s="437" t="s">
        <v>3600</v>
      </c>
      <c r="F34" s="436" t="s">
        <v>3494</v>
      </c>
      <c r="G34" s="436" t="s">
        <v>3495</v>
      </c>
      <c r="H34" s="437" t="s">
        <v>3496</v>
      </c>
      <c r="I34" s="436" t="s">
        <v>3497</v>
      </c>
      <c r="J34" s="437" t="s">
        <v>3498</v>
      </c>
      <c r="K34" s="437" t="s">
        <v>3499</v>
      </c>
      <c r="L34" s="436" t="s">
        <v>3500</v>
      </c>
      <c r="M34" s="436" t="s">
        <v>3524</v>
      </c>
      <c r="N34" s="436" t="s">
        <v>3502</v>
      </c>
      <c r="O34" s="438">
        <v>119000</v>
      </c>
      <c r="P34" s="438">
        <v>82110</v>
      </c>
      <c r="Q34" s="438">
        <v>1</v>
      </c>
      <c r="R34" s="438">
        <v>0</v>
      </c>
      <c r="S34" s="438">
        <v>0</v>
      </c>
      <c r="T34" s="438">
        <v>0</v>
      </c>
      <c r="U34" s="438">
        <v>0</v>
      </c>
      <c r="V34" s="438">
        <v>0</v>
      </c>
      <c r="W34" s="438">
        <v>31</v>
      </c>
      <c r="X34" s="438">
        <v>0</v>
      </c>
      <c r="Y34" s="438">
        <v>0</v>
      </c>
      <c r="Z34" s="438">
        <v>0</v>
      </c>
      <c r="AA34" s="438">
        <v>0</v>
      </c>
      <c r="AB34" s="438">
        <v>0</v>
      </c>
      <c r="AC34" s="438">
        <v>119000</v>
      </c>
      <c r="AD34" s="438">
        <v>82110</v>
      </c>
      <c r="AE34" s="438">
        <v>0</v>
      </c>
      <c r="AF34" s="438">
        <v>0</v>
      </c>
      <c r="AG34" s="438">
        <v>119000</v>
      </c>
      <c r="AH34" s="438">
        <v>82110</v>
      </c>
      <c r="AI34" s="438">
        <v>33536</v>
      </c>
      <c r="AJ34" s="438">
        <v>3354</v>
      </c>
      <c r="AK34" s="438">
        <v>36890</v>
      </c>
      <c r="AL34" s="414" t="str">
        <f t="shared" si="0"/>
        <v>워커힐 시그니처 양념 본갈비 300g, 8개</v>
      </c>
      <c r="AM34" s="395">
        <f t="shared" si="1"/>
        <v>46060</v>
      </c>
      <c r="AN34" s="396">
        <f t="shared" si="2"/>
        <v>1</v>
      </c>
      <c r="AO34" s="109">
        <f t="shared" si="3"/>
        <v>119000</v>
      </c>
      <c r="AP34" s="109">
        <f t="shared" si="4"/>
        <v>108181.81818181818</v>
      </c>
      <c r="AQ34" s="397">
        <f t="shared" si="5"/>
        <v>108181.81818181818</v>
      </c>
    </row>
    <row r="35" spans="1:43" ht="24">
      <c r="A35" s="436" t="s">
        <v>3593</v>
      </c>
      <c r="B35" s="436" t="s">
        <v>3490</v>
      </c>
      <c r="C35" s="437" t="s">
        <v>3491</v>
      </c>
      <c r="D35" s="436" t="s">
        <v>3605</v>
      </c>
      <c r="E35" s="437" t="s">
        <v>3606</v>
      </c>
      <c r="F35" s="436" t="s">
        <v>3494</v>
      </c>
      <c r="G35" s="436" t="s">
        <v>3495</v>
      </c>
      <c r="H35" s="437" t="s">
        <v>3496</v>
      </c>
      <c r="I35" s="436" t="s">
        <v>3497</v>
      </c>
      <c r="J35" s="437" t="s">
        <v>3498</v>
      </c>
      <c r="K35" s="437" t="s">
        <v>3499</v>
      </c>
      <c r="L35" s="436" t="s">
        <v>3500</v>
      </c>
      <c r="M35" s="436" t="s">
        <v>3524</v>
      </c>
      <c r="N35" s="436" t="s">
        <v>3502</v>
      </c>
      <c r="O35" s="438">
        <v>119000</v>
      </c>
      <c r="P35" s="438">
        <v>82110</v>
      </c>
      <c r="Q35" s="438">
        <v>1</v>
      </c>
      <c r="R35" s="438">
        <v>0</v>
      </c>
      <c r="S35" s="438">
        <v>0</v>
      </c>
      <c r="T35" s="438">
        <v>0</v>
      </c>
      <c r="U35" s="438">
        <v>0</v>
      </c>
      <c r="V35" s="438">
        <v>0</v>
      </c>
      <c r="W35" s="438">
        <v>31</v>
      </c>
      <c r="X35" s="438">
        <v>0</v>
      </c>
      <c r="Y35" s="438">
        <v>0</v>
      </c>
      <c r="Z35" s="438">
        <v>0</v>
      </c>
      <c r="AA35" s="438">
        <v>0</v>
      </c>
      <c r="AB35" s="438">
        <v>0</v>
      </c>
      <c r="AC35" s="438">
        <v>119000</v>
      </c>
      <c r="AD35" s="438">
        <v>82110</v>
      </c>
      <c r="AE35" s="438">
        <v>0</v>
      </c>
      <c r="AF35" s="438">
        <v>0</v>
      </c>
      <c r="AG35" s="438">
        <v>119000</v>
      </c>
      <c r="AH35" s="438">
        <v>82110</v>
      </c>
      <c r="AI35" s="438">
        <v>33536</v>
      </c>
      <c r="AJ35" s="438">
        <v>3354</v>
      </c>
      <c r="AK35" s="438">
        <v>36890</v>
      </c>
      <c r="AL35" s="414" t="str">
        <f t="shared" si="0"/>
        <v>워커힐 시그니처 양념 본갈비 300g, 8개</v>
      </c>
      <c r="AM35" s="395">
        <f t="shared" si="1"/>
        <v>46060</v>
      </c>
      <c r="AN35" s="396">
        <f t="shared" si="2"/>
        <v>1</v>
      </c>
      <c r="AO35" s="109">
        <f t="shared" si="3"/>
        <v>119000</v>
      </c>
      <c r="AP35" s="109">
        <f t="shared" si="4"/>
        <v>108181.81818181818</v>
      </c>
      <c r="AQ35" s="397">
        <f t="shared" si="5"/>
        <v>108181.81818181818</v>
      </c>
    </row>
    <row r="36" spans="1:43" ht="24">
      <c r="A36" s="436" t="s">
        <v>3595</v>
      </c>
      <c r="B36" s="436" t="s">
        <v>3490</v>
      </c>
      <c r="C36" s="437" t="s">
        <v>3491</v>
      </c>
      <c r="D36" s="436" t="s">
        <v>3748</v>
      </c>
      <c r="E36" s="437" t="s">
        <v>3749</v>
      </c>
      <c r="F36" s="436" t="s">
        <v>3494</v>
      </c>
      <c r="G36" s="436" t="s">
        <v>3495</v>
      </c>
      <c r="H36" s="437" t="s">
        <v>3496</v>
      </c>
      <c r="I36" s="436" t="s">
        <v>3497</v>
      </c>
      <c r="J36" s="437" t="s">
        <v>3498</v>
      </c>
      <c r="K36" s="437" t="s">
        <v>3499</v>
      </c>
      <c r="L36" s="436" t="s">
        <v>3500</v>
      </c>
      <c r="M36" s="436" t="s">
        <v>3524</v>
      </c>
      <c r="N36" s="436" t="s">
        <v>3502</v>
      </c>
      <c r="O36" s="438">
        <v>119000</v>
      </c>
      <c r="P36" s="438">
        <v>82110</v>
      </c>
      <c r="Q36" s="438">
        <v>1</v>
      </c>
      <c r="R36" s="438">
        <v>0</v>
      </c>
      <c r="S36" s="438">
        <v>0</v>
      </c>
      <c r="T36" s="438">
        <v>0</v>
      </c>
      <c r="U36" s="438">
        <v>0</v>
      </c>
      <c r="V36" s="438">
        <v>0</v>
      </c>
      <c r="W36" s="438">
        <v>31</v>
      </c>
      <c r="X36" s="438">
        <v>0</v>
      </c>
      <c r="Y36" s="438">
        <v>0</v>
      </c>
      <c r="Z36" s="438">
        <v>0</v>
      </c>
      <c r="AA36" s="438">
        <v>0</v>
      </c>
      <c r="AB36" s="438">
        <v>0</v>
      </c>
      <c r="AC36" s="438">
        <v>119000</v>
      </c>
      <c r="AD36" s="438">
        <v>82110</v>
      </c>
      <c r="AE36" s="438">
        <v>0</v>
      </c>
      <c r="AF36" s="438">
        <v>0</v>
      </c>
      <c r="AG36" s="438">
        <v>119000</v>
      </c>
      <c r="AH36" s="438">
        <v>82110</v>
      </c>
      <c r="AI36" s="438">
        <v>33536</v>
      </c>
      <c r="AJ36" s="438">
        <v>3354</v>
      </c>
      <c r="AK36" s="438">
        <v>36890</v>
      </c>
      <c r="AL36" s="414" t="str">
        <f t="shared" si="0"/>
        <v>워커힐 시그니처 양념 본갈비 300g, 8개</v>
      </c>
      <c r="AM36" s="395">
        <f t="shared" si="1"/>
        <v>46060</v>
      </c>
      <c r="AN36" s="396">
        <f t="shared" si="2"/>
        <v>1</v>
      </c>
      <c r="AO36" s="109">
        <f t="shared" si="3"/>
        <v>119000</v>
      </c>
      <c r="AP36" s="109">
        <f t="shared" si="4"/>
        <v>108181.81818181818</v>
      </c>
      <c r="AQ36" s="397">
        <f t="shared" si="5"/>
        <v>108181.81818181818</v>
      </c>
    </row>
    <row r="37" spans="1:43" ht="24">
      <c r="A37" s="436" t="s">
        <v>3598</v>
      </c>
      <c r="B37" s="436" t="s">
        <v>3490</v>
      </c>
      <c r="C37" s="437" t="s">
        <v>3491</v>
      </c>
      <c r="D37" s="436" t="s">
        <v>3623</v>
      </c>
      <c r="E37" s="437" t="s">
        <v>3624</v>
      </c>
      <c r="F37" s="436" t="s">
        <v>3494</v>
      </c>
      <c r="G37" s="436" t="s">
        <v>3495</v>
      </c>
      <c r="H37" s="437" t="s">
        <v>3496</v>
      </c>
      <c r="I37" s="436" t="s">
        <v>3497</v>
      </c>
      <c r="J37" s="437" t="s">
        <v>3498</v>
      </c>
      <c r="K37" s="437" t="s">
        <v>3499</v>
      </c>
      <c r="L37" s="436" t="s">
        <v>3500</v>
      </c>
      <c r="M37" s="436" t="s">
        <v>3524</v>
      </c>
      <c r="N37" s="436" t="s">
        <v>3502</v>
      </c>
      <c r="O37" s="438">
        <v>119000</v>
      </c>
      <c r="P37" s="438">
        <v>82110</v>
      </c>
      <c r="Q37" s="438">
        <v>1</v>
      </c>
      <c r="R37" s="438">
        <v>0</v>
      </c>
      <c r="S37" s="438">
        <v>0</v>
      </c>
      <c r="T37" s="438">
        <v>0</v>
      </c>
      <c r="U37" s="438">
        <v>0</v>
      </c>
      <c r="V37" s="438">
        <v>0</v>
      </c>
      <c r="W37" s="438">
        <v>31</v>
      </c>
      <c r="X37" s="438">
        <v>0</v>
      </c>
      <c r="Y37" s="438">
        <v>0</v>
      </c>
      <c r="Z37" s="438">
        <v>0</v>
      </c>
      <c r="AA37" s="438">
        <v>0</v>
      </c>
      <c r="AB37" s="438">
        <v>0</v>
      </c>
      <c r="AC37" s="438">
        <v>119000</v>
      </c>
      <c r="AD37" s="438">
        <v>82110</v>
      </c>
      <c r="AE37" s="438">
        <v>0</v>
      </c>
      <c r="AF37" s="438">
        <v>0</v>
      </c>
      <c r="AG37" s="438">
        <v>119000</v>
      </c>
      <c r="AH37" s="438">
        <v>82110</v>
      </c>
      <c r="AI37" s="438">
        <v>33536</v>
      </c>
      <c r="AJ37" s="438">
        <v>3354</v>
      </c>
      <c r="AK37" s="438">
        <v>36890</v>
      </c>
      <c r="AL37" s="414" t="str">
        <f t="shared" si="0"/>
        <v>워커힐 시그니처 양념 본갈비 300g, 8개</v>
      </c>
      <c r="AM37" s="395">
        <f t="shared" si="1"/>
        <v>46060</v>
      </c>
      <c r="AN37" s="396">
        <f t="shared" si="2"/>
        <v>1</v>
      </c>
      <c r="AO37" s="109">
        <f t="shared" si="3"/>
        <v>119000</v>
      </c>
      <c r="AP37" s="109">
        <f t="shared" si="4"/>
        <v>108181.81818181818</v>
      </c>
      <c r="AQ37" s="397">
        <f t="shared" si="5"/>
        <v>108181.81818181818</v>
      </c>
    </row>
    <row r="38" spans="1:43" ht="24">
      <c r="A38" s="436" t="s">
        <v>3601</v>
      </c>
      <c r="B38" s="436" t="s">
        <v>3490</v>
      </c>
      <c r="C38" s="437" t="s">
        <v>3491</v>
      </c>
      <c r="D38" s="436" t="s">
        <v>3787</v>
      </c>
      <c r="E38" s="437" t="s">
        <v>3788</v>
      </c>
      <c r="F38" s="436" t="s">
        <v>3494</v>
      </c>
      <c r="G38" s="436" t="s">
        <v>3495</v>
      </c>
      <c r="H38" s="437" t="s">
        <v>3496</v>
      </c>
      <c r="I38" s="436" t="s">
        <v>3497</v>
      </c>
      <c r="J38" s="437" t="s">
        <v>3498</v>
      </c>
      <c r="K38" s="437" t="s">
        <v>3499</v>
      </c>
      <c r="L38" s="436" t="s">
        <v>3500</v>
      </c>
      <c r="M38" s="436" t="s">
        <v>3524</v>
      </c>
      <c r="N38" s="436" t="s">
        <v>3502</v>
      </c>
      <c r="O38" s="438">
        <v>119000</v>
      </c>
      <c r="P38" s="438">
        <v>82110</v>
      </c>
      <c r="Q38" s="438">
        <v>1</v>
      </c>
      <c r="R38" s="438">
        <v>0</v>
      </c>
      <c r="S38" s="438">
        <v>0</v>
      </c>
      <c r="T38" s="438">
        <v>0</v>
      </c>
      <c r="U38" s="438">
        <v>0</v>
      </c>
      <c r="V38" s="438">
        <v>0</v>
      </c>
      <c r="W38" s="438">
        <v>31</v>
      </c>
      <c r="X38" s="438">
        <v>0</v>
      </c>
      <c r="Y38" s="438">
        <v>0</v>
      </c>
      <c r="Z38" s="438">
        <v>0</v>
      </c>
      <c r="AA38" s="438">
        <v>0</v>
      </c>
      <c r="AB38" s="438">
        <v>0</v>
      </c>
      <c r="AC38" s="438">
        <v>119000</v>
      </c>
      <c r="AD38" s="438">
        <v>82110</v>
      </c>
      <c r="AE38" s="438">
        <v>0</v>
      </c>
      <c r="AF38" s="438">
        <v>0</v>
      </c>
      <c r="AG38" s="438">
        <v>119000</v>
      </c>
      <c r="AH38" s="438">
        <v>82110</v>
      </c>
      <c r="AI38" s="438">
        <v>33536</v>
      </c>
      <c r="AJ38" s="438">
        <v>3354</v>
      </c>
      <c r="AK38" s="438">
        <v>36890</v>
      </c>
      <c r="AL38" s="414" t="str">
        <f t="shared" si="0"/>
        <v>워커힐 시그니처 양념 본갈비 300g, 8개</v>
      </c>
      <c r="AM38" s="395">
        <f t="shared" si="1"/>
        <v>46060</v>
      </c>
      <c r="AN38" s="396">
        <f t="shared" si="2"/>
        <v>1</v>
      </c>
      <c r="AO38" s="109">
        <f t="shared" si="3"/>
        <v>119000</v>
      </c>
      <c r="AP38" s="109">
        <f t="shared" si="4"/>
        <v>108181.81818181818</v>
      </c>
      <c r="AQ38" s="397">
        <f t="shared" si="5"/>
        <v>108181.81818181818</v>
      </c>
    </row>
    <row r="39" spans="1:43" ht="24">
      <c r="A39" s="436" t="s">
        <v>3604</v>
      </c>
      <c r="B39" s="436" t="s">
        <v>3490</v>
      </c>
      <c r="C39" s="437" t="s">
        <v>3491</v>
      </c>
      <c r="D39" s="436" t="s">
        <v>3790</v>
      </c>
      <c r="E39" s="437" t="s">
        <v>3791</v>
      </c>
      <c r="F39" s="436" t="s">
        <v>3494</v>
      </c>
      <c r="G39" s="436" t="s">
        <v>3495</v>
      </c>
      <c r="H39" s="437" t="s">
        <v>3496</v>
      </c>
      <c r="I39" s="436" t="s">
        <v>3497</v>
      </c>
      <c r="J39" s="437" t="s">
        <v>3498</v>
      </c>
      <c r="K39" s="437" t="s">
        <v>3499</v>
      </c>
      <c r="L39" s="436" t="s">
        <v>3500</v>
      </c>
      <c r="M39" s="436" t="s">
        <v>3524</v>
      </c>
      <c r="N39" s="436" t="s">
        <v>3502</v>
      </c>
      <c r="O39" s="438">
        <v>119000</v>
      </c>
      <c r="P39" s="438">
        <v>82110</v>
      </c>
      <c r="Q39" s="438">
        <v>1</v>
      </c>
      <c r="R39" s="438">
        <v>0</v>
      </c>
      <c r="S39" s="438">
        <v>0</v>
      </c>
      <c r="T39" s="438">
        <v>0</v>
      </c>
      <c r="U39" s="438">
        <v>0</v>
      </c>
      <c r="V39" s="438">
        <v>0</v>
      </c>
      <c r="W39" s="438">
        <v>31</v>
      </c>
      <c r="X39" s="438">
        <v>0</v>
      </c>
      <c r="Y39" s="438">
        <v>5000</v>
      </c>
      <c r="Z39" s="438">
        <v>0</v>
      </c>
      <c r="AA39" s="438">
        <v>0</v>
      </c>
      <c r="AB39" s="438">
        <v>0</v>
      </c>
      <c r="AC39" s="438">
        <v>119000</v>
      </c>
      <c r="AD39" s="438">
        <v>82110</v>
      </c>
      <c r="AE39" s="438">
        <v>0</v>
      </c>
      <c r="AF39" s="438">
        <v>5000</v>
      </c>
      <c r="AG39" s="438">
        <v>114000</v>
      </c>
      <c r="AH39" s="438">
        <v>82110</v>
      </c>
      <c r="AI39" s="438">
        <v>28991</v>
      </c>
      <c r="AJ39" s="438">
        <v>2899</v>
      </c>
      <c r="AK39" s="438">
        <v>31890</v>
      </c>
      <c r="AL39" s="414" t="str">
        <f t="shared" si="0"/>
        <v>워커힐 시그니처 양념 본갈비 300g, 8개</v>
      </c>
      <c r="AM39" s="395">
        <f t="shared" si="1"/>
        <v>46060</v>
      </c>
      <c r="AN39" s="396">
        <f t="shared" si="2"/>
        <v>1</v>
      </c>
      <c r="AO39" s="109">
        <f t="shared" si="3"/>
        <v>119000</v>
      </c>
      <c r="AP39" s="109">
        <f t="shared" si="4"/>
        <v>108181.81818181818</v>
      </c>
      <c r="AQ39" s="397">
        <f t="shared" si="5"/>
        <v>108181.81818181818</v>
      </c>
    </row>
    <row r="40" spans="1:43" ht="24">
      <c r="A40" s="436" t="s">
        <v>3607</v>
      </c>
      <c r="B40" s="436" t="s">
        <v>3490</v>
      </c>
      <c r="C40" s="437" t="s">
        <v>3491</v>
      </c>
      <c r="D40" s="436" t="s">
        <v>3798</v>
      </c>
      <c r="E40" s="437" t="s">
        <v>3749</v>
      </c>
      <c r="F40" s="436" t="s">
        <v>3494</v>
      </c>
      <c r="G40" s="436" t="s">
        <v>3495</v>
      </c>
      <c r="H40" s="437" t="s">
        <v>3496</v>
      </c>
      <c r="I40" s="436" t="s">
        <v>3497</v>
      </c>
      <c r="J40" s="437" t="s">
        <v>3498</v>
      </c>
      <c r="K40" s="437" t="s">
        <v>3499</v>
      </c>
      <c r="L40" s="436" t="s">
        <v>3500</v>
      </c>
      <c r="M40" s="436" t="s">
        <v>3524</v>
      </c>
      <c r="N40" s="436" t="s">
        <v>3502</v>
      </c>
      <c r="O40" s="438">
        <v>119000</v>
      </c>
      <c r="P40" s="438">
        <v>82110</v>
      </c>
      <c r="Q40" s="438">
        <v>1</v>
      </c>
      <c r="R40" s="438">
        <v>0</v>
      </c>
      <c r="S40" s="438">
        <v>0</v>
      </c>
      <c r="T40" s="438">
        <v>0</v>
      </c>
      <c r="U40" s="438">
        <v>0</v>
      </c>
      <c r="V40" s="438">
        <v>0</v>
      </c>
      <c r="W40" s="438">
        <v>31</v>
      </c>
      <c r="X40" s="438">
        <v>0</v>
      </c>
      <c r="Y40" s="438">
        <v>0</v>
      </c>
      <c r="Z40" s="438">
        <v>0</v>
      </c>
      <c r="AA40" s="438">
        <v>0</v>
      </c>
      <c r="AB40" s="438">
        <v>0</v>
      </c>
      <c r="AC40" s="438">
        <v>119000</v>
      </c>
      <c r="AD40" s="438">
        <v>82110</v>
      </c>
      <c r="AE40" s="438">
        <v>0</v>
      </c>
      <c r="AF40" s="438">
        <v>0</v>
      </c>
      <c r="AG40" s="438">
        <v>119000</v>
      </c>
      <c r="AH40" s="438">
        <v>82110</v>
      </c>
      <c r="AI40" s="438">
        <v>33536</v>
      </c>
      <c r="AJ40" s="438">
        <v>3354</v>
      </c>
      <c r="AK40" s="438">
        <v>36890</v>
      </c>
      <c r="AL40" s="414" t="str">
        <f t="shared" si="0"/>
        <v>워커힐 시그니처 양념 본갈비 300g, 8개</v>
      </c>
      <c r="AM40" s="395">
        <f t="shared" si="1"/>
        <v>46060</v>
      </c>
      <c r="AN40" s="396">
        <f t="shared" si="2"/>
        <v>1</v>
      </c>
      <c r="AO40" s="109">
        <f t="shared" si="3"/>
        <v>119000</v>
      </c>
      <c r="AP40" s="109">
        <f t="shared" si="4"/>
        <v>108181.81818181818</v>
      </c>
      <c r="AQ40" s="397">
        <f t="shared" si="5"/>
        <v>108181.81818181818</v>
      </c>
    </row>
    <row r="41" spans="1:43" ht="24">
      <c r="A41" s="436" t="s">
        <v>3610</v>
      </c>
      <c r="B41" s="436" t="s">
        <v>3490</v>
      </c>
      <c r="C41" s="437" t="s">
        <v>3491</v>
      </c>
      <c r="D41" s="436" t="s">
        <v>3535</v>
      </c>
      <c r="E41" s="437" t="s">
        <v>3536</v>
      </c>
      <c r="F41" s="436" t="s">
        <v>3494</v>
      </c>
      <c r="G41" s="436" t="s">
        <v>3495</v>
      </c>
      <c r="H41" s="437" t="s">
        <v>3496</v>
      </c>
      <c r="I41" s="436" t="s">
        <v>3497</v>
      </c>
      <c r="J41" s="437" t="s">
        <v>3498</v>
      </c>
      <c r="K41" s="437" t="s">
        <v>3499</v>
      </c>
      <c r="L41" s="436" t="s">
        <v>3500</v>
      </c>
      <c r="M41" s="436" t="s">
        <v>3524</v>
      </c>
      <c r="N41" s="436" t="s">
        <v>3502</v>
      </c>
      <c r="O41" s="438">
        <v>119000</v>
      </c>
      <c r="P41" s="438">
        <v>82110</v>
      </c>
      <c r="Q41" s="438">
        <v>1</v>
      </c>
      <c r="R41" s="438">
        <v>0</v>
      </c>
      <c r="S41" s="438">
        <v>0</v>
      </c>
      <c r="T41" s="438">
        <v>0</v>
      </c>
      <c r="U41" s="438">
        <v>0</v>
      </c>
      <c r="V41" s="438">
        <v>0</v>
      </c>
      <c r="W41" s="438">
        <v>31</v>
      </c>
      <c r="X41" s="438">
        <v>0</v>
      </c>
      <c r="Y41" s="438">
        <v>0</v>
      </c>
      <c r="Z41" s="438">
        <v>0</v>
      </c>
      <c r="AA41" s="438">
        <v>0</v>
      </c>
      <c r="AB41" s="438">
        <v>0</v>
      </c>
      <c r="AC41" s="438">
        <v>119000</v>
      </c>
      <c r="AD41" s="438">
        <v>82110</v>
      </c>
      <c r="AE41" s="438">
        <v>0</v>
      </c>
      <c r="AF41" s="438">
        <v>0</v>
      </c>
      <c r="AG41" s="438">
        <v>119000</v>
      </c>
      <c r="AH41" s="438">
        <v>82110</v>
      </c>
      <c r="AI41" s="438">
        <v>33536</v>
      </c>
      <c r="AJ41" s="438">
        <v>3354</v>
      </c>
      <c r="AK41" s="438">
        <v>36890</v>
      </c>
      <c r="AL41" s="414" t="str">
        <f t="shared" si="0"/>
        <v>워커힐 시그니처 양념 본갈비 300g, 8개</v>
      </c>
      <c r="AM41" s="395">
        <f t="shared" si="1"/>
        <v>46060</v>
      </c>
      <c r="AN41" s="396">
        <f t="shared" si="2"/>
        <v>1</v>
      </c>
      <c r="AO41" s="109">
        <f t="shared" si="3"/>
        <v>119000</v>
      </c>
      <c r="AP41" s="109">
        <f t="shared" si="4"/>
        <v>108181.81818181818</v>
      </c>
      <c r="AQ41" s="397">
        <f t="shared" si="5"/>
        <v>108181.81818181818</v>
      </c>
    </row>
    <row r="42" spans="1:43" ht="24">
      <c r="A42" s="436" t="s">
        <v>3613</v>
      </c>
      <c r="B42" s="436" t="s">
        <v>3490</v>
      </c>
      <c r="C42" s="437" t="s">
        <v>3491</v>
      </c>
      <c r="D42" s="436" t="s">
        <v>3538</v>
      </c>
      <c r="E42" s="437" t="s">
        <v>3536</v>
      </c>
      <c r="F42" s="436" t="s">
        <v>3494</v>
      </c>
      <c r="G42" s="436" t="s">
        <v>3495</v>
      </c>
      <c r="H42" s="437" t="s">
        <v>3496</v>
      </c>
      <c r="I42" s="436" t="s">
        <v>3497</v>
      </c>
      <c r="J42" s="437" t="s">
        <v>3498</v>
      </c>
      <c r="K42" s="437" t="s">
        <v>3499</v>
      </c>
      <c r="L42" s="436" t="s">
        <v>3500</v>
      </c>
      <c r="M42" s="436" t="s">
        <v>3524</v>
      </c>
      <c r="N42" s="436" t="s">
        <v>3502</v>
      </c>
      <c r="O42" s="438">
        <v>119000</v>
      </c>
      <c r="P42" s="438">
        <v>82110</v>
      </c>
      <c r="Q42" s="438">
        <v>1</v>
      </c>
      <c r="R42" s="438">
        <v>0</v>
      </c>
      <c r="S42" s="438">
        <v>0</v>
      </c>
      <c r="T42" s="438">
        <v>0</v>
      </c>
      <c r="U42" s="438">
        <v>0</v>
      </c>
      <c r="V42" s="438">
        <v>0</v>
      </c>
      <c r="W42" s="438">
        <v>31</v>
      </c>
      <c r="X42" s="438">
        <v>0</v>
      </c>
      <c r="Y42" s="438">
        <v>0</v>
      </c>
      <c r="Z42" s="438">
        <v>0</v>
      </c>
      <c r="AA42" s="438">
        <v>0</v>
      </c>
      <c r="AB42" s="438">
        <v>0</v>
      </c>
      <c r="AC42" s="438">
        <v>119000</v>
      </c>
      <c r="AD42" s="438">
        <v>82110</v>
      </c>
      <c r="AE42" s="438">
        <v>0</v>
      </c>
      <c r="AF42" s="438">
        <v>0</v>
      </c>
      <c r="AG42" s="438">
        <v>119000</v>
      </c>
      <c r="AH42" s="438">
        <v>82110</v>
      </c>
      <c r="AI42" s="438">
        <v>33536</v>
      </c>
      <c r="AJ42" s="438">
        <v>3354</v>
      </c>
      <c r="AK42" s="438">
        <v>36890</v>
      </c>
      <c r="AL42" s="414" t="str">
        <f t="shared" si="0"/>
        <v>워커힐 시그니처 양념 본갈비 300g, 8개</v>
      </c>
      <c r="AM42" s="395">
        <f t="shared" si="1"/>
        <v>46060</v>
      </c>
      <c r="AN42" s="396">
        <f t="shared" si="2"/>
        <v>1</v>
      </c>
      <c r="AO42" s="109">
        <f t="shared" si="3"/>
        <v>119000</v>
      </c>
      <c r="AP42" s="109">
        <f t="shared" si="4"/>
        <v>108181.81818181818</v>
      </c>
      <c r="AQ42" s="397">
        <f t="shared" si="5"/>
        <v>108181.81818181818</v>
      </c>
    </row>
    <row r="43" spans="1:43" ht="24">
      <c r="A43" s="436" t="s">
        <v>3616</v>
      </c>
      <c r="B43" s="436" t="s">
        <v>3490</v>
      </c>
      <c r="C43" s="437" t="s">
        <v>3491</v>
      </c>
      <c r="D43" s="436" t="s">
        <v>3575</v>
      </c>
      <c r="E43" s="437" t="s">
        <v>3555</v>
      </c>
      <c r="F43" s="436" t="s">
        <v>3494</v>
      </c>
      <c r="G43" s="436" t="s">
        <v>3495</v>
      </c>
      <c r="H43" s="437" t="s">
        <v>3496</v>
      </c>
      <c r="I43" s="436" t="s">
        <v>3497</v>
      </c>
      <c r="J43" s="437" t="s">
        <v>3498</v>
      </c>
      <c r="K43" s="437" t="s">
        <v>3548</v>
      </c>
      <c r="L43" s="436" t="s">
        <v>3500</v>
      </c>
      <c r="M43" s="436" t="s">
        <v>3524</v>
      </c>
      <c r="N43" s="436" t="s">
        <v>3502</v>
      </c>
      <c r="O43" s="438">
        <v>119000</v>
      </c>
      <c r="P43" s="438">
        <v>82110</v>
      </c>
      <c r="Q43" s="438">
        <v>1</v>
      </c>
      <c r="R43" s="438">
        <v>0</v>
      </c>
      <c r="S43" s="438">
        <v>0</v>
      </c>
      <c r="T43" s="438">
        <v>0</v>
      </c>
      <c r="U43" s="438">
        <v>0</v>
      </c>
      <c r="V43" s="438">
        <v>0</v>
      </c>
      <c r="W43" s="438">
        <v>31</v>
      </c>
      <c r="X43" s="438">
        <v>0</v>
      </c>
      <c r="Y43" s="438">
        <v>0</v>
      </c>
      <c r="Z43" s="438">
        <v>0</v>
      </c>
      <c r="AA43" s="438">
        <v>0</v>
      </c>
      <c r="AB43" s="438">
        <v>0</v>
      </c>
      <c r="AC43" s="438">
        <v>119000</v>
      </c>
      <c r="AD43" s="438">
        <v>82110</v>
      </c>
      <c r="AE43" s="438">
        <v>0</v>
      </c>
      <c r="AF43" s="438">
        <v>0</v>
      </c>
      <c r="AG43" s="438">
        <v>119000</v>
      </c>
      <c r="AH43" s="438">
        <v>82110</v>
      </c>
      <c r="AI43" s="438">
        <v>33536</v>
      </c>
      <c r="AJ43" s="438">
        <v>3354</v>
      </c>
      <c r="AK43" s="438">
        <v>36890</v>
      </c>
      <c r="AL43" s="414" t="str">
        <f t="shared" si="0"/>
        <v>워커힐 시그니처 양념 본갈비 300g, 8개</v>
      </c>
      <c r="AM43" s="395">
        <f t="shared" si="1"/>
        <v>46060</v>
      </c>
      <c r="AN43" s="396">
        <f t="shared" si="2"/>
        <v>1</v>
      </c>
      <c r="AO43" s="109">
        <f t="shared" si="3"/>
        <v>119000</v>
      </c>
      <c r="AP43" s="109">
        <f t="shared" si="4"/>
        <v>108181.81818181818</v>
      </c>
      <c r="AQ43" s="397">
        <f t="shared" si="5"/>
        <v>108181.81818181818</v>
      </c>
    </row>
    <row r="44" spans="1:43" ht="24">
      <c r="A44" s="436" t="s">
        <v>3619</v>
      </c>
      <c r="B44" s="436" t="s">
        <v>3490</v>
      </c>
      <c r="C44" s="437" t="s">
        <v>3491</v>
      </c>
      <c r="D44" s="436" t="s">
        <v>3540</v>
      </c>
      <c r="E44" s="437" t="s">
        <v>3541</v>
      </c>
      <c r="F44" s="436" t="s">
        <v>3494</v>
      </c>
      <c r="G44" s="436" t="s">
        <v>3495</v>
      </c>
      <c r="H44" s="437" t="s">
        <v>3496</v>
      </c>
      <c r="I44" s="436" t="s">
        <v>3497</v>
      </c>
      <c r="J44" s="437" t="s">
        <v>3498</v>
      </c>
      <c r="K44" s="437" t="s">
        <v>3499</v>
      </c>
      <c r="L44" s="436" t="s">
        <v>3500</v>
      </c>
      <c r="M44" s="436" t="s">
        <v>3524</v>
      </c>
      <c r="N44" s="436" t="s">
        <v>3502</v>
      </c>
      <c r="O44" s="438">
        <v>119000</v>
      </c>
      <c r="P44" s="438">
        <v>82110</v>
      </c>
      <c r="Q44" s="438">
        <v>1</v>
      </c>
      <c r="R44" s="438">
        <v>0</v>
      </c>
      <c r="S44" s="438">
        <v>0</v>
      </c>
      <c r="T44" s="438">
        <v>0</v>
      </c>
      <c r="U44" s="438">
        <v>0</v>
      </c>
      <c r="V44" s="438">
        <v>0</v>
      </c>
      <c r="W44" s="438">
        <v>31</v>
      </c>
      <c r="X44" s="438">
        <v>17850</v>
      </c>
      <c r="Y44" s="438">
        <v>0</v>
      </c>
      <c r="Z44" s="438">
        <v>0</v>
      </c>
      <c r="AA44" s="438">
        <v>0</v>
      </c>
      <c r="AB44" s="438">
        <v>0</v>
      </c>
      <c r="AC44" s="438">
        <v>119000</v>
      </c>
      <c r="AD44" s="438">
        <v>82110</v>
      </c>
      <c r="AE44" s="438">
        <v>0</v>
      </c>
      <c r="AF44" s="438">
        <v>17850</v>
      </c>
      <c r="AG44" s="438">
        <v>101150</v>
      </c>
      <c r="AH44" s="438">
        <v>82110</v>
      </c>
      <c r="AI44" s="438">
        <v>17309</v>
      </c>
      <c r="AJ44" s="438">
        <v>1731</v>
      </c>
      <c r="AK44" s="438">
        <v>19040</v>
      </c>
      <c r="AL44" s="414" t="str">
        <f t="shared" si="0"/>
        <v>워커힐 시그니처 양념 본갈비 300g, 8개</v>
      </c>
      <c r="AM44" s="395">
        <f t="shared" si="1"/>
        <v>46060</v>
      </c>
      <c r="AN44" s="396">
        <f t="shared" si="2"/>
        <v>1</v>
      </c>
      <c r="AO44" s="109">
        <f t="shared" si="3"/>
        <v>119000</v>
      </c>
      <c r="AP44" s="109">
        <f t="shared" si="4"/>
        <v>108181.81818181818</v>
      </c>
      <c r="AQ44" s="397">
        <f t="shared" si="5"/>
        <v>108181.81818181818</v>
      </c>
    </row>
    <row r="45" spans="1:43" ht="24">
      <c r="A45" s="436" t="s">
        <v>3622</v>
      </c>
      <c r="B45" s="436" t="s">
        <v>3490</v>
      </c>
      <c r="C45" s="437" t="s">
        <v>3491</v>
      </c>
      <c r="D45" s="436" t="s">
        <v>3543</v>
      </c>
      <c r="E45" s="437" t="s">
        <v>3544</v>
      </c>
      <c r="F45" s="436" t="s">
        <v>3494</v>
      </c>
      <c r="G45" s="436" t="s">
        <v>3495</v>
      </c>
      <c r="H45" s="437" t="s">
        <v>3496</v>
      </c>
      <c r="I45" s="436" t="s">
        <v>3497</v>
      </c>
      <c r="J45" s="437" t="s">
        <v>3498</v>
      </c>
      <c r="K45" s="437" t="s">
        <v>163</v>
      </c>
      <c r="L45" s="436" t="s">
        <v>3500</v>
      </c>
      <c r="M45" s="436" t="s">
        <v>3524</v>
      </c>
      <c r="N45" s="436" t="s">
        <v>3502</v>
      </c>
      <c r="O45" s="438">
        <v>119000</v>
      </c>
      <c r="P45" s="438">
        <v>82110</v>
      </c>
      <c r="Q45" s="438">
        <v>1</v>
      </c>
      <c r="R45" s="438">
        <v>0</v>
      </c>
      <c r="S45" s="438">
        <v>0</v>
      </c>
      <c r="T45" s="438">
        <v>0</v>
      </c>
      <c r="U45" s="438">
        <v>0</v>
      </c>
      <c r="V45" s="438">
        <v>0</v>
      </c>
      <c r="W45" s="438">
        <v>31</v>
      </c>
      <c r="X45" s="438">
        <v>0</v>
      </c>
      <c r="Y45" s="438">
        <v>0</v>
      </c>
      <c r="Z45" s="438">
        <v>0</v>
      </c>
      <c r="AA45" s="438">
        <v>0</v>
      </c>
      <c r="AB45" s="438">
        <v>0</v>
      </c>
      <c r="AC45" s="438">
        <v>119000</v>
      </c>
      <c r="AD45" s="438">
        <v>82110</v>
      </c>
      <c r="AE45" s="438">
        <v>0</v>
      </c>
      <c r="AF45" s="438">
        <v>0</v>
      </c>
      <c r="AG45" s="438">
        <v>119000</v>
      </c>
      <c r="AH45" s="438">
        <v>82110</v>
      </c>
      <c r="AI45" s="438">
        <v>33536</v>
      </c>
      <c r="AJ45" s="438">
        <v>3354</v>
      </c>
      <c r="AK45" s="438">
        <v>36890</v>
      </c>
      <c r="AL45" s="414" t="str">
        <f t="shared" si="0"/>
        <v>워커힐 시그니처 양념 본갈비 300g, 8개</v>
      </c>
      <c r="AM45" s="395">
        <f t="shared" si="1"/>
        <v>46060</v>
      </c>
      <c r="AN45" s="396">
        <f t="shared" si="2"/>
        <v>1</v>
      </c>
      <c r="AO45" s="109">
        <f t="shared" si="3"/>
        <v>119000</v>
      </c>
      <c r="AP45" s="109">
        <f t="shared" si="4"/>
        <v>108181.81818181818</v>
      </c>
      <c r="AQ45" s="397">
        <f t="shared" si="5"/>
        <v>108181.81818181818</v>
      </c>
    </row>
    <row r="46" spans="1:43" ht="24">
      <c r="A46" s="436" t="s">
        <v>3625</v>
      </c>
      <c r="B46" s="436" t="s">
        <v>3490</v>
      </c>
      <c r="C46" s="437" t="s">
        <v>3491</v>
      </c>
      <c r="D46" s="436" t="s">
        <v>3546</v>
      </c>
      <c r="E46" s="437" t="s">
        <v>3547</v>
      </c>
      <c r="F46" s="436" t="s">
        <v>3494</v>
      </c>
      <c r="G46" s="436" t="s">
        <v>3495</v>
      </c>
      <c r="H46" s="437" t="s">
        <v>3496</v>
      </c>
      <c r="I46" s="436" t="s">
        <v>3497</v>
      </c>
      <c r="J46" s="437" t="s">
        <v>3498</v>
      </c>
      <c r="K46" s="437" t="s">
        <v>3548</v>
      </c>
      <c r="L46" s="436" t="s">
        <v>3500</v>
      </c>
      <c r="M46" s="436" t="s">
        <v>3524</v>
      </c>
      <c r="N46" s="436" t="s">
        <v>3502</v>
      </c>
      <c r="O46" s="438">
        <v>119000</v>
      </c>
      <c r="P46" s="438">
        <v>82110</v>
      </c>
      <c r="Q46" s="438">
        <v>1</v>
      </c>
      <c r="R46" s="438">
        <v>0</v>
      </c>
      <c r="S46" s="438">
        <v>0</v>
      </c>
      <c r="T46" s="438">
        <v>0</v>
      </c>
      <c r="U46" s="438">
        <v>0</v>
      </c>
      <c r="V46" s="438">
        <v>0</v>
      </c>
      <c r="W46" s="438">
        <v>31</v>
      </c>
      <c r="X46" s="438">
        <v>0</v>
      </c>
      <c r="Y46" s="438">
        <v>0</v>
      </c>
      <c r="Z46" s="438">
        <v>0</v>
      </c>
      <c r="AA46" s="438">
        <v>0</v>
      </c>
      <c r="AB46" s="438">
        <v>0</v>
      </c>
      <c r="AC46" s="438">
        <v>119000</v>
      </c>
      <c r="AD46" s="438">
        <v>82110</v>
      </c>
      <c r="AE46" s="438">
        <v>0</v>
      </c>
      <c r="AF46" s="438">
        <v>0</v>
      </c>
      <c r="AG46" s="438">
        <v>119000</v>
      </c>
      <c r="AH46" s="438">
        <v>82110</v>
      </c>
      <c r="AI46" s="438">
        <v>33536</v>
      </c>
      <c r="AJ46" s="438">
        <v>3354</v>
      </c>
      <c r="AK46" s="438">
        <v>36890</v>
      </c>
      <c r="AL46" s="414" t="str">
        <f t="shared" si="0"/>
        <v>워커힐 시그니처 양념 본갈비 300g, 8개</v>
      </c>
      <c r="AM46" s="395">
        <f t="shared" si="1"/>
        <v>46060</v>
      </c>
      <c r="AN46" s="396">
        <f t="shared" si="2"/>
        <v>1</v>
      </c>
      <c r="AO46" s="109">
        <f t="shared" si="3"/>
        <v>119000</v>
      </c>
      <c r="AP46" s="109">
        <f t="shared" si="4"/>
        <v>108181.81818181818</v>
      </c>
      <c r="AQ46" s="397">
        <f t="shared" si="5"/>
        <v>108181.81818181818</v>
      </c>
    </row>
    <row r="47" spans="1:43" ht="24">
      <c r="A47" s="436" t="s">
        <v>3628</v>
      </c>
      <c r="B47" s="436" t="s">
        <v>3490</v>
      </c>
      <c r="C47" s="437" t="s">
        <v>3491</v>
      </c>
      <c r="D47" s="436" t="s">
        <v>3550</v>
      </c>
      <c r="E47" s="437" t="s">
        <v>3551</v>
      </c>
      <c r="F47" s="436" t="s">
        <v>3494</v>
      </c>
      <c r="G47" s="436" t="s">
        <v>3495</v>
      </c>
      <c r="H47" s="437" t="s">
        <v>3496</v>
      </c>
      <c r="I47" s="436" t="s">
        <v>3497</v>
      </c>
      <c r="J47" s="437" t="s">
        <v>3498</v>
      </c>
      <c r="K47" s="437" t="s">
        <v>3499</v>
      </c>
      <c r="L47" s="436" t="s">
        <v>3500</v>
      </c>
      <c r="M47" s="436" t="s">
        <v>3524</v>
      </c>
      <c r="N47" s="436" t="s">
        <v>3502</v>
      </c>
      <c r="O47" s="438">
        <v>119000</v>
      </c>
      <c r="P47" s="438">
        <v>82110</v>
      </c>
      <c r="Q47" s="438">
        <v>1</v>
      </c>
      <c r="R47" s="438">
        <v>0</v>
      </c>
      <c r="S47" s="438">
        <v>0</v>
      </c>
      <c r="T47" s="438">
        <v>0</v>
      </c>
      <c r="U47" s="438">
        <v>0</v>
      </c>
      <c r="V47" s="438">
        <v>0</v>
      </c>
      <c r="W47" s="438">
        <v>31</v>
      </c>
      <c r="X47" s="438">
        <v>0</v>
      </c>
      <c r="Y47" s="438">
        <v>0</v>
      </c>
      <c r="Z47" s="438">
        <v>0</v>
      </c>
      <c r="AA47" s="438">
        <v>0</v>
      </c>
      <c r="AB47" s="438">
        <v>0</v>
      </c>
      <c r="AC47" s="438">
        <v>119000</v>
      </c>
      <c r="AD47" s="438">
        <v>82110</v>
      </c>
      <c r="AE47" s="438">
        <v>0</v>
      </c>
      <c r="AF47" s="438">
        <v>0</v>
      </c>
      <c r="AG47" s="438">
        <v>119000</v>
      </c>
      <c r="AH47" s="438">
        <v>82110</v>
      </c>
      <c r="AI47" s="438">
        <v>33536</v>
      </c>
      <c r="AJ47" s="438">
        <v>3354</v>
      </c>
      <c r="AK47" s="438">
        <v>36890</v>
      </c>
      <c r="AL47" s="414" t="str">
        <f t="shared" si="0"/>
        <v>워커힐 시그니처 양념 본갈비 300g, 8개</v>
      </c>
      <c r="AM47" s="395">
        <f t="shared" si="1"/>
        <v>46060</v>
      </c>
      <c r="AN47" s="396">
        <f t="shared" si="2"/>
        <v>1</v>
      </c>
      <c r="AO47" s="109">
        <f t="shared" si="3"/>
        <v>119000</v>
      </c>
      <c r="AP47" s="109">
        <f t="shared" si="4"/>
        <v>108181.81818181818</v>
      </c>
      <c r="AQ47" s="397">
        <f t="shared" si="5"/>
        <v>108181.81818181818</v>
      </c>
    </row>
    <row r="48" spans="1:43" ht="24">
      <c r="A48" s="436" t="s">
        <v>3631</v>
      </c>
      <c r="B48" s="436" t="s">
        <v>3490</v>
      </c>
      <c r="C48" s="437" t="s">
        <v>3491</v>
      </c>
      <c r="D48" s="436" t="s">
        <v>3550</v>
      </c>
      <c r="E48" s="437" t="s">
        <v>3551</v>
      </c>
      <c r="F48" s="436" t="s">
        <v>3494</v>
      </c>
      <c r="G48" s="436" t="s">
        <v>3495</v>
      </c>
      <c r="H48" s="437" t="s">
        <v>3496</v>
      </c>
      <c r="I48" s="436" t="s">
        <v>3497</v>
      </c>
      <c r="J48" s="437" t="s">
        <v>3498</v>
      </c>
      <c r="K48" s="437" t="s">
        <v>3499</v>
      </c>
      <c r="L48" s="436" t="s">
        <v>3500</v>
      </c>
      <c r="M48" s="436" t="s">
        <v>3524</v>
      </c>
      <c r="N48" s="436" t="s">
        <v>3502</v>
      </c>
      <c r="O48" s="438">
        <v>119000</v>
      </c>
      <c r="P48" s="438">
        <v>82110</v>
      </c>
      <c r="Q48" s="438">
        <v>1</v>
      </c>
      <c r="R48" s="438">
        <v>0</v>
      </c>
      <c r="S48" s="438">
        <v>0</v>
      </c>
      <c r="T48" s="438">
        <v>0</v>
      </c>
      <c r="U48" s="438">
        <v>0</v>
      </c>
      <c r="V48" s="438">
        <v>0</v>
      </c>
      <c r="W48" s="438">
        <v>31</v>
      </c>
      <c r="X48" s="438">
        <v>0</v>
      </c>
      <c r="Y48" s="438">
        <v>0</v>
      </c>
      <c r="Z48" s="438">
        <v>0</v>
      </c>
      <c r="AA48" s="438">
        <v>0</v>
      </c>
      <c r="AB48" s="438">
        <v>0</v>
      </c>
      <c r="AC48" s="438">
        <v>119000</v>
      </c>
      <c r="AD48" s="438">
        <v>82110</v>
      </c>
      <c r="AE48" s="438">
        <v>0</v>
      </c>
      <c r="AF48" s="438">
        <v>0</v>
      </c>
      <c r="AG48" s="438">
        <v>119000</v>
      </c>
      <c r="AH48" s="438">
        <v>82110</v>
      </c>
      <c r="AI48" s="438">
        <v>33536</v>
      </c>
      <c r="AJ48" s="438">
        <v>3354</v>
      </c>
      <c r="AK48" s="438">
        <v>36890</v>
      </c>
      <c r="AL48" s="414" t="str">
        <f t="shared" si="0"/>
        <v>워커힐 시그니처 양념 본갈비 300g, 8개</v>
      </c>
      <c r="AM48" s="395">
        <f t="shared" si="1"/>
        <v>46060</v>
      </c>
      <c r="AN48" s="396">
        <f t="shared" si="2"/>
        <v>1</v>
      </c>
      <c r="AO48" s="109">
        <f t="shared" si="3"/>
        <v>119000</v>
      </c>
      <c r="AP48" s="109">
        <f t="shared" si="4"/>
        <v>108181.81818181818</v>
      </c>
      <c r="AQ48" s="397">
        <f t="shared" si="5"/>
        <v>108181.81818181818</v>
      </c>
    </row>
    <row r="49" spans="1:43" ht="24">
      <c r="A49" s="436" t="s">
        <v>3634</v>
      </c>
      <c r="B49" s="436" t="s">
        <v>3490</v>
      </c>
      <c r="C49" s="437" t="s">
        <v>3491</v>
      </c>
      <c r="D49" s="436" t="s">
        <v>3841</v>
      </c>
      <c r="E49" s="437" t="s">
        <v>3842</v>
      </c>
      <c r="F49" s="436" t="s">
        <v>3494</v>
      </c>
      <c r="G49" s="436" t="s">
        <v>3495</v>
      </c>
      <c r="H49" s="437" t="s">
        <v>3496</v>
      </c>
      <c r="I49" s="436" t="s">
        <v>3497</v>
      </c>
      <c r="J49" s="437" t="s">
        <v>3498</v>
      </c>
      <c r="K49" s="437" t="s">
        <v>3499</v>
      </c>
      <c r="L49" s="436" t="s">
        <v>3500</v>
      </c>
      <c r="M49" s="436" t="s">
        <v>3524</v>
      </c>
      <c r="N49" s="436" t="s">
        <v>3502</v>
      </c>
      <c r="O49" s="438">
        <v>119000</v>
      </c>
      <c r="P49" s="438">
        <v>82110</v>
      </c>
      <c r="Q49" s="438">
        <v>1</v>
      </c>
      <c r="R49" s="438">
        <v>0</v>
      </c>
      <c r="S49" s="438">
        <v>0</v>
      </c>
      <c r="T49" s="438">
        <v>0</v>
      </c>
      <c r="U49" s="438">
        <v>0</v>
      </c>
      <c r="V49" s="438">
        <v>0</v>
      </c>
      <c r="W49" s="438">
        <v>31</v>
      </c>
      <c r="X49" s="438">
        <v>0</v>
      </c>
      <c r="Y49" s="438">
        <v>0</v>
      </c>
      <c r="Z49" s="438">
        <v>0</v>
      </c>
      <c r="AA49" s="438">
        <v>0</v>
      </c>
      <c r="AB49" s="438">
        <v>0</v>
      </c>
      <c r="AC49" s="438">
        <v>119000</v>
      </c>
      <c r="AD49" s="438">
        <v>82110</v>
      </c>
      <c r="AE49" s="438">
        <v>0</v>
      </c>
      <c r="AF49" s="438">
        <v>0</v>
      </c>
      <c r="AG49" s="438">
        <v>119000</v>
      </c>
      <c r="AH49" s="438">
        <v>82110</v>
      </c>
      <c r="AI49" s="438">
        <v>33536</v>
      </c>
      <c r="AJ49" s="438">
        <v>3354</v>
      </c>
      <c r="AK49" s="438">
        <v>36890</v>
      </c>
      <c r="AL49" s="414" t="str">
        <f t="shared" si="0"/>
        <v>워커힐 시그니처 양념 본갈비 300g, 8개</v>
      </c>
      <c r="AM49" s="395">
        <f t="shared" si="1"/>
        <v>46060</v>
      </c>
      <c r="AN49" s="396">
        <f t="shared" si="2"/>
        <v>1</v>
      </c>
      <c r="AO49" s="109">
        <f t="shared" si="3"/>
        <v>119000</v>
      </c>
      <c r="AP49" s="109">
        <f t="shared" si="4"/>
        <v>108181.81818181818</v>
      </c>
      <c r="AQ49" s="397">
        <f t="shared" si="5"/>
        <v>108181.81818181818</v>
      </c>
    </row>
    <row r="50" spans="1:43" ht="24">
      <c r="A50" s="436" t="s">
        <v>3637</v>
      </c>
      <c r="B50" s="436" t="s">
        <v>3490</v>
      </c>
      <c r="C50" s="437" t="s">
        <v>3491</v>
      </c>
      <c r="D50" s="436" t="s">
        <v>3844</v>
      </c>
      <c r="E50" s="437" t="s">
        <v>3845</v>
      </c>
      <c r="F50" s="436" t="s">
        <v>3494</v>
      </c>
      <c r="G50" s="436" t="s">
        <v>3495</v>
      </c>
      <c r="H50" s="437" t="s">
        <v>3496</v>
      </c>
      <c r="I50" s="436" t="s">
        <v>3497</v>
      </c>
      <c r="J50" s="437" t="s">
        <v>3498</v>
      </c>
      <c r="K50" s="437" t="s">
        <v>3499</v>
      </c>
      <c r="L50" s="436" t="s">
        <v>3500</v>
      </c>
      <c r="M50" s="436" t="s">
        <v>3524</v>
      </c>
      <c r="N50" s="436" t="s">
        <v>3502</v>
      </c>
      <c r="O50" s="438">
        <v>119000</v>
      </c>
      <c r="P50" s="438">
        <v>82110</v>
      </c>
      <c r="Q50" s="438">
        <v>1</v>
      </c>
      <c r="R50" s="438">
        <v>0</v>
      </c>
      <c r="S50" s="438">
        <v>0</v>
      </c>
      <c r="T50" s="438">
        <v>0</v>
      </c>
      <c r="U50" s="438">
        <v>0</v>
      </c>
      <c r="V50" s="438">
        <v>0</v>
      </c>
      <c r="W50" s="438">
        <v>31</v>
      </c>
      <c r="X50" s="438">
        <v>0</v>
      </c>
      <c r="Y50" s="438">
        <v>0</v>
      </c>
      <c r="Z50" s="438">
        <v>0</v>
      </c>
      <c r="AA50" s="438">
        <v>0</v>
      </c>
      <c r="AB50" s="438">
        <v>0</v>
      </c>
      <c r="AC50" s="438">
        <v>119000</v>
      </c>
      <c r="AD50" s="438">
        <v>82110</v>
      </c>
      <c r="AE50" s="438">
        <v>0</v>
      </c>
      <c r="AF50" s="438">
        <v>0</v>
      </c>
      <c r="AG50" s="438">
        <v>119000</v>
      </c>
      <c r="AH50" s="438">
        <v>82110</v>
      </c>
      <c r="AI50" s="438">
        <v>33536</v>
      </c>
      <c r="AJ50" s="438">
        <v>3354</v>
      </c>
      <c r="AK50" s="438">
        <v>36890</v>
      </c>
      <c r="AL50" s="414" t="str">
        <f t="shared" si="0"/>
        <v>워커힐 시그니처 양념 본갈비 300g, 8개</v>
      </c>
      <c r="AM50" s="395">
        <f t="shared" si="1"/>
        <v>46060</v>
      </c>
      <c r="AN50" s="396">
        <f t="shared" si="2"/>
        <v>1</v>
      </c>
      <c r="AO50" s="109">
        <f t="shared" si="3"/>
        <v>119000</v>
      </c>
      <c r="AP50" s="109">
        <f t="shared" si="4"/>
        <v>108181.81818181818</v>
      </c>
      <c r="AQ50" s="397">
        <f t="shared" si="5"/>
        <v>108181.81818181818</v>
      </c>
    </row>
    <row r="51" spans="1:43" ht="24">
      <c r="A51" s="436" t="s">
        <v>3640</v>
      </c>
      <c r="B51" s="436" t="s">
        <v>3490</v>
      </c>
      <c r="C51" s="437" t="s">
        <v>3491</v>
      </c>
      <c r="D51" s="436" t="s">
        <v>3651</v>
      </c>
      <c r="E51" s="437" t="s">
        <v>3652</v>
      </c>
      <c r="F51" s="436" t="s">
        <v>3494</v>
      </c>
      <c r="G51" s="436" t="s">
        <v>3495</v>
      </c>
      <c r="H51" s="437" t="s">
        <v>3496</v>
      </c>
      <c r="I51" s="436" t="s">
        <v>3497</v>
      </c>
      <c r="J51" s="437" t="s">
        <v>3498</v>
      </c>
      <c r="K51" s="437" t="s">
        <v>3499</v>
      </c>
      <c r="L51" s="436" t="s">
        <v>3500</v>
      </c>
      <c r="M51" s="436" t="s">
        <v>3524</v>
      </c>
      <c r="N51" s="436" t="s">
        <v>3502</v>
      </c>
      <c r="O51" s="438">
        <v>119000</v>
      </c>
      <c r="P51" s="438">
        <v>82110</v>
      </c>
      <c r="Q51" s="438">
        <v>1</v>
      </c>
      <c r="R51" s="438">
        <v>0</v>
      </c>
      <c r="S51" s="438">
        <v>0</v>
      </c>
      <c r="T51" s="438">
        <v>0</v>
      </c>
      <c r="U51" s="438">
        <v>0</v>
      </c>
      <c r="V51" s="438">
        <v>0</v>
      </c>
      <c r="W51" s="438">
        <v>31</v>
      </c>
      <c r="X51" s="438">
        <v>0</v>
      </c>
      <c r="Y51" s="438">
        <v>5000</v>
      </c>
      <c r="Z51" s="438">
        <v>0</v>
      </c>
      <c r="AA51" s="438">
        <v>0</v>
      </c>
      <c r="AB51" s="438">
        <v>0</v>
      </c>
      <c r="AC51" s="438">
        <v>119000</v>
      </c>
      <c r="AD51" s="438">
        <v>82110</v>
      </c>
      <c r="AE51" s="438">
        <v>0</v>
      </c>
      <c r="AF51" s="438">
        <v>5000</v>
      </c>
      <c r="AG51" s="438">
        <v>114000</v>
      </c>
      <c r="AH51" s="438">
        <v>82110</v>
      </c>
      <c r="AI51" s="438">
        <v>28991</v>
      </c>
      <c r="AJ51" s="438">
        <v>2899</v>
      </c>
      <c r="AK51" s="438">
        <v>31890</v>
      </c>
      <c r="AL51" s="414" t="str">
        <f t="shared" si="0"/>
        <v>워커힐 시그니처 양념 본갈비 300g, 8개</v>
      </c>
      <c r="AM51" s="395">
        <f t="shared" si="1"/>
        <v>46060</v>
      </c>
      <c r="AN51" s="396">
        <f t="shared" si="2"/>
        <v>1</v>
      </c>
      <c r="AO51" s="109">
        <f t="shared" si="3"/>
        <v>119000</v>
      </c>
      <c r="AP51" s="109">
        <f t="shared" si="4"/>
        <v>108181.81818181818</v>
      </c>
      <c r="AQ51" s="397">
        <f t="shared" si="5"/>
        <v>108181.81818181818</v>
      </c>
    </row>
    <row r="52" spans="1:43" ht="24">
      <c r="A52" s="436" t="s">
        <v>3642</v>
      </c>
      <c r="B52" s="436" t="s">
        <v>3490</v>
      </c>
      <c r="C52" s="437" t="s">
        <v>3491</v>
      </c>
      <c r="D52" s="436" t="s">
        <v>3557</v>
      </c>
      <c r="E52" s="437" t="s">
        <v>3558</v>
      </c>
      <c r="F52" s="436" t="s">
        <v>3494</v>
      </c>
      <c r="G52" s="436" t="s">
        <v>3495</v>
      </c>
      <c r="H52" s="437" t="s">
        <v>3496</v>
      </c>
      <c r="I52" s="436" t="s">
        <v>3497</v>
      </c>
      <c r="J52" s="437" t="s">
        <v>3498</v>
      </c>
      <c r="K52" s="437" t="s">
        <v>3499</v>
      </c>
      <c r="L52" s="436" t="s">
        <v>3500</v>
      </c>
      <c r="M52" s="436" t="s">
        <v>3524</v>
      </c>
      <c r="N52" s="436" t="s">
        <v>3502</v>
      </c>
      <c r="O52" s="438">
        <v>119000</v>
      </c>
      <c r="P52" s="438">
        <v>82110</v>
      </c>
      <c r="Q52" s="438">
        <v>1</v>
      </c>
      <c r="R52" s="438">
        <v>0</v>
      </c>
      <c r="S52" s="438">
        <v>0</v>
      </c>
      <c r="T52" s="438">
        <v>0</v>
      </c>
      <c r="U52" s="438">
        <v>0</v>
      </c>
      <c r="V52" s="438">
        <v>0</v>
      </c>
      <c r="W52" s="438">
        <v>31</v>
      </c>
      <c r="X52" s="438">
        <v>0</v>
      </c>
      <c r="Y52" s="438">
        <v>10000</v>
      </c>
      <c r="Z52" s="438">
        <v>0</v>
      </c>
      <c r="AA52" s="438">
        <v>0</v>
      </c>
      <c r="AB52" s="438">
        <v>0</v>
      </c>
      <c r="AC52" s="438">
        <v>119000</v>
      </c>
      <c r="AD52" s="438">
        <v>82110</v>
      </c>
      <c r="AE52" s="438">
        <v>0</v>
      </c>
      <c r="AF52" s="438">
        <v>10000</v>
      </c>
      <c r="AG52" s="438">
        <v>109000</v>
      </c>
      <c r="AH52" s="438">
        <v>82110</v>
      </c>
      <c r="AI52" s="438">
        <v>24445</v>
      </c>
      <c r="AJ52" s="438">
        <v>2445</v>
      </c>
      <c r="AK52" s="438">
        <v>26890</v>
      </c>
      <c r="AL52" s="414" t="str">
        <f t="shared" si="0"/>
        <v>워커힐 시그니처 양념 본갈비 300g, 8개</v>
      </c>
      <c r="AM52" s="395">
        <f t="shared" si="1"/>
        <v>46060</v>
      </c>
      <c r="AN52" s="396">
        <f t="shared" si="2"/>
        <v>1</v>
      </c>
      <c r="AO52" s="109">
        <f t="shared" si="3"/>
        <v>119000</v>
      </c>
      <c r="AP52" s="109">
        <f t="shared" si="4"/>
        <v>108181.81818181818</v>
      </c>
      <c r="AQ52" s="397">
        <f t="shared" si="5"/>
        <v>108181.81818181818</v>
      </c>
    </row>
    <row r="53" spans="1:43" ht="24">
      <c r="A53" s="436" t="s">
        <v>3644</v>
      </c>
      <c r="B53" s="436" t="s">
        <v>3490</v>
      </c>
      <c r="C53" s="437" t="s">
        <v>3491</v>
      </c>
      <c r="D53" s="436" t="s">
        <v>3654</v>
      </c>
      <c r="E53" s="437" t="s">
        <v>3655</v>
      </c>
      <c r="F53" s="436" t="s">
        <v>3494</v>
      </c>
      <c r="G53" s="436" t="s">
        <v>3495</v>
      </c>
      <c r="H53" s="437" t="s">
        <v>3496</v>
      </c>
      <c r="I53" s="436" t="s">
        <v>3497</v>
      </c>
      <c r="J53" s="437" t="s">
        <v>3498</v>
      </c>
      <c r="K53" s="437" t="s">
        <v>3499</v>
      </c>
      <c r="L53" s="436" t="s">
        <v>3500</v>
      </c>
      <c r="M53" s="436" t="s">
        <v>3524</v>
      </c>
      <c r="N53" s="436" t="s">
        <v>3502</v>
      </c>
      <c r="O53" s="438">
        <v>119000</v>
      </c>
      <c r="P53" s="438">
        <v>82110</v>
      </c>
      <c r="Q53" s="438">
        <v>1</v>
      </c>
      <c r="R53" s="438">
        <v>0</v>
      </c>
      <c r="S53" s="438">
        <v>0</v>
      </c>
      <c r="T53" s="438">
        <v>0</v>
      </c>
      <c r="U53" s="438">
        <v>0</v>
      </c>
      <c r="V53" s="438">
        <v>0</v>
      </c>
      <c r="W53" s="438">
        <v>31</v>
      </c>
      <c r="X53" s="438">
        <v>19040</v>
      </c>
      <c r="Y53" s="438">
        <v>0</v>
      </c>
      <c r="Z53" s="438">
        <v>0</v>
      </c>
      <c r="AA53" s="438">
        <v>0</v>
      </c>
      <c r="AB53" s="438">
        <v>0</v>
      </c>
      <c r="AC53" s="438">
        <v>119000</v>
      </c>
      <c r="AD53" s="438">
        <v>82110</v>
      </c>
      <c r="AE53" s="438">
        <v>0</v>
      </c>
      <c r="AF53" s="438">
        <v>19040</v>
      </c>
      <c r="AG53" s="438">
        <v>99960</v>
      </c>
      <c r="AH53" s="438">
        <v>82110</v>
      </c>
      <c r="AI53" s="438">
        <v>16227</v>
      </c>
      <c r="AJ53" s="438">
        <v>1623</v>
      </c>
      <c r="AK53" s="438">
        <v>17850</v>
      </c>
      <c r="AL53" s="414" t="str">
        <f t="shared" si="0"/>
        <v>워커힐 시그니처 양념 본갈비 300g, 8개</v>
      </c>
      <c r="AM53" s="395">
        <f t="shared" si="1"/>
        <v>46060</v>
      </c>
      <c r="AN53" s="396">
        <f t="shared" si="2"/>
        <v>1</v>
      </c>
      <c r="AO53" s="109">
        <f t="shared" si="3"/>
        <v>119000</v>
      </c>
      <c r="AP53" s="109">
        <f t="shared" si="4"/>
        <v>108181.81818181818</v>
      </c>
      <c r="AQ53" s="397">
        <f t="shared" si="5"/>
        <v>108181.81818181818</v>
      </c>
    </row>
    <row r="54" spans="1:43" ht="24">
      <c r="A54" s="436" t="s">
        <v>3647</v>
      </c>
      <c r="B54" s="436" t="s">
        <v>3490</v>
      </c>
      <c r="C54" s="437" t="s">
        <v>3491</v>
      </c>
      <c r="D54" s="436" t="s">
        <v>3870</v>
      </c>
      <c r="E54" s="437" t="s">
        <v>3871</v>
      </c>
      <c r="F54" s="436" t="s">
        <v>3494</v>
      </c>
      <c r="G54" s="436" t="s">
        <v>3495</v>
      </c>
      <c r="H54" s="437" t="s">
        <v>3496</v>
      </c>
      <c r="I54" s="436" t="s">
        <v>3497</v>
      </c>
      <c r="J54" s="437" t="s">
        <v>3498</v>
      </c>
      <c r="K54" s="437" t="s">
        <v>3499</v>
      </c>
      <c r="L54" s="436" t="s">
        <v>3500</v>
      </c>
      <c r="M54" s="436" t="s">
        <v>3524</v>
      </c>
      <c r="N54" s="436" t="s">
        <v>3502</v>
      </c>
      <c r="O54" s="438">
        <v>119000</v>
      </c>
      <c r="P54" s="438">
        <v>82110</v>
      </c>
      <c r="Q54" s="438">
        <v>1</v>
      </c>
      <c r="R54" s="438">
        <v>0</v>
      </c>
      <c r="S54" s="438">
        <v>0</v>
      </c>
      <c r="T54" s="438">
        <v>0</v>
      </c>
      <c r="U54" s="438">
        <v>0</v>
      </c>
      <c r="V54" s="438">
        <v>0</v>
      </c>
      <c r="W54" s="438">
        <v>31</v>
      </c>
      <c r="X54" s="438">
        <v>0</v>
      </c>
      <c r="Y54" s="438">
        <v>0</v>
      </c>
      <c r="Z54" s="438">
        <v>0</v>
      </c>
      <c r="AA54" s="438">
        <v>0</v>
      </c>
      <c r="AB54" s="438">
        <v>0</v>
      </c>
      <c r="AC54" s="438">
        <v>119000</v>
      </c>
      <c r="AD54" s="438">
        <v>82110</v>
      </c>
      <c r="AE54" s="438">
        <v>0</v>
      </c>
      <c r="AF54" s="438">
        <v>0</v>
      </c>
      <c r="AG54" s="438">
        <v>119000</v>
      </c>
      <c r="AH54" s="438">
        <v>82110</v>
      </c>
      <c r="AI54" s="438">
        <v>33536</v>
      </c>
      <c r="AJ54" s="438">
        <v>3354</v>
      </c>
      <c r="AK54" s="438">
        <v>36890</v>
      </c>
      <c r="AL54" s="414" t="str">
        <f t="shared" si="0"/>
        <v>워커힐 시그니처 양념 본갈비 300g, 8개</v>
      </c>
      <c r="AM54" s="395">
        <f t="shared" si="1"/>
        <v>46060</v>
      </c>
      <c r="AN54" s="396">
        <f t="shared" si="2"/>
        <v>1</v>
      </c>
      <c r="AO54" s="109">
        <f t="shared" si="3"/>
        <v>119000</v>
      </c>
      <c r="AP54" s="109">
        <f t="shared" si="4"/>
        <v>108181.81818181818</v>
      </c>
      <c r="AQ54" s="397">
        <f t="shared" si="5"/>
        <v>108181.81818181818</v>
      </c>
    </row>
    <row r="55" spans="1:43" ht="24">
      <c r="A55" s="436" t="s">
        <v>3650</v>
      </c>
      <c r="B55" s="436" t="s">
        <v>3490</v>
      </c>
      <c r="C55" s="437" t="s">
        <v>3491</v>
      </c>
      <c r="D55" s="436" t="s">
        <v>3876</v>
      </c>
      <c r="E55" s="437" t="s">
        <v>3877</v>
      </c>
      <c r="F55" s="436" t="s">
        <v>3494</v>
      </c>
      <c r="G55" s="436" t="s">
        <v>3495</v>
      </c>
      <c r="H55" s="437" t="s">
        <v>3496</v>
      </c>
      <c r="I55" s="436" t="s">
        <v>3497</v>
      </c>
      <c r="J55" s="437" t="s">
        <v>3498</v>
      </c>
      <c r="K55" s="437" t="s">
        <v>3499</v>
      </c>
      <c r="L55" s="436" t="s">
        <v>3500</v>
      </c>
      <c r="M55" s="436" t="s">
        <v>3524</v>
      </c>
      <c r="N55" s="436" t="s">
        <v>3502</v>
      </c>
      <c r="O55" s="438">
        <v>119000</v>
      </c>
      <c r="P55" s="438">
        <v>82110</v>
      </c>
      <c r="Q55" s="438">
        <v>1</v>
      </c>
      <c r="R55" s="438">
        <v>0</v>
      </c>
      <c r="S55" s="438">
        <v>0</v>
      </c>
      <c r="T55" s="438">
        <v>0</v>
      </c>
      <c r="U55" s="438">
        <v>0</v>
      </c>
      <c r="V55" s="438">
        <v>0</v>
      </c>
      <c r="W55" s="438">
        <v>31</v>
      </c>
      <c r="X55" s="438">
        <v>0</v>
      </c>
      <c r="Y55" s="438">
        <v>0</v>
      </c>
      <c r="Z55" s="438">
        <v>0</v>
      </c>
      <c r="AA55" s="438">
        <v>0</v>
      </c>
      <c r="AB55" s="438">
        <v>0</v>
      </c>
      <c r="AC55" s="438">
        <v>119000</v>
      </c>
      <c r="AD55" s="438">
        <v>82110</v>
      </c>
      <c r="AE55" s="438">
        <v>0</v>
      </c>
      <c r="AF55" s="438">
        <v>0</v>
      </c>
      <c r="AG55" s="438">
        <v>119000</v>
      </c>
      <c r="AH55" s="438">
        <v>82110</v>
      </c>
      <c r="AI55" s="438">
        <v>33536</v>
      </c>
      <c r="AJ55" s="438">
        <v>3354</v>
      </c>
      <c r="AK55" s="438">
        <v>36890</v>
      </c>
      <c r="AL55" s="414" t="str">
        <f t="shared" si="0"/>
        <v>워커힐 시그니처 양념 본갈비 300g, 8개</v>
      </c>
      <c r="AM55" s="395">
        <f t="shared" si="1"/>
        <v>46060</v>
      </c>
      <c r="AN55" s="396">
        <f t="shared" si="2"/>
        <v>1</v>
      </c>
      <c r="AO55" s="109">
        <f t="shared" si="3"/>
        <v>119000</v>
      </c>
      <c r="AP55" s="109">
        <f t="shared" si="4"/>
        <v>108181.81818181818</v>
      </c>
      <c r="AQ55" s="397">
        <f t="shared" si="5"/>
        <v>108181.81818181818</v>
      </c>
    </row>
    <row r="56" spans="1:43" ht="24">
      <c r="A56" s="436" t="s">
        <v>3653</v>
      </c>
      <c r="B56" s="436" t="s">
        <v>3490</v>
      </c>
      <c r="C56" s="437" t="s">
        <v>3491</v>
      </c>
      <c r="D56" s="436" t="s">
        <v>3888</v>
      </c>
      <c r="E56" s="437" t="s">
        <v>3889</v>
      </c>
      <c r="F56" s="436" t="s">
        <v>3494</v>
      </c>
      <c r="G56" s="436" t="s">
        <v>3495</v>
      </c>
      <c r="H56" s="437" t="s">
        <v>3496</v>
      </c>
      <c r="I56" s="436" t="s">
        <v>3497</v>
      </c>
      <c r="J56" s="437" t="s">
        <v>3498</v>
      </c>
      <c r="K56" s="437" t="s">
        <v>3499</v>
      </c>
      <c r="L56" s="436" t="s">
        <v>3500</v>
      </c>
      <c r="M56" s="436" t="s">
        <v>3524</v>
      </c>
      <c r="N56" s="436" t="s">
        <v>3502</v>
      </c>
      <c r="O56" s="438">
        <v>119000</v>
      </c>
      <c r="P56" s="438">
        <v>82110</v>
      </c>
      <c r="Q56" s="438">
        <v>1</v>
      </c>
      <c r="R56" s="438">
        <v>0</v>
      </c>
      <c r="S56" s="438">
        <v>0</v>
      </c>
      <c r="T56" s="438">
        <v>0</v>
      </c>
      <c r="U56" s="438">
        <v>0</v>
      </c>
      <c r="V56" s="438">
        <v>0</v>
      </c>
      <c r="W56" s="438">
        <v>31</v>
      </c>
      <c r="X56" s="438">
        <v>0</v>
      </c>
      <c r="Y56" s="438">
        <v>0</v>
      </c>
      <c r="Z56" s="438">
        <v>0</v>
      </c>
      <c r="AA56" s="438">
        <v>0</v>
      </c>
      <c r="AB56" s="438">
        <v>0</v>
      </c>
      <c r="AC56" s="438">
        <v>119000</v>
      </c>
      <c r="AD56" s="438">
        <v>82110</v>
      </c>
      <c r="AE56" s="438">
        <v>0</v>
      </c>
      <c r="AF56" s="438">
        <v>0</v>
      </c>
      <c r="AG56" s="438">
        <v>119000</v>
      </c>
      <c r="AH56" s="438">
        <v>82110</v>
      </c>
      <c r="AI56" s="438">
        <v>33536</v>
      </c>
      <c r="AJ56" s="438">
        <v>3354</v>
      </c>
      <c r="AK56" s="438">
        <v>36890</v>
      </c>
      <c r="AL56" s="414" t="str">
        <f t="shared" si="0"/>
        <v>워커힐 시그니처 양념 본갈비 300g, 8개</v>
      </c>
      <c r="AM56" s="395">
        <f t="shared" si="1"/>
        <v>46060</v>
      </c>
      <c r="AN56" s="396">
        <f t="shared" si="2"/>
        <v>1</v>
      </c>
      <c r="AO56" s="109">
        <f t="shared" si="3"/>
        <v>119000</v>
      </c>
      <c r="AP56" s="109">
        <f t="shared" si="4"/>
        <v>108181.81818181818</v>
      </c>
      <c r="AQ56" s="397">
        <f t="shared" si="5"/>
        <v>108181.81818181818</v>
      </c>
    </row>
    <row r="57" spans="1:43" ht="24">
      <c r="A57" s="436" t="s">
        <v>3656</v>
      </c>
      <c r="B57" s="436" t="s">
        <v>3490</v>
      </c>
      <c r="C57" s="437" t="s">
        <v>3491</v>
      </c>
      <c r="D57" s="436" t="s">
        <v>3903</v>
      </c>
      <c r="E57" s="437" t="s">
        <v>3904</v>
      </c>
      <c r="F57" s="436" t="s">
        <v>3494</v>
      </c>
      <c r="G57" s="436" t="s">
        <v>3495</v>
      </c>
      <c r="H57" s="437" t="s">
        <v>3496</v>
      </c>
      <c r="I57" s="436" t="s">
        <v>3497</v>
      </c>
      <c r="J57" s="437" t="s">
        <v>3498</v>
      </c>
      <c r="K57" s="437" t="s">
        <v>3499</v>
      </c>
      <c r="L57" s="436" t="s">
        <v>3500</v>
      </c>
      <c r="M57" s="436" t="s">
        <v>3524</v>
      </c>
      <c r="N57" s="436" t="s">
        <v>3502</v>
      </c>
      <c r="O57" s="438">
        <v>119000</v>
      </c>
      <c r="P57" s="438">
        <v>82110</v>
      </c>
      <c r="Q57" s="438">
        <v>1</v>
      </c>
      <c r="R57" s="438">
        <v>0</v>
      </c>
      <c r="S57" s="438">
        <v>0</v>
      </c>
      <c r="T57" s="438">
        <v>0</v>
      </c>
      <c r="U57" s="438">
        <v>0</v>
      </c>
      <c r="V57" s="438">
        <v>0</v>
      </c>
      <c r="W57" s="438">
        <v>31</v>
      </c>
      <c r="X57" s="438">
        <v>0</v>
      </c>
      <c r="Y57" s="438">
        <v>0</v>
      </c>
      <c r="Z57" s="438">
        <v>0</v>
      </c>
      <c r="AA57" s="438">
        <v>0</v>
      </c>
      <c r="AB57" s="438">
        <v>0</v>
      </c>
      <c r="AC57" s="438">
        <v>119000</v>
      </c>
      <c r="AD57" s="438">
        <v>82110</v>
      </c>
      <c r="AE57" s="438">
        <v>0</v>
      </c>
      <c r="AF57" s="438">
        <v>0</v>
      </c>
      <c r="AG57" s="438">
        <v>119000</v>
      </c>
      <c r="AH57" s="438">
        <v>82110</v>
      </c>
      <c r="AI57" s="438">
        <v>33536</v>
      </c>
      <c r="AJ57" s="438">
        <v>3354</v>
      </c>
      <c r="AK57" s="438">
        <v>36890</v>
      </c>
      <c r="AL57" s="414" t="str">
        <f t="shared" si="0"/>
        <v>워커힐 시그니처 양념 본갈비 300g, 8개</v>
      </c>
      <c r="AM57" s="395">
        <f t="shared" si="1"/>
        <v>46060</v>
      </c>
      <c r="AN57" s="396">
        <f t="shared" si="2"/>
        <v>1</v>
      </c>
      <c r="AO57" s="109">
        <f t="shared" si="3"/>
        <v>119000</v>
      </c>
      <c r="AP57" s="109">
        <f t="shared" si="4"/>
        <v>108181.81818181818</v>
      </c>
      <c r="AQ57" s="397">
        <f t="shared" si="5"/>
        <v>108181.81818181818</v>
      </c>
    </row>
    <row r="58" spans="1:43" ht="24">
      <c r="A58" s="436" t="s">
        <v>3659</v>
      </c>
      <c r="B58" s="436" t="s">
        <v>3490</v>
      </c>
      <c r="C58" s="437" t="s">
        <v>3491</v>
      </c>
      <c r="D58" s="436" t="s">
        <v>3673</v>
      </c>
      <c r="E58" s="437" t="s">
        <v>3674</v>
      </c>
      <c r="F58" s="436" t="s">
        <v>3494</v>
      </c>
      <c r="G58" s="436" t="s">
        <v>3495</v>
      </c>
      <c r="H58" s="437" t="s">
        <v>3496</v>
      </c>
      <c r="I58" s="436" t="s">
        <v>3497</v>
      </c>
      <c r="J58" s="437" t="s">
        <v>3498</v>
      </c>
      <c r="K58" s="437" t="s">
        <v>3548</v>
      </c>
      <c r="L58" s="436" t="s">
        <v>3500</v>
      </c>
      <c r="M58" s="436" t="s">
        <v>3524</v>
      </c>
      <c r="N58" s="436" t="s">
        <v>3502</v>
      </c>
      <c r="O58" s="438">
        <v>119000</v>
      </c>
      <c r="P58" s="438">
        <v>82110</v>
      </c>
      <c r="Q58" s="438">
        <v>1</v>
      </c>
      <c r="R58" s="438">
        <v>0</v>
      </c>
      <c r="S58" s="438">
        <v>0</v>
      </c>
      <c r="T58" s="438">
        <v>0</v>
      </c>
      <c r="U58" s="438">
        <v>0</v>
      </c>
      <c r="V58" s="438">
        <v>0</v>
      </c>
      <c r="W58" s="438">
        <v>31</v>
      </c>
      <c r="X58" s="438">
        <v>0</v>
      </c>
      <c r="Y58" s="438">
        <v>0</v>
      </c>
      <c r="Z58" s="438">
        <v>0</v>
      </c>
      <c r="AA58" s="438">
        <v>0</v>
      </c>
      <c r="AB58" s="438">
        <v>0</v>
      </c>
      <c r="AC58" s="438">
        <v>119000</v>
      </c>
      <c r="AD58" s="438">
        <v>82110</v>
      </c>
      <c r="AE58" s="438">
        <v>0</v>
      </c>
      <c r="AF58" s="438">
        <v>0</v>
      </c>
      <c r="AG58" s="438">
        <v>119000</v>
      </c>
      <c r="AH58" s="438">
        <v>82110</v>
      </c>
      <c r="AI58" s="438">
        <v>33536</v>
      </c>
      <c r="AJ58" s="438">
        <v>3354</v>
      </c>
      <c r="AK58" s="438">
        <v>36890</v>
      </c>
      <c r="AL58" s="414" t="str">
        <f t="shared" si="0"/>
        <v>워커힐 시그니처 양념 본갈비 300g, 8개</v>
      </c>
      <c r="AM58" s="395">
        <f t="shared" si="1"/>
        <v>46060</v>
      </c>
      <c r="AN58" s="396">
        <f t="shared" si="2"/>
        <v>1</v>
      </c>
      <c r="AO58" s="109">
        <f t="shared" si="3"/>
        <v>119000</v>
      </c>
      <c r="AP58" s="109">
        <f t="shared" si="4"/>
        <v>108181.81818181818</v>
      </c>
      <c r="AQ58" s="397">
        <f t="shared" si="5"/>
        <v>108181.81818181818</v>
      </c>
    </row>
    <row r="59" spans="1:43" ht="24">
      <c r="A59" s="436" t="s">
        <v>3662</v>
      </c>
      <c r="B59" s="436" t="s">
        <v>3490</v>
      </c>
      <c r="C59" s="437" t="s">
        <v>3491</v>
      </c>
      <c r="D59" s="436" t="s">
        <v>3566</v>
      </c>
      <c r="E59" s="437" t="s">
        <v>3567</v>
      </c>
      <c r="F59" s="436" t="s">
        <v>3494</v>
      </c>
      <c r="G59" s="436" t="s">
        <v>3495</v>
      </c>
      <c r="H59" s="437" t="s">
        <v>3496</v>
      </c>
      <c r="I59" s="436" t="s">
        <v>3497</v>
      </c>
      <c r="J59" s="437" t="s">
        <v>3498</v>
      </c>
      <c r="K59" s="437" t="s">
        <v>163</v>
      </c>
      <c r="L59" s="436" t="s">
        <v>3500</v>
      </c>
      <c r="M59" s="436" t="s">
        <v>3524</v>
      </c>
      <c r="N59" s="436" t="s">
        <v>3502</v>
      </c>
      <c r="O59" s="438">
        <v>119000</v>
      </c>
      <c r="P59" s="438">
        <v>82110</v>
      </c>
      <c r="Q59" s="438">
        <v>1</v>
      </c>
      <c r="R59" s="438">
        <v>0</v>
      </c>
      <c r="S59" s="438">
        <v>0</v>
      </c>
      <c r="T59" s="438">
        <v>0</v>
      </c>
      <c r="U59" s="438">
        <v>0</v>
      </c>
      <c r="V59" s="438">
        <v>0</v>
      </c>
      <c r="W59" s="438">
        <v>31</v>
      </c>
      <c r="X59" s="438">
        <v>0</v>
      </c>
      <c r="Y59" s="438">
        <v>5950</v>
      </c>
      <c r="Z59" s="438">
        <v>0</v>
      </c>
      <c r="AA59" s="438">
        <v>0</v>
      </c>
      <c r="AB59" s="438">
        <v>0</v>
      </c>
      <c r="AC59" s="438">
        <v>119000</v>
      </c>
      <c r="AD59" s="438">
        <v>82110</v>
      </c>
      <c r="AE59" s="438">
        <v>0</v>
      </c>
      <c r="AF59" s="438">
        <v>5950</v>
      </c>
      <c r="AG59" s="438">
        <v>113050</v>
      </c>
      <c r="AH59" s="438">
        <v>82110</v>
      </c>
      <c r="AI59" s="438">
        <v>28127</v>
      </c>
      <c r="AJ59" s="438">
        <v>2813</v>
      </c>
      <c r="AK59" s="438">
        <v>30940</v>
      </c>
      <c r="AL59" s="414" t="str">
        <f t="shared" si="0"/>
        <v>워커힐 시그니처 양념 본갈비 300g, 8개</v>
      </c>
      <c r="AM59" s="395">
        <f t="shared" si="1"/>
        <v>46060</v>
      </c>
      <c r="AN59" s="396">
        <f t="shared" si="2"/>
        <v>1</v>
      </c>
      <c r="AO59" s="109">
        <f t="shared" si="3"/>
        <v>119000</v>
      </c>
      <c r="AP59" s="109">
        <f t="shared" si="4"/>
        <v>108181.81818181818</v>
      </c>
      <c r="AQ59" s="397">
        <f t="shared" si="5"/>
        <v>108181.81818181818</v>
      </c>
    </row>
    <row r="60" spans="1:43" ht="24">
      <c r="A60" s="436" t="s">
        <v>3664</v>
      </c>
      <c r="B60" s="436" t="s">
        <v>3490</v>
      </c>
      <c r="C60" s="437" t="s">
        <v>3491</v>
      </c>
      <c r="D60" s="436" t="s">
        <v>3591</v>
      </c>
      <c r="E60" s="437" t="s">
        <v>3592</v>
      </c>
      <c r="F60" s="436" t="s">
        <v>3494</v>
      </c>
      <c r="G60" s="436" t="s">
        <v>3495</v>
      </c>
      <c r="H60" s="437" t="s">
        <v>3496</v>
      </c>
      <c r="I60" s="436" t="s">
        <v>3497</v>
      </c>
      <c r="J60" s="437" t="s">
        <v>3498</v>
      </c>
      <c r="K60" s="437" t="s">
        <v>163</v>
      </c>
      <c r="L60" s="436" t="s">
        <v>3500</v>
      </c>
      <c r="M60" s="436" t="s">
        <v>3524</v>
      </c>
      <c r="N60" s="436" t="s">
        <v>3502</v>
      </c>
      <c r="O60" s="438">
        <v>119000</v>
      </c>
      <c r="P60" s="438">
        <v>82110</v>
      </c>
      <c r="Q60" s="438">
        <v>1</v>
      </c>
      <c r="R60" s="438">
        <v>0</v>
      </c>
      <c r="S60" s="438">
        <v>0</v>
      </c>
      <c r="T60" s="438">
        <v>0</v>
      </c>
      <c r="U60" s="438">
        <v>0</v>
      </c>
      <c r="V60" s="438">
        <v>0</v>
      </c>
      <c r="W60" s="438">
        <v>31</v>
      </c>
      <c r="X60" s="438">
        <v>0</v>
      </c>
      <c r="Y60" s="438">
        <v>5950</v>
      </c>
      <c r="Z60" s="438">
        <v>0</v>
      </c>
      <c r="AA60" s="438">
        <v>0</v>
      </c>
      <c r="AB60" s="438">
        <v>0</v>
      </c>
      <c r="AC60" s="438">
        <v>119000</v>
      </c>
      <c r="AD60" s="438">
        <v>82110</v>
      </c>
      <c r="AE60" s="438">
        <v>0</v>
      </c>
      <c r="AF60" s="438">
        <v>5950</v>
      </c>
      <c r="AG60" s="438">
        <v>113050</v>
      </c>
      <c r="AH60" s="438">
        <v>82110</v>
      </c>
      <c r="AI60" s="438">
        <v>28127</v>
      </c>
      <c r="AJ60" s="438">
        <v>2813</v>
      </c>
      <c r="AK60" s="438">
        <v>30940</v>
      </c>
      <c r="AL60" s="414" t="str">
        <f t="shared" si="0"/>
        <v>워커힐 시그니처 양념 본갈비 300g, 8개</v>
      </c>
      <c r="AM60" s="395">
        <f t="shared" si="1"/>
        <v>46060</v>
      </c>
      <c r="AN60" s="396">
        <f t="shared" si="2"/>
        <v>1</v>
      </c>
      <c r="AO60" s="109">
        <f t="shared" si="3"/>
        <v>119000</v>
      </c>
      <c r="AP60" s="109">
        <f t="shared" si="4"/>
        <v>108181.81818181818</v>
      </c>
      <c r="AQ60" s="397">
        <f t="shared" si="5"/>
        <v>108181.81818181818</v>
      </c>
    </row>
    <row r="61" spans="1:43" ht="24">
      <c r="A61" s="436" t="s">
        <v>3666</v>
      </c>
      <c r="B61" s="436" t="s">
        <v>3490</v>
      </c>
      <c r="C61" s="437" t="s">
        <v>3491</v>
      </c>
      <c r="D61" s="436" t="s">
        <v>3679</v>
      </c>
      <c r="E61" s="437" t="s">
        <v>3493</v>
      </c>
      <c r="F61" s="436" t="s">
        <v>3494</v>
      </c>
      <c r="G61" s="436" t="s">
        <v>3495</v>
      </c>
      <c r="H61" s="437" t="s">
        <v>3496</v>
      </c>
      <c r="I61" s="436" t="s">
        <v>3497</v>
      </c>
      <c r="J61" s="437" t="s">
        <v>3498</v>
      </c>
      <c r="K61" s="437" t="s">
        <v>3499</v>
      </c>
      <c r="L61" s="436" t="s">
        <v>3500</v>
      </c>
      <c r="M61" s="436" t="s">
        <v>3524</v>
      </c>
      <c r="N61" s="436" t="s">
        <v>3502</v>
      </c>
      <c r="O61" s="438">
        <v>119000</v>
      </c>
      <c r="P61" s="438">
        <v>82110</v>
      </c>
      <c r="Q61" s="438">
        <v>1</v>
      </c>
      <c r="R61" s="438">
        <v>0</v>
      </c>
      <c r="S61" s="438">
        <v>0</v>
      </c>
      <c r="T61" s="438">
        <v>0</v>
      </c>
      <c r="U61" s="438">
        <v>0</v>
      </c>
      <c r="V61" s="438">
        <v>0</v>
      </c>
      <c r="W61" s="438">
        <v>31</v>
      </c>
      <c r="X61" s="438">
        <v>17850</v>
      </c>
      <c r="Y61" s="438">
        <v>0</v>
      </c>
      <c r="Z61" s="438">
        <v>0</v>
      </c>
      <c r="AA61" s="438">
        <v>0</v>
      </c>
      <c r="AB61" s="438">
        <v>0</v>
      </c>
      <c r="AC61" s="438">
        <v>119000</v>
      </c>
      <c r="AD61" s="438">
        <v>82110</v>
      </c>
      <c r="AE61" s="438">
        <v>0</v>
      </c>
      <c r="AF61" s="438">
        <v>17850</v>
      </c>
      <c r="AG61" s="438">
        <v>101150</v>
      </c>
      <c r="AH61" s="438">
        <v>82110</v>
      </c>
      <c r="AI61" s="438">
        <v>17309</v>
      </c>
      <c r="AJ61" s="438">
        <v>1731</v>
      </c>
      <c r="AK61" s="438">
        <v>19040</v>
      </c>
      <c r="AL61" s="414" t="str">
        <f t="shared" si="0"/>
        <v>워커힐 시그니처 양념 본갈비 300g, 8개</v>
      </c>
      <c r="AM61" s="395">
        <f t="shared" si="1"/>
        <v>46060</v>
      </c>
      <c r="AN61" s="396">
        <f t="shared" si="2"/>
        <v>1</v>
      </c>
      <c r="AO61" s="109">
        <f t="shared" si="3"/>
        <v>119000</v>
      </c>
      <c r="AP61" s="109">
        <f t="shared" si="4"/>
        <v>108181.81818181818</v>
      </c>
      <c r="AQ61" s="397">
        <f t="shared" si="5"/>
        <v>108181.81818181818</v>
      </c>
    </row>
    <row r="62" spans="1:43" ht="24">
      <c r="A62" s="436" t="s">
        <v>3669</v>
      </c>
      <c r="B62" s="436" t="s">
        <v>3490</v>
      </c>
      <c r="C62" s="437" t="s">
        <v>3491</v>
      </c>
      <c r="D62" s="436" t="s">
        <v>3912</v>
      </c>
      <c r="E62" s="437" t="s">
        <v>3913</v>
      </c>
      <c r="F62" s="436" t="s">
        <v>3494</v>
      </c>
      <c r="G62" s="436" t="s">
        <v>3495</v>
      </c>
      <c r="H62" s="437" t="s">
        <v>3496</v>
      </c>
      <c r="I62" s="436" t="s">
        <v>3497</v>
      </c>
      <c r="J62" s="437" t="s">
        <v>3498</v>
      </c>
      <c r="K62" s="437" t="s">
        <v>3499</v>
      </c>
      <c r="L62" s="436" t="s">
        <v>3500</v>
      </c>
      <c r="M62" s="436" t="s">
        <v>3524</v>
      </c>
      <c r="N62" s="436" t="s">
        <v>3502</v>
      </c>
      <c r="O62" s="438">
        <v>119000</v>
      </c>
      <c r="P62" s="438">
        <v>82110</v>
      </c>
      <c r="Q62" s="438">
        <v>1</v>
      </c>
      <c r="R62" s="438">
        <v>0</v>
      </c>
      <c r="S62" s="438">
        <v>0</v>
      </c>
      <c r="T62" s="438">
        <v>0</v>
      </c>
      <c r="U62" s="438">
        <v>0</v>
      </c>
      <c r="V62" s="438">
        <v>0</v>
      </c>
      <c r="W62" s="438">
        <v>31</v>
      </c>
      <c r="X62" s="438">
        <v>0</v>
      </c>
      <c r="Y62" s="438">
        <v>0</v>
      </c>
      <c r="Z62" s="438">
        <v>0</v>
      </c>
      <c r="AA62" s="438">
        <v>0</v>
      </c>
      <c r="AB62" s="438">
        <v>0</v>
      </c>
      <c r="AC62" s="438">
        <v>119000</v>
      </c>
      <c r="AD62" s="438">
        <v>82110</v>
      </c>
      <c r="AE62" s="438">
        <v>0</v>
      </c>
      <c r="AF62" s="438">
        <v>0</v>
      </c>
      <c r="AG62" s="438">
        <v>119000</v>
      </c>
      <c r="AH62" s="438">
        <v>82110</v>
      </c>
      <c r="AI62" s="438">
        <v>33536</v>
      </c>
      <c r="AJ62" s="438">
        <v>3354</v>
      </c>
      <c r="AK62" s="438">
        <v>36890</v>
      </c>
      <c r="AL62" s="414" t="str">
        <f t="shared" si="0"/>
        <v>워커힐 시그니처 양념 본갈비 300g, 8개</v>
      </c>
      <c r="AM62" s="395">
        <f t="shared" si="1"/>
        <v>46060</v>
      </c>
      <c r="AN62" s="396">
        <f t="shared" si="2"/>
        <v>1</v>
      </c>
      <c r="AO62" s="109">
        <f t="shared" si="3"/>
        <v>119000</v>
      </c>
      <c r="AP62" s="109">
        <f t="shared" si="4"/>
        <v>108181.81818181818</v>
      </c>
      <c r="AQ62" s="397">
        <f t="shared" si="5"/>
        <v>108181.81818181818</v>
      </c>
    </row>
    <row r="63" spans="1:43" ht="24">
      <c r="A63" s="436" t="s">
        <v>3672</v>
      </c>
      <c r="B63" s="436" t="s">
        <v>3490</v>
      </c>
      <c r="C63" s="437" t="s">
        <v>3491</v>
      </c>
      <c r="D63" s="436" t="s">
        <v>3690</v>
      </c>
      <c r="E63" s="437" t="s">
        <v>3691</v>
      </c>
      <c r="F63" s="436" t="s">
        <v>3494</v>
      </c>
      <c r="G63" s="436" t="s">
        <v>3495</v>
      </c>
      <c r="H63" s="437" t="s">
        <v>3496</v>
      </c>
      <c r="I63" s="436" t="s">
        <v>3497</v>
      </c>
      <c r="J63" s="437" t="s">
        <v>3498</v>
      </c>
      <c r="K63" s="437" t="s">
        <v>3499</v>
      </c>
      <c r="L63" s="436" t="s">
        <v>3500</v>
      </c>
      <c r="M63" s="436" t="s">
        <v>3524</v>
      </c>
      <c r="N63" s="436" t="s">
        <v>3502</v>
      </c>
      <c r="O63" s="438">
        <v>119000</v>
      </c>
      <c r="P63" s="438">
        <v>82110</v>
      </c>
      <c r="Q63" s="438">
        <v>1</v>
      </c>
      <c r="R63" s="438">
        <v>0</v>
      </c>
      <c r="S63" s="438">
        <v>0</v>
      </c>
      <c r="T63" s="438">
        <v>0</v>
      </c>
      <c r="U63" s="438">
        <v>0</v>
      </c>
      <c r="V63" s="438">
        <v>0</v>
      </c>
      <c r="W63" s="438">
        <v>31</v>
      </c>
      <c r="X63" s="438">
        <v>0</v>
      </c>
      <c r="Y63" s="438">
        <v>0</v>
      </c>
      <c r="Z63" s="438">
        <v>0</v>
      </c>
      <c r="AA63" s="438">
        <v>0</v>
      </c>
      <c r="AB63" s="438">
        <v>0</v>
      </c>
      <c r="AC63" s="438">
        <v>119000</v>
      </c>
      <c r="AD63" s="438">
        <v>82110</v>
      </c>
      <c r="AE63" s="438">
        <v>0</v>
      </c>
      <c r="AF63" s="438">
        <v>0</v>
      </c>
      <c r="AG63" s="438">
        <v>119000</v>
      </c>
      <c r="AH63" s="438">
        <v>82110</v>
      </c>
      <c r="AI63" s="438">
        <v>33536</v>
      </c>
      <c r="AJ63" s="438">
        <v>3354</v>
      </c>
      <c r="AK63" s="438">
        <v>36890</v>
      </c>
      <c r="AL63" s="414" t="str">
        <f t="shared" si="0"/>
        <v>워커힐 시그니처 양념 본갈비 300g, 8개</v>
      </c>
      <c r="AM63" s="395">
        <f t="shared" si="1"/>
        <v>46060</v>
      </c>
      <c r="AN63" s="396">
        <f t="shared" si="2"/>
        <v>1</v>
      </c>
      <c r="AO63" s="109">
        <f t="shared" si="3"/>
        <v>119000</v>
      </c>
      <c r="AP63" s="109">
        <f t="shared" si="4"/>
        <v>108181.81818181818</v>
      </c>
      <c r="AQ63" s="397">
        <f t="shared" si="5"/>
        <v>108181.81818181818</v>
      </c>
    </row>
    <row r="64" spans="1:43" ht="24">
      <c r="A64" s="436" t="s">
        <v>3675</v>
      </c>
      <c r="B64" s="436" t="s">
        <v>3490</v>
      </c>
      <c r="C64" s="437" t="s">
        <v>3491</v>
      </c>
      <c r="D64" s="436" t="s">
        <v>3582</v>
      </c>
      <c r="E64" s="437" t="s">
        <v>3583</v>
      </c>
      <c r="F64" s="436" t="s">
        <v>3494</v>
      </c>
      <c r="G64" s="436" t="s">
        <v>3495</v>
      </c>
      <c r="H64" s="437" t="s">
        <v>3496</v>
      </c>
      <c r="I64" s="436" t="s">
        <v>3497</v>
      </c>
      <c r="J64" s="437" t="s">
        <v>3498</v>
      </c>
      <c r="K64" s="437" t="s">
        <v>3499</v>
      </c>
      <c r="L64" s="436" t="s">
        <v>3500</v>
      </c>
      <c r="M64" s="436" t="s">
        <v>3524</v>
      </c>
      <c r="N64" s="436" t="s">
        <v>3502</v>
      </c>
      <c r="O64" s="438">
        <v>119000</v>
      </c>
      <c r="P64" s="438">
        <v>82110</v>
      </c>
      <c r="Q64" s="438">
        <v>1</v>
      </c>
      <c r="R64" s="438">
        <v>0</v>
      </c>
      <c r="S64" s="438">
        <v>0</v>
      </c>
      <c r="T64" s="438">
        <v>0</v>
      </c>
      <c r="U64" s="438">
        <v>0</v>
      </c>
      <c r="V64" s="438">
        <v>0</v>
      </c>
      <c r="W64" s="438">
        <v>31</v>
      </c>
      <c r="X64" s="438">
        <v>0</v>
      </c>
      <c r="Y64" s="438">
        <v>10000</v>
      </c>
      <c r="Z64" s="438">
        <v>0</v>
      </c>
      <c r="AA64" s="438">
        <v>0</v>
      </c>
      <c r="AB64" s="438">
        <v>0</v>
      </c>
      <c r="AC64" s="438">
        <v>119000</v>
      </c>
      <c r="AD64" s="438">
        <v>82110</v>
      </c>
      <c r="AE64" s="438">
        <v>0</v>
      </c>
      <c r="AF64" s="438">
        <v>10000</v>
      </c>
      <c r="AG64" s="438">
        <v>109000</v>
      </c>
      <c r="AH64" s="438">
        <v>82110</v>
      </c>
      <c r="AI64" s="438">
        <v>24445</v>
      </c>
      <c r="AJ64" s="438">
        <v>2445</v>
      </c>
      <c r="AK64" s="438">
        <v>26890</v>
      </c>
      <c r="AL64" s="414" t="str">
        <f t="shared" si="0"/>
        <v>워커힐 시그니처 양념 본갈비 300g, 8개</v>
      </c>
      <c r="AM64" s="395">
        <f t="shared" si="1"/>
        <v>46060</v>
      </c>
      <c r="AN64" s="396">
        <f t="shared" si="2"/>
        <v>1</v>
      </c>
      <c r="AO64" s="109">
        <f t="shared" si="3"/>
        <v>119000</v>
      </c>
      <c r="AP64" s="109">
        <f t="shared" si="4"/>
        <v>108181.81818181818</v>
      </c>
      <c r="AQ64" s="397">
        <f t="shared" si="5"/>
        <v>108181.81818181818</v>
      </c>
    </row>
    <row r="65" spans="1:43" ht="24">
      <c r="A65" s="436" t="s">
        <v>3678</v>
      </c>
      <c r="B65" s="436" t="s">
        <v>3490</v>
      </c>
      <c r="C65" s="437" t="s">
        <v>3491</v>
      </c>
      <c r="D65" s="436" t="s">
        <v>3696</v>
      </c>
      <c r="E65" s="437" t="s">
        <v>3697</v>
      </c>
      <c r="F65" s="436" t="s">
        <v>3494</v>
      </c>
      <c r="G65" s="436" t="s">
        <v>3495</v>
      </c>
      <c r="H65" s="437" t="s">
        <v>3496</v>
      </c>
      <c r="I65" s="436" t="s">
        <v>3497</v>
      </c>
      <c r="J65" s="437" t="s">
        <v>3498</v>
      </c>
      <c r="K65" s="437" t="s">
        <v>3499</v>
      </c>
      <c r="L65" s="436" t="s">
        <v>3500</v>
      </c>
      <c r="M65" s="436" t="s">
        <v>3524</v>
      </c>
      <c r="N65" s="436" t="s">
        <v>3502</v>
      </c>
      <c r="O65" s="438">
        <v>119000</v>
      </c>
      <c r="P65" s="438">
        <v>82110</v>
      </c>
      <c r="Q65" s="438">
        <v>1</v>
      </c>
      <c r="R65" s="438">
        <v>0</v>
      </c>
      <c r="S65" s="438">
        <v>0</v>
      </c>
      <c r="T65" s="438">
        <v>0</v>
      </c>
      <c r="U65" s="438">
        <v>0</v>
      </c>
      <c r="V65" s="438">
        <v>0</v>
      </c>
      <c r="W65" s="438">
        <v>31</v>
      </c>
      <c r="X65" s="438">
        <v>0</v>
      </c>
      <c r="Y65" s="438">
        <v>0</v>
      </c>
      <c r="Z65" s="438">
        <v>0</v>
      </c>
      <c r="AA65" s="438">
        <v>0</v>
      </c>
      <c r="AB65" s="438">
        <v>0</v>
      </c>
      <c r="AC65" s="438">
        <v>119000</v>
      </c>
      <c r="AD65" s="438">
        <v>82110</v>
      </c>
      <c r="AE65" s="438">
        <v>0</v>
      </c>
      <c r="AF65" s="438">
        <v>0</v>
      </c>
      <c r="AG65" s="438">
        <v>119000</v>
      </c>
      <c r="AH65" s="438">
        <v>82110</v>
      </c>
      <c r="AI65" s="438">
        <v>33536</v>
      </c>
      <c r="AJ65" s="438">
        <v>3354</v>
      </c>
      <c r="AK65" s="438">
        <v>36890</v>
      </c>
      <c r="AL65" s="414" t="str">
        <f t="shared" si="0"/>
        <v>워커힐 시그니처 양념 본갈비 300g, 8개</v>
      </c>
      <c r="AM65" s="395">
        <f t="shared" si="1"/>
        <v>46060</v>
      </c>
      <c r="AN65" s="396">
        <f t="shared" si="2"/>
        <v>1</v>
      </c>
      <c r="AO65" s="109">
        <f t="shared" si="3"/>
        <v>119000</v>
      </c>
      <c r="AP65" s="109">
        <f t="shared" si="4"/>
        <v>108181.81818181818</v>
      </c>
      <c r="AQ65" s="397">
        <f t="shared" si="5"/>
        <v>108181.81818181818</v>
      </c>
    </row>
    <row r="66" spans="1:43" ht="24">
      <c r="A66" s="436" t="s">
        <v>3680</v>
      </c>
      <c r="B66" s="436" t="s">
        <v>3490</v>
      </c>
      <c r="C66" s="437" t="s">
        <v>3491</v>
      </c>
      <c r="D66" s="436" t="s">
        <v>3929</v>
      </c>
      <c r="E66" s="437" t="s">
        <v>3551</v>
      </c>
      <c r="F66" s="436" t="s">
        <v>3494</v>
      </c>
      <c r="G66" s="436" t="s">
        <v>3495</v>
      </c>
      <c r="H66" s="437" t="s">
        <v>3496</v>
      </c>
      <c r="I66" s="436" t="s">
        <v>3497</v>
      </c>
      <c r="J66" s="437" t="s">
        <v>3498</v>
      </c>
      <c r="K66" s="437" t="s">
        <v>3499</v>
      </c>
      <c r="L66" s="436" t="s">
        <v>3500</v>
      </c>
      <c r="M66" s="436" t="s">
        <v>3524</v>
      </c>
      <c r="N66" s="436" t="s">
        <v>3502</v>
      </c>
      <c r="O66" s="438">
        <v>119000</v>
      </c>
      <c r="P66" s="438">
        <v>82110</v>
      </c>
      <c r="Q66" s="438">
        <v>1</v>
      </c>
      <c r="R66" s="438">
        <v>0</v>
      </c>
      <c r="S66" s="438">
        <v>0</v>
      </c>
      <c r="T66" s="438">
        <v>0</v>
      </c>
      <c r="U66" s="438">
        <v>0</v>
      </c>
      <c r="V66" s="438">
        <v>0</v>
      </c>
      <c r="W66" s="438">
        <v>31</v>
      </c>
      <c r="X66" s="438">
        <v>0</v>
      </c>
      <c r="Y66" s="438">
        <v>0</v>
      </c>
      <c r="Z66" s="438">
        <v>0</v>
      </c>
      <c r="AA66" s="438">
        <v>0</v>
      </c>
      <c r="AB66" s="438">
        <v>0</v>
      </c>
      <c r="AC66" s="438">
        <v>119000</v>
      </c>
      <c r="AD66" s="438">
        <v>82110</v>
      </c>
      <c r="AE66" s="438">
        <v>0</v>
      </c>
      <c r="AF66" s="438">
        <v>0</v>
      </c>
      <c r="AG66" s="438">
        <v>119000</v>
      </c>
      <c r="AH66" s="438">
        <v>82110</v>
      </c>
      <c r="AI66" s="438">
        <v>33536</v>
      </c>
      <c r="AJ66" s="438">
        <v>3354</v>
      </c>
      <c r="AK66" s="438">
        <v>36890</v>
      </c>
      <c r="AL66" s="414" t="str">
        <f t="shared" si="0"/>
        <v>워커힐 시그니처 양념 본갈비 300g, 8개</v>
      </c>
      <c r="AM66" s="395">
        <f t="shared" si="1"/>
        <v>46060</v>
      </c>
      <c r="AN66" s="396">
        <f t="shared" si="2"/>
        <v>1</v>
      </c>
      <c r="AO66" s="109">
        <f t="shared" si="3"/>
        <v>119000</v>
      </c>
      <c r="AP66" s="109">
        <f t="shared" si="4"/>
        <v>108181.81818181818</v>
      </c>
      <c r="AQ66" s="397">
        <f t="shared" si="5"/>
        <v>108181.81818181818</v>
      </c>
    </row>
    <row r="67" spans="1:43" ht="24">
      <c r="A67" s="436" t="s">
        <v>3683</v>
      </c>
      <c r="B67" s="436" t="s">
        <v>3490</v>
      </c>
      <c r="C67" s="437" t="s">
        <v>3491</v>
      </c>
      <c r="D67" s="436" t="s">
        <v>3936</v>
      </c>
      <c r="E67" s="437" t="s">
        <v>3937</v>
      </c>
      <c r="F67" s="436" t="s">
        <v>3494</v>
      </c>
      <c r="G67" s="436" t="s">
        <v>3495</v>
      </c>
      <c r="H67" s="437" t="s">
        <v>3496</v>
      </c>
      <c r="I67" s="436" t="s">
        <v>3497</v>
      </c>
      <c r="J67" s="437" t="s">
        <v>3498</v>
      </c>
      <c r="K67" s="437" t="s">
        <v>3499</v>
      </c>
      <c r="L67" s="436" t="s">
        <v>3500</v>
      </c>
      <c r="M67" s="436" t="s">
        <v>3524</v>
      </c>
      <c r="N67" s="436" t="s">
        <v>3502</v>
      </c>
      <c r="O67" s="438">
        <v>119000</v>
      </c>
      <c r="P67" s="438">
        <v>82110</v>
      </c>
      <c r="Q67" s="438">
        <v>1</v>
      </c>
      <c r="R67" s="438">
        <v>0</v>
      </c>
      <c r="S67" s="438">
        <v>0</v>
      </c>
      <c r="T67" s="438">
        <v>0</v>
      </c>
      <c r="U67" s="438">
        <v>0</v>
      </c>
      <c r="V67" s="438">
        <v>0</v>
      </c>
      <c r="W67" s="438">
        <v>31</v>
      </c>
      <c r="X67" s="438">
        <v>0</v>
      </c>
      <c r="Y67" s="438">
        <v>0</v>
      </c>
      <c r="Z67" s="438">
        <v>0</v>
      </c>
      <c r="AA67" s="438">
        <v>0</v>
      </c>
      <c r="AB67" s="438">
        <v>0</v>
      </c>
      <c r="AC67" s="438">
        <v>119000</v>
      </c>
      <c r="AD67" s="438">
        <v>82110</v>
      </c>
      <c r="AE67" s="438">
        <v>0</v>
      </c>
      <c r="AF67" s="438">
        <v>0</v>
      </c>
      <c r="AG67" s="438">
        <v>119000</v>
      </c>
      <c r="AH67" s="438">
        <v>82110</v>
      </c>
      <c r="AI67" s="438">
        <v>33536</v>
      </c>
      <c r="AJ67" s="438">
        <v>3354</v>
      </c>
      <c r="AK67" s="438">
        <v>36890</v>
      </c>
      <c r="AL67" s="414" t="str">
        <f t="shared" ref="AL67:AL130" si="6">SUBSTITUTE(SUBSTITUTE(H67,"[워커힐]워커힐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67" s="395">
        <f t="shared" ref="AM67:AM130" si="7">IF(N67="배송완료", DATE(LEFT(M67,4), MID(M67,6,2), MID(M67,9,2)), "")</f>
        <v>46060</v>
      </c>
      <c r="AN67" s="396">
        <f t="shared" ref="AN67:AN130" si="8">IF(OR(N67="배송완료", Q67&lt;0), Q67, 0)</f>
        <v>1</v>
      </c>
      <c r="AO67" s="109">
        <f t="shared" ref="AO67:AO130" si="9">IF(AL67="워커힐 시그니처 양념 본갈비 300g, 8개",119000,IF(AL67="워커힐 시그니처 양념 본갈비 300g, 4개",78000,""))</f>
        <v>119000</v>
      </c>
      <c r="AP67" s="109">
        <f t="shared" ref="AP67:AP130" si="10">AO67/1.1</f>
        <v>108181.81818181818</v>
      </c>
      <c r="AQ67" s="397">
        <f t="shared" ref="AQ67:AQ130" si="11">AN67*AP67</f>
        <v>108181.81818181818</v>
      </c>
    </row>
    <row r="68" spans="1:43" ht="24">
      <c r="A68" s="436" t="s">
        <v>3686</v>
      </c>
      <c r="B68" s="436" t="s">
        <v>3490</v>
      </c>
      <c r="C68" s="437" t="s">
        <v>3491</v>
      </c>
      <c r="D68" s="436" t="s">
        <v>3702</v>
      </c>
      <c r="E68" s="437" t="s">
        <v>3703</v>
      </c>
      <c r="F68" s="436" t="s">
        <v>3494</v>
      </c>
      <c r="G68" s="436" t="s">
        <v>3495</v>
      </c>
      <c r="H68" s="437" t="s">
        <v>3496</v>
      </c>
      <c r="I68" s="436" t="s">
        <v>3497</v>
      </c>
      <c r="J68" s="437" t="s">
        <v>3498</v>
      </c>
      <c r="K68" s="437" t="s">
        <v>163</v>
      </c>
      <c r="L68" s="436" t="s">
        <v>3500</v>
      </c>
      <c r="M68" s="436" t="s">
        <v>3524</v>
      </c>
      <c r="N68" s="436" t="s">
        <v>3502</v>
      </c>
      <c r="O68" s="438">
        <v>119000</v>
      </c>
      <c r="P68" s="438">
        <v>82110</v>
      </c>
      <c r="Q68" s="438">
        <v>1</v>
      </c>
      <c r="R68" s="438">
        <v>0</v>
      </c>
      <c r="S68" s="438">
        <v>0</v>
      </c>
      <c r="T68" s="438">
        <v>0</v>
      </c>
      <c r="U68" s="438">
        <v>0</v>
      </c>
      <c r="V68" s="438">
        <v>0</v>
      </c>
      <c r="W68" s="438">
        <v>31</v>
      </c>
      <c r="X68" s="438">
        <v>0</v>
      </c>
      <c r="Y68" s="438">
        <v>0</v>
      </c>
      <c r="Z68" s="438">
        <v>0</v>
      </c>
      <c r="AA68" s="438">
        <v>0</v>
      </c>
      <c r="AB68" s="438">
        <v>0</v>
      </c>
      <c r="AC68" s="438">
        <v>119000</v>
      </c>
      <c r="AD68" s="438">
        <v>82110</v>
      </c>
      <c r="AE68" s="438">
        <v>0</v>
      </c>
      <c r="AF68" s="438">
        <v>0</v>
      </c>
      <c r="AG68" s="438">
        <v>119000</v>
      </c>
      <c r="AH68" s="438">
        <v>82110</v>
      </c>
      <c r="AI68" s="438">
        <v>33536</v>
      </c>
      <c r="AJ68" s="438">
        <v>3354</v>
      </c>
      <c r="AK68" s="438">
        <v>36890</v>
      </c>
      <c r="AL68" s="414" t="str">
        <f t="shared" si="6"/>
        <v>워커힐 시그니처 양념 본갈비 300g, 8개</v>
      </c>
      <c r="AM68" s="395">
        <f t="shared" si="7"/>
        <v>46060</v>
      </c>
      <c r="AN68" s="396">
        <f t="shared" si="8"/>
        <v>1</v>
      </c>
      <c r="AO68" s="109">
        <f t="shared" si="9"/>
        <v>119000</v>
      </c>
      <c r="AP68" s="109">
        <f t="shared" si="10"/>
        <v>108181.81818181818</v>
      </c>
      <c r="AQ68" s="397">
        <f t="shared" si="11"/>
        <v>108181.81818181818</v>
      </c>
    </row>
    <row r="69" spans="1:43" ht="24">
      <c r="A69" s="436" t="s">
        <v>3689</v>
      </c>
      <c r="B69" s="436" t="s">
        <v>3490</v>
      </c>
      <c r="C69" s="437" t="s">
        <v>3491</v>
      </c>
      <c r="D69" s="436" t="s">
        <v>3942</v>
      </c>
      <c r="E69" s="437" t="s">
        <v>3769</v>
      </c>
      <c r="F69" s="436" t="s">
        <v>3494</v>
      </c>
      <c r="G69" s="436" t="s">
        <v>3495</v>
      </c>
      <c r="H69" s="437" t="s">
        <v>3496</v>
      </c>
      <c r="I69" s="436" t="s">
        <v>3497</v>
      </c>
      <c r="J69" s="437" t="s">
        <v>3498</v>
      </c>
      <c r="K69" s="437" t="s">
        <v>3499</v>
      </c>
      <c r="L69" s="436" t="s">
        <v>3500</v>
      </c>
      <c r="M69" s="436" t="s">
        <v>3524</v>
      </c>
      <c r="N69" s="436" t="s">
        <v>3502</v>
      </c>
      <c r="O69" s="438">
        <v>119000</v>
      </c>
      <c r="P69" s="438">
        <v>82110</v>
      </c>
      <c r="Q69" s="438">
        <v>1</v>
      </c>
      <c r="R69" s="438">
        <v>0</v>
      </c>
      <c r="S69" s="438">
        <v>0</v>
      </c>
      <c r="T69" s="438">
        <v>0</v>
      </c>
      <c r="U69" s="438">
        <v>0</v>
      </c>
      <c r="V69" s="438">
        <v>0</v>
      </c>
      <c r="W69" s="438">
        <v>31</v>
      </c>
      <c r="X69" s="438">
        <v>0</v>
      </c>
      <c r="Y69" s="438">
        <v>0</v>
      </c>
      <c r="Z69" s="438">
        <v>0</v>
      </c>
      <c r="AA69" s="438">
        <v>0</v>
      </c>
      <c r="AB69" s="438">
        <v>0</v>
      </c>
      <c r="AC69" s="438">
        <v>119000</v>
      </c>
      <c r="AD69" s="438">
        <v>82110</v>
      </c>
      <c r="AE69" s="438">
        <v>0</v>
      </c>
      <c r="AF69" s="438">
        <v>0</v>
      </c>
      <c r="AG69" s="438">
        <v>119000</v>
      </c>
      <c r="AH69" s="438">
        <v>82110</v>
      </c>
      <c r="AI69" s="438">
        <v>33536</v>
      </c>
      <c r="AJ69" s="438">
        <v>3354</v>
      </c>
      <c r="AK69" s="438">
        <v>36890</v>
      </c>
      <c r="AL69" s="414" t="str">
        <f t="shared" si="6"/>
        <v>워커힐 시그니처 양념 본갈비 300g, 8개</v>
      </c>
      <c r="AM69" s="395">
        <f t="shared" si="7"/>
        <v>46060</v>
      </c>
      <c r="AN69" s="396">
        <f t="shared" si="8"/>
        <v>1</v>
      </c>
      <c r="AO69" s="109">
        <f t="shared" si="9"/>
        <v>119000</v>
      </c>
      <c r="AP69" s="109">
        <f t="shared" si="10"/>
        <v>108181.81818181818</v>
      </c>
      <c r="AQ69" s="397">
        <f t="shared" si="11"/>
        <v>108181.81818181818</v>
      </c>
    </row>
    <row r="70" spans="1:43" ht="24">
      <c r="A70" s="436" t="s">
        <v>3692</v>
      </c>
      <c r="B70" s="436" t="s">
        <v>3490</v>
      </c>
      <c r="C70" s="437" t="s">
        <v>3491</v>
      </c>
      <c r="D70" s="436" t="s">
        <v>3588</v>
      </c>
      <c r="E70" s="437" t="s">
        <v>3589</v>
      </c>
      <c r="F70" s="436" t="s">
        <v>3494</v>
      </c>
      <c r="G70" s="436" t="s">
        <v>3495</v>
      </c>
      <c r="H70" s="437" t="s">
        <v>3496</v>
      </c>
      <c r="I70" s="436" t="s">
        <v>3497</v>
      </c>
      <c r="J70" s="437" t="s">
        <v>3498</v>
      </c>
      <c r="K70" s="437" t="s">
        <v>3499</v>
      </c>
      <c r="L70" s="436" t="s">
        <v>3500</v>
      </c>
      <c r="M70" s="436" t="s">
        <v>3524</v>
      </c>
      <c r="N70" s="436" t="s">
        <v>3502</v>
      </c>
      <c r="O70" s="438">
        <v>119000</v>
      </c>
      <c r="P70" s="438">
        <v>82110</v>
      </c>
      <c r="Q70" s="438">
        <v>1</v>
      </c>
      <c r="R70" s="438">
        <v>0</v>
      </c>
      <c r="S70" s="438">
        <v>0</v>
      </c>
      <c r="T70" s="438">
        <v>0</v>
      </c>
      <c r="U70" s="438">
        <v>0</v>
      </c>
      <c r="V70" s="438">
        <v>0</v>
      </c>
      <c r="W70" s="438">
        <v>31</v>
      </c>
      <c r="X70" s="438">
        <v>0</v>
      </c>
      <c r="Y70" s="438">
        <v>0</v>
      </c>
      <c r="Z70" s="438">
        <v>0</v>
      </c>
      <c r="AA70" s="438">
        <v>0</v>
      </c>
      <c r="AB70" s="438">
        <v>0</v>
      </c>
      <c r="AC70" s="438">
        <v>119000</v>
      </c>
      <c r="AD70" s="438">
        <v>82110</v>
      </c>
      <c r="AE70" s="438">
        <v>0</v>
      </c>
      <c r="AF70" s="438">
        <v>0</v>
      </c>
      <c r="AG70" s="438">
        <v>119000</v>
      </c>
      <c r="AH70" s="438">
        <v>82110</v>
      </c>
      <c r="AI70" s="438">
        <v>33536</v>
      </c>
      <c r="AJ70" s="438">
        <v>3354</v>
      </c>
      <c r="AK70" s="438">
        <v>36890</v>
      </c>
      <c r="AL70" s="414" t="str">
        <f t="shared" si="6"/>
        <v>워커힐 시그니처 양념 본갈비 300g, 8개</v>
      </c>
      <c r="AM70" s="395">
        <f t="shared" si="7"/>
        <v>46060</v>
      </c>
      <c r="AN70" s="396">
        <f t="shared" si="8"/>
        <v>1</v>
      </c>
      <c r="AO70" s="109">
        <f t="shared" si="9"/>
        <v>119000</v>
      </c>
      <c r="AP70" s="109">
        <f t="shared" si="10"/>
        <v>108181.81818181818</v>
      </c>
      <c r="AQ70" s="397">
        <f t="shared" si="11"/>
        <v>108181.81818181818</v>
      </c>
    </row>
    <row r="71" spans="1:43" ht="24">
      <c r="A71" s="436" t="s">
        <v>3695</v>
      </c>
      <c r="B71" s="436" t="s">
        <v>3490</v>
      </c>
      <c r="C71" s="437" t="s">
        <v>3491</v>
      </c>
      <c r="D71" s="436" t="s">
        <v>3955</v>
      </c>
      <c r="E71" s="437" t="s">
        <v>3523</v>
      </c>
      <c r="F71" s="436" t="s">
        <v>3494</v>
      </c>
      <c r="G71" s="436" t="s">
        <v>3495</v>
      </c>
      <c r="H71" s="437" t="s">
        <v>3496</v>
      </c>
      <c r="I71" s="436" t="s">
        <v>3497</v>
      </c>
      <c r="J71" s="437" t="s">
        <v>3498</v>
      </c>
      <c r="K71" s="437" t="s">
        <v>3499</v>
      </c>
      <c r="L71" s="436" t="s">
        <v>3500</v>
      </c>
      <c r="M71" s="436" t="s">
        <v>3524</v>
      </c>
      <c r="N71" s="436" t="s">
        <v>3502</v>
      </c>
      <c r="O71" s="438">
        <v>119000</v>
      </c>
      <c r="P71" s="438">
        <v>82110</v>
      </c>
      <c r="Q71" s="438">
        <v>1</v>
      </c>
      <c r="R71" s="438">
        <v>0</v>
      </c>
      <c r="S71" s="438">
        <v>0</v>
      </c>
      <c r="T71" s="438">
        <v>0</v>
      </c>
      <c r="U71" s="438">
        <v>0</v>
      </c>
      <c r="V71" s="438">
        <v>0</v>
      </c>
      <c r="W71" s="438">
        <v>31</v>
      </c>
      <c r="X71" s="438">
        <v>0</v>
      </c>
      <c r="Y71" s="438">
        <v>0</v>
      </c>
      <c r="Z71" s="438">
        <v>0</v>
      </c>
      <c r="AA71" s="438">
        <v>0</v>
      </c>
      <c r="AB71" s="438">
        <v>0</v>
      </c>
      <c r="AC71" s="438">
        <v>119000</v>
      </c>
      <c r="AD71" s="438">
        <v>82110</v>
      </c>
      <c r="AE71" s="438">
        <v>0</v>
      </c>
      <c r="AF71" s="438">
        <v>0</v>
      </c>
      <c r="AG71" s="438">
        <v>119000</v>
      </c>
      <c r="AH71" s="438">
        <v>82110</v>
      </c>
      <c r="AI71" s="438">
        <v>33536</v>
      </c>
      <c r="AJ71" s="438">
        <v>3354</v>
      </c>
      <c r="AK71" s="438">
        <v>36890</v>
      </c>
      <c r="AL71" s="414" t="str">
        <f t="shared" si="6"/>
        <v>워커힐 시그니처 양념 본갈비 300g, 8개</v>
      </c>
      <c r="AM71" s="395">
        <f t="shared" si="7"/>
        <v>46060</v>
      </c>
      <c r="AN71" s="396">
        <f t="shared" si="8"/>
        <v>1</v>
      </c>
      <c r="AO71" s="109">
        <f t="shared" si="9"/>
        <v>119000</v>
      </c>
      <c r="AP71" s="109">
        <f t="shared" si="10"/>
        <v>108181.81818181818</v>
      </c>
      <c r="AQ71" s="397">
        <f t="shared" si="11"/>
        <v>108181.81818181818</v>
      </c>
    </row>
    <row r="72" spans="1:43" ht="24">
      <c r="A72" s="436" t="s">
        <v>3698</v>
      </c>
      <c r="B72" s="436" t="s">
        <v>3490</v>
      </c>
      <c r="C72" s="437" t="s">
        <v>3491</v>
      </c>
      <c r="D72" s="436" t="s">
        <v>3957</v>
      </c>
      <c r="E72" s="437" t="s">
        <v>3958</v>
      </c>
      <c r="F72" s="436" t="s">
        <v>3494</v>
      </c>
      <c r="G72" s="436" t="s">
        <v>3495</v>
      </c>
      <c r="H72" s="437" t="s">
        <v>3496</v>
      </c>
      <c r="I72" s="436" t="s">
        <v>3497</v>
      </c>
      <c r="J72" s="437" t="s">
        <v>3498</v>
      </c>
      <c r="K72" s="437" t="s">
        <v>3499</v>
      </c>
      <c r="L72" s="436" t="s">
        <v>3500</v>
      </c>
      <c r="M72" s="436" t="s">
        <v>3524</v>
      </c>
      <c r="N72" s="436" t="s">
        <v>3502</v>
      </c>
      <c r="O72" s="438">
        <v>119000</v>
      </c>
      <c r="P72" s="438">
        <v>82110</v>
      </c>
      <c r="Q72" s="438">
        <v>1</v>
      </c>
      <c r="R72" s="438">
        <v>0</v>
      </c>
      <c r="S72" s="438">
        <v>0</v>
      </c>
      <c r="T72" s="438">
        <v>0</v>
      </c>
      <c r="U72" s="438">
        <v>0</v>
      </c>
      <c r="V72" s="438">
        <v>0</v>
      </c>
      <c r="W72" s="438">
        <v>31</v>
      </c>
      <c r="X72" s="438">
        <v>0</v>
      </c>
      <c r="Y72" s="438">
        <v>0</v>
      </c>
      <c r="Z72" s="438">
        <v>0</v>
      </c>
      <c r="AA72" s="438">
        <v>0</v>
      </c>
      <c r="AB72" s="438">
        <v>0</v>
      </c>
      <c r="AC72" s="438">
        <v>119000</v>
      </c>
      <c r="AD72" s="438">
        <v>82110</v>
      </c>
      <c r="AE72" s="438">
        <v>0</v>
      </c>
      <c r="AF72" s="438">
        <v>0</v>
      </c>
      <c r="AG72" s="438">
        <v>119000</v>
      </c>
      <c r="AH72" s="438">
        <v>82110</v>
      </c>
      <c r="AI72" s="438">
        <v>33536</v>
      </c>
      <c r="AJ72" s="438">
        <v>3354</v>
      </c>
      <c r="AK72" s="438">
        <v>36890</v>
      </c>
      <c r="AL72" s="414" t="str">
        <f t="shared" si="6"/>
        <v>워커힐 시그니처 양념 본갈비 300g, 8개</v>
      </c>
      <c r="AM72" s="395">
        <f t="shared" si="7"/>
        <v>46060</v>
      </c>
      <c r="AN72" s="396">
        <f t="shared" si="8"/>
        <v>1</v>
      </c>
      <c r="AO72" s="109">
        <f t="shared" si="9"/>
        <v>119000</v>
      </c>
      <c r="AP72" s="109">
        <f t="shared" si="10"/>
        <v>108181.81818181818</v>
      </c>
      <c r="AQ72" s="397">
        <f t="shared" si="11"/>
        <v>108181.81818181818</v>
      </c>
    </row>
    <row r="73" spans="1:43" ht="24">
      <c r="A73" s="436" t="s">
        <v>3701</v>
      </c>
      <c r="B73" s="436" t="s">
        <v>3490</v>
      </c>
      <c r="C73" s="437" t="s">
        <v>3491</v>
      </c>
      <c r="D73" s="436" t="s">
        <v>3960</v>
      </c>
      <c r="E73" s="437" t="s">
        <v>3961</v>
      </c>
      <c r="F73" s="436" t="s">
        <v>3494</v>
      </c>
      <c r="G73" s="436" t="s">
        <v>3495</v>
      </c>
      <c r="H73" s="437" t="s">
        <v>3496</v>
      </c>
      <c r="I73" s="436" t="s">
        <v>3497</v>
      </c>
      <c r="J73" s="437" t="s">
        <v>3498</v>
      </c>
      <c r="K73" s="437" t="s">
        <v>3499</v>
      </c>
      <c r="L73" s="436" t="s">
        <v>3500</v>
      </c>
      <c r="M73" s="436" t="s">
        <v>3524</v>
      </c>
      <c r="N73" s="436" t="s">
        <v>3502</v>
      </c>
      <c r="O73" s="438">
        <v>119000</v>
      </c>
      <c r="P73" s="438">
        <v>82110</v>
      </c>
      <c r="Q73" s="438">
        <v>1</v>
      </c>
      <c r="R73" s="438">
        <v>0</v>
      </c>
      <c r="S73" s="438">
        <v>0</v>
      </c>
      <c r="T73" s="438">
        <v>0</v>
      </c>
      <c r="U73" s="438">
        <v>0</v>
      </c>
      <c r="V73" s="438">
        <v>0</v>
      </c>
      <c r="W73" s="438">
        <v>31</v>
      </c>
      <c r="X73" s="438">
        <v>0</v>
      </c>
      <c r="Y73" s="438">
        <v>0</v>
      </c>
      <c r="Z73" s="438">
        <v>0</v>
      </c>
      <c r="AA73" s="438">
        <v>0</v>
      </c>
      <c r="AB73" s="438">
        <v>0</v>
      </c>
      <c r="AC73" s="438">
        <v>119000</v>
      </c>
      <c r="AD73" s="438">
        <v>82110</v>
      </c>
      <c r="AE73" s="438">
        <v>0</v>
      </c>
      <c r="AF73" s="438">
        <v>0</v>
      </c>
      <c r="AG73" s="438">
        <v>119000</v>
      </c>
      <c r="AH73" s="438">
        <v>82110</v>
      </c>
      <c r="AI73" s="438">
        <v>33536</v>
      </c>
      <c r="AJ73" s="438">
        <v>3354</v>
      </c>
      <c r="AK73" s="438">
        <v>36890</v>
      </c>
      <c r="AL73" s="414" t="str">
        <f t="shared" si="6"/>
        <v>워커힐 시그니처 양념 본갈비 300g, 8개</v>
      </c>
      <c r="AM73" s="395">
        <f t="shared" si="7"/>
        <v>46060</v>
      </c>
      <c r="AN73" s="396">
        <f t="shared" si="8"/>
        <v>1</v>
      </c>
      <c r="AO73" s="109">
        <f t="shared" si="9"/>
        <v>119000</v>
      </c>
      <c r="AP73" s="109">
        <f t="shared" si="10"/>
        <v>108181.81818181818</v>
      </c>
      <c r="AQ73" s="397">
        <f t="shared" si="11"/>
        <v>108181.81818181818</v>
      </c>
    </row>
    <row r="74" spans="1:43" ht="24">
      <c r="A74" s="436" t="s">
        <v>3704</v>
      </c>
      <c r="B74" s="436" t="s">
        <v>3490</v>
      </c>
      <c r="C74" s="437" t="s">
        <v>3491</v>
      </c>
      <c r="D74" s="436" t="s">
        <v>3969</v>
      </c>
      <c r="E74" s="437" t="s">
        <v>3829</v>
      </c>
      <c r="F74" s="436" t="s">
        <v>3494</v>
      </c>
      <c r="G74" s="436" t="s">
        <v>3495</v>
      </c>
      <c r="H74" s="437" t="s">
        <v>3496</v>
      </c>
      <c r="I74" s="436" t="s">
        <v>3497</v>
      </c>
      <c r="J74" s="437" t="s">
        <v>3498</v>
      </c>
      <c r="K74" s="437" t="s">
        <v>3548</v>
      </c>
      <c r="L74" s="436" t="s">
        <v>3500</v>
      </c>
      <c r="M74" s="436" t="s">
        <v>3524</v>
      </c>
      <c r="N74" s="436" t="s">
        <v>3502</v>
      </c>
      <c r="O74" s="438">
        <v>119000</v>
      </c>
      <c r="P74" s="438">
        <v>82110</v>
      </c>
      <c r="Q74" s="438">
        <v>1</v>
      </c>
      <c r="R74" s="438">
        <v>0</v>
      </c>
      <c r="S74" s="438">
        <v>0</v>
      </c>
      <c r="T74" s="438">
        <v>0</v>
      </c>
      <c r="U74" s="438">
        <v>0</v>
      </c>
      <c r="V74" s="438">
        <v>0</v>
      </c>
      <c r="W74" s="438">
        <v>31</v>
      </c>
      <c r="X74" s="438">
        <v>0</v>
      </c>
      <c r="Y74" s="438">
        <v>0</v>
      </c>
      <c r="Z74" s="438">
        <v>0</v>
      </c>
      <c r="AA74" s="438">
        <v>0</v>
      </c>
      <c r="AB74" s="438">
        <v>0</v>
      </c>
      <c r="AC74" s="438">
        <v>119000</v>
      </c>
      <c r="AD74" s="438">
        <v>82110</v>
      </c>
      <c r="AE74" s="438">
        <v>0</v>
      </c>
      <c r="AF74" s="438">
        <v>0</v>
      </c>
      <c r="AG74" s="438">
        <v>119000</v>
      </c>
      <c r="AH74" s="438">
        <v>82110</v>
      </c>
      <c r="AI74" s="438">
        <v>33536</v>
      </c>
      <c r="AJ74" s="438">
        <v>3354</v>
      </c>
      <c r="AK74" s="438">
        <v>36890</v>
      </c>
      <c r="AL74" s="414" t="str">
        <f t="shared" si="6"/>
        <v>워커힐 시그니처 양념 본갈비 300g, 8개</v>
      </c>
      <c r="AM74" s="395">
        <f t="shared" si="7"/>
        <v>46060</v>
      </c>
      <c r="AN74" s="396">
        <f t="shared" si="8"/>
        <v>1</v>
      </c>
      <c r="AO74" s="109">
        <f t="shared" si="9"/>
        <v>119000</v>
      </c>
      <c r="AP74" s="109">
        <f t="shared" si="10"/>
        <v>108181.81818181818</v>
      </c>
      <c r="AQ74" s="397">
        <f t="shared" si="11"/>
        <v>108181.81818181818</v>
      </c>
    </row>
    <row r="75" spans="1:43" ht="24">
      <c r="A75" s="436" t="s">
        <v>3707</v>
      </c>
      <c r="B75" s="436" t="s">
        <v>3490</v>
      </c>
      <c r="C75" s="437" t="s">
        <v>3491</v>
      </c>
      <c r="D75" s="436" t="s">
        <v>3745</v>
      </c>
      <c r="E75" s="437" t="s">
        <v>3746</v>
      </c>
      <c r="F75" s="436" t="s">
        <v>3494</v>
      </c>
      <c r="G75" s="436" t="s">
        <v>3495</v>
      </c>
      <c r="H75" s="437" t="s">
        <v>3496</v>
      </c>
      <c r="I75" s="436" t="s">
        <v>3497</v>
      </c>
      <c r="J75" s="437" t="s">
        <v>3498</v>
      </c>
      <c r="K75" s="437" t="s">
        <v>3499</v>
      </c>
      <c r="L75" s="436" t="s">
        <v>3500</v>
      </c>
      <c r="M75" s="436" t="s">
        <v>3524</v>
      </c>
      <c r="N75" s="436" t="s">
        <v>3502</v>
      </c>
      <c r="O75" s="438">
        <v>119000</v>
      </c>
      <c r="P75" s="438">
        <v>82110</v>
      </c>
      <c r="Q75" s="438">
        <v>1</v>
      </c>
      <c r="R75" s="438">
        <v>0</v>
      </c>
      <c r="S75" s="438">
        <v>0</v>
      </c>
      <c r="T75" s="438">
        <v>0</v>
      </c>
      <c r="U75" s="438">
        <v>0</v>
      </c>
      <c r="V75" s="438">
        <v>0</v>
      </c>
      <c r="W75" s="438">
        <v>31</v>
      </c>
      <c r="X75" s="438">
        <v>0</v>
      </c>
      <c r="Y75" s="438">
        <v>0</v>
      </c>
      <c r="Z75" s="438">
        <v>0</v>
      </c>
      <c r="AA75" s="438">
        <v>0</v>
      </c>
      <c r="AB75" s="438">
        <v>0</v>
      </c>
      <c r="AC75" s="438">
        <v>119000</v>
      </c>
      <c r="AD75" s="438">
        <v>82110</v>
      </c>
      <c r="AE75" s="438">
        <v>0</v>
      </c>
      <c r="AF75" s="438">
        <v>0</v>
      </c>
      <c r="AG75" s="438">
        <v>119000</v>
      </c>
      <c r="AH75" s="438">
        <v>82110</v>
      </c>
      <c r="AI75" s="438">
        <v>33536</v>
      </c>
      <c r="AJ75" s="438">
        <v>3354</v>
      </c>
      <c r="AK75" s="438">
        <v>36890</v>
      </c>
      <c r="AL75" s="414" t="str">
        <f t="shared" si="6"/>
        <v>워커힐 시그니처 양념 본갈비 300g, 8개</v>
      </c>
      <c r="AM75" s="395">
        <f t="shared" si="7"/>
        <v>46060</v>
      </c>
      <c r="AN75" s="396">
        <f t="shared" si="8"/>
        <v>1</v>
      </c>
      <c r="AO75" s="109">
        <f t="shared" si="9"/>
        <v>119000</v>
      </c>
      <c r="AP75" s="109">
        <f t="shared" si="10"/>
        <v>108181.81818181818</v>
      </c>
      <c r="AQ75" s="397">
        <f t="shared" si="11"/>
        <v>108181.81818181818</v>
      </c>
    </row>
    <row r="76" spans="1:43" ht="24">
      <c r="A76" s="436" t="s">
        <v>3710</v>
      </c>
      <c r="B76" s="436" t="s">
        <v>3490</v>
      </c>
      <c r="C76" s="437" t="s">
        <v>3491</v>
      </c>
      <c r="D76" s="436" t="s">
        <v>3526</v>
      </c>
      <c r="E76" s="437" t="s">
        <v>3527</v>
      </c>
      <c r="F76" s="436" t="s">
        <v>3494</v>
      </c>
      <c r="G76" s="436" t="s">
        <v>3495</v>
      </c>
      <c r="H76" s="437" t="s">
        <v>3496</v>
      </c>
      <c r="I76" s="436" t="s">
        <v>3497</v>
      </c>
      <c r="J76" s="437" t="s">
        <v>3498</v>
      </c>
      <c r="K76" s="437" t="s">
        <v>3499</v>
      </c>
      <c r="L76" s="436" t="s">
        <v>3500</v>
      </c>
      <c r="M76" s="436" t="s">
        <v>3524</v>
      </c>
      <c r="N76" s="436" t="s">
        <v>3502</v>
      </c>
      <c r="O76" s="438">
        <v>119000</v>
      </c>
      <c r="P76" s="438">
        <v>82110</v>
      </c>
      <c r="Q76" s="438">
        <v>1</v>
      </c>
      <c r="R76" s="438">
        <v>0</v>
      </c>
      <c r="S76" s="438">
        <v>0</v>
      </c>
      <c r="T76" s="438">
        <v>0</v>
      </c>
      <c r="U76" s="438">
        <v>0</v>
      </c>
      <c r="V76" s="438">
        <v>0</v>
      </c>
      <c r="W76" s="438">
        <v>31</v>
      </c>
      <c r="X76" s="438">
        <v>0</v>
      </c>
      <c r="Y76" s="438">
        <v>10000</v>
      </c>
      <c r="Z76" s="438">
        <v>0</v>
      </c>
      <c r="AA76" s="438">
        <v>0</v>
      </c>
      <c r="AB76" s="438">
        <v>0</v>
      </c>
      <c r="AC76" s="438">
        <v>119000</v>
      </c>
      <c r="AD76" s="438">
        <v>82110</v>
      </c>
      <c r="AE76" s="438">
        <v>0</v>
      </c>
      <c r="AF76" s="438">
        <v>10000</v>
      </c>
      <c r="AG76" s="438">
        <v>109000</v>
      </c>
      <c r="AH76" s="438">
        <v>82110</v>
      </c>
      <c r="AI76" s="438">
        <v>24445</v>
      </c>
      <c r="AJ76" s="438">
        <v>2445</v>
      </c>
      <c r="AK76" s="438">
        <v>26890</v>
      </c>
      <c r="AL76" s="414" t="str">
        <f t="shared" si="6"/>
        <v>워커힐 시그니처 양념 본갈비 300g, 8개</v>
      </c>
      <c r="AM76" s="395">
        <f t="shared" si="7"/>
        <v>46060</v>
      </c>
      <c r="AN76" s="396">
        <f t="shared" si="8"/>
        <v>1</v>
      </c>
      <c r="AO76" s="109">
        <f t="shared" si="9"/>
        <v>119000</v>
      </c>
      <c r="AP76" s="109">
        <f t="shared" si="10"/>
        <v>108181.81818181818</v>
      </c>
      <c r="AQ76" s="397">
        <f t="shared" si="11"/>
        <v>108181.81818181818</v>
      </c>
    </row>
    <row r="77" spans="1:43" ht="24">
      <c r="A77" s="436" t="s">
        <v>3713</v>
      </c>
      <c r="B77" s="436" t="s">
        <v>3490</v>
      </c>
      <c r="C77" s="437" t="s">
        <v>3491</v>
      </c>
      <c r="D77" s="436" t="s">
        <v>3765</v>
      </c>
      <c r="E77" s="437" t="s">
        <v>3766</v>
      </c>
      <c r="F77" s="436" t="s">
        <v>3494</v>
      </c>
      <c r="G77" s="436" t="s">
        <v>3495</v>
      </c>
      <c r="H77" s="437" t="s">
        <v>3496</v>
      </c>
      <c r="I77" s="436" t="s">
        <v>3497</v>
      </c>
      <c r="J77" s="437" t="s">
        <v>3498</v>
      </c>
      <c r="K77" s="437" t="s">
        <v>3499</v>
      </c>
      <c r="L77" s="436" t="s">
        <v>3500</v>
      </c>
      <c r="M77" s="436" t="s">
        <v>3524</v>
      </c>
      <c r="N77" s="436" t="s">
        <v>3502</v>
      </c>
      <c r="O77" s="438">
        <v>119000</v>
      </c>
      <c r="P77" s="438">
        <v>82110</v>
      </c>
      <c r="Q77" s="438">
        <v>1</v>
      </c>
      <c r="R77" s="438">
        <v>0</v>
      </c>
      <c r="S77" s="438">
        <v>0</v>
      </c>
      <c r="T77" s="438">
        <v>0</v>
      </c>
      <c r="U77" s="438">
        <v>0</v>
      </c>
      <c r="V77" s="438">
        <v>0</v>
      </c>
      <c r="W77" s="438">
        <v>31</v>
      </c>
      <c r="X77" s="438">
        <v>0</v>
      </c>
      <c r="Y77" s="438">
        <v>0</v>
      </c>
      <c r="Z77" s="438">
        <v>0</v>
      </c>
      <c r="AA77" s="438">
        <v>0</v>
      </c>
      <c r="AB77" s="438">
        <v>0</v>
      </c>
      <c r="AC77" s="438">
        <v>119000</v>
      </c>
      <c r="AD77" s="438">
        <v>82110</v>
      </c>
      <c r="AE77" s="438">
        <v>0</v>
      </c>
      <c r="AF77" s="438">
        <v>0</v>
      </c>
      <c r="AG77" s="438">
        <v>119000</v>
      </c>
      <c r="AH77" s="438">
        <v>82110</v>
      </c>
      <c r="AI77" s="438">
        <v>33536</v>
      </c>
      <c r="AJ77" s="438">
        <v>3354</v>
      </c>
      <c r="AK77" s="438">
        <v>36890</v>
      </c>
      <c r="AL77" s="414" t="str">
        <f t="shared" si="6"/>
        <v>워커힐 시그니처 양념 본갈비 300g, 8개</v>
      </c>
      <c r="AM77" s="395">
        <f t="shared" si="7"/>
        <v>46060</v>
      </c>
      <c r="AN77" s="396">
        <f t="shared" si="8"/>
        <v>1</v>
      </c>
      <c r="AO77" s="109">
        <f t="shared" si="9"/>
        <v>119000</v>
      </c>
      <c r="AP77" s="109">
        <f t="shared" si="10"/>
        <v>108181.81818181818</v>
      </c>
      <c r="AQ77" s="397">
        <f t="shared" si="11"/>
        <v>108181.81818181818</v>
      </c>
    </row>
    <row r="78" spans="1:43" ht="24">
      <c r="A78" s="436" t="s">
        <v>3716</v>
      </c>
      <c r="B78" s="436" t="s">
        <v>3490</v>
      </c>
      <c r="C78" s="437" t="s">
        <v>3491</v>
      </c>
      <c r="D78" s="436" t="s">
        <v>3614</v>
      </c>
      <c r="E78" s="437" t="s">
        <v>3615</v>
      </c>
      <c r="F78" s="436" t="s">
        <v>3494</v>
      </c>
      <c r="G78" s="436" t="s">
        <v>3495</v>
      </c>
      <c r="H78" s="437" t="s">
        <v>3496</v>
      </c>
      <c r="I78" s="436" t="s">
        <v>3497</v>
      </c>
      <c r="J78" s="437" t="s">
        <v>3498</v>
      </c>
      <c r="K78" s="437" t="s">
        <v>3499</v>
      </c>
      <c r="L78" s="436" t="s">
        <v>3500</v>
      </c>
      <c r="M78" s="436" t="s">
        <v>3524</v>
      </c>
      <c r="N78" s="436" t="s">
        <v>3502</v>
      </c>
      <c r="O78" s="438">
        <v>119000</v>
      </c>
      <c r="P78" s="438">
        <v>82110</v>
      </c>
      <c r="Q78" s="438">
        <v>1</v>
      </c>
      <c r="R78" s="438">
        <v>0</v>
      </c>
      <c r="S78" s="438">
        <v>0</v>
      </c>
      <c r="T78" s="438">
        <v>0</v>
      </c>
      <c r="U78" s="438">
        <v>0</v>
      </c>
      <c r="V78" s="438">
        <v>0</v>
      </c>
      <c r="W78" s="438">
        <v>31</v>
      </c>
      <c r="X78" s="438">
        <v>0</v>
      </c>
      <c r="Y78" s="438">
        <v>0</v>
      </c>
      <c r="Z78" s="438">
        <v>0</v>
      </c>
      <c r="AA78" s="438">
        <v>0</v>
      </c>
      <c r="AB78" s="438">
        <v>0</v>
      </c>
      <c r="AC78" s="438">
        <v>119000</v>
      </c>
      <c r="AD78" s="438">
        <v>82110</v>
      </c>
      <c r="AE78" s="438">
        <v>0</v>
      </c>
      <c r="AF78" s="438">
        <v>0</v>
      </c>
      <c r="AG78" s="438">
        <v>119000</v>
      </c>
      <c r="AH78" s="438">
        <v>82110</v>
      </c>
      <c r="AI78" s="438">
        <v>33536</v>
      </c>
      <c r="AJ78" s="438">
        <v>3354</v>
      </c>
      <c r="AK78" s="438">
        <v>36890</v>
      </c>
      <c r="AL78" s="414" t="str">
        <f t="shared" si="6"/>
        <v>워커힐 시그니처 양념 본갈비 300g, 8개</v>
      </c>
      <c r="AM78" s="395">
        <f t="shared" si="7"/>
        <v>46060</v>
      </c>
      <c r="AN78" s="396">
        <f t="shared" si="8"/>
        <v>1</v>
      </c>
      <c r="AO78" s="109">
        <f t="shared" si="9"/>
        <v>119000</v>
      </c>
      <c r="AP78" s="109">
        <f t="shared" si="10"/>
        <v>108181.81818181818</v>
      </c>
      <c r="AQ78" s="397">
        <f t="shared" si="11"/>
        <v>108181.81818181818</v>
      </c>
    </row>
    <row r="79" spans="1:43" ht="24">
      <c r="A79" s="436" t="s">
        <v>3719</v>
      </c>
      <c r="B79" s="436" t="s">
        <v>3490</v>
      </c>
      <c r="C79" s="437" t="s">
        <v>3491</v>
      </c>
      <c r="D79" s="436" t="s">
        <v>3835</v>
      </c>
      <c r="E79" s="437" t="s">
        <v>3836</v>
      </c>
      <c r="F79" s="436" t="s">
        <v>3494</v>
      </c>
      <c r="G79" s="436" t="s">
        <v>3495</v>
      </c>
      <c r="H79" s="437" t="s">
        <v>3496</v>
      </c>
      <c r="I79" s="436" t="s">
        <v>3497</v>
      </c>
      <c r="J79" s="437" t="s">
        <v>3498</v>
      </c>
      <c r="K79" s="437" t="s">
        <v>3499</v>
      </c>
      <c r="L79" s="436" t="s">
        <v>3500</v>
      </c>
      <c r="M79" s="436" t="s">
        <v>3524</v>
      </c>
      <c r="N79" s="436" t="s">
        <v>3502</v>
      </c>
      <c r="O79" s="438">
        <v>119000</v>
      </c>
      <c r="P79" s="438">
        <v>82110</v>
      </c>
      <c r="Q79" s="438">
        <v>1</v>
      </c>
      <c r="R79" s="438">
        <v>0</v>
      </c>
      <c r="S79" s="438">
        <v>0</v>
      </c>
      <c r="T79" s="438">
        <v>0</v>
      </c>
      <c r="U79" s="438">
        <v>0</v>
      </c>
      <c r="V79" s="438">
        <v>0</v>
      </c>
      <c r="W79" s="438">
        <v>31</v>
      </c>
      <c r="X79" s="438">
        <v>0</v>
      </c>
      <c r="Y79" s="438">
        <v>0</v>
      </c>
      <c r="Z79" s="438">
        <v>0</v>
      </c>
      <c r="AA79" s="438">
        <v>0</v>
      </c>
      <c r="AB79" s="438">
        <v>0</v>
      </c>
      <c r="AC79" s="438">
        <v>119000</v>
      </c>
      <c r="AD79" s="438">
        <v>82110</v>
      </c>
      <c r="AE79" s="438">
        <v>0</v>
      </c>
      <c r="AF79" s="438">
        <v>0</v>
      </c>
      <c r="AG79" s="438">
        <v>119000</v>
      </c>
      <c r="AH79" s="438">
        <v>82110</v>
      </c>
      <c r="AI79" s="438">
        <v>33536</v>
      </c>
      <c r="AJ79" s="438">
        <v>3354</v>
      </c>
      <c r="AK79" s="438">
        <v>36890</v>
      </c>
      <c r="AL79" s="414" t="str">
        <f t="shared" si="6"/>
        <v>워커힐 시그니처 양념 본갈비 300g, 8개</v>
      </c>
      <c r="AM79" s="395">
        <f t="shared" si="7"/>
        <v>46060</v>
      </c>
      <c r="AN79" s="396">
        <f t="shared" si="8"/>
        <v>1</v>
      </c>
      <c r="AO79" s="109">
        <f t="shared" si="9"/>
        <v>119000</v>
      </c>
      <c r="AP79" s="109">
        <f t="shared" si="10"/>
        <v>108181.81818181818</v>
      </c>
      <c r="AQ79" s="397">
        <f t="shared" si="11"/>
        <v>108181.81818181818</v>
      </c>
    </row>
    <row r="80" spans="1:43" ht="24">
      <c r="A80" s="436" t="s">
        <v>3722</v>
      </c>
      <c r="B80" s="436" t="s">
        <v>3490</v>
      </c>
      <c r="C80" s="437" t="s">
        <v>3491</v>
      </c>
      <c r="D80" s="436" t="s">
        <v>3909</v>
      </c>
      <c r="E80" s="437" t="s">
        <v>3910</v>
      </c>
      <c r="F80" s="436" t="s">
        <v>3494</v>
      </c>
      <c r="G80" s="436" t="s">
        <v>3495</v>
      </c>
      <c r="H80" s="437" t="s">
        <v>3496</v>
      </c>
      <c r="I80" s="436" t="s">
        <v>3497</v>
      </c>
      <c r="J80" s="437" t="s">
        <v>3498</v>
      </c>
      <c r="K80" s="437" t="s">
        <v>3548</v>
      </c>
      <c r="L80" s="436" t="s">
        <v>3500</v>
      </c>
      <c r="M80" s="436" t="s">
        <v>3524</v>
      </c>
      <c r="N80" s="436" t="s">
        <v>3502</v>
      </c>
      <c r="O80" s="438">
        <v>119000</v>
      </c>
      <c r="P80" s="438">
        <v>82110</v>
      </c>
      <c r="Q80" s="438">
        <v>1</v>
      </c>
      <c r="R80" s="438">
        <v>0</v>
      </c>
      <c r="S80" s="438">
        <v>0</v>
      </c>
      <c r="T80" s="438">
        <v>0</v>
      </c>
      <c r="U80" s="438">
        <v>0</v>
      </c>
      <c r="V80" s="438">
        <v>0</v>
      </c>
      <c r="W80" s="438">
        <v>31</v>
      </c>
      <c r="X80" s="438">
        <v>0</v>
      </c>
      <c r="Y80" s="438">
        <v>0</v>
      </c>
      <c r="Z80" s="438">
        <v>0</v>
      </c>
      <c r="AA80" s="438">
        <v>0</v>
      </c>
      <c r="AB80" s="438">
        <v>0</v>
      </c>
      <c r="AC80" s="438">
        <v>119000</v>
      </c>
      <c r="AD80" s="438">
        <v>82110</v>
      </c>
      <c r="AE80" s="438">
        <v>0</v>
      </c>
      <c r="AF80" s="438">
        <v>0</v>
      </c>
      <c r="AG80" s="438">
        <v>119000</v>
      </c>
      <c r="AH80" s="438">
        <v>82110</v>
      </c>
      <c r="AI80" s="438">
        <v>33536</v>
      </c>
      <c r="AJ80" s="438">
        <v>3354</v>
      </c>
      <c r="AK80" s="438">
        <v>36890</v>
      </c>
      <c r="AL80" s="414" t="str">
        <f t="shared" si="6"/>
        <v>워커힐 시그니처 양념 본갈비 300g, 8개</v>
      </c>
      <c r="AM80" s="395">
        <f t="shared" si="7"/>
        <v>46060</v>
      </c>
      <c r="AN80" s="396">
        <f t="shared" si="8"/>
        <v>1</v>
      </c>
      <c r="AO80" s="109">
        <f t="shared" si="9"/>
        <v>119000</v>
      </c>
      <c r="AP80" s="109">
        <f t="shared" si="10"/>
        <v>108181.81818181818</v>
      </c>
      <c r="AQ80" s="397">
        <f t="shared" si="11"/>
        <v>108181.81818181818</v>
      </c>
    </row>
    <row r="81" spans="1:43" ht="24">
      <c r="A81" s="436" t="s">
        <v>3725</v>
      </c>
      <c r="B81" s="436" t="s">
        <v>3490</v>
      </c>
      <c r="C81" s="437" t="s">
        <v>3491</v>
      </c>
      <c r="D81" s="436" t="s">
        <v>3723</v>
      </c>
      <c r="E81" s="437" t="s">
        <v>3724</v>
      </c>
      <c r="F81" s="436" t="s">
        <v>3494</v>
      </c>
      <c r="G81" s="436" t="s">
        <v>3495</v>
      </c>
      <c r="H81" s="437" t="s">
        <v>3496</v>
      </c>
      <c r="I81" s="436" t="s">
        <v>3497</v>
      </c>
      <c r="J81" s="437" t="s">
        <v>3498</v>
      </c>
      <c r="K81" s="437" t="s">
        <v>3499</v>
      </c>
      <c r="L81" s="436" t="s">
        <v>3500</v>
      </c>
      <c r="M81" s="436" t="s">
        <v>3524</v>
      </c>
      <c r="N81" s="436" t="s">
        <v>3502</v>
      </c>
      <c r="O81" s="438">
        <v>119000</v>
      </c>
      <c r="P81" s="438">
        <v>82110</v>
      </c>
      <c r="Q81" s="438">
        <v>1</v>
      </c>
      <c r="R81" s="438">
        <v>0</v>
      </c>
      <c r="S81" s="438">
        <v>0</v>
      </c>
      <c r="T81" s="438">
        <v>0</v>
      </c>
      <c r="U81" s="438">
        <v>0</v>
      </c>
      <c r="V81" s="438">
        <v>0</v>
      </c>
      <c r="W81" s="438">
        <v>31</v>
      </c>
      <c r="X81" s="438">
        <v>0</v>
      </c>
      <c r="Y81" s="438">
        <v>0</v>
      </c>
      <c r="Z81" s="438">
        <v>0</v>
      </c>
      <c r="AA81" s="438">
        <v>0</v>
      </c>
      <c r="AB81" s="438">
        <v>0</v>
      </c>
      <c r="AC81" s="438">
        <v>119000</v>
      </c>
      <c r="AD81" s="438">
        <v>82110</v>
      </c>
      <c r="AE81" s="438">
        <v>0</v>
      </c>
      <c r="AF81" s="438">
        <v>0</v>
      </c>
      <c r="AG81" s="438">
        <v>119000</v>
      </c>
      <c r="AH81" s="438">
        <v>82110</v>
      </c>
      <c r="AI81" s="438">
        <v>33536</v>
      </c>
      <c r="AJ81" s="438">
        <v>3354</v>
      </c>
      <c r="AK81" s="438">
        <v>36890</v>
      </c>
      <c r="AL81" s="414" t="str">
        <f t="shared" si="6"/>
        <v>워커힐 시그니처 양념 본갈비 300g, 8개</v>
      </c>
      <c r="AM81" s="395">
        <f t="shared" si="7"/>
        <v>46060</v>
      </c>
      <c r="AN81" s="396">
        <f t="shared" si="8"/>
        <v>1</v>
      </c>
      <c r="AO81" s="109">
        <f t="shared" si="9"/>
        <v>119000</v>
      </c>
      <c r="AP81" s="109">
        <f t="shared" si="10"/>
        <v>108181.81818181818</v>
      </c>
      <c r="AQ81" s="397">
        <f t="shared" si="11"/>
        <v>108181.81818181818</v>
      </c>
    </row>
    <row r="82" spans="1:43" ht="24">
      <c r="A82" s="436" t="s">
        <v>3728</v>
      </c>
      <c r="B82" s="436" t="s">
        <v>3490</v>
      </c>
      <c r="C82" s="437" t="s">
        <v>3491</v>
      </c>
      <c r="D82" s="436" t="s">
        <v>3550</v>
      </c>
      <c r="E82" s="437" t="s">
        <v>3551</v>
      </c>
      <c r="F82" s="436" t="s">
        <v>3494</v>
      </c>
      <c r="G82" s="436" t="s">
        <v>3495</v>
      </c>
      <c r="H82" s="437" t="s">
        <v>3496</v>
      </c>
      <c r="I82" s="436" t="s">
        <v>3497</v>
      </c>
      <c r="J82" s="437" t="s">
        <v>3498</v>
      </c>
      <c r="K82" s="437" t="s">
        <v>3499</v>
      </c>
      <c r="L82" s="436" t="s">
        <v>3500</v>
      </c>
      <c r="M82" s="436" t="s">
        <v>3524</v>
      </c>
      <c r="N82" s="436" t="s">
        <v>3502</v>
      </c>
      <c r="O82" s="438">
        <v>119000</v>
      </c>
      <c r="P82" s="438">
        <v>82110</v>
      </c>
      <c r="Q82" s="438">
        <v>1</v>
      </c>
      <c r="R82" s="438">
        <v>0</v>
      </c>
      <c r="S82" s="438">
        <v>0</v>
      </c>
      <c r="T82" s="438">
        <v>0</v>
      </c>
      <c r="U82" s="438">
        <v>0</v>
      </c>
      <c r="V82" s="438">
        <v>0</v>
      </c>
      <c r="W82" s="438">
        <v>31</v>
      </c>
      <c r="X82" s="438">
        <v>0</v>
      </c>
      <c r="Y82" s="438">
        <v>0</v>
      </c>
      <c r="Z82" s="438">
        <v>0</v>
      </c>
      <c r="AA82" s="438">
        <v>0</v>
      </c>
      <c r="AB82" s="438">
        <v>0</v>
      </c>
      <c r="AC82" s="438">
        <v>119000</v>
      </c>
      <c r="AD82" s="438">
        <v>82110</v>
      </c>
      <c r="AE82" s="438">
        <v>0</v>
      </c>
      <c r="AF82" s="438">
        <v>0</v>
      </c>
      <c r="AG82" s="438">
        <v>119000</v>
      </c>
      <c r="AH82" s="438">
        <v>82110</v>
      </c>
      <c r="AI82" s="438">
        <v>33536</v>
      </c>
      <c r="AJ82" s="438">
        <v>3354</v>
      </c>
      <c r="AK82" s="438">
        <v>36890</v>
      </c>
      <c r="AL82" s="414" t="str">
        <f t="shared" si="6"/>
        <v>워커힐 시그니처 양념 본갈비 300g, 8개</v>
      </c>
      <c r="AM82" s="395">
        <f t="shared" si="7"/>
        <v>46060</v>
      </c>
      <c r="AN82" s="396">
        <f t="shared" si="8"/>
        <v>1</v>
      </c>
      <c r="AO82" s="109">
        <f t="shared" si="9"/>
        <v>119000</v>
      </c>
      <c r="AP82" s="109">
        <f t="shared" si="10"/>
        <v>108181.81818181818</v>
      </c>
      <c r="AQ82" s="397">
        <f t="shared" si="11"/>
        <v>108181.81818181818</v>
      </c>
    </row>
    <row r="83" spans="1:43" ht="24">
      <c r="A83" s="436" t="s">
        <v>3729</v>
      </c>
      <c r="B83" s="436" t="s">
        <v>3490</v>
      </c>
      <c r="C83" s="437" t="s">
        <v>3491</v>
      </c>
      <c r="D83" s="436" t="s">
        <v>3992</v>
      </c>
      <c r="E83" s="437" t="s">
        <v>3993</v>
      </c>
      <c r="F83" s="436" t="s">
        <v>3494</v>
      </c>
      <c r="G83" s="436" t="s">
        <v>3495</v>
      </c>
      <c r="H83" s="437" t="s">
        <v>3496</v>
      </c>
      <c r="I83" s="436" t="s">
        <v>3497</v>
      </c>
      <c r="J83" s="437" t="s">
        <v>3498</v>
      </c>
      <c r="K83" s="437" t="s">
        <v>3499</v>
      </c>
      <c r="L83" s="436" t="s">
        <v>3500</v>
      </c>
      <c r="M83" s="436" t="s">
        <v>3524</v>
      </c>
      <c r="N83" s="436" t="s">
        <v>3502</v>
      </c>
      <c r="O83" s="438">
        <v>119000</v>
      </c>
      <c r="P83" s="438">
        <v>82110</v>
      </c>
      <c r="Q83" s="438">
        <v>1</v>
      </c>
      <c r="R83" s="438">
        <v>0</v>
      </c>
      <c r="S83" s="438">
        <v>0</v>
      </c>
      <c r="T83" s="438">
        <v>0</v>
      </c>
      <c r="U83" s="438">
        <v>0</v>
      </c>
      <c r="V83" s="438">
        <v>0</v>
      </c>
      <c r="W83" s="438">
        <v>31</v>
      </c>
      <c r="X83" s="438">
        <v>0</v>
      </c>
      <c r="Y83" s="438">
        <v>0</v>
      </c>
      <c r="Z83" s="438">
        <v>0</v>
      </c>
      <c r="AA83" s="438">
        <v>0</v>
      </c>
      <c r="AB83" s="438">
        <v>0</v>
      </c>
      <c r="AC83" s="438">
        <v>119000</v>
      </c>
      <c r="AD83" s="438">
        <v>82110</v>
      </c>
      <c r="AE83" s="438">
        <v>0</v>
      </c>
      <c r="AF83" s="438">
        <v>0</v>
      </c>
      <c r="AG83" s="438">
        <v>119000</v>
      </c>
      <c r="AH83" s="438">
        <v>82110</v>
      </c>
      <c r="AI83" s="438">
        <v>33536</v>
      </c>
      <c r="AJ83" s="438">
        <v>3354</v>
      </c>
      <c r="AK83" s="438">
        <v>36890</v>
      </c>
      <c r="AL83" s="414" t="str">
        <f t="shared" si="6"/>
        <v>워커힐 시그니처 양념 본갈비 300g, 8개</v>
      </c>
      <c r="AM83" s="395">
        <f t="shared" si="7"/>
        <v>46060</v>
      </c>
      <c r="AN83" s="396">
        <f t="shared" si="8"/>
        <v>1</v>
      </c>
      <c r="AO83" s="109">
        <f t="shared" si="9"/>
        <v>119000</v>
      </c>
      <c r="AP83" s="109">
        <f t="shared" si="10"/>
        <v>108181.81818181818</v>
      </c>
      <c r="AQ83" s="397">
        <f t="shared" si="11"/>
        <v>108181.81818181818</v>
      </c>
    </row>
    <row r="84" spans="1:43" ht="24">
      <c r="A84" s="436" t="s">
        <v>3732</v>
      </c>
      <c r="B84" s="436" t="s">
        <v>3490</v>
      </c>
      <c r="C84" s="437" t="s">
        <v>3491</v>
      </c>
      <c r="D84" s="436" t="s">
        <v>4134</v>
      </c>
      <c r="E84" s="437" t="s">
        <v>4135</v>
      </c>
      <c r="F84" s="436" t="s">
        <v>3494</v>
      </c>
      <c r="G84" s="436" t="s">
        <v>3495</v>
      </c>
      <c r="H84" s="437" t="s">
        <v>3496</v>
      </c>
      <c r="I84" s="436" t="s">
        <v>3497</v>
      </c>
      <c r="J84" s="437" t="s">
        <v>3498</v>
      </c>
      <c r="K84" s="437" t="s">
        <v>3499</v>
      </c>
      <c r="L84" s="436" t="s">
        <v>3500</v>
      </c>
      <c r="M84" s="436" t="s">
        <v>3524</v>
      </c>
      <c r="N84" s="436" t="s">
        <v>3502</v>
      </c>
      <c r="O84" s="438">
        <v>119000</v>
      </c>
      <c r="P84" s="438">
        <v>82110</v>
      </c>
      <c r="Q84" s="438">
        <v>1</v>
      </c>
      <c r="R84" s="438">
        <v>0</v>
      </c>
      <c r="S84" s="438">
        <v>0</v>
      </c>
      <c r="T84" s="438">
        <v>0</v>
      </c>
      <c r="U84" s="438">
        <v>0</v>
      </c>
      <c r="V84" s="438">
        <v>0</v>
      </c>
      <c r="W84" s="438">
        <v>31</v>
      </c>
      <c r="X84" s="438">
        <v>22610</v>
      </c>
      <c r="Y84" s="438">
        <v>0</v>
      </c>
      <c r="Z84" s="438">
        <v>0</v>
      </c>
      <c r="AA84" s="438">
        <v>0</v>
      </c>
      <c r="AB84" s="438">
        <v>0</v>
      </c>
      <c r="AC84" s="438">
        <v>119000</v>
      </c>
      <c r="AD84" s="438">
        <v>82110</v>
      </c>
      <c r="AE84" s="438">
        <v>0</v>
      </c>
      <c r="AF84" s="438">
        <v>22610</v>
      </c>
      <c r="AG84" s="438">
        <v>96390</v>
      </c>
      <c r="AH84" s="438">
        <v>82110</v>
      </c>
      <c r="AI84" s="438">
        <v>12982</v>
      </c>
      <c r="AJ84" s="438">
        <v>1298</v>
      </c>
      <c r="AK84" s="438">
        <v>14280</v>
      </c>
      <c r="AL84" s="414" t="str">
        <f t="shared" si="6"/>
        <v>워커힐 시그니처 양념 본갈비 300g, 8개</v>
      </c>
      <c r="AM84" s="395">
        <f t="shared" si="7"/>
        <v>46060</v>
      </c>
      <c r="AN84" s="396">
        <f t="shared" si="8"/>
        <v>1</v>
      </c>
      <c r="AO84" s="109">
        <f t="shared" si="9"/>
        <v>119000</v>
      </c>
      <c r="AP84" s="109">
        <f t="shared" si="10"/>
        <v>108181.81818181818</v>
      </c>
      <c r="AQ84" s="397">
        <f t="shared" si="11"/>
        <v>108181.81818181818</v>
      </c>
    </row>
    <row r="85" spans="1:43" ht="24">
      <c r="A85" s="436" t="s">
        <v>3735</v>
      </c>
      <c r="B85" s="436" t="s">
        <v>3490</v>
      </c>
      <c r="C85" s="437" t="s">
        <v>3491</v>
      </c>
      <c r="D85" s="436" t="s">
        <v>4142</v>
      </c>
      <c r="E85" s="437" t="s">
        <v>3533</v>
      </c>
      <c r="F85" s="436" t="s">
        <v>3494</v>
      </c>
      <c r="G85" s="436" t="s">
        <v>3495</v>
      </c>
      <c r="H85" s="437" t="s">
        <v>3496</v>
      </c>
      <c r="I85" s="436" t="s">
        <v>3497</v>
      </c>
      <c r="J85" s="437" t="s">
        <v>3498</v>
      </c>
      <c r="K85" s="437" t="s">
        <v>3499</v>
      </c>
      <c r="L85" s="436" t="s">
        <v>3500</v>
      </c>
      <c r="M85" s="436" t="s">
        <v>3524</v>
      </c>
      <c r="N85" s="436" t="s">
        <v>3502</v>
      </c>
      <c r="O85" s="438">
        <v>119000</v>
      </c>
      <c r="P85" s="438">
        <v>82110</v>
      </c>
      <c r="Q85" s="438">
        <v>1</v>
      </c>
      <c r="R85" s="438">
        <v>0</v>
      </c>
      <c r="S85" s="438">
        <v>0</v>
      </c>
      <c r="T85" s="438">
        <v>0</v>
      </c>
      <c r="U85" s="438">
        <v>0</v>
      </c>
      <c r="V85" s="438">
        <v>0</v>
      </c>
      <c r="W85" s="438">
        <v>31</v>
      </c>
      <c r="X85" s="438">
        <v>0</v>
      </c>
      <c r="Y85" s="438">
        <v>0</v>
      </c>
      <c r="Z85" s="438">
        <v>0</v>
      </c>
      <c r="AA85" s="438">
        <v>0</v>
      </c>
      <c r="AB85" s="438">
        <v>0</v>
      </c>
      <c r="AC85" s="438">
        <v>119000</v>
      </c>
      <c r="AD85" s="438">
        <v>82110</v>
      </c>
      <c r="AE85" s="438">
        <v>0</v>
      </c>
      <c r="AF85" s="438">
        <v>0</v>
      </c>
      <c r="AG85" s="438">
        <v>119000</v>
      </c>
      <c r="AH85" s="438">
        <v>82110</v>
      </c>
      <c r="AI85" s="438">
        <v>33536</v>
      </c>
      <c r="AJ85" s="438">
        <v>3354</v>
      </c>
      <c r="AK85" s="438">
        <v>36890</v>
      </c>
      <c r="AL85" s="414" t="str">
        <f t="shared" si="6"/>
        <v>워커힐 시그니처 양념 본갈비 300g, 8개</v>
      </c>
      <c r="AM85" s="395">
        <f t="shared" si="7"/>
        <v>46060</v>
      </c>
      <c r="AN85" s="396">
        <f t="shared" si="8"/>
        <v>1</v>
      </c>
      <c r="AO85" s="109">
        <f t="shared" si="9"/>
        <v>119000</v>
      </c>
      <c r="AP85" s="109">
        <f t="shared" si="10"/>
        <v>108181.81818181818</v>
      </c>
      <c r="AQ85" s="397">
        <f t="shared" si="11"/>
        <v>108181.81818181818</v>
      </c>
    </row>
    <row r="86" spans="1:43" ht="24">
      <c r="A86" s="436" t="s">
        <v>3738</v>
      </c>
      <c r="B86" s="436" t="s">
        <v>3490</v>
      </c>
      <c r="C86" s="437" t="s">
        <v>3491</v>
      </c>
      <c r="D86" s="436" t="s">
        <v>4157</v>
      </c>
      <c r="E86" s="437" t="s">
        <v>4158</v>
      </c>
      <c r="F86" s="436" t="s">
        <v>3494</v>
      </c>
      <c r="G86" s="436" t="s">
        <v>3495</v>
      </c>
      <c r="H86" s="437" t="s">
        <v>3496</v>
      </c>
      <c r="I86" s="436" t="s">
        <v>3497</v>
      </c>
      <c r="J86" s="437" t="s">
        <v>3498</v>
      </c>
      <c r="K86" s="437" t="s">
        <v>3499</v>
      </c>
      <c r="L86" s="436" t="s">
        <v>3500</v>
      </c>
      <c r="M86" s="436" t="s">
        <v>3524</v>
      </c>
      <c r="N86" s="436" t="s">
        <v>3502</v>
      </c>
      <c r="O86" s="438">
        <v>119000</v>
      </c>
      <c r="P86" s="438">
        <v>82110</v>
      </c>
      <c r="Q86" s="438">
        <v>1</v>
      </c>
      <c r="R86" s="438">
        <v>0</v>
      </c>
      <c r="S86" s="438">
        <v>0</v>
      </c>
      <c r="T86" s="438">
        <v>0</v>
      </c>
      <c r="U86" s="438">
        <v>0</v>
      </c>
      <c r="V86" s="438">
        <v>0</v>
      </c>
      <c r="W86" s="438">
        <v>31</v>
      </c>
      <c r="X86" s="438">
        <v>0</v>
      </c>
      <c r="Y86" s="438">
        <v>0</v>
      </c>
      <c r="Z86" s="438">
        <v>0</v>
      </c>
      <c r="AA86" s="438">
        <v>0</v>
      </c>
      <c r="AB86" s="438">
        <v>5950</v>
      </c>
      <c r="AC86" s="438">
        <v>119000</v>
      </c>
      <c r="AD86" s="438">
        <v>82110</v>
      </c>
      <c r="AE86" s="438">
        <v>0</v>
      </c>
      <c r="AF86" s="438">
        <v>5950</v>
      </c>
      <c r="AG86" s="438">
        <v>113050</v>
      </c>
      <c r="AH86" s="438">
        <v>82110</v>
      </c>
      <c r="AI86" s="438">
        <v>28127</v>
      </c>
      <c r="AJ86" s="438">
        <v>2813</v>
      </c>
      <c r="AK86" s="438">
        <v>30940</v>
      </c>
      <c r="AL86" s="414" t="str">
        <f t="shared" si="6"/>
        <v>워커힐 시그니처 양념 본갈비 300g, 8개</v>
      </c>
      <c r="AM86" s="395">
        <f t="shared" si="7"/>
        <v>46060</v>
      </c>
      <c r="AN86" s="396">
        <f t="shared" si="8"/>
        <v>1</v>
      </c>
      <c r="AO86" s="109">
        <f t="shared" si="9"/>
        <v>119000</v>
      </c>
      <c r="AP86" s="109">
        <f t="shared" si="10"/>
        <v>108181.81818181818</v>
      </c>
      <c r="AQ86" s="397">
        <f t="shared" si="11"/>
        <v>108181.81818181818</v>
      </c>
    </row>
    <row r="87" spans="1:43" ht="24">
      <c r="A87" s="436" t="s">
        <v>3741</v>
      </c>
      <c r="B87" s="436" t="s">
        <v>3490</v>
      </c>
      <c r="C87" s="437" t="s">
        <v>3491</v>
      </c>
      <c r="D87" s="436" t="s">
        <v>3739</v>
      </c>
      <c r="E87" s="437" t="s">
        <v>3740</v>
      </c>
      <c r="F87" s="436" t="s">
        <v>3494</v>
      </c>
      <c r="G87" s="436" t="s">
        <v>3495</v>
      </c>
      <c r="H87" s="437" t="s">
        <v>3496</v>
      </c>
      <c r="I87" s="436" t="s">
        <v>3497</v>
      </c>
      <c r="J87" s="437" t="s">
        <v>3498</v>
      </c>
      <c r="K87" s="437" t="s">
        <v>3499</v>
      </c>
      <c r="L87" s="436" t="s">
        <v>3500</v>
      </c>
      <c r="M87" s="436" t="s">
        <v>3524</v>
      </c>
      <c r="N87" s="436" t="s">
        <v>3502</v>
      </c>
      <c r="O87" s="438">
        <v>119000</v>
      </c>
      <c r="P87" s="438">
        <v>82110</v>
      </c>
      <c r="Q87" s="438">
        <v>1</v>
      </c>
      <c r="R87" s="438">
        <v>0</v>
      </c>
      <c r="S87" s="438">
        <v>0</v>
      </c>
      <c r="T87" s="438">
        <v>0</v>
      </c>
      <c r="U87" s="438">
        <v>0</v>
      </c>
      <c r="V87" s="438">
        <v>0</v>
      </c>
      <c r="W87" s="438">
        <v>31</v>
      </c>
      <c r="X87" s="438">
        <v>13090</v>
      </c>
      <c r="Y87" s="438">
        <v>0</v>
      </c>
      <c r="Z87" s="438">
        <v>0</v>
      </c>
      <c r="AA87" s="438">
        <v>0</v>
      </c>
      <c r="AB87" s="438">
        <v>0</v>
      </c>
      <c r="AC87" s="438">
        <v>119000</v>
      </c>
      <c r="AD87" s="438">
        <v>82110</v>
      </c>
      <c r="AE87" s="438">
        <v>0</v>
      </c>
      <c r="AF87" s="438">
        <v>13090</v>
      </c>
      <c r="AG87" s="438">
        <v>105910</v>
      </c>
      <c r="AH87" s="438">
        <v>82110</v>
      </c>
      <c r="AI87" s="438">
        <v>21636</v>
      </c>
      <c r="AJ87" s="438">
        <v>2164</v>
      </c>
      <c r="AK87" s="438">
        <v>23800</v>
      </c>
      <c r="AL87" s="414" t="str">
        <f t="shared" si="6"/>
        <v>워커힐 시그니처 양념 본갈비 300g, 8개</v>
      </c>
      <c r="AM87" s="395">
        <f t="shared" si="7"/>
        <v>46060</v>
      </c>
      <c r="AN87" s="396">
        <f t="shared" si="8"/>
        <v>1</v>
      </c>
      <c r="AO87" s="109">
        <f t="shared" si="9"/>
        <v>119000</v>
      </c>
      <c r="AP87" s="109">
        <f t="shared" si="10"/>
        <v>108181.81818181818</v>
      </c>
      <c r="AQ87" s="397">
        <f t="shared" si="11"/>
        <v>108181.81818181818</v>
      </c>
    </row>
    <row r="88" spans="1:43" ht="24">
      <c r="A88" s="436" t="s">
        <v>3744</v>
      </c>
      <c r="B88" s="436" t="s">
        <v>3490</v>
      </c>
      <c r="C88" s="437" t="s">
        <v>3491</v>
      </c>
      <c r="D88" s="436" t="s">
        <v>4087</v>
      </c>
      <c r="E88" s="437" t="s">
        <v>3796</v>
      </c>
      <c r="F88" s="436" t="s">
        <v>3494</v>
      </c>
      <c r="G88" s="436" t="s">
        <v>3495</v>
      </c>
      <c r="H88" s="437" t="s">
        <v>3496</v>
      </c>
      <c r="I88" s="436" t="s">
        <v>3497</v>
      </c>
      <c r="J88" s="437" t="s">
        <v>3498</v>
      </c>
      <c r="K88" s="437" t="s">
        <v>3499</v>
      </c>
      <c r="L88" s="436" t="s">
        <v>3500</v>
      </c>
      <c r="M88" s="436" t="s">
        <v>3524</v>
      </c>
      <c r="N88" s="436" t="s">
        <v>3502</v>
      </c>
      <c r="O88" s="438">
        <v>119000</v>
      </c>
      <c r="P88" s="438">
        <v>82110</v>
      </c>
      <c r="Q88" s="438">
        <v>1</v>
      </c>
      <c r="R88" s="438">
        <v>0</v>
      </c>
      <c r="S88" s="438">
        <v>0</v>
      </c>
      <c r="T88" s="438">
        <v>0</v>
      </c>
      <c r="U88" s="438">
        <v>0</v>
      </c>
      <c r="V88" s="438">
        <v>0</v>
      </c>
      <c r="W88" s="438">
        <v>31</v>
      </c>
      <c r="X88" s="438">
        <v>0</v>
      </c>
      <c r="Y88" s="438">
        <v>0</v>
      </c>
      <c r="Z88" s="438">
        <v>0</v>
      </c>
      <c r="AA88" s="438">
        <v>0</v>
      </c>
      <c r="AB88" s="438">
        <v>0</v>
      </c>
      <c r="AC88" s="438">
        <v>119000</v>
      </c>
      <c r="AD88" s="438">
        <v>82110</v>
      </c>
      <c r="AE88" s="438">
        <v>0</v>
      </c>
      <c r="AF88" s="438">
        <v>0</v>
      </c>
      <c r="AG88" s="438">
        <v>119000</v>
      </c>
      <c r="AH88" s="438">
        <v>82110</v>
      </c>
      <c r="AI88" s="438">
        <v>33536</v>
      </c>
      <c r="AJ88" s="438">
        <v>3354</v>
      </c>
      <c r="AK88" s="438">
        <v>36890</v>
      </c>
      <c r="AL88" s="414" t="str">
        <f t="shared" si="6"/>
        <v>워커힐 시그니처 양념 본갈비 300g, 8개</v>
      </c>
      <c r="AM88" s="395">
        <f t="shared" si="7"/>
        <v>46060</v>
      </c>
      <c r="AN88" s="396">
        <f t="shared" si="8"/>
        <v>1</v>
      </c>
      <c r="AO88" s="109">
        <f t="shared" si="9"/>
        <v>119000</v>
      </c>
      <c r="AP88" s="109">
        <f t="shared" si="10"/>
        <v>108181.81818181818</v>
      </c>
      <c r="AQ88" s="397">
        <f t="shared" si="11"/>
        <v>108181.81818181818</v>
      </c>
    </row>
    <row r="89" spans="1:43" ht="24">
      <c r="A89" s="436" t="s">
        <v>3747</v>
      </c>
      <c r="B89" s="436" t="s">
        <v>3490</v>
      </c>
      <c r="C89" s="437" t="s">
        <v>3491</v>
      </c>
      <c r="D89" s="436" t="s">
        <v>4094</v>
      </c>
      <c r="E89" s="437" t="s">
        <v>4095</v>
      </c>
      <c r="F89" s="436" t="s">
        <v>3494</v>
      </c>
      <c r="G89" s="436" t="s">
        <v>3495</v>
      </c>
      <c r="H89" s="437" t="s">
        <v>3496</v>
      </c>
      <c r="I89" s="436" t="s">
        <v>3497</v>
      </c>
      <c r="J89" s="437" t="s">
        <v>3498</v>
      </c>
      <c r="K89" s="437" t="s">
        <v>3499</v>
      </c>
      <c r="L89" s="436" t="s">
        <v>3500</v>
      </c>
      <c r="M89" s="436" t="s">
        <v>3524</v>
      </c>
      <c r="N89" s="436" t="s">
        <v>3502</v>
      </c>
      <c r="O89" s="438">
        <v>119000</v>
      </c>
      <c r="P89" s="438">
        <v>82110</v>
      </c>
      <c r="Q89" s="438">
        <v>1</v>
      </c>
      <c r="R89" s="438">
        <v>0</v>
      </c>
      <c r="S89" s="438">
        <v>0</v>
      </c>
      <c r="T89" s="438">
        <v>0</v>
      </c>
      <c r="U89" s="438">
        <v>0</v>
      </c>
      <c r="V89" s="438">
        <v>0</v>
      </c>
      <c r="W89" s="438">
        <v>31</v>
      </c>
      <c r="X89" s="438">
        <v>0</v>
      </c>
      <c r="Y89" s="438">
        <v>10000</v>
      </c>
      <c r="Z89" s="438">
        <v>0</v>
      </c>
      <c r="AA89" s="438">
        <v>0</v>
      </c>
      <c r="AB89" s="438">
        <v>0</v>
      </c>
      <c r="AC89" s="438">
        <v>119000</v>
      </c>
      <c r="AD89" s="438">
        <v>82110</v>
      </c>
      <c r="AE89" s="438">
        <v>0</v>
      </c>
      <c r="AF89" s="438">
        <v>10000</v>
      </c>
      <c r="AG89" s="438">
        <v>109000</v>
      </c>
      <c r="AH89" s="438">
        <v>82110</v>
      </c>
      <c r="AI89" s="438">
        <v>24445</v>
      </c>
      <c r="AJ89" s="438">
        <v>2445</v>
      </c>
      <c r="AK89" s="438">
        <v>26890</v>
      </c>
      <c r="AL89" s="414" t="str">
        <f t="shared" si="6"/>
        <v>워커힐 시그니처 양념 본갈비 300g, 8개</v>
      </c>
      <c r="AM89" s="395">
        <f t="shared" si="7"/>
        <v>46060</v>
      </c>
      <c r="AN89" s="396">
        <f t="shared" si="8"/>
        <v>1</v>
      </c>
      <c r="AO89" s="109">
        <f t="shared" si="9"/>
        <v>119000</v>
      </c>
      <c r="AP89" s="109">
        <f t="shared" si="10"/>
        <v>108181.81818181818</v>
      </c>
      <c r="AQ89" s="397">
        <f t="shared" si="11"/>
        <v>108181.81818181818</v>
      </c>
    </row>
    <row r="90" spans="1:43" ht="24">
      <c r="A90" s="436" t="s">
        <v>3750</v>
      </c>
      <c r="B90" s="436" t="s">
        <v>3490</v>
      </c>
      <c r="C90" s="437" t="s">
        <v>3491</v>
      </c>
      <c r="D90" s="436" t="s">
        <v>3602</v>
      </c>
      <c r="E90" s="437" t="s">
        <v>3603</v>
      </c>
      <c r="F90" s="436" t="s">
        <v>3494</v>
      </c>
      <c r="G90" s="436" t="s">
        <v>3495</v>
      </c>
      <c r="H90" s="437" t="s">
        <v>3496</v>
      </c>
      <c r="I90" s="436" t="s">
        <v>3497</v>
      </c>
      <c r="J90" s="437" t="s">
        <v>3498</v>
      </c>
      <c r="K90" s="437" t="s">
        <v>3499</v>
      </c>
      <c r="L90" s="436" t="s">
        <v>3500</v>
      </c>
      <c r="M90" s="436" t="s">
        <v>3524</v>
      </c>
      <c r="N90" s="436" t="s">
        <v>3502</v>
      </c>
      <c r="O90" s="438">
        <v>119000</v>
      </c>
      <c r="P90" s="438">
        <v>82110</v>
      </c>
      <c r="Q90" s="438">
        <v>1</v>
      </c>
      <c r="R90" s="438">
        <v>0</v>
      </c>
      <c r="S90" s="438">
        <v>0</v>
      </c>
      <c r="T90" s="438">
        <v>0</v>
      </c>
      <c r="U90" s="438">
        <v>0</v>
      </c>
      <c r="V90" s="438">
        <v>0</v>
      </c>
      <c r="W90" s="438">
        <v>31</v>
      </c>
      <c r="X90" s="438">
        <v>0</v>
      </c>
      <c r="Y90" s="438">
        <v>0</v>
      </c>
      <c r="Z90" s="438">
        <v>0</v>
      </c>
      <c r="AA90" s="438">
        <v>0</v>
      </c>
      <c r="AB90" s="438">
        <v>0</v>
      </c>
      <c r="AC90" s="438">
        <v>119000</v>
      </c>
      <c r="AD90" s="438">
        <v>82110</v>
      </c>
      <c r="AE90" s="438">
        <v>0</v>
      </c>
      <c r="AF90" s="438">
        <v>0</v>
      </c>
      <c r="AG90" s="438">
        <v>119000</v>
      </c>
      <c r="AH90" s="438">
        <v>82110</v>
      </c>
      <c r="AI90" s="438">
        <v>33536</v>
      </c>
      <c r="AJ90" s="438">
        <v>3354</v>
      </c>
      <c r="AK90" s="438">
        <v>36890</v>
      </c>
      <c r="AL90" s="414" t="str">
        <f t="shared" si="6"/>
        <v>워커힐 시그니처 양념 본갈비 300g, 8개</v>
      </c>
      <c r="AM90" s="395">
        <f t="shared" si="7"/>
        <v>46060</v>
      </c>
      <c r="AN90" s="396">
        <f t="shared" si="8"/>
        <v>1</v>
      </c>
      <c r="AO90" s="109">
        <f t="shared" si="9"/>
        <v>119000</v>
      </c>
      <c r="AP90" s="109">
        <f t="shared" si="10"/>
        <v>108181.81818181818</v>
      </c>
      <c r="AQ90" s="397">
        <f t="shared" si="11"/>
        <v>108181.81818181818</v>
      </c>
    </row>
    <row r="91" spans="1:43" ht="24">
      <c r="A91" s="436" t="s">
        <v>3753</v>
      </c>
      <c r="B91" s="436" t="s">
        <v>3490</v>
      </c>
      <c r="C91" s="437" t="s">
        <v>3491</v>
      </c>
      <c r="D91" s="436" t="s">
        <v>3751</v>
      </c>
      <c r="E91" s="437" t="s">
        <v>3752</v>
      </c>
      <c r="F91" s="436" t="s">
        <v>3494</v>
      </c>
      <c r="G91" s="436" t="s">
        <v>3495</v>
      </c>
      <c r="H91" s="437" t="s">
        <v>3496</v>
      </c>
      <c r="I91" s="436" t="s">
        <v>3497</v>
      </c>
      <c r="J91" s="437" t="s">
        <v>3498</v>
      </c>
      <c r="K91" s="437" t="s">
        <v>3499</v>
      </c>
      <c r="L91" s="436" t="s">
        <v>3500</v>
      </c>
      <c r="M91" s="436" t="s">
        <v>3524</v>
      </c>
      <c r="N91" s="436" t="s">
        <v>3502</v>
      </c>
      <c r="O91" s="438">
        <v>119000</v>
      </c>
      <c r="P91" s="438">
        <v>82110</v>
      </c>
      <c r="Q91" s="438">
        <v>1</v>
      </c>
      <c r="R91" s="438">
        <v>0</v>
      </c>
      <c r="S91" s="438">
        <v>0</v>
      </c>
      <c r="T91" s="438">
        <v>0</v>
      </c>
      <c r="U91" s="438">
        <v>0</v>
      </c>
      <c r="V91" s="438">
        <v>0</v>
      </c>
      <c r="W91" s="438">
        <v>31</v>
      </c>
      <c r="X91" s="438">
        <v>0</v>
      </c>
      <c r="Y91" s="438">
        <v>0</v>
      </c>
      <c r="Z91" s="438">
        <v>0</v>
      </c>
      <c r="AA91" s="438">
        <v>0</v>
      </c>
      <c r="AB91" s="438">
        <v>0</v>
      </c>
      <c r="AC91" s="438">
        <v>119000</v>
      </c>
      <c r="AD91" s="438">
        <v>82110</v>
      </c>
      <c r="AE91" s="438">
        <v>0</v>
      </c>
      <c r="AF91" s="438">
        <v>0</v>
      </c>
      <c r="AG91" s="438">
        <v>119000</v>
      </c>
      <c r="AH91" s="438">
        <v>82110</v>
      </c>
      <c r="AI91" s="438">
        <v>33536</v>
      </c>
      <c r="AJ91" s="438">
        <v>3354</v>
      </c>
      <c r="AK91" s="438">
        <v>36890</v>
      </c>
      <c r="AL91" s="414" t="str">
        <f t="shared" si="6"/>
        <v>워커힐 시그니처 양념 본갈비 300g, 8개</v>
      </c>
      <c r="AM91" s="395">
        <f t="shared" si="7"/>
        <v>46060</v>
      </c>
      <c r="AN91" s="396">
        <f t="shared" si="8"/>
        <v>1</v>
      </c>
      <c r="AO91" s="109">
        <f t="shared" si="9"/>
        <v>119000</v>
      </c>
      <c r="AP91" s="109">
        <f t="shared" si="10"/>
        <v>108181.81818181818</v>
      </c>
      <c r="AQ91" s="397">
        <f t="shared" si="11"/>
        <v>108181.81818181818</v>
      </c>
    </row>
    <row r="92" spans="1:43" ht="24">
      <c r="A92" s="436" t="s">
        <v>3755</v>
      </c>
      <c r="B92" s="436" t="s">
        <v>3490</v>
      </c>
      <c r="C92" s="437" t="s">
        <v>3491</v>
      </c>
      <c r="D92" s="436" t="s">
        <v>3754</v>
      </c>
      <c r="E92" s="437" t="s">
        <v>3493</v>
      </c>
      <c r="F92" s="436" t="s">
        <v>3494</v>
      </c>
      <c r="G92" s="436" t="s">
        <v>3495</v>
      </c>
      <c r="H92" s="437" t="s">
        <v>3496</v>
      </c>
      <c r="I92" s="436" t="s">
        <v>3497</v>
      </c>
      <c r="J92" s="437" t="s">
        <v>3498</v>
      </c>
      <c r="K92" s="437" t="s">
        <v>3548</v>
      </c>
      <c r="L92" s="436" t="s">
        <v>3500</v>
      </c>
      <c r="M92" s="436" t="s">
        <v>3524</v>
      </c>
      <c r="N92" s="436" t="s">
        <v>3502</v>
      </c>
      <c r="O92" s="438">
        <v>119000</v>
      </c>
      <c r="P92" s="438">
        <v>82110</v>
      </c>
      <c r="Q92" s="438">
        <v>1</v>
      </c>
      <c r="R92" s="438">
        <v>0</v>
      </c>
      <c r="S92" s="438">
        <v>0</v>
      </c>
      <c r="T92" s="438">
        <v>0</v>
      </c>
      <c r="U92" s="438">
        <v>0</v>
      </c>
      <c r="V92" s="438">
        <v>0</v>
      </c>
      <c r="W92" s="438">
        <v>31</v>
      </c>
      <c r="X92" s="438">
        <v>0</v>
      </c>
      <c r="Y92" s="438">
        <v>0</v>
      </c>
      <c r="Z92" s="438">
        <v>0</v>
      </c>
      <c r="AA92" s="438">
        <v>0</v>
      </c>
      <c r="AB92" s="438">
        <v>0</v>
      </c>
      <c r="AC92" s="438">
        <v>119000</v>
      </c>
      <c r="AD92" s="438">
        <v>82110</v>
      </c>
      <c r="AE92" s="438">
        <v>0</v>
      </c>
      <c r="AF92" s="438">
        <v>0</v>
      </c>
      <c r="AG92" s="438">
        <v>119000</v>
      </c>
      <c r="AH92" s="438">
        <v>82110</v>
      </c>
      <c r="AI92" s="438">
        <v>33536</v>
      </c>
      <c r="AJ92" s="438">
        <v>3354</v>
      </c>
      <c r="AK92" s="438">
        <v>36890</v>
      </c>
      <c r="AL92" s="414" t="str">
        <f t="shared" si="6"/>
        <v>워커힐 시그니처 양념 본갈비 300g, 8개</v>
      </c>
      <c r="AM92" s="395">
        <f t="shared" si="7"/>
        <v>46060</v>
      </c>
      <c r="AN92" s="396">
        <f t="shared" si="8"/>
        <v>1</v>
      </c>
      <c r="AO92" s="109">
        <f t="shared" si="9"/>
        <v>119000</v>
      </c>
      <c r="AP92" s="109">
        <f t="shared" si="10"/>
        <v>108181.81818181818</v>
      </c>
      <c r="AQ92" s="397">
        <f t="shared" si="11"/>
        <v>108181.81818181818</v>
      </c>
    </row>
    <row r="93" spans="1:43" ht="24">
      <c r="A93" s="436" t="s">
        <v>3758</v>
      </c>
      <c r="B93" s="436" t="s">
        <v>3490</v>
      </c>
      <c r="C93" s="437" t="s">
        <v>3491</v>
      </c>
      <c r="D93" s="436" t="s">
        <v>3756</v>
      </c>
      <c r="E93" s="437" t="s">
        <v>3757</v>
      </c>
      <c r="F93" s="436" t="s">
        <v>3494</v>
      </c>
      <c r="G93" s="436" t="s">
        <v>3495</v>
      </c>
      <c r="H93" s="437" t="s">
        <v>3496</v>
      </c>
      <c r="I93" s="436" t="s">
        <v>3497</v>
      </c>
      <c r="J93" s="437" t="s">
        <v>3498</v>
      </c>
      <c r="K93" s="437" t="s">
        <v>3499</v>
      </c>
      <c r="L93" s="436" t="s">
        <v>3500</v>
      </c>
      <c r="M93" s="436" t="s">
        <v>3524</v>
      </c>
      <c r="N93" s="436" t="s">
        <v>3502</v>
      </c>
      <c r="O93" s="438">
        <v>119000</v>
      </c>
      <c r="P93" s="438">
        <v>82110</v>
      </c>
      <c r="Q93" s="438">
        <v>1</v>
      </c>
      <c r="R93" s="438">
        <v>0</v>
      </c>
      <c r="S93" s="438">
        <v>0</v>
      </c>
      <c r="T93" s="438">
        <v>0</v>
      </c>
      <c r="U93" s="438">
        <v>0</v>
      </c>
      <c r="V93" s="438">
        <v>0</v>
      </c>
      <c r="W93" s="438">
        <v>31</v>
      </c>
      <c r="X93" s="438">
        <v>0</v>
      </c>
      <c r="Y93" s="438">
        <v>0</v>
      </c>
      <c r="Z93" s="438">
        <v>0</v>
      </c>
      <c r="AA93" s="438">
        <v>0</v>
      </c>
      <c r="AB93" s="438">
        <v>0</v>
      </c>
      <c r="AC93" s="438">
        <v>119000</v>
      </c>
      <c r="AD93" s="438">
        <v>82110</v>
      </c>
      <c r="AE93" s="438">
        <v>0</v>
      </c>
      <c r="AF93" s="438">
        <v>0</v>
      </c>
      <c r="AG93" s="438">
        <v>119000</v>
      </c>
      <c r="AH93" s="438">
        <v>82110</v>
      </c>
      <c r="AI93" s="438">
        <v>33536</v>
      </c>
      <c r="AJ93" s="438">
        <v>3354</v>
      </c>
      <c r="AK93" s="438">
        <v>36890</v>
      </c>
      <c r="AL93" s="414" t="str">
        <f t="shared" si="6"/>
        <v>워커힐 시그니처 양념 본갈비 300g, 8개</v>
      </c>
      <c r="AM93" s="395">
        <f t="shared" si="7"/>
        <v>46060</v>
      </c>
      <c r="AN93" s="396">
        <f t="shared" si="8"/>
        <v>1</v>
      </c>
      <c r="AO93" s="109">
        <f t="shared" si="9"/>
        <v>119000</v>
      </c>
      <c r="AP93" s="109">
        <f t="shared" si="10"/>
        <v>108181.81818181818</v>
      </c>
      <c r="AQ93" s="397">
        <f t="shared" si="11"/>
        <v>108181.81818181818</v>
      </c>
    </row>
    <row r="94" spans="1:43" ht="24">
      <c r="A94" s="436" t="s">
        <v>3761</v>
      </c>
      <c r="B94" s="436" t="s">
        <v>3490</v>
      </c>
      <c r="C94" s="437" t="s">
        <v>3491</v>
      </c>
      <c r="D94" s="436" t="s">
        <v>3759</v>
      </c>
      <c r="E94" s="437" t="s">
        <v>3760</v>
      </c>
      <c r="F94" s="436" t="s">
        <v>3494</v>
      </c>
      <c r="G94" s="436" t="s">
        <v>3495</v>
      </c>
      <c r="H94" s="437" t="s">
        <v>3496</v>
      </c>
      <c r="I94" s="436" t="s">
        <v>3497</v>
      </c>
      <c r="J94" s="437" t="s">
        <v>3498</v>
      </c>
      <c r="K94" s="437" t="s">
        <v>3499</v>
      </c>
      <c r="L94" s="436" t="s">
        <v>3500</v>
      </c>
      <c r="M94" s="436" t="s">
        <v>3524</v>
      </c>
      <c r="N94" s="436" t="s">
        <v>3502</v>
      </c>
      <c r="O94" s="438">
        <v>119000</v>
      </c>
      <c r="P94" s="438">
        <v>82110</v>
      </c>
      <c r="Q94" s="438">
        <v>1</v>
      </c>
      <c r="R94" s="438">
        <v>0</v>
      </c>
      <c r="S94" s="438">
        <v>0</v>
      </c>
      <c r="T94" s="438">
        <v>0</v>
      </c>
      <c r="U94" s="438">
        <v>0</v>
      </c>
      <c r="V94" s="438">
        <v>0</v>
      </c>
      <c r="W94" s="438">
        <v>31</v>
      </c>
      <c r="X94" s="438">
        <v>0</v>
      </c>
      <c r="Y94" s="438">
        <v>0</v>
      </c>
      <c r="Z94" s="438">
        <v>0</v>
      </c>
      <c r="AA94" s="438">
        <v>0</v>
      </c>
      <c r="AB94" s="438">
        <v>0</v>
      </c>
      <c r="AC94" s="438">
        <v>119000</v>
      </c>
      <c r="AD94" s="438">
        <v>82110</v>
      </c>
      <c r="AE94" s="438">
        <v>0</v>
      </c>
      <c r="AF94" s="438">
        <v>0</v>
      </c>
      <c r="AG94" s="438">
        <v>119000</v>
      </c>
      <c r="AH94" s="438">
        <v>82110</v>
      </c>
      <c r="AI94" s="438">
        <v>33536</v>
      </c>
      <c r="AJ94" s="438">
        <v>3354</v>
      </c>
      <c r="AK94" s="438">
        <v>36890</v>
      </c>
      <c r="AL94" s="414" t="str">
        <f t="shared" si="6"/>
        <v>워커힐 시그니처 양념 본갈비 300g, 8개</v>
      </c>
      <c r="AM94" s="395">
        <f t="shared" si="7"/>
        <v>46060</v>
      </c>
      <c r="AN94" s="396">
        <f t="shared" si="8"/>
        <v>1</v>
      </c>
      <c r="AO94" s="109">
        <f t="shared" si="9"/>
        <v>119000</v>
      </c>
      <c r="AP94" s="109">
        <f t="shared" si="10"/>
        <v>108181.81818181818</v>
      </c>
      <c r="AQ94" s="397">
        <f t="shared" si="11"/>
        <v>108181.81818181818</v>
      </c>
    </row>
    <row r="95" spans="1:43" ht="24">
      <c r="A95" s="436" t="s">
        <v>3764</v>
      </c>
      <c r="B95" s="436" t="s">
        <v>3490</v>
      </c>
      <c r="C95" s="437" t="s">
        <v>3491</v>
      </c>
      <c r="D95" s="436" t="s">
        <v>3608</v>
      </c>
      <c r="E95" s="437" t="s">
        <v>3609</v>
      </c>
      <c r="F95" s="436" t="s">
        <v>3494</v>
      </c>
      <c r="G95" s="436" t="s">
        <v>3495</v>
      </c>
      <c r="H95" s="437" t="s">
        <v>3496</v>
      </c>
      <c r="I95" s="436" t="s">
        <v>3497</v>
      </c>
      <c r="J95" s="437" t="s">
        <v>3498</v>
      </c>
      <c r="K95" s="437" t="s">
        <v>3499</v>
      </c>
      <c r="L95" s="436" t="s">
        <v>3500</v>
      </c>
      <c r="M95" s="436" t="s">
        <v>3524</v>
      </c>
      <c r="N95" s="436" t="s">
        <v>3502</v>
      </c>
      <c r="O95" s="438">
        <v>119000</v>
      </c>
      <c r="P95" s="438">
        <v>82110</v>
      </c>
      <c r="Q95" s="438">
        <v>1</v>
      </c>
      <c r="R95" s="438">
        <v>0</v>
      </c>
      <c r="S95" s="438">
        <v>0</v>
      </c>
      <c r="T95" s="438">
        <v>0</v>
      </c>
      <c r="U95" s="438">
        <v>0</v>
      </c>
      <c r="V95" s="438">
        <v>0</v>
      </c>
      <c r="W95" s="438">
        <v>31</v>
      </c>
      <c r="X95" s="438">
        <v>19040</v>
      </c>
      <c r="Y95" s="438">
        <v>0</v>
      </c>
      <c r="Z95" s="438">
        <v>0</v>
      </c>
      <c r="AA95" s="438">
        <v>0</v>
      </c>
      <c r="AB95" s="438">
        <v>0</v>
      </c>
      <c r="AC95" s="438">
        <v>119000</v>
      </c>
      <c r="AD95" s="438">
        <v>82110</v>
      </c>
      <c r="AE95" s="438">
        <v>0</v>
      </c>
      <c r="AF95" s="438">
        <v>19040</v>
      </c>
      <c r="AG95" s="438">
        <v>99960</v>
      </c>
      <c r="AH95" s="438">
        <v>82110</v>
      </c>
      <c r="AI95" s="438">
        <v>16227</v>
      </c>
      <c r="AJ95" s="438">
        <v>1623</v>
      </c>
      <c r="AK95" s="438">
        <v>17850</v>
      </c>
      <c r="AL95" s="414" t="str">
        <f t="shared" si="6"/>
        <v>워커힐 시그니처 양념 본갈비 300g, 8개</v>
      </c>
      <c r="AM95" s="395">
        <f t="shared" si="7"/>
        <v>46060</v>
      </c>
      <c r="AN95" s="396">
        <f t="shared" si="8"/>
        <v>1</v>
      </c>
      <c r="AO95" s="109">
        <f t="shared" si="9"/>
        <v>119000</v>
      </c>
      <c r="AP95" s="109">
        <f t="shared" si="10"/>
        <v>108181.81818181818</v>
      </c>
      <c r="AQ95" s="397">
        <f t="shared" si="11"/>
        <v>108181.81818181818</v>
      </c>
    </row>
    <row r="96" spans="1:43" ht="24">
      <c r="A96" s="436" t="s">
        <v>3767</v>
      </c>
      <c r="B96" s="436" t="s">
        <v>3490</v>
      </c>
      <c r="C96" s="437" t="s">
        <v>3491</v>
      </c>
      <c r="D96" s="436" t="s">
        <v>3711</v>
      </c>
      <c r="E96" s="437" t="s">
        <v>3712</v>
      </c>
      <c r="F96" s="436" t="s">
        <v>3494</v>
      </c>
      <c r="G96" s="436" t="s">
        <v>3495</v>
      </c>
      <c r="H96" s="437" t="s">
        <v>3496</v>
      </c>
      <c r="I96" s="436" t="s">
        <v>3497</v>
      </c>
      <c r="J96" s="437" t="s">
        <v>3498</v>
      </c>
      <c r="K96" s="437" t="s">
        <v>3499</v>
      </c>
      <c r="L96" s="436" t="s">
        <v>3500</v>
      </c>
      <c r="M96" s="436" t="s">
        <v>3524</v>
      </c>
      <c r="N96" s="436" t="s">
        <v>3502</v>
      </c>
      <c r="O96" s="438">
        <v>119000</v>
      </c>
      <c r="P96" s="438">
        <v>82110</v>
      </c>
      <c r="Q96" s="438">
        <v>1</v>
      </c>
      <c r="R96" s="438">
        <v>0</v>
      </c>
      <c r="S96" s="438">
        <v>0</v>
      </c>
      <c r="T96" s="438">
        <v>0</v>
      </c>
      <c r="U96" s="438">
        <v>0</v>
      </c>
      <c r="V96" s="438">
        <v>0</v>
      </c>
      <c r="W96" s="438">
        <v>31</v>
      </c>
      <c r="X96" s="438">
        <v>0</v>
      </c>
      <c r="Y96" s="438">
        <v>0</v>
      </c>
      <c r="Z96" s="438">
        <v>0</v>
      </c>
      <c r="AA96" s="438">
        <v>0</v>
      </c>
      <c r="AB96" s="438">
        <v>0</v>
      </c>
      <c r="AC96" s="438">
        <v>119000</v>
      </c>
      <c r="AD96" s="438">
        <v>82110</v>
      </c>
      <c r="AE96" s="438">
        <v>0</v>
      </c>
      <c r="AF96" s="438">
        <v>0</v>
      </c>
      <c r="AG96" s="438">
        <v>119000</v>
      </c>
      <c r="AH96" s="438">
        <v>82110</v>
      </c>
      <c r="AI96" s="438">
        <v>33536</v>
      </c>
      <c r="AJ96" s="438">
        <v>3354</v>
      </c>
      <c r="AK96" s="438">
        <v>36890</v>
      </c>
      <c r="AL96" s="414" t="str">
        <f t="shared" si="6"/>
        <v>워커힐 시그니처 양념 본갈비 300g, 8개</v>
      </c>
      <c r="AM96" s="395">
        <f t="shared" si="7"/>
        <v>46060</v>
      </c>
      <c r="AN96" s="396">
        <f t="shared" si="8"/>
        <v>1</v>
      </c>
      <c r="AO96" s="109">
        <f t="shared" si="9"/>
        <v>119000</v>
      </c>
      <c r="AP96" s="109">
        <f t="shared" si="10"/>
        <v>108181.81818181818</v>
      </c>
      <c r="AQ96" s="397">
        <f t="shared" si="11"/>
        <v>108181.81818181818</v>
      </c>
    </row>
    <row r="97" spans="1:43" ht="24">
      <c r="A97" s="436" t="s">
        <v>3770</v>
      </c>
      <c r="B97" s="436" t="s">
        <v>3490</v>
      </c>
      <c r="C97" s="437" t="s">
        <v>3491</v>
      </c>
      <c r="D97" s="436" t="s">
        <v>3611</v>
      </c>
      <c r="E97" s="437" t="s">
        <v>3612</v>
      </c>
      <c r="F97" s="436" t="s">
        <v>3494</v>
      </c>
      <c r="G97" s="436" t="s">
        <v>3495</v>
      </c>
      <c r="H97" s="437" t="s">
        <v>3496</v>
      </c>
      <c r="I97" s="436" t="s">
        <v>3497</v>
      </c>
      <c r="J97" s="437" t="s">
        <v>3498</v>
      </c>
      <c r="K97" s="437" t="s">
        <v>3499</v>
      </c>
      <c r="L97" s="436" t="s">
        <v>3500</v>
      </c>
      <c r="M97" s="436" t="s">
        <v>3524</v>
      </c>
      <c r="N97" s="436" t="s">
        <v>3502</v>
      </c>
      <c r="O97" s="438">
        <v>119000</v>
      </c>
      <c r="P97" s="438">
        <v>82110</v>
      </c>
      <c r="Q97" s="438">
        <v>1</v>
      </c>
      <c r="R97" s="438">
        <v>0</v>
      </c>
      <c r="S97" s="438">
        <v>0</v>
      </c>
      <c r="T97" s="438">
        <v>0</v>
      </c>
      <c r="U97" s="438">
        <v>0</v>
      </c>
      <c r="V97" s="438">
        <v>0</v>
      </c>
      <c r="W97" s="438">
        <v>31</v>
      </c>
      <c r="X97" s="438">
        <v>0</v>
      </c>
      <c r="Y97" s="438">
        <v>0</v>
      </c>
      <c r="Z97" s="438">
        <v>0</v>
      </c>
      <c r="AA97" s="438">
        <v>0</v>
      </c>
      <c r="AB97" s="438">
        <v>0</v>
      </c>
      <c r="AC97" s="438">
        <v>119000</v>
      </c>
      <c r="AD97" s="438">
        <v>82110</v>
      </c>
      <c r="AE97" s="438">
        <v>0</v>
      </c>
      <c r="AF97" s="438">
        <v>0</v>
      </c>
      <c r="AG97" s="438">
        <v>119000</v>
      </c>
      <c r="AH97" s="438">
        <v>82110</v>
      </c>
      <c r="AI97" s="438">
        <v>33536</v>
      </c>
      <c r="AJ97" s="438">
        <v>3354</v>
      </c>
      <c r="AK97" s="438">
        <v>36890</v>
      </c>
      <c r="AL97" s="414" t="str">
        <f t="shared" si="6"/>
        <v>워커힐 시그니처 양념 본갈비 300g, 8개</v>
      </c>
      <c r="AM97" s="395">
        <f t="shared" si="7"/>
        <v>46060</v>
      </c>
      <c r="AN97" s="396">
        <f t="shared" si="8"/>
        <v>1</v>
      </c>
      <c r="AO97" s="109">
        <f t="shared" si="9"/>
        <v>119000</v>
      </c>
      <c r="AP97" s="109">
        <f t="shared" si="10"/>
        <v>108181.81818181818</v>
      </c>
      <c r="AQ97" s="397">
        <f t="shared" si="11"/>
        <v>108181.81818181818</v>
      </c>
    </row>
    <row r="98" spans="1:43" ht="24">
      <c r="A98" s="436" t="s">
        <v>3773</v>
      </c>
      <c r="B98" s="436" t="s">
        <v>3490</v>
      </c>
      <c r="C98" s="437" t="s">
        <v>3491</v>
      </c>
      <c r="D98" s="436" t="s">
        <v>3771</v>
      </c>
      <c r="E98" s="437" t="s">
        <v>3772</v>
      </c>
      <c r="F98" s="436" t="s">
        <v>3494</v>
      </c>
      <c r="G98" s="436" t="s">
        <v>3495</v>
      </c>
      <c r="H98" s="437" t="s">
        <v>3496</v>
      </c>
      <c r="I98" s="436" t="s">
        <v>3497</v>
      </c>
      <c r="J98" s="437" t="s">
        <v>3498</v>
      </c>
      <c r="K98" s="437" t="s">
        <v>3499</v>
      </c>
      <c r="L98" s="436" t="s">
        <v>3500</v>
      </c>
      <c r="M98" s="436" t="s">
        <v>3524</v>
      </c>
      <c r="N98" s="436" t="s">
        <v>3502</v>
      </c>
      <c r="O98" s="438">
        <v>119000</v>
      </c>
      <c r="P98" s="438">
        <v>82110</v>
      </c>
      <c r="Q98" s="438">
        <v>1</v>
      </c>
      <c r="R98" s="438">
        <v>0</v>
      </c>
      <c r="S98" s="438">
        <v>0</v>
      </c>
      <c r="T98" s="438">
        <v>0</v>
      </c>
      <c r="U98" s="438">
        <v>0</v>
      </c>
      <c r="V98" s="438">
        <v>0</v>
      </c>
      <c r="W98" s="438">
        <v>31</v>
      </c>
      <c r="X98" s="438">
        <v>0</v>
      </c>
      <c r="Y98" s="438">
        <v>0</v>
      </c>
      <c r="Z98" s="438">
        <v>0</v>
      </c>
      <c r="AA98" s="438">
        <v>0</v>
      </c>
      <c r="AB98" s="438">
        <v>0</v>
      </c>
      <c r="AC98" s="438">
        <v>119000</v>
      </c>
      <c r="AD98" s="438">
        <v>82110</v>
      </c>
      <c r="AE98" s="438">
        <v>0</v>
      </c>
      <c r="AF98" s="438">
        <v>0</v>
      </c>
      <c r="AG98" s="438">
        <v>119000</v>
      </c>
      <c r="AH98" s="438">
        <v>82110</v>
      </c>
      <c r="AI98" s="438">
        <v>33536</v>
      </c>
      <c r="AJ98" s="438">
        <v>3354</v>
      </c>
      <c r="AK98" s="438">
        <v>36890</v>
      </c>
      <c r="AL98" s="414" t="str">
        <f t="shared" si="6"/>
        <v>워커힐 시그니처 양념 본갈비 300g, 8개</v>
      </c>
      <c r="AM98" s="395">
        <f t="shared" si="7"/>
        <v>46060</v>
      </c>
      <c r="AN98" s="396">
        <f t="shared" si="8"/>
        <v>1</v>
      </c>
      <c r="AO98" s="109">
        <f t="shared" si="9"/>
        <v>119000</v>
      </c>
      <c r="AP98" s="109">
        <f t="shared" si="10"/>
        <v>108181.81818181818</v>
      </c>
      <c r="AQ98" s="397">
        <f t="shared" si="11"/>
        <v>108181.81818181818</v>
      </c>
    </row>
    <row r="99" spans="1:43" ht="24">
      <c r="A99" s="436" t="s">
        <v>3776</v>
      </c>
      <c r="B99" s="436" t="s">
        <v>3490</v>
      </c>
      <c r="C99" s="437" t="s">
        <v>3491</v>
      </c>
      <c r="D99" s="436" t="s">
        <v>3774</v>
      </c>
      <c r="E99" s="437" t="s">
        <v>3775</v>
      </c>
      <c r="F99" s="436" t="s">
        <v>3494</v>
      </c>
      <c r="G99" s="436" t="s">
        <v>3495</v>
      </c>
      <c r="H99" s="437" t="s">
        <v>3496</v>
      </c>
      <c r="I99" s="436" t="s">
        <v>3497</v>
      </c>
      <c r="J99" s="437" t="s">
        <v>3498</v>
      </c>
      <c r="K99" s="437" t="s">
        <v>3499</v>
      </c>
      <c r="L99" s="436" t="s">
        <v>3500</v>
      </c>
      <c r="M99" s="436" t="s">
        <v>3524</v>
      </c>
      <c r="N99" s="436" t="s">
        <v>3502</v>
      </c>
      <c r="O99" s="438">
        <v>119000</v>
      </c>
      <c r="P99" s="438">
        <v>82110</v>
      </c>
      <c r="Q99" s="438">
        <v>1</v>
      </c>
      <c r="R99" s="438">
        <v>0</v>
      </c>
      <c r="S99" s="438">
        <v>0</v>
      </c>
      <c r="T99" s="438">
        <v>0</v>
      </c>
      <c r="U99" s="438">
        <v>0</v>
      </c>
      <c r="V99" s="438">
        <v>0</v>
      </c>
      <c r="W99" s="438">
        <v>31</v>
      </c>
      <c r="X99" s="438">
        <v>0</v>
      </c>
      <c r="Y99" s="438">
        <v>0</v>
      </c>
      <c r="Z99" s="438">
        <v>0</v>
      </c>
      <c r="AA99" s="438">
        <v>0</v>
      </c>
      <c r="AB99" s="438">
        <v>0</v>
      </c>
      <c r="AC99" s="438">
        <v>119000</v>
      </c>
      <c r="AD99" s="438">
        <v>82110</v>
      </c>
      <c r="AE99" s="438">
        <v>0</v>
      </c>
      <c r="AF99" s="438">
        <v>0</v>
      </c>
      <c r="AG99" s="438">
        <v>119000</v>
      </c>
      <c r="AH99" s="438">
        <v>82110</v>
      </c>
      <c r="AI99" s="438">
        <v>33536</v>
      </c>
      <c r="AJ99" s="438">
        <v>3354</v>
      </c>
      <c r="AK99" s="438">
        <v>36890</v>
      </c>
      <c r="AL99" s="414" t="str">
        <f t="shared" si="6"/>
        <v>워커힐 시그니처 양념 본갈비 300g, 8개</v>
      </c>
      <c r="AM99" s="395">
        <f t="shared" si="7"/>
        <v>46060</v>
      </c>
      <c r="AN99" s="396">
        <f t="shared" si="8"/>
        <v>1</v>
      </c>
      <c r="AO99" s="109">
        <f t="shared" si="9"/>
        <v>119000</v>
      </c>
      <c r="AP99" s="109">
        <f t="shared" si="10"/>
        <v>108181.81818181818</v>
      </c>
      <c r="AQ99" s="397">
        <f t="shared" si="11"/>
        <v>108181.81818181818</v>
      </c>
    </row>
    <row r="100" spans="1:43" ht="24">
      <c r="A100" s="436" t="s">
        <v>3779</v>
      </c>
      <c r="B100" s="436" t="s">
        <v>3490</v>
      </c>
      <c r="C100" s="437" t="s">
        <v>3491</v>
      </c>
      <c r="D100" s="436" t="s">
        <v>3617</v>
      </c>
      <c r="E100" s="437" t="s">
        <v>3618</v>
      </c>
      <c r="F100" s="436" t="s">
        <v>3494</v>
      </c>
      <c r="G100" s="436" t="s">
        <v>3495</v>
      </c>
      <c r="H100" s="437" t="s">
        <v>3496</v>
      </c>
      <c r="I100" s="436" t="s">
        <v>3497</v>
      </c>
      <c r="J100" s="437" t="s">
        <v>3498</v>
      </c>
      <c r="K100" s="437" t="s">
        <v>3499</v>
      </c>
      <c r="L100" s="436" t="s">
        <v>3500</v>
      </c>
      <c r="M100" s="436" t="s">
        <v>3524</v>
      </c>
      <c r="N100" s="436" t="s">
        <v>3502</v>
      </c>
      <c r="O100" s="438">
        <v>119000</v>
      </c>
      <c r="P100" s="438">
        <v>82110</v>
      </c>
      <c r="Q100" s="438">
        <v>1</v>
      </c>
      <c r="R100" s="438">
        <v>0</v>
      </c>
      <c r="S100" s="438">
        <v>0</v>
      </c>
      <c r="T100" s="438">
        <v>0</v>
      </c>
      <c r="U100" s="438">
        <v>0</v>
      </c>
      <c r="V100" s="438">
        <v>0</v>
      </c>
      <c r="W100" s="438">
        <v>31</v>
      </c>
      <c r="X100" s="438">
        <v>0</v>
      </c>
      <c r="Y100" s="438">
        <v>0</v>
      </c>
      <c r="Z100" s="438">
        <v>0</v>
      </c>
      <c r="AA100" s="438">
        <v>0</v>
      </c>
      <c r="AB100" s="438">
        <v>0</v>
      </c>
      <c r="AC100" s="438">
        <v>119000</v>
      </c>
      <c r="AD100" s="438">
        <v>82110</v>
      </c>
      <c r="AE100" s="438">
        <v>0</v>
      </c>
      <c r="AF100" s="438">
        <v>0</v>
      </c>
      <c r="AG100" s="438">
        <v>119000</v>
      </c>
      <c r="AH100" s="438">
        <v>82110</v>
      </c>
      <c r="AI100" s="438">
        <v>33536</v>
      </c>
      <c r="AJ100" s="438">
        <v>3354</v>
      </c>
      <c r="AK100" s="438">
        <v>36890</v>
      </c>
      <c r="AL100" s="414" t="str">
        <f t="shared" si="6"/>
        <v>워커힐 시그니처 양념 본갈비 300g, 8개</v>
      </c>
      <c r="AM100" s="395">
        <f t="shared" si="7"/>
        <v>46060</v>
      </c>
      <c r="AN100" s="396">
        <f t="shared" si="8"/>
        <v>1</v>
      </c>
      <c r="AO100" s="109">
        <f t="shared" si="9"/>
        <v>119000</v>
      </c>
      <c r="AP100" s="109">
        <f t="shared" si="10"/>
        <v>108181.81818181818</v>
      </c>
      <c r="AQ100" s="397">
        <f t="shared" si="11"/>
        <v>108181.81818181818</v>
      </c>
    </row>
    <row r="101" spans="1:43" ht="24">
      <c r="A101" s="436" t="s">
        <v>3781</v>
      </c>
      <c r="B101" s="436" t="s">
        <v>3490</v>
      </c>
      <c r="C101" s="437" t="s">
        <v>3491</v>
      </c>
      <c r="D101" s="436" t="s">
        <v>3620</v>
      </c>
      <c r="E101" s="437" t="s">
        <v>3621</v>
      </c>
      <c r="F101" s="436" t="s">
        <v>3494</v>
      </c>
      <c r="G101" s="436" t="s">
        <v>3495</v>
      </c>
      <c r="H101" s="437" t="s">
        <v>3496</v>
      </c>
      <c r="I101" s="436" t="s">
        <v>3497</v>
      </c>
      <c r="J101" s="437" t="s">
        <v>3498</v>
      </c>
      <c r="K101" s="437" t="s">
        <v>3499</v>
      </c>
      <c r="L101" s="436" t="s">
        <v>3500</v>
      </c>
      <c r="M101" s="436" t="s">
        <v>3524</v>
      </c>
      <c r="N101" s="436" t="s">
        <v>3502</v>
      </c>
      <c r="O101" s="438">
        <v>119000</v>
      </c>
      <c r="P101" s="438">
        <v>82110</v>
      </c>
      <c r="Q101" s="438">
        <v>1</v>
      </c>
      <c r="R101" s="438">
        <v>0</v>
      </c>
      <c r="S101" s="438">
        <v>0</v>
      </c>
      <c r="T101" s="438">
        <v>0</v>
      </c>
      <c r="U101" s="438">
        <v>0</v>
      </c>
      <c r="V101" s="438">
        <v>0</v>
      </c>
      <c r="W101" s="438">
        <v>31</v>
      </c>
      <c r="X101" s="438">
        <v>19040</v>
      </c>
      <c r="Y101" s="438">
        <v>0</v>
      </c>
      <c r="Z101" s="438">
        <v>0</v>
      </c>
      <c r="AA101" s="438">
        <v>0</v>
      </c>
      <c r="AB101" s="438">
        <v>0</v>
      </c>
      <c r="AC101" s="438">
        <v>119000</v>
      </c>
      <c r="AD101" s="438">
        <v>82110</v>
      </c>
      <c r="AE101" s="438">
        <v>0</v>
      </c>
      <c r="AF101" s="438">
        <v>19040</v>
      </c>
      <c r="AG101" s="438">
        <v>99960</v>
      </c>
      <c r="AH101" s="438">
        <v>82110</v>
      </c>
      <c r="AI101" s="438">
        <v>16227</v>
      </c>
      <c r="AJ101" s="438">
        <v>1623</v>
      </c>
      <c r="AK101" s="438">
        <v>17850</v>
      </c>
      <c r="AL101" s="414" t="str">
        <f t="shared" si="6"/>
        <v>워커힐 시그니처 양념 본갈비 300g, 8개</v>
      </c>
      <c r="AM101" s="395">
        <f t="shared" si="7"/>
        <v>46060</v>
      </c>
      <c r="AN101" s="396">
        <f t="shared" si="8"/>
        <v>1</v>
      </c>
      <c r="AO101" s="109">
        <f t="shared" si="9"/>
        <v>119000</v>
      </c>
      <c r="AP101" s="109">
        <f t="shared" si="10"/>
        <v>108181.81818181818</v>
      </c>
      <c r="AQ101" s="397">
        <f t="shared" si="11"/>
        <v>108181.81818181818</v>
      </c>
    </row>
    <row r="102" spans="1:43" ht="24">
      <c r="A102" s="436" t="s">
        <v>3784</v>
      </c>
      <c r="B102" s="436" t="s">
        <v>3490</v>
      </c>
      <c r="C102" s="437" t="s">
        <v>3491</v>
      </c>
      <c r="D102" s="436" t="s">
        <v>3780</v>
      </c>
      <c r="E102" s="437" t="s">
        <v>3772</v>
      </c>
      <c r="F102" s="436" t="s">
        <v>3494</v>
      </c>
      <c r="G102" s="436" t="s">
        <v>3495</v>
      </c>
      <c r="H102" s="437" t="s">
        <v>3496</v>
      </c>
      <c r="I102" s="436" t="s">
        <v>3497</v>
      </c>
      <c r="J102" s="437" t="s">
        <v>3498</v>
      </c>
      <c r="K102" s="437" t="s">
        <v>3499</v>
      </c>
      <c r="L102" s="436" t="s">
        <v>3500</v>
      </c>
      <c r="M102" s="436" t="s">
        <v>3524</v>
      </c>
      <c r="N102" s="436" t="s">
        <v>3502</v>
      </c>
      <c r="O102" s="438">
        <v>119000</v>
      </c>
      <c r="P102" s="438">
        <v>82110</v>
      </c>
      <c r="Q102" s="438">
        <v>1</v>
      </c>
      <c r="R102" s="438">
        <v>0</v>
      </c>
      <c r="S102" s="438">
        <v>0</v>
      </c>
      <c r="T102" s="438">
        <v>0</v>
      </c>
      <c r="U102" s="438">
        <v>0</v>
      </c>
      <c r="V102" s="438">
        <v>0</v>
      </c>
      <c r="W102" s="438">
        <v>31</v>
      </c>
      <c r="X102" s="438">
        <v>0</v>
      </c>
      <c r="Y102" s="438">
        <v>0</v>
      </c>
      <c r="Z102" s="438">
        <v>0</v>
      </c>
      <c r="AA102" s="438">
        <v>0</v>
      </c>
      <c r="AB102" s="438">
        <v>0</v>
      </c>
      <c r="AC102" s="438">
        <v>119000</v>
      </c>
      <c r="AD102" s="438">
        <v>82110</v>
      </c>
      <c r="AE102" s="438">
        <v>0</v>
      </c>
      <c r="AF102" s="438">
        <v>0</v>
      </c>
      <c r="AG102" s="438">
        <v>119000</v>
      </c>
      <c r="AH102" s="438">
        <v>82110</v>
      </c>
      <c r="AI102" s="438">
        <v>33536</v>
      </c>
      <c r="AJ102" s="438">
        <v>3354</v>
      </c>
      <c r="AK102" s="438">
        <v>36890</v>
      </c>
      <c r="AL102" s="414" t="str">
        <f t="shared" si="6"/>
        <v>워커힐 시그니처 양념 본갈비 300g, 8개</v>
      </c>
      <c r="AM102" s="395">
        <f t="shared" si="7"/>
        <v>46060</v>
      </c>
      <c r="AN102" s="396">
        <f t="shared" si="8"/>
        <v>1</v>
      </c>
      <c r="AO102" s="109">
        <f t="shared" si="9"/>
        <v>119000</v>
      </c>
      <c r="AP102" s="109">
        <f t="shared" si="10"/>
        <v>108181.81818181818</v>
      </c>
      <c r="AQ102" s="397">
        <f t="shared" si="11"/>
        <v>108181.81818181818</v>
      </c>
    </row>
    <row r="103" spans="1:43" ht="24">
      <c r="A103" s="436" t="s">
        <v>3786</v>
      </c>
      <c r="B103" s="436" t="s">
        <v>3490</v>
      </c>
      <c r="C103" s="437" t="s">
        <v>3491</v>
      </c>
      <c r="D103" s="436" t="s">
        <v>3782</v>
      </c>
      <c r="E103" s="437" t="s">
        <v>3783</v>
      </c>
      <c r="F103" s="436" t="s">
        <v>3494</v>
      </c>
      <c r="G103" s="436" t="s">
        <v>3495</v>
      </c>
      <c r="H103" s="437" t="s">
        <v>3496</v>
      </c>
      <c r="I103" s="436" t="s">
        <v>3497</v>
      </c>
      <c r="J103" s="437" t="s">
        <v>3498</v>
      </c>
      <c r="K103" s="437" t="s">
        <v>3499</v>
      </c>
      <c r="L103" s="436" t="s">
        <v>3500</v>
      </c>
      <c r="M103" s="436" t="s">
        <v>3524</v>
      </c>
      <c r="N103" s="436" t="s">
        <v>3502</v>
      </c>
      <c r="O103" s="438">
        <v>119000</v>
      </c>
      <c r="P103" s="438">
        <v>82110</v>
      </c>
      <c r="Q103" s="438">
        <v>1</v>
      </c>
      <c r="R103" s="438">
        <v>0</v>
      </c>
      <c r="S103" s="438">
        <v>0</v>
      </c>
      <c r="T103" s="438">
        <v>0</v>
      </c>
      <c r="U103" s="438">
        <v>0</v>
      </c>
      <c r="V103" s="438">
        <v>0</v>
      </c>
      <c r="W103" s="438">
        <v>31</v>
      </c>
      <c r="X103" s="438">
        <v>0</v>
      </c>
      <c r="Y103" s="438">
        <v>0</v>
      </c>
      <c r="Z103" s="438">
        <v>0</v>
      </c>
      <c r="AA103" s="438">
        <v>0</v>
      </c>
      <c r="AB103" s="438">
        <v>0</v>
      </c>
      <c r="AC103" s="438">
        <v>119000</v>
      </c>
      <c r="AD103" s="438">
        <v>82110</v>
      </c>
      <c r="AE103" s="438">
        <v>0</v>
      </c>
      <c r="AF103" s="438">
        <v>0</v>
      </c>
      <c r="AG103" s="438">
        <v>119000</v>
      </c>
      <c r="AH103" s="438">
        <v>82110</v>
      </c>
      <c r="AI103" s="438">
        <v>33536</v>
      </c>
      <c r="AJ103" s="438">
        <v>3354</v>
      </c>
      <c r="AK103" s="438">
        <v>36890</v>
      </c>
      <c r="AL103" s="414" t="str">
        <f t="shared" si="6"/>
        <v>워커힐 시그니처 양념 본갈비 300g, 8개</v>
      </c>
      <c r="AM103" s="395">
        <f t="shared" si="7"/>
        <v>46060</v>
      </c>
      <c r="AN103" s="396">
        <f t="shared" si="8"/>
        <v>1</v>
      </c>
      <c r="AO103" s="109">
        <f t="shared" si="9"/>
        <v>119000</v>
      </c>
      <c r="AP103" s="109">
        <f t="shared" si="10"/>
        <v>108181.81818181818</v>
      </c>
      <c r="AQ103" s="397">
        <f t="shared" si="11"/>
        <v>108181.81818181818</v>
      </c>
    </row>
    <row r="104" spans="1:43" ht="24">
      <c r="A104" s="436" t="s">
        <v>3789</v>
      </c>
      <c r="B104" s="436" t="s">
        <v>3490</v>
      </c>
      <c r="C104" s="437" t="s">
        <v>3491</v>
      </c>
      <c r="D104" s="436" t="s">
        <v>3785</v>
      </c>
      <c r="E104" s="437" t="s">
        <v>3734</v>
      </c>
      <c r="F104" s="436" t="s">
        <v>3494</v>
      </c>
      <c r="G104" s="436" t="s">
        <v>3495</v>
      </c>
      <c r="H104" s="437" t="s">
        <v>3496</v>
      </c>
      <c r="I104" s="436" t="s">
        <v>3497</v>
      </c>
      <c r="J104" s="437" t="s">
        <v>3498</v>
      </c>
      <c r="K104" s="437" t="s">
        <v>3499</v>
      </c>
      <c r="L104" s="436" t="s">
        <v>3500</v>
      </c>
      <c r="M104" s="436" t="s">
        <v>3524</v>
      </c>
      <c r="N104" s="436" t="s">
        <v>3502</v>
      </c>
      <c r="O104" s="438">
        <v>119000</v>
      </c>
      <c r="P104" s="438">
        <v>82110</v>
      </c>
      <c r="Q104" s="438">
        <v>1</v>
      </c>
      <c r="R104" s="438">
        <v>0</v>
      </c>
      <c r="S104" s="438">
        <v>0</v>
      </c>
      <c r="T104" s="438">
        <v>0</v>
      </c>
      <c r="U104" s="438">
        <v>0</v>
      </c>
      <c r="V104" s="438">
        <v>0</v>
      </c>
      <c r="W104" s="438">
        <v>31</v>
      </c>
      <c r="X104" s="438">
        <v>0</v>
      </c>
      <c r="Y104" s="438">
        <v>0</v>
      </c>
      <c r="Z104" s="438">
        <v>0</v>
      </c>
      <c r="AA104" s="438">
        <v>0</v>
      </c>
      <c r="AB104" s="438">
        <v>0</v>
      </c>
      <c r="AC104" s="438">
        <v>119000</v>
      </c>
      <c r="AD104" s="438">
        <v>82110</v>
      </c>
      <c r="AE104" s="438">
        <v>0</v>
      </c>
      <c r="AF104" s="438">
        <v>0</v>
      </c>
      <c r="AG104" s="438">
        <v>119000</v>
      </c>
      <c r="AH104" s="438">
        <v>82110</v>
      </c>
      <c r="AI104" s="438">
        <v>33536</v>
      </c>
      <c r="AJ104" s="438">
        <v>3354</v>
      </c>
      <c r="AK104" s="438">
        <v>36890</v>
      </c>
      <c r="AL104" s="414" t="str">
        <f t="shared" si="6"/>
        <v>워커힐 시그니처 양념 본갈비 300g, 8개</v>
      </c>
      <c r="AM104" s="395">
        <f t="shared" si="7"/>
        <v>46060</v>
      </c>
      <c r="AN104" s="396">
        <f t="shared" si="8"/>
        <v>1</v>
      </c>
      <c r="AO104" s="109">
        <f t="shared" si="9"/>
        <v>119000</v>
      </c>
      <c r="AP104" s="109">
        <f t="shared" si="10"/>
        <v>108181.81818181818</v>
      </c>
      <c r="AQ104" s="397">
        <f t="shared" si="11"/>
        <v>108181.81818181818</v>
      </c>
    </row>
    <row r="105" spans="1:43" ht="24">
      <c r="A105" s="436" t="s">
        <v>3792</v>
      </c>
      <c r="B105" s="436" t="s">
        <v>3490</v>
      </c>
      <c r="C105" s="437" t="s">
        <v>3491</v>
      </c>
      <c r="D105" s="436" t="s">
        <v>3529</v>
      </c>
      <c r="E105" s="437" t="s">
        <v>3530</v>
      </c>
      <c r="F105" s="436" t="s">
        <v>3494</v>
      </c>
      <c r="G105" s="436" t="s">
        <v>3495</v>
      </c>
      <c r="H105" s="437" t="s">
        <v>3496</v>
      </c>
      <c r="I105" s="436" t="s">
        <v>3497</v>
      </c>
      <c r="J105" s="437" t="s">
        <v>3498</v>
      </c>
      <c r="K105" s="437" t="s">
        <v>163</v>
      </c>
      <c r="L105" s="436" t="s">
        <v>3500</v>
      </c>
      <c r="M105" s="436" t="s">
        <v>3524</v>
      </c>
      <c r="N105" s="436" t="s">
        <v>3502</v>
      </c>
      <c r="O105" s="438">
        <v>119000</v>
      </c>
      <c r="P105" s="438">
        <v>82110</v>
      </c>
      <c r="Q105" s="438">
        <v>1</v>
      </c>
      <c r="R105" s="438">
        <v>0</v>
      </c>
      <c r="S105" s="438">
        <v>0</v>
      </c>
      <c r="T105" s="438">
        <v>0</v>
      </c>
      <c r="U105" s="438">
        <v>0</v>
      </c>
      <c r="V105" s="438">
        <v>0</v>
      </c>
      <c r="W105" s="438">
        <v>31</v>
      </c>
      <c r="X105" s="438">
        <v>0</v>
      </c>
      <c r="Y105" s="438">
        <v>0</v>
      </c>
      <c r="Z105" s="438">
        <v>0</v>
      </c>
      <c r="AA105" s="438">
        <v>0</v>
      </c>
      <c r="AB105" s="438">
        <v>0</v>
      </c>
      <c r="AC105" s="438">
        <v>119000</v>
      </c>
      <c r="AD105" s="438">
        <v>82110</v>
      </c>
      <c r="AE105" s="438">
        <v>0</v>
      </c>
      <c r="AF105" s="438">
        <v>0</v>
      </c>
      <c r="AG105" s="438">
        <v>119000</v>
      </c>
      <c r="AH105" s="438">
        <v>82110</v>
      </c>
      <c r="AI105" s="438">
        <v>33536</v>
      </c>
      <c r="AJ105" s="438">
        <v>3354</v>
      </c>
      <c r="AK105" s="438">
        <v>36890</v>
      </c>
      <c r="AL105" s="414" t="str">
        <f t="shared" si="6"/>
        <v>워커힐 시그니처 양념 본갈비 300g, 8개</v>
      </c>
      <c r="AM105" s="395">
        <f t="shared" si="7"/>
        <v>46060</v>
      </c>
      <c r="AN105" s="396">
        <f t="shared" si="8"/>
        <v>1</v>
      </c>
      <c r="AO105" s="109">
        <f t="shared" si="9"/>
        <v>119000</v>
      </c>
      <c r="AP105" s="109">
        <f t="shared" si="10"/>
        <v>108181.81818181818</v>
      </c>
      <c r="AQ105" s="397">
        <f t="shared" si="11"/>
        <v>108181.81818181818</v>
      </c>
    </row>
    <row r="106" spans="1:43" ht="24">
      <c r="A106" s="436" t="s">
        <v>3794</v>
      </c>
      <c r="B106" s="436" t="s">
        <v>3490</v>
      </c>
      <c r="C106" s="437" t="s">
        <v>3491</v>
      </c>
      <c r="D106" s="436" t="s">
        <v>3594</v>
      </c>
      <c r="E106" s="437" t="s">
        <v>3530</v>
      </c>
      <c r="F106" s="436" t="s">
        <v>3494</v>
      </c>
      <c r="G106" s="436" t="s">
        <v>3495</v>
      </c>
      <c r="H106" s="437" t="s">
        <v>3496</v>
      </c>
      <c r="I106" s="436" t="s">
        <v>3497</v>
      </c>
      <c r="J106" s="437" t="s">
        <v>3498</v>
      </c>
      <c r="K106" s="437" t="s">
        <v>163</v>
      </c>
      <c r="L106" s="436" t="s">
        <v>3500</v>
      </c>
      <c r="M106" s="436" t="s">
        <v>3524</v>
      </c>
      <c r="N106" s="436" t="s">
        <v>3502</v>
      </c>
      <c r="O106" s="438">
        <v>119000</v>
      </c>
      <c r="P106" s="438">
        <v>82110</v>
      </c>
      <c r="Q106" s="438">
        <v>1</v>
      </c>
      <c r="R106" s="438">
        <v>0</v>
      </c>
      <c r="S106" s="438">
        <v>0</v>
      </c>
      <c r="T106" s="438">
        <v>0</v>
      </c>
      <c r="U106" s="438">
        <v>0</v>
      </c>
      <c r="V106" s="438">
        <v>0</v>
      </c>
      <c r="W106" s="438">
        <v>31</v>
      </c>
      <c r="X106" s="438">
        <v>0</v>
      </c>
      <c r="Y106" s="438">
        <v>0</v>
      </c>
      <c r="Z106" s="438">
        <v>0</v>
      </c>
      <c r="AA106" s="438">
        <v>0</v>
      </c>
      <c r="AB106" s="438">
        <v>0</v>
      </c>
      <c r="AC106" s="438">
        <v>119000</v>
      </c>
      <c r="AD106" s="438">
        <v>82110</v>
      </c>
      <c r="AE106" s="438">
        <v>0</v>
      </c>
      <c r="AF106" s="438">
        <v>0</v>
      </c>
      <c r="AG106" s="438">
        <v>119000</v>
      </c>
      <c r="AH106" s="438">
        <v>82110</v>
      </c>
      <c r="AI106" s="438">
        <v>33536</v>
      </c>
      <c r="AJ106" s="438">
        <v>3354</v>
      </c>
      <c r="AK106" s="438">
        <v>36890</v>
      </c>
      <c r="AL106" s="414" t="str">
        <f t="shared" si="6"/>
        <v>워커힐 시그니처 양념 본갈비 300g, 8개</v>
      </c>
      <c r="AM106" s="395">
        <f t="shared" si="7"/>
        <v>46060</v>
      </c>
      <c r="AN106" s="396">
        <f t="shared" si="8"/>
        <v>1</v>
      </c>
      <c r="AO106" s="109">
        <f t="shared" si="9"/>
        <v>119000</v>
      </c>
      <c r="AP106" s="109">
        <f t="shared" si="10"/>
        <v>108181.81818181818</v>
      </c>
      <c r="AQ106" s="397">
        <f t="shared" si="11"/>
        <v>108181.81818181818</v>
      </c>
    </row>
    <row r="107" spans="1:43" ht="24">
      <c r="A107" s="436" t="s">
        <v>3797</v>
      </c>
      <c r="B107" s="436" t="s">
        <v>3490</v>
      </c>
      <c r="C107" s="437" t="s">
        <v>3491</v>
      </c>
      <c r="D107" s="436" t="s">
        <v>3793</v>
      </c>
      <c r="E107" s="437" t="s">
        <v>3551</v>
      </c>
      <c r="F107" s="436" t="s">
        <v>3494</v>
      </c>
      <c r="G107" s="436" t="s">
        <v>3495</v>
      </c>
      <c r="H107" s="437" t="s">
        <v>3496</v>
      </c>
      <c r="I107" s="436" t="s">
        <v>3497</v>
      </c>
      <c r="J107" s="437" t="s">
        <v>3498</v>
      </c>
      <c r="K107" s="437" t="s">
        <v>3499</v>
      </c>
      <c r="L107" s="436" t="s">
        <v>3500</v>
      </c>
      <c r="M107" s="436" t="s">
        <v>3524</v>
      </c>
      <c r="N107" s="436" t="s">
        <v>3502</v>
      </c>
      <c r="O107" s="438">
        <v>119000</v>
      </c>
      <c r="P107" s="438">
        <v>82110</v>
      </c>
      <c r="Q107" s="438">
        <v>1</v>
      </c>
      <c r="R107" s="438">
        <v>0</v>
      </c>
      <c r="S107" s="438">
        <v>0</v>
      </c>
      <c r="T107" s="438">
        <v>0</v>
      </c>
      <c r="U107" s="438">
        <v>0</v>
      </c>
      <c r="V107" s="438">
        <v>0</v>
      </c>
      <c r="W107" s="438">
        <v>31</v>
      </c>
      <c r="X107" s="438">
        <v>0</v>
      </c>
      <c r="Y107" s="438">
        <v>0</v>
      </c>
      <c r="Z107" s="438">
        <v>0</v>
      </c>
      <c r="AA107" s="438">
        <v>0</v>
      </c>
      <c r="AB107" s="438">
        <v>0</v>
      </c>
      <c r="AC107" s="438">
        <v>119000</v>
      </c>
      <c r="AD107" s="438">
        <v>82110</v>
      </c>
      <c r="AE107" s="438">
        <v>0</v>
      </c>
      <c r="AF107" s="438">
        <v>0</v>
      </c>
      <c r="AG107" s="438">
        <v>119000</v>
      </c>
      <c r="AH107" s="438">
        <v>82110</v>
      </c>
      <c r="AI107" s="438">
        <v>33536</v>
      </c>
      <c r="AJ107" s="438">
        <v>3354</v>
      </c>
      <c r="AK107" s="438">
        <v>36890</v>
      </c>
      <c r="AL107" s="414" t="str">
        <f t="shared" si="6"/>
        <v>워커힐 시그니처 양념 본갈비 300g, 8개</v>
      </c>
      <c r="AM107" s="395">
        <f t="shared" si="7"/>
        <v>46060</v>
      </c>
      <c r="AN107" s="396">
        <f t="shared" si="8"/>
        <v>1</v>
      </c>
      <c r="AO107" s="109">
        <f t="shared" si="9"/>
        <v>119000</v>
      </c>
      <c r="AP107" s="109">
        <f t="shared" si="10"/>
        <v>108181.81818181818</v>
      </c>
      <c r="AQ107" s="397">
        <f t="shared" si="11"/>
        <v>108181.81818181818</v>
      </c>
    </row>
    <row r="108" spans="1:43" ht="24">
      <c r="A108" s="436" t="s">
        <v>3799</v>
      </c>
      <c r="B108" s="436" t="s">
        <v>3490</v>
      </c>
      <c r="C108" s="437" t="s">
        <v>3491</v>
      </c>
      <c r="D108" s="436" t="s">
        <v>3795</v>
      </c>
      <c r="E108" s="437" t="s">
        <v>3796</v>
      </c>
      <c r="F108" s="436" t="s">
        <v>3494</v>
      </c>
      <c r="G108" s="436" t="s">
        <v>3495</v>
      </c>
      <c r="H108" s="437" t="s">
        <v>3496</v>
      </c>
      <c r="I108" s="436" t="s">
        <v>3497</v>
      </c>
      <c r="J108" s="437" t="s">
        <v>3498</v>
      </c>
      <c r="K108" s="437" t="s">
        <v>3499</v>
      </c>
      <c r="L108" s="436" t="s">
        <v>3500</v>
      </c>
      <c r="M108" s="436" t="s">
        <v>3524</v>
      </c>
      <c r="N108" s="436" t="s">
        <v>3502</v>
      </c>
      <c r="O108" s="438">
        <v>119000</v>
      </c>
      <c r="P108" s="438">
        <v>82110</v>
      </c>
      <c r="Q108" s="438">
        <v>1</v>
      </c>
      <c r="R108" s="438">
        <v>0</v>
      </c>
      <c r="S108" s="438">
        <v>0</v>
      </c>
      <c r="T108" s="438">
        <v>0</v>
      </c>
      <c r="U108" s="438">
        <v>0</v>
      </c>
      <c r="V108" s="438">
        <v>0</v>
      </c>
      <c r="W108" s="438">
        <v>31</v>
      </c>
      <c r="X108" s="438">
        <v>0</v>
      </c>
      <c r="Y108" s="438">
        <v>0</v>
      </c>
      <c r="Z108" s="438">
        <v>0</v>
      </c>
      <c r="AA108" s="438">
        <v>0</v>
      </c>
      <c r="AB108" s="438">
        <v>0</v>
      </c>
      <c r="AC108" s="438">
        <v>119000</v>
      </c>
      <c r="AD108" s="438">
        <v>82110</v>
      </c>
      <c r="AE108" s="438">
        <v>0</v>
      </c>
      <c r="AF108" s="438">
        <v>0</v>
      </c>
      <c r="AG108" s="438">
        <v>119000</v>
      </c>
      <c r="AH108" s="438">
        <v>82110</v>
      </c>
      <c r="AI108" s="438">
        <v>33536</v>
      </c>
      <c r="AJ108" s="438">
        <v>3354</v>
      </c>
      <c r="AK108" s="438">
        <v>36890</v>
      </c>
      <c r="AL108" s="414" t="str">
        <f t="shared" si="6"/>
        <v>워커힐 시그니처 양념 본갈비 300g, 8개</v>
      </c>
      <c r="AM108" s="395">
        <f t="shared" si="7"/>
        <v>46060</v>
      </c>
      <c r="AN108" s="396">
        <f t="shared" si="8"/>
        <v>1</v>
      </c>
      <c r="AO108" s="109">
        <f t="shared" si="9"/>
        <v>119000</v>
      </c>
      <c r="AP108" s="109">
        <f t="shared" si="10"/>
        <v>108181.81818181818</v>
      </c>
      <c r="AQ108" s="397">
        <f t="shared" si="11"/>
        <v>108181.81818181818</v>
      </c>
    </row>
    <row r="109" spans="1:43" ht="24">
      <c r="A109" s="436" t="s">
        <v>3802</v>
      </c>
      <c r="B109" s="436" t="s">
        <v>3490</v>
      </c>
      <c r="C109" s="437" t="s">
        <v>3491</v>
      </c>
      <c r="D109" s="436" t="s">
        <v>3800</v>
      </c>
      <c r="E109" s="437" t="s">
        <v>3801</v>
      </c>
      <c r="F109" s="436" t="s">
        <v>3494</v>
      </c>
      <c r="G109" s="436" t="s">
        <v>3495</v>
      </c>
      <c r="H109" s="437" t="s">
        <v>3496</v>
      </c>
      <c r="I109" s="436" t="s">
        <v>3497</v>
      </c>
      <c r="J109" s="437" t="s">
        <v>3498</v>
      </c>
      <c r="K109" s="437" t="s">
        <v>3548</v>
      </c>
      <c r="L109" s="436" t="s">
        <v>3500</v>
      </c>
      <c r="M109" s="436" t="s">
        <v>3524</v>
      </c>
      <c r="N109" s="436" t="s">
        <v>3502</v>
      </c>
      <c r="O109" s="438">
        <v>119000</v>
      </c>
      <c r="P109" s="438">
        <v>82110</v>
      </c>
      <c r="Q109" s="438">
        <v>1</v>
      </c>
      <c r="R109" s="438">
        <v>0</v>
      </c>
      <c r="S109" s="438">
        <v>0</v>
      </c>
      <c r="T109" s="438">
        <v>0</v>
      </c>
      <c r="U109" s="438">
        <v>0</v>
      </c>
      <c r="V109" s="438">
        <v>0</v>
      </c>
      <c r="W109" s="438">
        <v>31</v>
      </c>
      <c r="X109" s="438">
        <v>0</v>
      </c>
      <c r="Y109" s="438">
        <v>0</v>
      </c>
      <c r="Z109" s="438">
        <v>0</v>
      </c>
      <c r="AA109" s="438">
        <v>0</v>
      </c>
      <c r="AB109" s="438">
        <v>0</v>
      </c>
      <c r="AC109" s="438">
        <v>119000</v>
      </c>
      <c r="AD109" s="438">
        <v>82110</v>
      </c>
      <c r="AE109" s="438">
        <v>0</v>
      </c>
      <c r="AF109" s="438">
        <v>0</v>
      </c>
      <c r="AG109" s="438">
        <v>119000</v>
      </c>
      <c r="AH109" s="438">
        <v>82110</v>
      </c>
      <c r="AI109" s="438">
        <v>33536</v>
      </c>
      <c r="AJ109" s="438">
        <v>3354</v>
      </c>
      <c r="AK109" s="438">
        <v>36890</v>
      </c>
      <c r="AL109" s="414" t="str">
        <f t="shared" si="6"/>
        <v>워커힐 시그니처 양념 본갈비 300g, 8개</v>
      </c>
      <c r="AM109" s="395">
        <f t="shared" si="7"/>
        <v>46060</v>
      </c>
      <c r="AN109" s="396">
        <f t="shared" si="8"/>
        <v>1</v>
      </c>
      <c r="AO109" s="109">
        <f t="shared" si="9"/>
        <v>119000</v>
      </c>
      <c r="AP109" s="109">
        <f t="shared" si="10"/>
        <v>108181.81818181818</v>
      </c>
      <c r="AQ109" s="397">
        <f t="shared" si="11"/>
        <v>108181.81818181818</v>
      </c>
    </row>
    <row r="110" spans="1:43" ht="24">
      <c r="A110" s="436" t="s">
        <v>3805</v>
      </c>
      <c r="B110" s="436" t="s">
        <v>3490</v>
      </c>
      <c r="C110" s="437" t="s">
        <v>3491</v>
      </c>
      <c r="D110" s="436" t="s">
        <v>3803</v>
      </c>
      <c r="E110" s="437" t="s">
        <v>3804</v>
      </c>
      <c r="F110" s="436" t="s">
        <v>3494</v>
      </c>
      <c r="G110" s="436" t="s">
        <v>3495</v>
      </c>
      <c r="H110" s="437" t="s">
        <v>3496</v>
      </c>
      <c r="I110" s="436" t="s">
        <v>3497</v>
      </c>
      <c r="J110" s="437" t="s">
        <v>3498</v>
      </c>
      <c r="K110" s="437" t="s">
        <v>3499</v>
      </c>
      <c r="L110" s="436" t="s">
        <v>3500</v>
      </c>
      <c r="M110" s="436" t="s">
        <v>3524</v>
      </c>
      <c r="N110" s="436" t="s">
        <v>3502</v>
      </c>
      <c r="O110" s="438">
        <v>119000</v>
      </c>
      <c r="P110" s="438">
        <v>82110</v>
      </c>
      <c r="Q110" s="438">
        <v>1</v>
      </c>
      <c r="R110" s="438">
        <v>0</v>
      </c>
      <c r="S110" s="438">
        <v>0</v>
      </c>
      <c r="T110" s="438">
        <v>0</v>
      </c>
      <c r="U110" s="438">
        <v>0</v>
      </c>
      <c r="V110" s="438">
        <v>0</v>
      </c>
      <c r="W110" s="438">
        <v>31</v>
      </c>
      <c r="X110" s="438">
        <v>0</v>
      </c>
      <c r="Y110" s="438">
        <v>0</v>
      </c>
      <c r="Z110" s="438">
        <v>0</v>
      </c>
      <c r="AA110" s="438">
        <v>0</v>
      </c>
      <c r="AB110" s="438">
        <v>0</v>
      </c>
      <c r="AC110" s="438">
        <v>119000</v>
      </c>
      <c r="AD110" s="438">
        <v>82110</v>
      </c>
      <c r="AE110" s="438">
        <v>0</v>
      </c>
      <c r="AF110" s="438">
        <v>0</v>
      </c>
      <c r="AG110" s="438">
        <v>119000</v>
      </c>
      <c r="AH110" s="438">
        <v>82110</v>
      </c>
      <c r="AI110" s="438">
        <v>33536</v>
      </c>
      <c r="AJ110" s="438">
        <v>3354</v>
      </c>
      <c r="AK110" s="438">
        <v>36890</v>
      </c>
      <c r="AL110" s="414" t="str">
        <f t="shared" si="6"/>
        <v>워커힐 시그니처 양념 본갈비 300g, 8개</v>
      </c>
      <c r="AM110" s="395">
        <f t="shared" si="7"/>
        <v>46060</v>
      </c>
      <c r="AN110" s="396">
        <f t="shared" si="8"/>
        <v>1</v>
      </c>
      <c r="AO110" s="109">
        <f t="shared" si="9"/>
        <v>119000</v>
      </c>
      <c r="AP110" s="109">
        <f t="shared" si="10"/>
        <v>108181.81818181818</v>
      </c>
      <c r="AQ110" s="397">
        <f t="shared" si="11"/>
        <v>108181.81818181818</v>
      </c>
    </row>
    <row r="111" spans="1:43" ht="24">
      <c r="A111" s="436" t="s">
        <v>3808</v>
      </c>
      <c r="B111" s="436" t="s">
        <v>3490</v>
      </c>
      <c r="C111" s="437" t="s">
        <v>3491</v>
      </c>
      <c r="D111" s="436" t="s">
        <v>3809</v>
      </c>
      <c r="E111" s="437" t="s">
        <v>3810</v>
      </c>
      <c r="F111" s="436" t="s">
        <v>3494</v>
      </c>
      <c r="G111" s="436" t="s">
        <v>3495</v>
      </c>
      <c r="H111" s="437" t="s">
        <v>3496</v>
      </c>
      <c r="I111" s="436" t="s">
        <v>3497</v>
      </c>
      <c r="J111" s="437" t="s">
        <v>3498</v>
      </c>
      <c r="K111" s="437" t="s">
        <v>3499</v>
      </c>
      <c r="L111" s="436" t="s">
        <v>3500</v>
      </c>
      <c r="M111" s="436" t="s">
        <v>3524</v>
      </c>
      <c r="N111" s="436" t="s">
        <v>3502</v>
      </c>
      <c r="O111" s="438">
        <v>119000</v>
      </c>
      <c r="P111" s="438">
        <v>82110</v>
      </c>
      <c r="Q111" s="438">
        <v>1</v>
      </c>
      <c r="R111" s="438">
        <v>0</v>
      </c>
      <c r="S111" s="438">
        <v>0</v>
      </c>
      <c r="T111" s="438">
        <v>0</v>
      </c>
      <c r="U111" s="438">
        <v>0</v>
      </c>
      <c r="V111" s="438">
        <v>0</v>
      </c>
      <c r="W111" s="438">
        <v>31</v>
      </c>
      <c r="X111" s="438">
        <v>0</v>
      </c>
      <c r="Y111" s="438">
        <v>0</v>
      </c>
      <c r="Z111" s="438">
        <v>0</v>
      </c>
      <c r="AA111" s="438">
        <v>0</v>
      </c>
      <c r="AB111" s="438">
        <v>0</v>
      </c>
      <c r="AC111" s="438">
        <v>119000</v>
      </c>
      <c r="AD111" s="438">
        <v>82110</v>
      </c>
      <c r="AE111" s="438">
        <v>0</v>
      </c>
      <c r="AF111" s="438">
        <v>0</v>
      </c>
      <c r="AG111" s="438">
        <v>119000</v>
      </c>
      <c r="AH111" s="438">
        <v>82110</v>
      </c>
      <c r="AI111" s="438">
        <v>33536</v>
      </c>
      <c r="AJ111" s="438">
        <v>3354</v>
      </c>
      <c r="AK111" s="438">
        <v>36890</v>
      </c>
      <c r="AL111" s="414" t="str">
        <f t="shared" si="6"/>
        <v>워커힐 시그니처 양념 본갈비 300g, 8개</v>
      </c>
      <c r="AM111" s="395">
        <f t="shared" si="7"/>
        <v>46060</v>
      </c>
      <c r="AN111" s="396">
        <f t="shared" si="8"/>
        <v>1</v>
      </c>
      <c r="AO111" s="109">
        <f t="shared" si="9"/>
        <v>119000</v>
      </c>
      <c r="AP111" s="109">
        <f t="shared" si="10"/>
        <v>108181.81818181818</v>
      </c>
      <c r="AQ111" s="397">
        <f t="shared" si="11"/>
        <v>108181.81818181818</v>
      </c>
    </row>
    <row r="112" spans="1:43" ht="24">
      <c r="A112" s="436" t="s">
        <v>3811</v>
      </c>
      <c r="B112" s="436" t="s">
        <v>3490</v>
      </c>
      <c r="C112" s="437" t="s">
        <v>3491</v>
      </c>
      <c r="D112" s="436" t="s">
        <v>3812</v>
      </c>
      <c r="E112" s="437" t="s">
        <v>3813</v>
      </c>
      <c r="F112" s="436" t="s">
        <v>3494</v>
      </c>
      <c r="G112" s="436" t="s">
        <v>3495</v>
      </c>
      <c r="H112" s="437" t="s">
        <v>3496</v>
      </c>
      <c r="I112" s="436" t="s">
        <v>3497</v>
      </c>
      <c r="J112" s="437" t="s">
        <v>3498</v>
      </c>
      <c r="K112" s="437" t="s">
        <v>3499</v>
      </c>
      <c r="L112" s="436" t="s">
        <v>3500</v>
      </c>
      <c r="M112" s="436" t="s">
        <v>3524</v>
      </c>
      <c r="N112" s="436" t="s">
        <v>3502</v>
      </c>
      <c r="O112" s="438">
        <v>119000</v>
      </c>
      <c r="P112" s="438">
        <v>82110</v>
      </c>
      <c r="Q112" s="438">
        <v>1</v>
      </c>
      <c r="R112" s="438">
        <v>0</v>
      </c>
      <c r="S112" s="438">
        <v>0</v>
      </c>
      <c r="T112" s="438">
        <v>0</v>
      </c>
      <c r="U112" s="438">
        <v>0</v>
      </c>
      <c r="V112" s="438">
        <v>0</v>
      </c>
      <c r="W112" s="438">
        <v>31</v>
      </c>
      <c r="X112" s="438">
        <v>0</v>
      </c>
      <c r="Y112" s="438">
        <v>0</v>
      </c>
      <c r="Z112" s="438">
        <v>0</v>
      </c>
      <c r="AA112" s="438">
        <v>0</v>
      </c>
      <c r="AB112" s="438">
        <v>0</v>
      </c>
      <c r="AC112" s="438">
        <v>119000</v>
      </c>
      <c r="AD112" s="438">
        <v>82110</v>
      </c>
      <c r="AE112" s="438">
        <v>0</v>
      </c>
      <c r="AF112" s="438">
        <v>0</v>
      </c>
      <c r="AG112" s="438">
        <v>119000</v>
      </c>
      <c r="AH112" s="438">
        <v>82110</v>
      </c>
      <c r="AI112" s="438">
        <v>33536</v>
      </c>
      <c r="AJ112" s="438">
        <v>3354</v>
      </c>
      <c r="AK112" s="438">
        <v>36890</v>
      </c>
      <c r="AL112" s="414" t="str">
        <f t="shared" si="6"/>
        <v>워커힐 시그니처 양념 본갈비 300g, 8개</v>
      </c>
      <c r="AM112" s="395">
        <f t="shared" si="7"/>
        <v>46060</v>
      </c>
      <c r="AN112" s="396">
        <f t="shared" si="8"/>
        <v>1</v>
      </c>
      <c r="AO112" s="109">
        <f t="shared" si="9"/>
        <v>119000</v>
      </c>
      <c r="AP112" s="109">
        <f t="shared" si="10"/>
        <v>108181.81818181818</v>
      </c>
      <c r="AQ112" s="397">
        <f t="shared" si="11"/>
        <v>108181.81818181818</v>
      </c>
    </row>
    <row r="113" spans="1:43" ht="24">
      <c r="A113" s="436" t="s">
        <v>3814</v>
      </c>
      <c r="B113" s="436" t="s">
        <v>3490</v>
      </c>
      <c r="C113" s="437" t="s">
        <v>3491</v>
      </c>
      <c r="D113" s="436" t="s">
        <v>3812</v>
      </c>
      <c r="E113" s="437" t="s">
        <v>3813</v>
      </c>
      <c r="F113" s="436" t="s">
        <v>3494</v>
      </c>
      <c r="G113" s="436" t="s">
        <v>3495</v>
      </c>
      <c r="H113" s="437" t="s">
        <v>3496</v>
      </c>
      <c r="I113" s="436" t="s">
        <v>3497</v>
      </c>
      <c r="J113" s="437" t="s">
        <v>3498</v>
      </c>
      <c r="K113" s="437" t="s">
        <v>3499</v>
      </c>
      <c r="L113" s="436" t="s">
        <v>3500</v>
      </c>
      <c r="M113" s="436" t="s">
        <v>3524</v>
      </c>
      <c r="N113" s="436" t="s">
        <v>3502</v>
      </c>
      <c r="O113" s="438">
        <v>119000</v>
      </c>
      <c r="P113" s="438">
        <v>82110</v>
      </c>
      <c r="Q113" s="438">
        <v>1</v>
      </c>
      <c r="R113" s="438">
        <v>0</v>
      </c>
      <c r="S113" s="438">
        <v>0</v>
      </c>
      <c r="T113" s="438">
        <v>0</v>
      </c>
      <c r="U113" s="438">
        <v>0</v>
      </c>
      <c r="V113" s="438">
        <v>0</v>
      </c>
      <c r="W113" s="438">
        <v>31</v>
      </c>
      <c r="X113" s="438">
        <v>0</v>
      </c>
      <c r="Y113" s="438">
        <v>0</v>
      </c>
      <c r="Z113" s="438">
        <v>0</v>
      </c>
      <c r="AA113" s="438">
        <v>0</v>
      </c>
      <c r="AB113" s="438">
        <v>0</v>
      </c>
      <c r="AC113" s="438">
        <v>119000</v>
      </c>
      <c r="AD113" s="438">
        <v>82110</v>
      </c>
      <c r="AE113" s="438">
        <v>0</v>
      </c>
      <c r="AF113" s="438">
        <v>0</v>
      </c>
      <c r="AG113" s="438">
        <v>119000</v>
      </c>
      <c r="AH113" s="438">
        <v>82110</v>
      </c>
      <c r="AI113" s="438">
        <v>33536</v>
      </c>
      <c r="AJ113" s="438">
        <v>3354</v>
      </c>
      <c r="AK113" s="438">
        <v>36890</v>
      </c>
      <c r="AL113" s="414" t="str">
        <f t="shared" si="6"/>
        <v>워커힐 시그니처 양념 본갈비 300g, 8개</v>
      </c>
      <c r="AM113" s="395">
        <f t="shared" si="7"/>
        <v>46060</v>
      </c>
      <c r="AN113" s="396">
        <f t="shared" si="8"/>
        <v>1</v>
      </c>
      <c r="AO113" s="109">
        <f t="shared" si="9"/>
        <v>119000</v>
      </c>
      <c r="AP113" s="109">
        <f t="shared" si="10"/>
        <v>108181.81818181818</v>
      </c>
      <c r="AQ113" s="397">
        <f t="shared" si="11"/>
        <v>108181.81818181818</v>
      </c>
    </row>
    <row r="114" spans="1:43" ht="24">
      <c r="A114" s="436" t="s">
        <v>3815</v>
      </c>
      <c r="B114" s="436" t="s">
        <v>3490</v>
      </c>
      <c r="C114" s="437" t="s">
        <v>3491</v>
      </c>
      <c r="D114" s="436" t="s">
        <v>3629</v>
      </c>
      <c r="E114" s="437" t="s">
        <v>3630</v>
      </c>
      <c r="F114" s="436" t="s">
        <v>3494</v>
      </c>
      <c r="G114" s="436" t="s">
        <v>3495</v>
      </c>
      <c r="H114" s="437" t="s">
        <v>3496</v>
      </c>
      <c r="I114" s="436" t="s">
        <v>3497</v>
      </c>
      <c r="J114" s="437" t="s">
        <v>3498</v>
      </c>
      <c r="K114" s="437" t="s">
        <v>3499</v>
      </c>
      <c r="L114" s="436" t="s">
        <v>3500</v>
      </c>
      <c r="M114" s="436" t="s">
        <v>3524</v>
      </c>
      <c r="N114" s="436" t="s">
        <v>3502</v>
      </c>
      <c r="O114" s="438">
        <v>119000</v>
      </c>
      <c r="P114" s="438">
        <v>82110</v>
      </c>
      <c r="Q114" s="438">
        <v>1</v>
      </c>
      <c r="R114" s="438">
        <v>0</v>
      </c>
      <c r="S114" s="438">
        <v>0</v>
      </c>
      <c r="T114" s="438">
        <v>0</v>
      </c>
      <c r="U114" s="438">
        <v>0</v>
      </c>
      <c r="V114" s="438">
        <v>0</v>
      </c>
      <c r="W114" s="438">
        <v>31</v>
      </c>
      <c r="X114" s="438">
        <v>0</v>
      </c>
      <c r="Y114" s="438">
        <v>0</v>
      </c>
      <c r="Z114" s="438">
        <v>0</v>
      </c>
      <c r="AA114" s="438">
        <v>0</v>
      </c>
      <c r="AB114" s="438">
        <v>0</v>
      </c>
      <c r="AC114" s="438">
        <v>119000</v>
      </c>
      <c r="AD114" s="438">
        <v>82110</v>
      </c>
      <c r="AE114" s="438">
        <v>0</v>
      </c>
      <c r="AF114" s="438">
        <v>0</v>
      </c>
      <c r="AG114" s="438">
        <v>119000</v>
      </c>
      <c r="AH114" s="438">
        <v>82110</v>
      </c>
      <c r="AI114" s="438">
        <v>33536</v>
      </c>
      <c r="AJ114" s="438">
        <v>3354</v>
      </c>
      <c r="AK114" s="438">
        <v>36890</v>
      </c>
      <c r="AL114" s="414" t="str">
        <f t="shared" si="6"/>
        <v>워커힐 시그니처 양념 본갈비 300g, 8개</v>
      </c>
      <c r="AM114" s="395">
        <f t="shared" si="7"/>
        <v>46060</v>
      </c>
      <c r="AN114" s="396">
        <f t="shared" si="8"/>
        <v>1</v>
      </c>
      <c r="AO114" s="109">
        <f t="shared" si="9"/>
        <v>119000</v>
      </c>
      <c r="AP114" s="109">
        <f t="shared" si="10"/>
        <v>108181.81818181818</v>
      </c>
      <c r="AQ114" s="397">
        <f t="shared" si="11"/>
        <v>108181.81818181818</v>
      </c>
    </row>
    <row r="115" spans="1:43" ht="24">
      <c r="A115" s="436" t="s">
        <v>3818</v>
      </c>
      <c r="B115" s="436" t="s">
        <v>3490</v>
      </c>
      <c r="C115" s="437" t="s">
        <v>3491</v>
      </c>
      <c r="D115" s="436" t="s">
        <v>3816</v>
      </c>
      <c r="E115" s="437" t="s">
        <v>3817</v>
      </c>
      <c r="F115" s="436" t="s">
        <v>3494</v>
      </c>
      <c r="G115" s="436" t="s">
        <v>3495</v>
      </c>
      <c r="H115" s="437" t="s">
        <v>3496</v>
      </c>
      <c r="I115" s="436" t="s">
        <v>3497</v>
      </c>
      <c r="J115" s="437" t="s">
        <v>3498</v>
      </c>
      <c r="K115" s="437" t="s">
        <v>3499</v>
      </c>
      <c r="L115" s="436" t="s">
        <v>3500</v>
      </c>
      <c r="M115" s="436" t="s">
        <v>3524</v>
      </c>
      <c r="N115" s="436" t="s">
        <v>3502</v>
      </c>
      <c r="O115" s="438">
        <v>119000</v>
      </c>
      <c r="P115" s="438">
        <v>82110</v>
      </c>
      <c r="Q115" s="438">
        <v>1</v>
      </c>
      <c r="R115" s="438">
        <v>0</v>
      </c>
      <c r="S115" s="438">
        <v>0</v>
      </c>
      <c r="T115" s="438">
        <v>0</v>
      </c>
      <c r="U115" s="438">
        <v>0</v>
      </c>
      <c r="V115" s="438">
        <v>0</v>
      </c>
      <c r="W115" s="438">
        <v>31</v>
      </c>
      <c r="X115" s="438">
        <v>0</v>
      </c>
      <c r="Y115" s="438">
        <v>0</v>
      </c>
      <c r="Z115" s="438">
        <v>0</v>
      </c>
      <c r="AA115" s="438">
        <v>0</v>
      </c>
      <c r="AB115" s="438">
        <v>0</v>
      </c>
      <c r="AC115" s="438">
        <v>119000</v>
      </c>
      <c r="AD115" s="438">
        <v>82110</v>
      </c>
      <c r="AE115" s="438">
        <v>0</v>
      </c>
      <c r="AF115" s="438">
        <v>0</v>
      </c>
      <c r="AG115" s="438">
        <v>119000</v>
      </c>
      <c r="AH115" s="438">
        <v>82110</v>
      </c>
      <c r="AI115" s="438">
        <v>33536</v>
      </c>
      <c r="AJ115" s="438">
        <v>3354</v>
      </c>
      <c r="AK115" s="438">
        <v>36890</v>
      </c>
      <c r="AL115" s="414" t="str">
        <f t="shared" si="6"/>
        <v>워커힐 시그니처 양념 본갈비 300g, 8개</v>
      </c>
      <c r="AM115" s="395">
        <f t="shared" si="7"/>
        <v>46060</v>
      </c>
      <c r="AN115" s="396">
        <f t="shared" si="8"/>
        <v>1</v>
      </c>
      <c r="AO115" s="109">
        <f t="shared" si="9"/>
        <v>119000</v>
      </c>
      <c r="AP115" s="109">
        <f t="shared" si="10"/>
        <v>108181.81818181818</v>
      </c>
      <c r="AQ115" s="397">
        <f t="shared" si="11"/>
        <v>108181.81818181818</v>
      </c>
    </row>
    <row r="116" spans="1:43" ht="24">
      <c r="A116" s="436" t="s">
        <v>3821</v>
      </c>
      <c r="B116" s="436" t="s">
        <v>3490</v>
      </c>
      <c r="C116" s="437" t="s">
        <v>3491</v>
      </c>
      <c r="D116" s="436" t="s">
        <v>3819</v>
      </c>
      <c r="E116" s="437" t="s">
        <v>3820</v>
      </c>
      <c r="F116" s="436" t="s">
        <v>3494</v>
      </c>
      <c r="G116" s="436" t="s">
        <v>3495</v>
      </c>
      <c r="H116" s="437" t="s">
        <v>3496</v>
      </c>
      <c r="I116" s="436" t="s">
        <v>3497</v>
      </c>
      <c r="J116" s="437" t="s">
        <v>3498</v>
      </c>
      <c r="K116" s="437" t="s">
        <v>3499</v>
      </c>
      <c r="L116" s="436" t="s">
        <v>3500</v>
      </c>
      <c r="M116" s="436" t="s">
        <v>3524</v>
      </c>
      <c r="N116" s="436" t="s">
        <v>3502</v>
      </c>
      <c r="O116" s="438">
        <v>119000</v>
      </c>
      <c r="P116" s="438">
        <v>82110</v>
      </c>
      <c r="Q116" s="438">
        <v>1</v>
      </c>
      <c r="R116" s="438">
        <v>0</v>
      </c>
      <c r="S116" s="438">
        <v>0</v>
      </c>
      <c r="T116" s="438">
        <v>0</v>
      </c>
      <c r="U116" s="438">
        <v>0</v>
      </c>
      <c r="V116" s="438">
        <v>0</v>
      </c>
      <c r="W116" s="438">
        <v>31</v>
      </c>
      <c r="X116" s="438">
        <v>0</v>
      </c>
      <c r="Y116" s="438">
        <v>0</v>
      </c>
      <c r="Z116" s="438">
        <v>0</v>
      </c>
      <c r="AA116" s="438">
        <v>0</v>
      </c>
      <c r="AB116" s="438">
        <v>0</v>
      </c>
      <c r="AC116" s="438">
        <v>119000</v>
      </c>
      <c r="AD116" s="438">
        <v>82110</v>
      </c>
      <c r="AE116" s="438">
        <v>0</v>
      </c>
      <c r="AF116" s="438">
        <v>0</v>
      </c>
      <c r="AG116" s="438">
        <v>119000</v>
      </c>
      <c r="AH116" s="438">
        <v>82110</v>
      </c>
      <c r="AI116" s="438">
        <v>33536</v>
      </c>
      <c r="AJ116" s="438">
        <v>3354</v>
      </c>
      <c r="AK116" s="438">
        <v>36890</v>
      </c>
      <c r="AL116" s="414" t="str">
        <f t="shared" si="6"/>
        <v>워커힐 시그니처 양념 본갈비 300g, 8개</v>
      </c>
      <c r="AM116" s="395">
        <f t="shared" si="7"/>
        <v>46060</v>
      </c>
      <c r="AN116" s="396">
        <f t="shared" si="8"/>
        <v>1</v>
      </c>
      <c r="AO116" s="109">
        <f t="shared" si="9"/>
        <v>119000</v>
      </c>
      <c r="AP116" s="109">
        <f t="shared" si="10"/>
        <v>108181.81818181818</v>
      </c>
      <c r="AQ116" s="397">
        <f t="shared" si="11"/>
        <v>108181.81818181818</v>
      </c>
    </row>
    <row r="117" spans="1:43" ht="24">
      <c r="A117" s="436" t="s">
        <v>3824</v>
      </c>
      <c r="B117" s="436" t="s">
        <v>3490</v>
      </c>
      <c r="C117" s="437" t="s">
        <v>3491</v>
      </c>
      <c r="D117" s="436" t="s">
        <v>3822</v>
      </c>
      <c r="E117" s="437" t="s">
        <v>3823</v>
      </c>
      <c r="F117" s="436" t="s">
        <v>3494</v>
      </c>
      <c r="G117" s="436" t="s">
        <v>3495</v>
      </c>
      <c r="H117" s="437" t="s">
        <v>3496</v>
      </c>
      <c r="I117" s="436" t="s">
        <v>3497</v>
      </c>
      <c r="J117" s="437" t="s">
        <v>3498</v>
      </c>
      <c r="K117" s="437" t="s">
        <v>3499</v>
      </c>
      <c r="L117" s="436" t="s">
        <v>3500</v>
      </c>
      <c r="M117" s="436" t="s">
        <v>3524</v>
      </c>
      <c r="N117" s="436" t="s">
        <v>3502</v>
      </c>
      <c r="O117" s="438">
        <v>119000</v>
      </c>
      <c r="P117" s="438">
        <v>82110</v>
      </c>
      <c r="Q117" s="438">
        <v>1</v>
      </c>
      <c r="R117" s="438">
        <v>0</v>
      </c>
      <c r="S117" s="438">
        <v>0</v>
      </c>
      <c r="T117" s="438">
        <v>0</v>
      </c>
      <c r="U117" s="438">
        <v>0</v>
      </c>
      <c r="V117" s="438">
        <v>0</v>
      </c>
      <c r="W117" s="438">
        <v>31</v>
      </c>
      <c r="X117" s="438">
        <v>0</v>
      </c>
      <c r="Y117" s="438">
        <v>0</v>
      </c>
      <c r="Z117" s="438">
        <v>0</v>
      </c>
      <c r="AA117" s="438">
        <v>0</v>
      </c>
      <c r="AB117" s="438">
        <v>0</v>
      </c>
      <c r="AC117" s="438">
        <v>119000</v>
      </c>
      <c r="AD117" s="438">
        <v>82110</v>
      </c>
      <c r="AE117" s="438">
        <v>0</v>
      </c>
      <c r="AF117" s="438">
        <v>0</v>
      </c>
      <c r="AG117" s="438">
        <v>119000</v>
      </c>
      <c r="AH117" s="438">
        <v>82110</v>
      </c>
      <c r="AI117" s="438">
        <v>33536</v>
      </c>
      <c r="AJ117" s="438">
        <v>3354</v>
      </c>
      <c r="AK117" s="438">
        <v>36890</v>
      </c>
      <c r="AL117" s="414" t="str">
        <f t="shared" si="6"/>
        <v>워커힐 시그니처 양념 본갈비 300g, 8개</v>
      </c>
      <c r="AM117" s="395">
        <f t="shared" si="7"/>
        <v>46060</v>
      </c>
      <c r="AN117" s="396">
        <f t="shared" si="8"/>
        <v>1</v>
      </c>
      <c r="AO117" s="109">
        <f t="shared" si="9"/>
        <v>119000</v>
      </c>
      <c r="AP117" s="109">
        <f t="shared" si="10"/>
        <v>108181.81818181818</v>
      </c>
      <c r="AQ117" s="397">
        <f t="shared" si="11"/>
        <v>108181.81818181818</v>
      </c>
    </row>
    <row r="118" spans="1:43" ht="24">
      <c r="A118" s="436" t="s">
        <v>3827</v>
      </c>
      <c r="B118" s="436" t="s">
        <v>3490</v>
      </c>
      <c r="C118" s="437" t="s">
        <v>3491</v>
      </c>
      <c r="D118" s="436" t="s">
        <v>3554</v>
      </c>
      <c r="E118" s="437" t="s">
        <v>3555</v>
      </c>
      <c r="F118" s="436" t="s">
        <v>3494</v>
      </c>
      <c r="G118" s="436" t="s">
        <v>3495</v>
      </c>
      <c r="H118" s="437" t="s">
        <v>3496</v>
      </c>
      <c r="I118" s="436" t="s">
        <v>3497</v>
      </c>
      <c r="J118" s="437" t="s">
        <v>3498</v>
      </c>
      <c r="K118" s="437" t="s">
        <v>3499</v>
      </c>
      <c r="L118" s="436" t="s">
        <v>3500</v>
      </c>
      <c r="M118" s="436" t="s">
        <v>3524</v>
      </c>
      <c r="N118" s="436" t="s">
        <v>3502</v>
      </c>
      <c r="O118" s="438">
        <v>119000</v>
      </c>
      <c r="P118" s="438">
        <v>82110</v>
      </c>
      <c r="Q118" s="438">
        <v>1</v>
      </c>
      <c r="R118" s="438">
        <v>0</v>
      </c>
      <c r="S118" s="438">
        <v>0</v>
      </c>
      <c r="T118" s="438">
        <v>0</v>
      </c>
      <c r="U118" s="438">
        <v>0</v>
      </c>
      <c r="V118" s="438">
        <v>0</v>
      </c>
      <c r="W118" s="438">
        <v>31</v>
      </c>
      <c r="X118" s="438">
        <v>0</v>
      </c>
      <c r="Y118" s="438">
        <v>0</v>
      </c>
      <c r="Z118" s="438">
        <v>0</v>
      </c>
      <c r="AA118" s="438">
        <v>0</v>
      </c>
      <c r="AB118" s="438">
        <v>0</v>
      </c>
      <c r="AC118" s="438">
        <v>119000</v>
      </c>
      <c r="AD118" s="438">
        <v>82110</v>
      </c>
      <c r="AE118" s="438">
        <v>0</v>
      </c>
      <c r="AF118" s="438">
        <v>0</v>
      </c>
      <c r="AG118" s="438">
        <v>119000</v>
      </c>
      <c r="AH118" s="438">
        <v>82110</v>
      </c>
      <c r="AI118" s="438">
        <v>33536</v>
      </c>
      <c r="AJ118" s="438">
        <v>3354</v>
      </c>
      <c r="AK118" s="438">
        <v>36890</v>
      </c>
      <c r="AL118" s="414" t="str">
        <f t="shared" si="6"/>
        <v>워커힐 시그니처 양념 본갈비 300g, 8개</v>
      </c>
      <c r="AM118" s="395">
        <f t="shared" si="7"/>
        <v>46060</v>
      </c>
      <c r="AN118" s="396">
        <f t="shared" si="8"/>
        <v>1</v>
      </c>
      <c r="AO118" s="109">
        <f t="shared" si="9"/>
        <v>119000</v>
      </c>
      <c r="AP118" s="109">
        <f t="shared" si="10"/>
        <v>108181.81818181818</v>
      </c>
      <c r="AQ118" s="397">
        <f t="shared" si="11"/>
        <v>108181.81818181818</v>
      </c>
    </row>
    <row r="119" spans="1:43" ht="24">
      <c r="A119" s="436" t="s">
        <v>3830</v>
      </c>
      <c r="B119" s="436" t="s">
        <v>3490</v>
      </c>
      <c r="C119" s="437" t="s">
        <v>3491</v>
      </c>
      <c r="D119" s="436" t="s">
        <v>3825</v>
      </c>
      <c r="E119" s="437" t="s">
        <v>3826</v>
      </c>
      <c r="F119" s="436" t="s">
        <v>3494</v>
      </c>
      <c r="G119" s="436" t="s">
        <v>3495</v>
      </c>
      <c r="H119" s="437" t="s">
        <v>3496</v>
      </c>
      <c r="I119" s="436" t="s">
        <v>3497</v>
      </c>
      <c r="J119" s="437" t="s">
        <v>3498</v>
      </c>
      <c r="K119" s="437" t="s">
        <v>3499</v>
      </c>
      <c r="L119" s="436" t="s">
        <v>3500</v>
      </c>
      <c r="M119" s="436" t="s">
        <v>3524</v>
      </c>
      <c r="N119" s="436" t="s">
        <v>3502</v>
      </c>
      <c r="O119" s="438">
        <v>119000</v>
      </c>
      <c r="P119" s="438">
        <v>82110</v>
      </c>
      <c r="Q119" s="438">
        <v>1</v>
      </c>
      <c r="R119" s="438">
        <v>0</v>
      </c>
      <c r="S119" s="438">
        <v>0</v>
      </c>
      <c r="T119" s="438">
        <v>0</v>
      </c>
      <c r="U119" s="438">
        <v>0</v>
      </c>
      <c r="V119" s="438">
        <v>0</v>
      </c>
      <c r="W119" s="438">
        <v>31</v>
      </c>
      <c r="X119" s="438">
        <v>0</v>
      </c>
      <c r="Y119" s="438">
        <v>0</v>
      </c>
      <c r="Z119" s="438">
        <v>0</v>
      </c>
      <c r="AA119" s="438">
        <v>0</v>
      </c>
      <c r="AB119" s="438">
        <v>0</v>
      </c>
      <c r="AC119" s="438">
        <v>119000</v>
      </c>
      <c r="AD119" s="438">
        <v>82110</v>
      </c>
      <c r="AE119" s="438">
        <v>0</v>
      </c>
      <c r="AF119" s="438">
        <v>0</v>
      </c>
      <c r="AG119" s="438">
        <v>119000</v>
      </c>
      <c r="AH119" s="438">
        <v>82110</v>
      </c>
      <c r="AI119" s="438">
        <v>33536</v>
      </c>
      <c r="AJ119" s="438">
        <v>3354</v>
      </c>
      <c r="AK119" s="438">
        <v>36890</v>
      </c>
      <c r="AL119" s="414" t="str">
        <f t="shared" si="6"/>
        <v>워커힐 시그니처 양념 본갈비 300g, 8개</v>
      </c>
      <c r="AM119" s="395">
        <f t="shared" si="7"/>
        <v>46060</v>
      </c>
      <c r="AN119" s="396">
        <f t="shared" si="8"/>
        <v>1</v>
      </c>
      <c r="AO119" s="109">
        <f t="shared" si="9"/>
        <v>119000</v>
      </c>
      <c r="AP119" s="109">
        <f t="shared" si="10"/>
        <v>108181.81818181818</v>
      </c>
      <c r="AQ119" s="397">
        <f t="shared" si="11"/>
        <v>108181.81818181818</v>
      </c>
    </row>
    <row r="120" spans="1:43" ht="24">
      <c r="A120" s="436" t="s">
        <v>3832</v>
      </c>
      <c r="B120" s="436" t="s">
        <v>3490</v>
      </c>
      <c r="C120" s="437" t="s">
        <v>3491</v>
      </c>
      <c r="D120" s="436" t="s">
        <v>3632</v>
      </c>
      <c r="E120" s="437" t="s">
        <v>3633</v>
      </c>
      <c r="F120" s="436" t="s">
        <v>3494</v>
      </c>
      <c r="G120" s="436" t="s">
        <v>3495</v>
      </c>
      <c r="H120" s="437" t="s">
        <v>3496</v>
      </c>
      <c r="I120" s="436" t="s">
        <v>3497</v>
      </c>
      <c r="J120" s="437" t="s">
        <v>3498</v>
      </c>
      <c r="K120" s="437" t="s">
        <v>3499</v>
      </c>
      <c r="L120" s="436" t="s">
        <v>3500</v>
      </c>
      <c r="M120" s="436" t="s">
        <v>3524</v>
      </c>
      <c r="N120" s="436" t="s">
        <v>3502</v>
      </c>
      <c r="O120" s="438">
        <v>119000</v>
      </c>
      <c r="P120" s="438">
        <v>82110</v>
      </c>
      <c r="Q120" s="438">
        <v>1</v>
      </c>
      <c r="R120" s="438">
        <v>0</v>
      </c>
      <c r="S120" s="438">
        <v>0</v>
      </c>
      <c r="T120" s="438">
        <v>0</v>
      </c>
      <c r="U120" s="438">
        <v>0</v>
      </c>
      <c r="V120" s="438">
        <v>0</v>
      </c>
      <c r="W120" s="438">
        <v>31</v>
      </c>
      <c r="X120" s="438">
        <v>0</v>
      </c>
      <c r="Y120" s="438">
        <v>0</v>
      </c>
      <c r="Z120" s="438">
        <v>0</v>
      </c>
      <c r="AA120" s="438">
        <v>0</v>
      </c>
      <c r="AB120" s="438">
        <v>0</v>
      </c>
      <c r="AC120" s="438">
        <v>119000</v>
      </c>
      <c r="AD120" s="438">
        <v>82110</v>
      </c>
      <c r="AE120" s="438">
        <v>0</v>
      </c>
      <c r="AF120" s="438">
        <v>0</v>
      </c>
      <c r="AG120" s="438">
        <v>119000</v>
      </c>
      <c r="AH120" s="438">
        <v>82110</v>
      </c>
      <c r="AI120" s="438">
        <v>33536</v>
      </c>
      <c r="AJ120" s="438">
        <v>3354</v>
      </c>
      <c r="AK120" s="438">
        <v>36890</v>
      </c>
      <c r="AL120" s="414" t="str">
        <f t="shared" si="6"/>
        <v>워커힐 시그니처 양념 본갈비 300g, 8개</v>
      </c>
      <c r="AM120" s="395">
        <f t="shared" si="7"/>
        <v>46060</v>
      </c>
      <c r="AN120" s="396">
        <f t="shared" si="8"/>
        <v>1</v>
      </c>
      <c r="AO120" s="109">
        <f t="shared" si="9"/>
        <v>119000</v>
      </c>
      <c r="AP120" s="109">
        <f t="shared" si="10"/>
        <v>108181.81818181818</v>
      </c>
      <c r="AQ120" s="397">
        <f t="shared" si="11"/>
        <v>108181.81818181818</v>
      </c>
    </row>
    <row r="121" spans="1:43" ht="24">
      <c r="A121" s="436" t="s">
        <v>3834</v>
      </c>
      <c r="B121" s="436" t="s">
        <v>3490</v>
      </c>
      <c r="C121" s="437" t="s">
        <v>3491</v>
      </c>
      <c r="D121" s="436" t="s">
        <v>3831</v>
      </c>
      <c r="E121" s="437" t="s">
        <v>3724</v>
      </c>
      <c r="F121" s="436" t="s">
        <v>3494</v>
      </c>
      <c r="G121" s="436" t="s">
        <v>3495</v>
      </c>
      <c r="H121" s="437" t="s">
        <v>3496</v>
      </c>
      <c r="I121" s="436" t="s">
        <v>3497</v>
      </c>
      <c r="J121" s="437" t="s">
        <v>3498</v>
      </c>
      <c r="K121" s="437" t="s">
        <v>3499</v>
      </c>
      <c r="L121" s="436" t="s">
        <v>3500</v>
      </c>
      <c r="M121" s="436" t="s">
        <v>3524</v>
      </c>
      <c r="N121" s="436" t="s">
        <v>3502</v>
      </c>
      <c r="O121" s="438">
        <v>119000</v>
      </c>
      <c r="P121" s="438">
        <v>82110</v>
      </c>
      <c r="Q121" s="438">
        <v>1</v>
      </c>
      <c r="R121" s="438">
        <v>0</v>
      </c>
      <c r="S121" s="438">
        <v>0</v>
      </c>
      <c r="T121" s="438">
        <v>0</v>
      </c>
      <c r="U121" s="438">
        <v>0</v>
      </c>
      <c r="V121" s="438">
        <v>0</v>
      </c>
      <c r="W121" s="438">
        <v>31</v>
      </c>
      <c r="X121" s="438">
        <v>0</v>
      </c>
      <c r="Y121" s="438">
        <v>0</v>
      </c>
      <c r="Z121" s="438">
        <v>0</v>
      </c>
      <c r="AA121" s="438">
        <v>0</v>
      </c>
      <c r="AB121" s="438">
        <v>0</v>
      </c>
      <c r="AC121" s="438">
        <v>119000</v>
      </c>
      <c r="AD121" s="438">
        <v>82110</v>
      </c>
      <c r="AE121" s="438">
        <v>0</v>
      </c>
      <c r="AF121" s="438">
        <v>0</v>
      </c>
      <c r="AG121" s="438">
        <v>119000</v>
      </c>
      <c r="AH121" s="438">
        <v>82110</v>
      </c>
      <c r="AI121" s="438">
        <v>33536</v>
      </c>
      <c r="AJ121" s="438">
        <v>3354</v>
      </c>
      <c r="AK121" s="438">
        <v>36890</v>
      </c>
      <c r="AL121" s="414" t="str">
        <f t="shared" si="6"/>
        <v>워커힐 시그니처 양념 본갈비 300g, 8개</v>
      </c>
      <c r="AM121" s="395">
        <f t="shared" si="7"/>
        <v>46060</v>
      </c>
      <c r="AN121" s="396">
        <f t="shared" si="8"/>
        <v>1</v>
      </c>
      <c r="AO121" s="109">
        <f t="shared" si="9"/>
        <v>119000</v>
      </c>
      <c r="AP121" s="109">
        <f t="shared" si="10"/>
        <v>108181.81818181818</v>
      </c>
      <c r="AQ121" s="397">
        <f t="shared" si="11"/>
        <v>108181.81818181818</v>
      </c>
    </row>
    <row r="122" spans="1:43" ht="24">
      <c r="A122" s="436" t="s">
        <v>3837</v>
      </c>
      <c r="B122" s="436" t="s">
        <v>3490</v>
      </c>
      <c r="C122" s="437" t="s">
        <v>3491</v>
      </c>
      <c r="D122" s="436" t="s">
        <v>3638</v>
      </c>
      <c r="E122" s="437" t="s">
        <v>3639</v>
      </c>
      <c r="F122" s="436" t="s">
        <v>3494</v>
      </c>
      <c r="G122" s="436" t="s">
        <v>3495</v>
      </c>
      <c r="H122" s="437" t="s">
        <v>3496</v>
      </c>
      <c r="I122" s="436" t="s">
        <v>3497</v>
      </c>
      <c r="J122" s="437" t="s">
        <v>3498</v>
      </c>
      <c r="K122" s="437" t="s">
        <v>3499</v>
      </c>
      <c r="L122" s="436" t="s">
        <v>3500</v>
      </c>
      <c r="M122" s="436" t="s">
        <v>3524</v>
      </c>
      <c r="N122" s="436" t="s">
        <v>3502</v>
      </c>
      <c r="O122" s="438">
        <v>119000</v>
      </c>
      <c r="P122" s="438">
        <v>82110</v>
      </c>
      <c r="Q122" s="438">
        <v>1</v>
      </c>
      <c r="R122" s="438">
        <v>0</v>
      </c>
      <c r="S122" s="438">
        <v>0</v>
      </c>
      <c r="T122" s="438">
        <v>0</v>
      </c>
      <c r="U122" s="438">
        <v>0</v>
      </c>
      <c r="V122" s="438">
        <v>0</v>
      </c>
      <c r="W122" s="438">
        <v>31</v>
      </c>
      <c r="X122" s="438">
        <v>0</v>
      </c>
      <c r="Y122" s="438">
        <v>0</v>
      </c>
      <c r="Z122" s="438">
        <v>0</v>
      </c>
      <c r="AA122" s="438">
        <v>0</v>
      </c>
      <c r="AB122" s="438">
        <v>0</v>
      </c>
      <c r="AC122" s="438">
        <v>119000</v>
      </c>
      <c r="AD122" s="438">
        <v>82110</v>
      </c>
      <c r="AE122" s="438">
        <v>0</v>
      </c>
      <c r="AF122" s="438">
        <v>0</v>
      </c>
      <c r="AG122" s="438">
        <v>119000</v>
      </c>
      <c r="AH122" s="438">
        <v>82110</v>
      </c>
      <c r="AI122" s="438">
        <v>33536</v>
      </c>
      <c r="AJ122" s="438">
        <v>3354</v>
      </c>
      <c r="AK122" s="438">
        <v>36890</v>
      </c>
      <c r="AL122" s="414" t="str">
        <f t="shared" si="6"/>
        <v>워커힐 시그니처 양념 본갈비 300g, 8개</v>
      </c>
      <c r="AM122" s="395">
        <f t="shared" si="7"/>
        <v>46060</v>
      </c>
      <c r="AN122" s="396">
        <f t="shared" si="8"/>
        <v>1</v>
      </c>
      <c r="AO122" s="109">
        <f t="shared" si="9"/>
        <v>119000</v>
      </c>
      <c r="AP122" s="109">
        <f t="shared" si="10"/>
        <v>108181.81818181818</v>
      </c>
      <c r="AQ122" s="397">
        <f t="shared" si="11"/>
        <v>108181.81818181818</v>
      </c>
    </row>
    <row r="123" spans="1:43" ht="24">
      <c r="A123" s="436" t="s">
        <v>3840</v>
      </c>
      <c r="B123" s="436" t="s">
        <v>3490</v>
      </c>
      <c r="C123" s="437" t="s">
        <v>3491</v>
      </c>
      <c r="D123" s="436" t="s">
        <v>3641</v>
      </c>
      <c r="E123" s="437" t="s">
        <v>3541</v>
      </c>
      <c r="F123" s="436" t="s">
        <v>3494</v>
      </c>
      <c r="G123" s="436" t="s">
        <v>3495</v>
      </c>
      <c r="H123" s="437" t="s">
        <v>3496</v>
      </c>
      <c r="I123" s="436" t="s">
        <v>3497</v>
      </c>
      <c r="J123" s="437" t="s">
        <v>3498</v>
      </c>
      <c r="K123" s="437" t="s">
        <v>3499</v>
      </c>
      <c r="L123" s="436" t="s">
        <v>3500</v>
      </c>
      <c r="M123" s="436" t="s">
        <v>3524</v>
      </c>
      <c r="N123" s="436" t="s">
        <v>3502</v>
      </c>
      <c r="O123" s="438">
        <v>119000</v>
      </c>
      <c r="P123" s="438">
        <v>82110</v>
      </c>
      <c r="Q123" s="438">
        <v>1</v>
      </c>
      <c r="R123" s="438">
        <v>0</v>
      </c>
      <c r="S123" s="438">
        <v>0</v>
      </c>
      <c r="T123" s="438">
        <v>0</v>
      </c>
      <c r="U123" s="438">
        <v>0</v>
      </c>
      <c r="V123" s="438">
        <v>0</v>
      </c>
      <c r="W123" s="438">
        <v>31</v>
      </c>
      <c r="X123" s="438">
        <v>0</v>
      </c>
      <c r="Y123" s="438">
        <v>0</v>
      </c>
      <c r="Z123" s="438">
        <v>0</v>
      </c>
      <c r="AA123" s="438">
        <v>0</v>
      </c>
      <c r="AB123" s="438">
        <v>0</v>
      </c>
      <c r="AC123" s="438">
        <v>119000</v>
      </c>
      <c r="AD123" s="438">
        <v>82110</v>
      </c>
      <c r="AE123" s="438">
        <v>0</v>
      </c>
      <c r="AF123" s="438">
        <v>0</v>
      </c>
      <c r="AG123" s="438">
        <v>119000</v>
      </c>
      <c r="AH123" s="438">
        <v>82110</v>
      </c>
      <c r="AI123" s="438">
        <v>33536</v>
      </c>
      <c r="AJ123" s="438">
        <v>3354</v>
      </c>
      <c r="AK123" s="438">
        <v>36890</v>
      </c>
      <c r="AL123" s="414" t="str">
        <f t="shared" si="6"/>
        <v>워커힐 시그니처 양념 본갈비 300g, 8개</v>
      </c>
      <c r="AM123" s="395">
        <f t="shared" si="7"/>
        <v>46060</v>
      </c>
      <c r="AN123" s="396">
        <f t="shared" si="8"/>
        <v>1</v>
      </c>
      <c r="AO123" s="109">
        <f t="shared" si="9"/>
        <v>119000</v>
      </c>
      <c r="AP123" s="109">
        <f t="shared" si="10"/>
        <v>108181.81818181818</v>
      </c>
      <c r="AQ123" s="397">
        <f t="shared" si="11"/>
        <v>108181.81818181818</v>
      </c>
    </row>
    <row r="124" spans="1:43" ht="24">
      <c r="A124" s="436" t="s">
        <v>3843</v>
      </c>
      <c r="B124" s="436" t="s">
        <v>3490</v>
      </c>
      <c r="C124" s="437" t="s">
        <v>3491</v>
      </c>
      <c r="D124" s="436" t="s">
        <v>3833</v>
      </c>
      <c r="E124" s="437" t="s">
        <v>3541</v>
      </c>
      <c r="F124" s="436" t="s">
        <v>3494</v>
      </c>
      <c r="G124" s="436" t="s">
        <v>3495</v>
      </c>
      <c r="H124" s="437" t="s">
        <v>3496</v>
      </c>
      <c r="I124" s="436" t="s">
        <v>3497</v>
      </c>
      <c r="J124" s="437" t="s">
        <v>3498</v>
      </c>
      <c r="K124" s="437" t="s">
        <v>3499</v>
      </c>
      <c r="L124" s="436" t="s">
        <v>3500</v>
      </c>
      <c r="M124" s="436" t="s">
        <v>3524</v>
      </c>
      <c r="N124" s="436" t="s">
        <v>3502</v>
      </c>
      <c r="O124" s="438">
        <v>119000</v>
      </c>
      <c r="P124" s="438">
        <v>82110</v>
      </c>
      <c r="Q124" s="438">
        <v>1</v>
      </c>
      <c r="R124" s="438">
        <v>0</v>
      </c>
      <c r="S124" s="438">
        <v>0</v>
      </c>
      <c r="T124" s="438">
        <v>0</v>
      </c>
      <c r="U124" s="438">
        <v>0</v>
      </c>
      <c r="V124" s="438">
        <v>0</v>
      </c>
      <c r="W124" s="438">
        <v>31</v>
      </c>
      <c r="X124" s="438">
        <v>0</v>
      </c>
      <c r="Y124" s="438">
        <v>0</v>
      </c>
      <c r="Z124" s="438">
        <v>0</v>
      </c>
      <c r="AA124" s="438">
        <v>0</v>
      </c>
      <c r="AB124" s="438">
        <v>0</v>
      </c>
      <c r="AC124" s="438">
        <v>119000</v>
      </c>
      <c r="AD124" s="438">
        <v>82110</v>
      </c>
      <c r="AE124" s="438">
        <v>0</v>
      </c>
      <c r="AF124" s="438">
        <v>0</v>
      </c>
      <c r="AG124" s="438">
        <v>119000</v>
      </c>
      <c r="AH124" s="438">
        <v>82110</v>
      </c>
      <c r="AI124" s="438">
        <v>33536</v>
      </c>
      <c r="AJ124" s="438">
        <v>3354</v>
      </c>
      <c r="AK124" s="438">
        <v>36890</v>
      </c>
      <c r="AL124" s="414" t="str">
        <f t="shared" si="6"/>
        <v>워커힐 시그니처 양념 본갈비 300g, 8개</v>
      </c>
      <c r="AM124" s="395">
        <f t="shared" si="7"/>
        <v>46060</v>
      </c>
      <c r="AN124" s="396">
        <f t="shared" si="8"/>
        <v>1</v>
      </c>
      <c r="AO124" s="109">
        <f t="shared" si="9"/>
        <v>119000</v>
      </c>
      <c r="AP124" s="109">
        <f t="shared" si="10"/>
        <v>108181.81818181818</v>
      </c>
      <c r="AQ124" s="397">
        <f t="shared" si="11"/>
        <v>108181.81818181818</v>
      </c>
    </row>
    <row r="125" spans="1:43" ht="24">
      <c r="A125" s="436" t="s">
        <v>3846</v>
      </c>
      <c r="B125" s="436" t="s">
        <v>3490</v>
      </c>
      <c r="C125" s="437" t="s">
        <v>3491</v>
      </c>
      <c r="D125" s="436" t="s">
        <v>3643</v>
      </c>
      <c r="E125" s="437" t="s">
        <v>3551</v>
      </c>
      <c r="F125" s="436" t="s">
        <v>3494</v>
      </c>
      <c r="G125" s="436" t="s">
        <v>3495</v>
      </c>
      <c r="H125" s="437" t="s">
        <v>3496</v>
      </c>
      <c r="I125" s="436" t="s">
        <v>3497</v>
      </c>
      <c r="J125" s="437" t="s">
        <v>3498</v>
      </c>
      <c r="K125" s="437" t="s">
        <v>3499</v>
      </c>
      <c r="L125" s="436" t="s">
        <v>3500</v>
      </c>
      <c r="M125" s="436" t="s">
        <v>3524</v>
      </c>
      <c r="N125" s="436" t="s">
        <v>3502</v>
      </c>
      <c r="O125" s="438">
        <v>119000</v>
      </c>
      <c r="P125" s="438">
        <v>82110</v>
      </c>
      <c r="Q125" s="438">
        <v>1</v>
      </c>
      <c r="R125" s="438">
        <v>0</v>
      </c>
      <c r="S125" s="438">
        <v>0</v>
      </c>
      <c r="T125" s="438">
        <v>0</v>
      </c>
      <c r="U125" s="438">
        <v>0</v>
      </c>
      <c r="V125" s="438">
        <v>0</v>
      </c>
      <c r="W125" s="438">
        <v>31</v>
      </c>
      <c r="X125" s="438">
        <v>0</v>
      </c>
      <c r="Y125" s="438">
        <v>0</v>
      </c>
      <c r="Z125" s="438">
        <v>0</v>
      </c>
      <c r="AA125" s="438">
        <v>0</v>
      </c>
      <c r="AB125" s="438">
        <v>0</v>
      </c>
      <c r="AC125" s="438">
        <v>119000</v>
      </c>
      <c r="AD125" s="438">
        <v>82110</v>
      </c>
      <c r="AE125" s="438">
        <v>0</v>
      </c>
      <c r="AF125" s="438">
        <v>0</v>
      </c>
      <c r="AG125" s="438">
        <v>119000</v>
      </c>
      <c r="AH125" s="438">
        <v>82110</v>
      </c>
      <c r="AI125" s="438">
        <v>33536</v>
      </c>
      <c r="AJ125" s="438">
        <v>3354</v>
      </c>
      <c r="AK125" s="438">
        <v>36890</v>
      </c>
      <c r="AL125" s="414" t="str">
        <f t="shared" si="6"/>
        <v>워커힐 시그니처 양념 본갈비 300g, 8개</v>
      </c>
      <c r="AM125" s="395">
        <f t="shared" si="7"/>
        <v>46060</v>
      </c>
      <c r="AN125" s="396">
        <f t="shared" si="8"/>
        <v>1</v>
      </c>
      <c r="AO125" s="109">
        <f t="shared" si="9"/>
        <v>119000</v>
      </c>
      <c r="AP125" s="109">
        <f t="shared" si="10"/>
        <v>108181.81818181818</v>
      </c>
      <c r="AQ125" s="397">
        <f t="shared" si="11"/>
        <v>108181.81818181818</v>
      </c>
    </row>
    <row r="126" spans="1:43" ht="24">
      <c r="A126" s="436" t="s">
        <v>3849</v>
      </c>
      <c r="B126" s="436" t="s">
        <v>3490</v>
      </c>
      <c r="C126" s="437" t="s">
        <v>3491</v>
      </c>
      <c r="D126" s="436" t="s">
        <v>3838</v>
      </c>
      <c r="E126" s="437" t="s">
        <v>3839</v>
      </c>
      <c r="F126" s="436" t="s">
        <v>3494</v>
      </c>
      <c r="G126" s="436" t="s">
        <v>3495</v>
      </c>
      <c r="H126" s="437" t="s">
        <v>3496</v>
      </c>
      <c r="I126" s="436" t="s">
        <v>3497</v>
      </c>
      <c r="J126" s="437" t="s">
        <v>3498</v>
      </c>
      <c r="K126" s="437" t="s">
        <v>3499</v>
      </c>
      <c r="L126" s="436" t="s">
        <v>3500</v>
      </c>
      <c r="M126" s="436" t="s">
        <v>3524</v>
      </c>
      <c r="N126" s="436" t="s">
        <v>3502</v>
      </c>
      <c r="O126" s="438">
        <v>119000</v>
      </c>
      <c r="P126" s="438">
        <v>82110</v>
      </c>
      <c r="Q126" s="438">
        <v>1</v>
      </c>
      <c r="R126" s="438">
        <v>0</v>
      </c>
      <c r="S126" s="438">
        <v>0</v>
      </c>
      <c r="T126" s="438">
        <v>0</v>
      </c>
      <c r="U126" s="438">
        <v>0</v>
      </c>
      <c r="V126" s="438">
        <v>0</v>
      </c>
      <c r="W126" s="438">
        <v>31</v>
      </c>
      <c r="X126" s="438">
        <v>0</v>
      </c>
      <c r="Y126" s="438">
        <v>0</v>
      </c>
      <c r="Z126" s="438">
        <v>0</v>
      </c>
      <c r="AA126" s="438">
        <v>0</v>
      </c>
      <c r="AB126" s="438">
        <v>0</v>
      </c>
      <c r="AC126" s="438">
        <v>119000</v>
      </c>
      <c r="AD126" s="438">
        <v>82110</v>
      </c>
      <c r="AE126" s="438">
        <v>0</v>
      </c>
      <c r="AF126" s="438">
        <v>0</v>
      </c>
      <c r="AG126" s="438">
        <v>119000</v>
      </c>
      <c r="AH126" s="438">
        <v>82110</v>
      </c>
      <c r="AI126" s="438">
        <v>33536</v>
      </c>
      <c r="AJ126" s="438">
        <v>3354</v>
      </c>
      <c r="AK126" s="438">
        <v>36890</v>
      </c>
      <c r="AL126" s="414" t="str">
        <f t="shared" si="6"/>
        <v>워커힐 시그니처 양념 본갈비 300g, 8개</v>
      </c>
      <c r="AM126" s="395">
        <f t="shared" si="7"/>
        <v>46060</v>
      </c>
      <c r="AN126" s="396">
        <f t="shared" si="8"/>
        <v>1</v>
      </c>
      <c r="AO126" s="109">
        <f t="shared" si="9"/>
        <v>119000</v>
      </c>
      <c r="AP126" s="109">
        <f t="shared" si="10"/>
        <v>108181.81818181818</v>
      </c>
      <c r="AQ126" s="397">
        <f t="shared" si="11"/>
        <v>108181.81818181818</v>
      </c>
    </row>
    <row r="127" spans="1:43" ht="24">
      <c r="A127" s="436" t="s">
        <v>3852</v>
      </c>
      <c r="B127" s="436" t="s">
        <v>3490</v>
      </c>
      <c r="C127" s="437" t="s">
        <v>3491</v>
      </c>
      <c r="D127" s="436" t="s">
        <v>3847</v>
      </c>
      <c r="E127" s="437" t="s">
        <v>3848</v>
      </c>
      <c r="F127" s="436" t="s">
        <v>3494</v>
      </c>
      <c r="G127" s="436" t="s">
        <v>3495</v>
      </c>
      <c r="H127" s="437" t="s">
        <v>3496</v>
      </c>
      <c r="I127" s="436" t="s">
        <v>3497</v>
      </c>
      <c r="J127" s="437" t="s">
        <v>3498</v>
      </c>
      <c r="K127" s="437" t="s">
        <v>3499</v>
      </c>
      <c r="L127" s="436" t="s">
        <v>3500</v>
      </c>
      <c r="M127" s="436" t="s">
        <v>3524</v>
      </c>
      <c r="N127" s="436" t="s">
        <v>3502</v>
      </c>
      <c r="O127" s="438">
        <v>119000</v>
      </c>
      <c r="P127" s="438">
        <v>82110</v>
      </c>
      <c r="Q127" s="438">
        <v>1</v>
      </c>
      <c r="R127" s="438">
        <v>0</v>
      </c>
      <c r="S127" s="438">
        <v>0</v>
      </c>
      <c r="T127" s="438">
        <v>0</v>
      </c>
      <c r="U127" s="438">
        <v>0</v>
      </c>
      <c r="V127" s="438">
        <v>0</v>
      </c>
      <c r="W127" s="438">
        <v>31</v>
      </c>
      <c r="X127" s="438">
        <v>0</v>
      </c>
      <c r="Y127" s="438">
        <v>0</v>
      </c>
      <c r="Z127" s="438">
        <v>0</v>
      </c>
      <c r="AA127" s="438">
        <v>0</v>
      </c>
      <c r="AB127" s="438">
        <v>0</v>
      </c>
      <c r="AC127" s="438">
        <v>119000</v>
      </c>
      <c r="AD127" s="438">
        <v>82110</v>
      </c>
      <c r="AE127" s="438">
        <v>0</v>
      </c>
      <c r="AF127" s="438">
        <v>0</v>
      </c>
      <c r="AG127" s="438">
        <v>119000</v>
      </c>
      <c r="AH127" s="438">
        <v>82110</v>
      </c>
      <c r="AI127" s="438">
        <v>33536</v>
      </c>
      <c r="AJ127" s="438">
        <v>3354</v>
      </c>
      <c r="AK127" s="438">
        <v>36890</v>
      </c>
      <c r="AL127" s="414" t="str">
        <f t="shared" si="6"/>
        <v>워커힐 시그니처 양념 본갈비 300g, 8개</v>
      </c>
      <c r="AM127" s="395">
        <f t="shared" si="7"/>
        <v>46060</v>
      </c>
      <c r="AN127" s="396">
        <f t="shared" si="8"/>
        <v>1</v>
      </c>
      <c r="AO127" s="109">
        <f t="shared" si="9"/>
        <v>119000</v>
      </c>
      <c r="AP127" s="109">
        <f t="shared" si="10"/>
        <v>108181.81818181818</v>
      </c>
      <c r="AQ127" s="397">
        <f t="shared" si="11"/>
        <v>108181.81818181818</v>
      </c>
    </row>
    <row r="128" spans="1:43" ht="24">
      <c r="A128" s="436" t="s">
        <v>3855</v>
      </c>
      <c r="B128" s="436" t="s">
        <v>3490</v>
      </c>
      <c r="C128" s="437" t="s">
        <v>3491</v>
      </c>
      <c r="D128" s="436" t="s">
        <v>3850</v>
      </c>
      <c r="E128" s="437" t="s">
        <v>3851</v>
      </c>
      <c r="F128" s="436" t="s">
        <v>3494</v>
      </c>
      <c r="G128" s="436" t="s">
        <v>3495</v>
      </c>
      <c r="H128" s="437" t="s">
        <v>3496</v>
      </c>
      <c r="I128" s="436" t="s">
        <v>3497</v>
      </c>
      <c r="J128" s="437" t="s">
        <v>3498</v>
      </c>
      <c r="K128" s="437" t="s">
        <v>3499</v>
      </c>
      <c r="L128" s="436" t="s">
        <v>3500</v>
      </c>
      <c r="M128" s="436" t="s">
        <v>3524</v>
      </c>
      <c r="N128" s="436" t="s">
        <v>3502</v>
      </c>
      <c r="O128" s="438">
        <v>119000</v>
      </c>
      <c r="P128" s="438">
        <v>82110</v>
      </c>
      <c r="Q128" s="438">
        <v>1</v>
      </c>
      <c r="R128" s="438">
        <v>0</v>
      </c>
      <c r="S128" s="438">
        <v>0</v>
      </c>
      <c r="T128" s="438">
        <v>0</v>
      </c>
      <c r="U128" s="438">
        <v>0</v>
      </c>
      <c r="V128" s="438">
        <v>0</v>
      </c>
      <c r="W128" s="438">
        <v>31</v>
      </c>
      <c r="X128" s="438">
        <v>0</v>
      </c>
      <c r="Y128" s="438">
        <v>0</v>
      </c>
      <c r="Z128" s="438">
        <v>0</v>
      </c>
      <c r="AA128" s="438">
        <v>0</v>
      </c>
      <c r="AB128" s="438">
        <v>0</v>
      </c>
      <c r="AC128" s="438">
        <v>119000</v>
      </c>
      <c r="AD128" s="438">
        <v>82110</v>
      </c>
      <c r="AE128" s="438">
        <v>0</v>
      </c>
      <c r="AF128" s="438">
        <v>0</v>
      </c>
      <c r="AG128" s="438">
        <v>119000</v>
      </c>
      <c r="AH128" s="438">
        <v>82110</v>
      </c>
      <c r="AI128" s="438">
        <v>33536</v>
      </c>
      <c r="AJ128" s="438">
        <v>3354</v>
      </c>
      <c r="AK128" s="438">
        <v>36890</v>
      </c>
      <c r="AL128" s="414" t="str">
        <f t="shared" si="6"/>
        <v>워커힐 시그니처 양념 본갈비 300g, 8개</v>
      </c>
      <c r="AM128" s="395">
        <f t="shared" si="7"/>
        <v>46060</v>
      </c>
      <c r="AN128" s="396">
        <f t="shared" si="8"/>
        <v>1</v>
      </c>
      <c r="AO128" s="109">
        <f t="shared" si="9"/>
        <v>119000</v>
      </c>
      <c r="AP128" s="109">
        <f t="shared" si="10"/>
        <v>108181.81818181818</v>
      </c>
      <c r="AQ128" s="397">
        <f t="shared" si="11"/>
        <v>108181.81818181818</v>
      </c>
    </row>
    <row r="129" spans="1:43" ht="24">
      <c r="A129" s="436" t="s">
        <v>3857</v>
      </c>
      <c r="B129" s="436" t="s">
        <v>3490</v>
      </c>
      <c r="C129" s="437" t="s">
        <v>3491</v>
      </c>
      <c r="D129" s="436" t="s">
        <v>3645</v>
      </c>
      <c r="E129" s="437" t="s">
        <v>3646</v>
      </c>
      <c r="F129" s="436" t="s">
        <v>3494</v>
      </c>
      <c r="G129" s="436" t="s">
        <v>3495</v>
      </c>
      <c r="H129" s="437" t="s">
        <v>3496</v>
      </c>
      <c r="I129" s="436" t="s">
        <v>3497</v>
      </c>
      <c r="J129" s="437" t="s">
        <v>3498</v>
      </c>
      <c r="K129" s="437" t="s">
        <v>3499</v>
      </c>
      <c r="L129" s="436" t="s">
        <v>3500</v>
      </c>
      <c r="M129" s="436" t="s">
        <v>3524</v>
      </c>
      <c r="N129" s="436" t="s">
        <v>3502</v>
      </c>
      <c r="O129" s="438">
        <v>119000</v>
      </c>
      <c r="P129" s="438">
        <v>82110</v>
      </c>
      <c r="Q129" s="438">
        <v>1</v>
      </c>
      <c r="R129" s="438">
        <v>0</v>
      </c>
      <c r="S129" s="438">
        <v>0</v>
      </c>
      <c r="T129" s="438">
        <v>0</v>
      </c>
      <c r="U129" s="438">
        <v>0</v>
      </c>
      <c r="V129" s="438">
        <v>0</v>
      </c>
      <c r="W129" s="438">
        <v>31</v>
      </c>
      <c r="X129" s="438">
        <v>0</v>
      </c>
      <c r="Y129" s="438">
        <v>0</v>
      </c>
      <c r="Z129" s="438">
        <v>0</v>
      </c>
      <c r="AA129" s="438">
        <v>0</v>
      </c>
      <c r="AB129" s="438">
        <v>0</v>
      </c>
      <c r="AC129" s="438">
        <v>119000</v>
      </c>
      <c r="AD129" s="438">
        <v>82110</v>
      </c>
      <c r="AE129" s="438">
        <v>0</v>
      </c>
      <c r="AF129" s="438">
        <v>0</v>
      </c>
      <c r="AG129" s="438">
        <v>119000</v>
      </c>
      <c r="AH129" s="438">
        <v>82110</v>
      </c>
      <c r="AI129" s="438">
        <v>33536</v>
      </c>
      <c r="AJ129" s="438">
        <v>3354</v>
      </c>
      <c r="AK129" s="438">
        <v>36890</v>
      </c>
      <c r="AL129" s="414" t="str">
        <f t="shared" si="6"/>
        <v>워커힐 시그니처 양념 본갈비 300g, 8개</v>
      </c>
      <c r="AM129" s="395">
        <f t="shared" si="7"/>
        <v>46060</v>
      </c>
      <c r="AN129" s="396">
        <f t="shared" si="8"/>
        <v>1</v>
      </c>
      <c r="AO129" s="109">
        <f t="shared" si="9"/>
        <v>119000</v>
      </c>
      <c r="AP129" s="109">
        <f t="shared" si="10"/>
        <v>108181.81818181818</v>
      </c>
      <c r="AQ129" s="397">
        <f t="shared" si="11"/>
        <v>108181.81818181818</v>
      </c>
    </row>
    <row r="130" spans="1:43" ht="24">
      <c r="A130" s="436" t="s">
        <v>3860</v>
      </c>
      <c r="B130" s="436" t="s">
        <v>3490</v>
      </c>
      <c r="C130" s="437" t="s">
        <v>3491</v>
      </c>
      <c r="D130" s="436" t="s">
        <v>3648</v>
      </c>
      <c r="E130" s="437" t="s">
        <v>3649</v>
      </c>
      <c r="F130" s="436" t="s">
        <v>3494</v>
      </c>
      <c r="G130" s="436" t="s">
        <v>3495</v>
      </c>
      <c r="H130" s="437" t="s">
        <v>3496</v>
      </c>
      <c r="I130" s="436" t="s">
        <v>3497</v>
      </c>
      <c r="J130" s="437" t="s">
        <v>3498</v>
      </c>
      <c r="K130" s="437" t="s">
        <v>3548</v>
      </c>
      <c r="L130" s="436" t="s">
        <v>3500</v>
      </c>
      <c r="M130" s="436" t="s">
        <v>3524</v>
      </c>
      <c r="N130" s="436" t="s">
        <v>3502</v>
      </c>
      <c r="O130" s="438">
        <v>119000</v>
      </c>
      <c r="P130" s="438">
        <v>82110</v>
      </c>
      <c r="Q130" s="438">
        <v>1</v>
      </c>
      <c r="R130" s="438">
        <v>0</v>
      </c>
      <c r="S130" s="438">
        <v>0</v>
      </c>
      <c r="T130" s="438">
        <v>0</v>
      </c>
      <c r="U130" s="438">
        <v>0</v>
      </c>
      <c r="V130" s="438">
        <v>0</v>
      </c>
      <c r="W130" s="438">
        <v>31</v>
      </c>
      <c r="X130" s="438">
        <v>0</v>
      </c>
      <c r="Y130" s="438">
        <v>0</v>
      </c>
      <c r="Z130" s="438">
        <v>0</v>
      </c>
      <c r="AA130" s="438">
        <v>0</v>
      </c>
      <c r="AB130" s="438">
        <v>0</v>
      </c>
      <c r="AC130" s="438">
        <v>119000</v>
      </c>
      <c r="AD130" s="438">
        <v>82110</v>
      </c>
      <c r="AE130" s="438">
        <v>0</v>
      </c>
      <c r="AF130" s="438">
        <v>0</v>
      </c>
      <c r="AG130" s="438">
        <v>119000</v>
      </c>
      <c r="AH130" s="438">
        <v>82110</v>
      </c>
      <c r="AI130" s="438">
        <v>33536</v>
      </c>
      <c r="AJ130" s="438">
        <v>3354</v>
      </c>
      <c r="AK130" s="438">
        <v>36890</v>
      </c>
      <c r="AL130" s="414" t="str">
        <f t="shared" si="6"/>
        <v>워커힐 시그니처 양념 본갈비 300g, 8개</v>
      </c>
      <c r="AM130" s="395">
        <f t="shared" si="7"/>
        <v>46060</v>
      </c>
      <c r="AN130" s="396">
        <f t="shared" si="8"/>
        <v>1</v>
      </c>
      <c r="AO130" s="109">
        <f t="shared" si="9"/>
        <v>119000</v>
      </c>
      <c r="AP130" s="109">
        <f t="shared" si="10"/>
        <v>108181.81818181818</v>
      </c>
      <c r="AQ130" s="397">
        <f t="shared" si="11"/>
        <v>108181.81818181818</v>
      </c>
    </row>
    <row r="131" spans="1:43" ht="24">
      <c r="A131" s="436" t="s">
        <v>3863</v>
      </c>
      <c r="B131" s="436" t="s">
        <v>3490</v>
      </c>
      <c r="C131" s="437" t="s">
        <v>3491</v>
      </c>
      <c r="D131" s="436" t="s">
        <v>3853</v>
      </c>
      <c r="E131" s="437" t="s">
        <v>3854</v>
      </c>
      <c r="F131" s="436" t="s">
        <v>3494</v>
      </c>
      <c r="G131" s="436" t="s">
        <v>3495</v>
      </c>
      <c r="H131" s="437" t="s">
        <v>3496</v>
      </c>
      <c r="I131" s="436" t="s">
        <v>3497</v>
      </c>
      <c r="J131" s="437" t="s">
        <v>3498</v>
      </c>
      <c r="K131" s="437" t="s">
        <v>3499</v>
      </c>
      <c r="L131" s="436" t="s">
        <v>3500</v>
      </c>
      <c r="M131" s="436" t="s">
        <v>3524</v>
      </c>
      <c r="N131" s="436" t="s">
        <v>3502</v>
      </c>
      <c r="O131" s="438">
        <v>119000</v>
      </c>
      <c r="P131" s="438">
        <v>82110</v>
      </c>
      <c r="Q131" s="438">
        <v>1</v>
      </c>
      <c r="R131" s="438">
        <v>0</v>
      </c>
      <c r="S131" s="438">
        <v>0</v>
      </c>
      <c r="T131" s="438">
        <v>0</v>
      </c>
      <c r="U131" s="438">
        <v>0</v>
      </c>
      <c r="V131" s="438">
        <v>0</v>
      </c>
      <c r="W131" s="438">
        <v>31</v>
      </c>
      <c r="X131" s="438">
        <v>19040</v>
      </c>
      <c r="Y131" s="438">
        <v>0</v>
      </c>
      <c r="Z131" s="438">
        <v>0</v>
      </c>
      <c r="AA131" s="438">
        <v>0</v>
      </c>
      <c r="AB131" s="438">
        <v>0</v>
      </c>
      <c r="AC131" s="438">
        <v>119000</v>
      </c>
      <c r="AD131" s="438">
        <v>82110</v>
      </c>
      <c r="AE131" s="438">
        <v>0</v>
      </c>
      <c r="AF131" s="438">
        <v>19040</v>
      </c>
      <c r="AG131" s="438">
        <v>99960</v>
      </c>
      <c r="AH131" s="438">
        <v>82110</v>
      </c>
      <c r="AI131" s="438">
        <v>16227</v>
      </c>
      <c r="AJ131" s="438">
        <v>1623</v>
      </c>
      <c r="AK131" s="438">
        <v>17850</v>
      </c>
      <c r="AL131" s="414" t="str">
        <f t="shared" ref="AL131:AL194" si="12">SUBSTITUTE(SUBSTITUTE(H131,"[워커힐]워커힐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131" s="395">
        <f t="shared" ref="AM131:AM194" si="13">IF(N131="배송완료", DATE(LEFT(M131,4), MID(M131,6,2), MID(M131,9,2)), "")</f>
        <v>46060</v>
      </c>
      <c r="AN131" s="396">
        <f t="shared" ref="AN131:AN194" si="14">IF(OR(N131="배송완료", Q131&lt;0), Q131, 0)</f>
        <v>1</v>
      </c>
      <c r="AO131" s="109">
        <f t="shared" ref="AO131:AO194" si="15">IF(AL131="워커힐 시그니처 양념 본갈비 300g, 8개",119000,IF(AL131="워커힐 시그니처 양념 본갈비 300g, 4개",78000,""))</f>
        <v>119000</v>
      </c>
      <c r="AP131" s="109">
        <f t="shared" ref="AP131:AP194" si="16">AO131/1.1</f>
        <v>108181.81818181818</v>
      </c>
      <c r="AQ131" s="397">
        <f t="shared" ref="AQ131:AQ194" si="17">AN131*AP131</f>
        <v>108181.81818181818</v>
      </c>
    </row>
    <row r="132" spans="1:43" s="415" customFormat="1" ht="24">
      <c r="A132" s="436" t="s">
        <v>3866</v>
      </c>
      <c r="B132" s="436" t="s">
        <v>3490</v>
      </c>
      <c r="C132" s="437" t="s">
        <v>3491</v>
      </c>
      <c r="D132" s="436" t="s">
        <v>3856</v>
      </c>
      <c r="E132" s="437" t="s">
        <v>3541</v>
      </c>
      <c r="F132" s="436" t="s">
        <v>3494</v>
      </c>
      <c r="G132" s="436" t="s">
        <v>3495</v>
      </c>
      <c r="H132" s="437" t="s">
        <v>3496</v>
      </c>
      <c r="I132" s="436" t="s">
        <v>3497</v>
      </c>
      <c r="J132" s="437" t="s">
        <v>3498</v>
      </c>
      <c r="K132" s="437" t="s">
        <v>3499</v>
      </c>
      <c r="L132" s="436" t="s">
        <v>3500</v>
      </c>
      <c r="M132" s="436" t="s">
        <v>3524</v>
      </c>
      <c r="N132" s="436" t="s">
        <v>3502</v>
      </c>
      <c r="O132" s="438">
        <v>119000</v>
      </c>
      <c r="P132" s="438">
        <v>82110</v>
      </c>
      <c r="Q132" s="438">
        <v>1</v>
      </c>
      <c r="R132" s="438">
        <v>0</v>
      </c>
      <c r="S132" s="438">
        <v>0</v>
      </c>
      <c r="T132" s="438">
        <v>0</v>
      </c>
      <c r="U132" s="438">
        <v>0</v>
      </c>
      <c r="V132" s="438">
        <v>0</v>
      </c>
      <c r="W132" s="438">
        <v>31</v>
      </c>
      <c r="X132" s="438">
        <v>0</v>
      </c>
      <c r="Y132" s="438">
        <v>10000</v>
      </c>
      <c r="Z132" s="438">
        <v>0</v>
      </c>
      <c r="AA132" s="438">
        <v>0</v>
      </c>
      <c r="AB132" s="438">
        <v>0</v>
      </c>
      <c r="AC132" s="438">
        <v>119000</v>
      </c>
      <c r="AD132" s="438">
        <v>82110</v>
      </c>
      <c r="AE132" s="438">
        <v>0</v>
      </c>
      <c r="AF132" s="438">
        <v>10000</v>
      </c>
      <c r="AG132" s="438">
        <v>109000</v>
      </c>
      <c r="AH132" s="438">
        <v>82110</v>
      </c>
      <c r="AI132" s="438">
        <v>24445</v>
      </c>
      <c r="AJ132" s="438">
        <v>2445</v>
      </c>
      <c r="AK132" s="438">
        <v>26890</v>
      </c>
      <c r="AL132" s="414" t="str">
        <f t="shared" si="12"/>
        <v>워커힐 시그니처 양념 본갈비 300g, 8개</v>
      </c>
      <c r="AM132" s="395">
        <f t="shared" si="13"/>
        <v>46060</v>
      </c>
      <c r="AN132" s="396">
        <f t="shared" si="14"/>
        <v>1</v>
      </c>
      <c r="AO132" s="109">
        <f t="shared" si="15"/>
        <v>119000</v>
      </c>
      <c r="AP132" s="349">
        <f t="shared" si="16"/>
        <v>108181.81818181818</v>
      </c>
      <c r="AQ132" s="397">
        <f t="shared" si="17"/>
        <v>108181.81818181818</v>
      </c>
    </row>
    <row r="133" spans="1:43" ht="24">
      <c r="A133" s="436" t="s">
        <v>3869</v>
      </c>
      <c r="B133" s="436" t="s">
        <v>3490</v>
      </c>
      <c r="C133" s="437" t="s">
        <v>3491</v>
      </c>
      <c r="D133" s="436" t="s">
        <v>3858</v>
      </c>
      <c r="E133" s="437" t="s">
        <v>3859</v>
      </c>
      <c r="F133" s="436" t="s">
        <v>3494</v>
      </c>
      <c r="G133" s="436" t="s">
        <v>3495</v>
      </c>
      <c r="H133" s="437" t="s">
        <v>3496</v>
      </c>
      <c r="I133" s="436" t="s">
        <v>3497</v>
      </c>
      <c r="J133" s="437" t="s">
        <v>3498</v>
      </c>
      <c r="K133" s="437" t="s">
        <v>3499</v>
      </c>
      <c r="L133" s="436" t="s">
        <v>3500</v>
      </c>
      <c r="M133" s="436" t="s">
        <v>3524</v>
      </c>
      <c r="N133" s="436" t="s">
        <v>3502</v>
      </c>
      <c r="O133" s="438">
        <v>119000</v>
      </c>
      <c r="P133" s="438">
        <v>82110</v>
      </c>
      <c r="Q133" s="438">
        <v>1</v>
      </c>
      <c r="R133" s="438">
        <v>0</v>
      </c>
      <c r="S133" s="438">
        <v>0</v>
      </c>
      <c r="T133" s="438">
        <v>0</v>
      </c>
      <c r="U133" s="438">
        <v>0</v>
      </c>
      <c r="V133" s="438">
        <v>0</v>
      </c>
      <c r="W133" s="438">
        <v>31</v>
      </c>
      <c r="X133" s="438">
        <v>0</v>
      </c>
      <c r="Y133" s="438">
        <v>0</v>
      </c>
      <c r="Z133" s="438">
        <v>0</v>
      </c>
      <c r="AA133" s="438">
        <v>0</v>
      </c>
      <c r="AB133" s="438">
        <v>0</v>
      </c>
      <c r="AC133" s="438">
        <v>119000</v>
      </c>
      <c r="AD133" s="438">
        <v>82110</v>
      </c>
      <c r="AE133" s="438">
        <v>0</v>
      </c>
      <c r="AF133" s="438">
        <v>0</v>
      </c>
      <c r="AG133" s="438">
        <v>119000</v>
      </c>
      <c r="AH133" s="438">
        <v>82110</v>
      </c>
      <c r="AI133" s="438">
        <v>33536</v>
      </c>
      <c r="AJ133" s="438">
        <v>3354</v>
      </c>
      <c r="AK133" s="438">
        <v>36890</v>
      </c>
      <c r="AL133" s="414" t="str">
        <f t="shared" si="12"/>
        <v>워커힐 시그니처 양념 본갈비 300g, 8개</v>
      </c>
      <c r="AM133" s="395">
        <f t="shared" si="13"/>
        <v>46060</v>
      </c>
      <c r="AN133" s="396">
        <f t="shared" si="14"/>
        <v>1</v>
      </c>
      <c r="AO133" s="109">
        <f t="shared" si="15"/>
        <v>119000</v>
      </c>
      <c r="AP133" s="109">
        <f t="shared" si="16"/>
        <v>108181.81818181818</v>
      </c>
      <c r="AQ133" s="397">
        <f t="shared" si="17"/>
        <v>108181.81818181818</v>
      </c>
    </row>
    <row r="134" spans="1:43" ht="24">
      <c r="A134" s="436" t="s">
        <v>3872</v>
      </c>
      <c r="B134" s="436" t="s">
        <v>3490</v>
      </c>
      <c r="C134" s="437" t="s">
        <v>3491</v>
      </c>
      <c r="D134" s="436" t="s">
        <v>3861</v>
      </c>
      <c r="E134" s="437" t="s">
        <v>3862</v>
      </c>
      <c r="F134" s="436" t="s">
        <v>3494</v>
      </c>
      <c r="G134" s="436" t="s">
        <v>3495</v>
      </c>
      <c r="H134" s="437" t="s">
        <v>3496</v>
      </c>
      <c r="I134" s="436" t="s">
        <v>3497</v>
      </c>
      <c r="J134" s="437" t="s">
        <v>3498</v>
      </c>
      <c r="K134" s="437" t="s">
        <v>3499</v>
      </c>
      <c r="L134" s="436" t="s">
        <v>3500</v>
      </c>
      <c r="M134" s="436" t="s">
        <v>3524</v>
      </c>
      <c r="N134" s="436" t="s">
        <v>3502</v>
      </c>
      <c r="O134" s="438">
        <v>119000</v>
      </c>
      <c r="P134" s="438">
        <v>82110</v>
      </c>
      <c r="Q134" s="438">
        <v>1</v>
      </c>
      <c r="R134" s="438">
        <v>0</v>
      </c>
      <c r="S134" s="438">
        <v>0</v>
      </c>
      <c r="T134" s="438">
        <v>0</v>
      </c>
      <c r="U134" s="438">
        <v>0</v>
      </c>
      <c r="V134" s="438">
        <v>0</v>
      </c>
      <c r="W134" s="438">
        <v>31</v>
      </c>
      <c r="X134" s="438">
        <v>0</v>
      </c>
      <c r="Y134" s="438">
        <v>0</v>
      </c>
      <c r="Z134" s="438">
        <v>0</v>
      </c>
      <c r="AA134" s="438">
        <v>0</v>
      </c>
      <c r="AB134" s="438">
        <v>0</v>
      </c>
      <c r="AC134" s="438">
        <v>119000</v>
      </c>
      <c r="AD134" s="438">
        <v>82110</v>
      </c>
      <c r="AE134" s="438">
        <v>0</v>
      </c>
      <c r="AF134" s="438">
        <v>0</v>
      </c>
      <c r="AG134" s="438">
        <v>119000</v>
      </c>
      <c r="AH134" s="438">
        <v>82110</v>
      </c>
      <c r="AI134" s="438">
        <v>33536</v>
      </c>
      <c r="AJ134" s="438">
        <v>3354</v>
      </c>
      <c r="AK134" s="438">
        <v>36890</v>
      </c>
      <c r="AL134" s="414" t="str">
        <f t="shared" si="12"/>
        <v>워커힐 시그니처 양념 본갈비 300g, 8개</v>
      </c>
      <c r="AM134" s="395">
        <f t="shared" si="13"/>
        <v>46060</v>
      </c>
      <c r="AN134" s="396">
        <f t="shared" si="14"/>
        <v>1</v>
      </c>
      <c r="AO134" s="109">
        <f t="shared" si="15"/>
        <v>119000</v>
      </c>
      <c r="AP134" s="109">
        <f t="shared" si="16"/>
        <v>108181.81818181818</v>
      </c>
      <c r="AQ134" s="397">
        <f t="shared" si="17"/>
        <v>108181.81818181818</v>
      </c>
    </row>
    <row r="135" spans="1:43" ht="24">
      <c r="A135" s="436" t="s">
        <v>3875</v>
      </c>
      <c r="B135" s="436" t="s">
        <v>3490</v>
      </c>
      <c r="C135" s="437" t="s">
        <v>3491</v>
      </c>
      <c r="D135" s="436" t="s">
        <v>3864</v>
      </c>
      <c r="E135" s="437" t="s">
        <v>3865</v>
      </c>
      <c r="F135" s="436" t="s">
        <v>3494</v>
      </c>
      <c r="G135" s="436" t="s">
        <v>3495</v>
      </c>
      <c r="H135" s="437" t="s">
        <v>3496</v>
      </c>
      <c r="I135" s="436" t="s">
        <v>3497</v>
      </c>
      <c r="J135" s="437" t="s">
        <v>3498</v>
      </c>
      <c r="K135" s="437" t="s">
        <v>3499</v>
      </c>
      <c r="L135" s="436" t="s">
        <v>3500</v>
      </c>
      <c r="M135" s="436" t="s">
        <v>3524</v>
      </c>
      <c r="N135" s="436" t="s">
        <v>3502</v>
      </c>
      <c r="O135" s="438">
        <v>119000</v>
      </c>
      <c r="P135" s="438">
        <v>82110</v>
      </c>
      <c r="Q135" s="438">
        <v>1</v>
      </c>
      <c r="R135" s="438">
        <v>0</v>
      </c>
      <c r="S135" s="438">
        <v>0</v>
      </c>
      <c r="T135" s="438">
        <v>0</v>
      </c>
      <c r="U135" s="438">
        <v>0</v>
      </c>
      <c r="V135" s="438">
        <v>0</v>
      </c>
      <c r="W135" s="438">
        <v>31</v>
      </c>
      <c r="X135" s="438">
        <v>0</v>
      </c>
      <c r="Y135" s="438">
        <v>0</v>
      </c>
      <c r="Z135" s="438">
        <v>0</v>
      </c>
      <c r="AA135" s="438">
        <v>0</v>
      </c>
      <c r="AB135" s="438">
        <v>0</v>
      </c>
      <c r="AC135" s="438">
        <v>119000</v>
      </c>
      <c r="AD135" s="438">
        <v>82110</v>
      </c>
      <c r="AE135" s="438">
        <v>0</v>
      </c>
      <c r="AF135" s="438">
        <v>0</v>
      </c>
      <c r="AG135" s="438">
        <v>119000</v>
      </c>
      <c r="AH135" s="438">
        <v>82110</v>
      </c>
      <c r="AI135" s="438">
        <v>33536</v>
      </c>
      <c r="AJ135" s="438">
        <v>3354</v>
      </c>
      <c r="AK135" s="438">
        <v>36890</v>
      </c>
      <c r="AL135" s="414" t="str">
        <f t="shared" si="12"/>
        <v>워커힐 시그니처 양념 본갈비 300g, 8개</v>
      </c>
      <c r="AM135" s="395">
        <f t="shared" si="13"/>
        <v>46060</v>
      </c>
      <c r="AN135" s="396">
        <f t="shared" si="14"/>
        <v>1</v>
      </c>
      <c r="AO135" s="109">
        <f t="shared" si="15"/>
        <v>119000</v>
      </c>
      <c r="AP135" s="109">
        <f t="shared" si="16"/>
        <v>108181.81818181818</v>
      </c>
      <c r="AQ135" s="397">
        <f t="shared" si="17"/>
        <v>108181.81818181818</v>
      </c>
    </row>
    <row r="136" spans="1:43" ht="24">
      <c r="A136" s="436" t="s">
        <v>3878</v>
      </c>
      <c r="B136" s="436" t="s">
        <v>3490</v>
      </c>
      <c r="C136" s="437" t="s">
        <v>3491</v>
      </c>
      <c r="D136" s="436" t="s">
        <v>3657</v>
      </c>
      <c r="E136" s="437" t="s">
        <v>3658</v>
      </c>
      <c r="F136" s="436" t="s">
        <v>3494</v>
      </c>
      <c r="G136" s="436" t="s">
        <v>3495</v>
      </c>
      <c r="H136" s="437" t="s">
        <v>3496</v>
      </c>
      <c r="I136" s="436" t="s">
        <v>3497</v>
      </c>
      <c r="J136" s="437" t="s">
        <v>3498</v>
      </c>
      <c r="K136" s="437" t="s">
        <v>3499</v>
      </c>
      <c r="L136" s="436" t="s">
        <v>3500</v>
      </c>
      <c r="M136" s="436" t="s">
        <v>3524</v>
      </c>
      <c r="N136" s="436" t="s">
        <v>3502</v>
      </c>
      <c r="O136" s="438">
        <v>119000</v>
      </c>
      <c r="P136" s="438">
        <v>82110</v>
      </c>
      <c r="Q136" s="438">
        <v>1</v>
      </c>
      <c r="R136" s="438">
        <v>0</v>
      </c>
      <c r="S136" s="438">
        <v>0</v>
      </c>
      <c r="T136" s="438">
        <v>0</v>
      </c>
      <c r="U136" s="438">
        <v>0</v>
      </c>
      <c r="V136" s="438">
        <v>0</v>
      </c>
      <c r="W136" s="438">
        <v>31</v>
      </c>
      <c r="X136" s="438">
        <v>0</v>
      </c>
      <c r="Y136" s="438">
        <v>0</v>
      </c>
      <c r="Z136" s="438">
        <v>0</v>
      </c>
      <c r="AA136" s="438">
        <v>0</v>
      </c>
      <c r="AB136" s="438">
        <v>0</v>
      </c>
      <c r="AC136" s="438">
        <v>119000</v>
      </c>
      <c r="AD136" s="438">
        <v>82110</v>
      </c>
      <c r="AE136" s="438">
        <v>0</v>
      </c>
      <c r="AF136" s="438">
        <v>0</v>
      </c>
      <c r="AG136" s="438">
        <v>119000</v>
      </c>
      <c r="AH136" s="438">
        <v>82110</v>
      </c>
      <c r="AI136" s="438">
        <v>33536</v>
      </c>
      <c r="AJ136" s="438">
        <v>3354</v>
      </c>
      <c r="AK136" s="438">
        <v>36890</v>
      </c>
      <c r="AL136" s="414" t="str">
        <f t="shared" si="12"/>
        <v>워커힐 시그니처 양념 본갈비 300g, 8개</v>
      </c>
      <c r="AM136" s="395">
        <f t="shared" si="13"/>
        <v>46060</v>
      </c>
      <c r="AN136" s="396">
        <f t="shared" si="14"/>
        <v>1</v>
      </c>
      <c r="AO136" s="109">
        <f t="shared" si="15"/>
        <v>119000</v>
      </c>
      <c r="AP136" s="109">
        <f t="shared" si="16"/>
        <v>108181.81818181818</v>
      </c>
      <c r="AQ136" s="397">
        <f t="shared" si="17"/>
        <v>108181.81818181818</v>
      </c>
    </row>
    <row r="137" spans="1:43" ht="24">
      <c r="A137" s="436" t="s">
        <v>3880</v>
      </c>
      <c r="B137" s="436" t="s">
        <v>3490</v>
      </c>
      <c r="C137" s="437" t="s">
        <v>3491</v>
      </c>
      <c r="D137" s="436" t="s">
        <v>3714</v>
      </c>
      <c r="E137" s="437" t="s">
        <v>3715</v>
      </c>
      <c r="F137" s="436" t="s">
        <v>3494</v>
      </c>
      <c r="G137" s="436" t="s">
        <v>3495</v>
      </c>
      <c r="H137" s="437" t="s">
        <v>3496</v>
      </c>
      <c r="I137" s="436" t="s">
        <v>3497</v>
      </c>
      <c r="J137" s="437" t="s">
        <v>3498</v>
      </c>
      <c r="K137" s="437" t="s">
        <v>3499</v>
      </c>
      <c r="L137" s="436" t="s">
        <v>3500</v>
      </c>
      <c r="M137" s="436" t="s">
        <v>3524</v>
      </c>
      <c r="N137" s="436" t="s">
        <v>3502</v>
      </c>
      <c r="O137" s="438">
        <v>119000</v>
      </c>
      <c r="P137" s="438">
        <v>82110</v>
      </c>
      <c r="Q137" s="438">
        <v>1</v>
      </c>
      <c r="R137" s="438">
        <v>0</v>
      </c>
      <c r="S137" s="438">
        <v>0</v>
      </c>
      <c r="T137" s="438">
        <v>0</v>
      </c>
      <c r="U137" s="438">
        <v>0</v>
      </c>
      <c r="V137" s="438">
        <v>0</v>
      </c>
      <c r="W137" s="438">
        <v>31</v>
      </c>
      <c r="X137" s="438">
        <v>0</v>
      </c>
      <c r="Y137" s="438">
        <v>0</v>
      </c>
      <c r="Z137" s="438">
        <v>0</v>
      </c>
      <c r="AA137" s="438">
        <v>0</v>
      </c>
      <c r="AB137" s="438">
        <v>0</v>
      </c>
      <c r="AC137" s="438">
        <v>119000</v>
      </c>
      <c r="AD137" s="438">
        <v>82110</v>
      </c>
      <c r="AE137" s="438">
        <v>0</v>
      </c>
      <c r="AF137" s="438">
        <v>0</v>
      </c>
      <c r="AG137" s="438">
        <v>119000</v>
      </c>
      <c r="AH137" s="438">
        <v>82110</v>
      </c>
      <c r="AI137" s="438">
        <v>33536</v>
      </c>
      <c r="AJ137" s="438">
        <v>3354</v>
      </c>
      <c r="AK137" s="438">
        <v>36890</v>
      </c>
      <c r="AL137" s="414" t="str">
        <f t="shared" si="12"/>
        <v>워커힐 시그니처 양념 본갈비 300g, 8개</v>
      </c>
      <c r="AM137" s="395">
        <f t="shared" si="13"/>
        <v>46060</v>
      </c>
      <c r="AN137" s="396">
        <f t="shared" si="14"/>
        <v>1</v>
      </c>
      <c r="AO137" s="109">
        <f t="shared" si="15"/>
        <v>119000</v>
      </c>
      <c r="AP137" s="109">
        <f t="shared" si="16"/>
        <v>108181.81818181818</v>
      </c>
      <c r="AQ137" s="397">
        <f t="shared" si="17"/>
        <v>108181.81818181818</v>
      </c>
    </row>
    <row r="138" spans="1:43" ht="24">
      <c r="A138" s="436" t="s">
        <v>3883</v>
      </c>
      <c r="B138" s="436" t="s">
        <v>3490</v>
      </c>
      <c r="C138" s="437" t="s">
        <v>3491</v>
      </c>
      <c r="D138" s="436" t="s">
        <v>3873</v>
      </c>
      <c r="E138" s="437" t="s">
        <v>3874</v>
      </c>
      <c r="F138" s="436" t="s">
        <v>3494</v>
      </c>
      <c r="G138" s="436" t="s">
        <v>3495</v>
      </c>
      <c r="H138" s="437" t="s">
        <v>3496</v>
      </c>
      <c r="I138" s="436" t="s">
        <v>3497</v>
      </c>
      <c r="J138" s="437" t="s">
        <v>3498</v>
      </c>
      <c r="K138" s="437" t="s">
        <v>3499</v>
      </c>
      <c r="L138" s="436" t="s">
        <v>3500</v>
      </c>
      <c r="M138" s="436" t="s">
        <v>3524</v>
      </c>
      <c r="N138" s="436" t="s">
        <v>3502</v>
      </c>
      <c r="O138" s="438">
        <v>119000</v>
      </c>
      <c r="P138" s="438">
        <v>82110</v>
      </c>
      <c r="Q138" s="438">
        <v>1</v>
      </c>
      <c r="R138" s="438">
        <v>0</v>
      </c>
      <c r="S138" s="438">
        <v>0</v>
      </c>
      <c r="T138" s="438">
        <v>0</v>
      </c>
      <c r="U138" s="438">
        <v>0</v>
      </c>
      <c r="V138" s="438">
        <v>0</v>
      </c>
      <c r="W138" s="438">
        <v>31</v>
      </c>
      <c r="X138" s="438">
        <v>0</v>
      </c>
      <c r="Y138" s="438">
        <v>10000</v>
      </c>
      <c r="Z138" s="438">
        <v>0</v>
      </c>
      <c r="AA138" s="438">
        <v>0</v>
      </c>
      <c r="AB138" s="438">
        <v>0</v>
      </c>
      <c r="AC138" s="438">
        <v>119000</v>
      </c>
      <c r="AD138" s="438">
        <v>82110</v>
      </c>
      <c r="AE138" s="438">
        <v>0</v>
      </c>
      <c r="AF138" s="438">
        <v>10000</v>
      </c>
      <c r="AG138" s="438">
        <v>109000</v>
      </c>
      <c r="AH138" s="438">
        <v>82110</v>
      </c>
      <c r="AI138" s="438">
        <v>24445</v>
      </c>
      <c r="AJ138" s="438">
        <v>2445</v>
      </c>
      <c r="AK138" s="438">
        <v>26890</v>
      </c>
      <c r="AL138" s="414" t="str">
        <f t="shared" si="12"/>
        <v>워커힐 시그니처 양념 본갈비 300g, 8개</v>
      </c>
      <c r="AM138" s="395">
        <f t="shared" si="13"/>
        <v>46060</v>
      </c>
      <c r="AN138" s="396">
        <f t="shared" si="14"/>
        <v>1</v>
      </c>
      <c r="AO138" s="109">
        <f t="shared" si="15"/>
        <v>119000</v>
      </c>
      <c r="AP138" s="109">
        <f t="shared" si="16"/>
        <v>108181.81818181818</v>
      </c>
      <c r="AQ138" s="397">
        <f t="shared" si="17"/>
        <v>108181.81818181818</v>
      </c>
    </row>
    <row r="139" spans="1:43" ht="24">
      <c r="A139" s="436" t="s">
        <v>3885</v>
      </c>
      <c r="B139" s="436" t="s">
        <v>3490</v>
      </c>
      <c r="C139" s="437" t="s">
        <v>3491</v>
      </c>
      <c r="D139" s="436" t="s">
        <v>3879</v>
      </c>
      <c r="E139" s="437" t="s">
        <v>3505</v>
      </c>
      <c r="F139" s="436" t="s">
        <v>3494</v>
      </c>
      <c r="G139" s="436" t="s">
        <v>3495</v>
      </c>
      <c r="H139" s="437" t="s">
        <v>3496</v>
      </c>
      <c r="I139" s="436" t="s">
        <v>3497</v>
      </c>
      <c r="J139" s="437" t="s">
        <v>3498</v>
      </c>
      <c r="K139" s="437" t="s">
        <v>3499</v>
      </c>
      <c r="L139" s="436" t="s">
        <v>3500</v>
      </c>
      <c r="M139" s="436" t="s">
        <v>3524</v>
      </c>
      <c r="N139" s="436" t="s">
        <v>3502</v>
      </c>
      <c r="O139" s="438">
        <v>119000</v>
      </c>
      <c r="P139" s="438">
        <v>82110</v>
      </c>
      <c r="Q139" s="438">
        <v>1</v>
      </c>
      <c r="R139" s="438">
        <v>0</v>
      </c>
      <c r="S139" s="438">
        <v>0</v>
      </c>
      <c r="T139" s="438">
        <v>0</v>
      </c>
      <c r="U139" s="438">
        <v>0</v>
      </c>
      <c r="V139" s="438">
        <v>0</v>
      </c>
      <c r="W139" s="438">
        <v>31</v>
      </c>
      <c r="X139" s="438">
        <v>0</v>
      </c>
      <c r="Y139" s="438">
        <v>0</v>
      </c>
      <c r="Z139" s="438">
        <v>0</v>
      </c>
      <c r="AA139" s="438">
        <v>0</v>
      </c>
      <c r="AB139" s="438">
        <v>0</v>
      </c>
      <c r="AC139" s="438">
        <v>119000</v>
      </c>
      <c r="AD139" s="438">
        <v>82110</v>
      </c>
      <c r="AE139" s="438">
        <v>0</v>
      </c>
      <c r="AF139" s="438">
        <v>0</v>
      </c>
      <c r="AG139" s="438">
        <v>119000</v>
      </c>
      <c r="AH139" s="438">
        <v>82110</v>
      </c>
      <c r="AI139" s="438">
        <v>33536</v>
      </c>
      <c r="AJ139" s="438">
        <v>3354</v>
      </c>
      <c r="AK139" s="438">
        <v>36890</v>
      </c>
      <c r="AL139" s="414" t="str">
        <f t="shared" si="12"/>
        <v>워커힐 시그니처 양념 본갈비 300g, 8개</v>
      </c>
      <c r="AM139" s="395">
        <f t="shared" si="13"/>
        <v>46060</v>
      </c>
      <c r="AN139" s="396">
        <f t="shared" si="14"/>
        <v>1</v>
      </c>
      <c r="AO139" s="109">
        <f t="shared" si="15"/>
        <v>119000</v>
      </c>
      <c r="AP139" s="109">
        <f t="shared" si="16"/>
        <v>108181.81818181818</v>
      </c>
      <c r="AQ139" s="397">
        <f t="shared" si="17"/>
        <v>108181.81818181818</v>
      </c>
    </row>
    <row r="140" spans="1:43" ht="24">
      <c r="A140" s="436" t="s">
        <v>3887</v>
      </c>
      <c r="B140" s="436" t="s">
        <v>3490</v>
      </c>
      <c r="C140" s="437" t="s">
        <v>3491</v>
      </c>
      <c r="D140" s="436" t="s">
        <v>3881</v>
      </c>
      <c r="E140" s="437" t="s">
        <v>3882</v>
      </c>
      <c r="F140" s="436" t="s">
        <v>3494</v>
      </c>
      <c r="G140" s="436" t="s">
        <v>3495</v>
      </c>
      <c r="H140" s="437" t="s">
        <v>3496</v>
      </c>
      <c r="I140" s="436" t="s">
        <v>3497</v>
      </c>
      <c r="J140" s="437" t="s">
        <v>3498</v>
      </c>
      <c r="K140" s="437" t="s">
        <v>3499</v>
      </c>
      <c r="L140" s="436" t="s">
        <v>3500</v>
      </c>
      <c r="M140" s="436" t="s">
        <v>3524</v>
      </c>
      <c r="N140" s="436" t="s">
        <v>3502</v>
      </c>
      <c r="O140" s="438">
        <v>119000</v>
      </c>
      <c r="P140" s="438">
        <v>82110</v>
      </c>
      <c r="Q140" s="438">
        <v>1</v>
      </c>
      <c r="R140" s="438">
        <v>0</v>
      </c>
      <c r="S140" s="438">
        <v>0</v>
      </c>
      <c r="T140" s="438">
        <v>0</v>
      </c>
      <c r="U140" s="438">
        <v>0</v>
      </c>
      <c r="V140" s="438">
        <v>0</v>
      </c>
      <c r="W140" s="438">
        <v>31</v>
      </c>
      <c r="X140" s="438">
        <v>0</v>
      </c>
      <c r="Y140" s="438">
        <v>0</v>
      </c>
      <c r="Z140" s="438">
        <v>0</v>
      </c>
      <c r="AA140" s="438">
        <v>0</v>
      </c>
      <c r="AB140" s="438">
        <v>0</v>
      </c>
      <c r="AC140" s="438">
        <v>119000</v>
      </c>
      <c r="AD140" s="438">
        <v>82110</v>
      </c>
      <c r="AE140" s="438">
        <v>0</v>
      </c>
      <c r="AF140" s="438">
        <v>0</v>
      </c>
      <c r="AG140" s="438">
        <v>119000</v>
      </c>
      <c r="AH140" s="438">
        <v>82110</v>
      </c>
      <c r="AI140" s="438">
        <v>33536</v>
      </c>
      <c r="AJ140" s="438">
        <v>3354</v>
      </c>
      <c r="AK140" s="438">
        <v>36890</v>
      </c>
      <c r="AL140" s="414" t="str">
        <f t="shared" si="12"/>
        <v>워커힐 시그니처 양념 본갈비 300g, 8개</v>
      </c>
      <c r="AM140" s="395">
        <f t="shared" si="13"/>
        <v>46060</v>
      </c>
      <c r="AN140" s="396">
        <f t="shared" si="14"/>
        <v>1</v>
      </c>
      <c r="AO140" s="109">
        <f t="shared" si="15"/>
        <v>119000</v>
      </c>
      <c r="AP140" s="109">
        <f t="shared" si="16"/>
        <v>108181.81818181818</v>
      </c>
      <c r="AQ140" s="397">
        <f t="shared" si="17"/>
        <v>108181.81818181818</v>
      </c>
    </row>
    <row r="141" spans="1:43" ht="24">
      <c r="A141" s="436" t="s">
        <v>3890</v>
      </c>
      <c r="B141" s="436" t="s">
        <v>3490</v>
      </c>
      <c r="C141" s="437" t="s">
        <v>3491</v>
      </c>
      <c r="D141" s="436" t="s">
        <v>3884</v>
      </c>
      <c r="E141" s="437" t="s">
        <v>3558</v>
      </c>
      <c r="F141" s="436" t="s">
        <v>3494</v>
      </c>
      <c r="G141" s="436" t="s">
        <v>3495</v>
      </c>
      <c r="H141" s="437" t="s">
        <v>3496</v>
      </c>
      <c r="I141" s="436" t="s">
        <v>3497</v>
      </c>
      <c r="J141" s="437" t="s">
        <v>3498</v>
      </c>
      <c r="K141" s="437" t="s">
        <v>3499</v>
      </c>
      <c r="L141" s="436" t="s">
        <v>3500</v>
      </c>
      <c r="M141" s="436" t="s">
        <v>3524</v>
      </c>
      <c r="N141" s="436" t="s">
        <v>3502</v>
      </c>
      <c r="O141" s="438">
        <v>119000</v>
      </c>
      <c r="P141" s="438">
        <v>82110</v>
      </c>
      <c r="Q141" s="438">
        <v>1</v>
      </c>
      <c r="R141" s="438">
        <v>0</v>
      </c>
      <c r="S141" s="438">
        <v>0</v>
      </c>
      <c r="T141" s="438">
        <v>0</v>
      </c>
      <c r="U141" s="438">
        <v>0</v>
      </c>
      <c r="V141" s="438">
        <v>0</v>
      </c>
      <c r="W141" s="438">
        <v>31</v>
      </c>
      <c r="X141" s="438">
        <v>0</v>
      </c>
      <c r="Y141" s="438">
        <v>6000</v>
      </c>
      <c r="Z141" s="438">
        <v>0</v>
      </c>
      <c r="AA141" s="438">
        <v>0</v>
      </c>
      <c r="AB141" s="438">
        <v>5650</v>
      </c>
      <c r="AC141" s="438">
        <v>119000</v>
      </c>
      <c r="AD141" s="438">
        <v>82110</v>
      </c>
      <c r="AE141" s="438">
        <v>0</v>
      </c>
      <c r="AF141" s="438">
        <v>11650</v>
      </c>
      <c r="AG141" s="438">
        <v>107350</v>
      </c>
      <c r="AH141" s="438">
        <v>82110</v>
      </c>
      <c r="AI141" s="438">
        <v>22945</v>
      </c>
      <c r="AJ141" s="438">
        <v>2295</v>
      </c>
      <c r="AK141" s="438">
        <v>25240</v>
      </c>
      <c r="AL141" s="414" t="str">
        <f t="shared" si="12"/>
        <v>워커힐 시그니처 양념 본갈비 300g, 8개</v>
      </c>
      <c r="AM141" s="395">
        <f t="shared" si="13"/>
        <v>46060</v>
      </c>
      <c r="AN141" s="396">
        <f t="shared" si="14"/>
        <v>1</v>
      </c>
      <c r="AO141" s="109">
        <f t="shared" si="15"/>
        <v>119000</v>
      </c>
      <c r="AP141" s="109">
        <f t="shared" si="16"/>
        <v>108181.81818181818</v>
      </c>
      <c r="AQ141" s="397">
        <f t="shared" si="17"/>
        <v>108181.81818181818</v>
      </c>
    </row>
    <row r="142" spans="1:43" ht="24">
      <c r="A142" s="436" t="s">
        <v>3893</v>
      </c>
      <c r="B142" s="436" t="s">
        <v>3490</v>
      </c>
      <c r="C142" s="437" t="s">
        <v>3491</v>
      </c>
      <c r="D142" s="436" t="s">
        <v>3886</v>
      </c>
      <c r="E142" s="437" t="s">
        <v>3757</v>
      </c>
      <c r="F142" s="436" t="s">
        <v>3494</v>
      </c>
      <c r="G142" s="436" t="s">
        <v>3495</v>
      </c>
      <c r="H142" s="437" t="s">
        <v>3496</v>
      </c>
      <c r="I142" s="436" t="s">
        <v>3497</v>
      </c>
      <c r="J142" s="437" t="s">
        <v>3498</v>
      </c>
      <c r="K142" s="437" t="s">
        <v>3499</v>
      </c>
      <c r="L142" s="436" t="s">
        <v>3500</v>
      </c>
      <c r="M142" s="436" t="s">
        <v>3524</v>
      </c>
      <c r="N142" s="436" t="s">
        <v>3502</v>
      </c>
      <c r="O142" s="438">
        <v>119000</v>
      </c>
      <c r="P142" s="438">
        <v>82110</v>
      </c>
      <c r="Q142" s="438">
        <v>1</v>
      </c>
      <c r="R142" s="438">
        <v>0</v>
      </c>
      <c r="S142" s="438">
        <v>0</v>
      </c>
      <c r="T142" s="438">
        <v>0</v>
      </c>
      <c r="U142" s="438">
        <v>0</v>
      </c>
      <c r="V142" s="438">
        <v>0</v>
      </c>
      <c r="W142" s="438">
        <v>31</v>
      </c>
      <c r="X142" s="438">
        <v>0</v>
      </c>
      <c r="Y142" s="438">
        <v>0</v>
      </c>
      <c r="Z142" s="438">
        <v>0</v>
      </c>
      <c r="AA142" s="438">
        <v>0</v>
      </c>
      <c r="AB142" s="438">
        <v>0</v>
      </c>
      <c r="AC142" s="438">
        <v>119000</v>
      </c>
      <c r="AD142" s="438">
        <v>82110</v>
      </c>
      <c r="AE142" s="438">
        <v>0</v>
      </c>
      <c r="AF142" s="438">
        <v>0</v>
      </c>
      <c r="AG142" s="438">
        <v>119000</v>
      </c>
      <c r="AH142" s="438">
        <v>82110</v>
      </c>
      <c r="AI142" s="438">
        <v>33536</v>
      </c>
      <c r="AJ142" s="438">
        <v>3354</v>
      </c>
      <c r="AK142" s="438">
        <v>36890</v>
      </c>
      <c r="AL142" s="414" t="str">
        <f t="shared" si="12"/>
        <v>워커힐 시그니처 양념 본갈비 300g, 8개</v>
      </c>
      <c r="AM142" s="395">
        <f t="shared" si="13"/>
        <v>46060</v>
      </c>
      <c r="AN142" s="396">
        <f t="shared" si="14"/>
        <v>1</v>
      </c>
      <c r="AO142" s="109">
        <f t="shared" si="15"/>
        <v>119000</v>
      </c>
      <c r="AP142" s="109">
        <f t="shared" si="16"/>
        <v>108181.81818181818</v>
      </c>
      <c r="AQ142" s="397">
        <f t="shared" si="17"/>
        <v>108181.81818181818</v>
      </c>
    </row>
    <row r="143" spans="1:43" ht="24">
      <c r="A143" s="436" t="s">
        <v>3896</v>
      </c>
      <c r="B143" s="436" t="s">
        <v>3490</v>
      </c>
      <c r="C143" s="437" t="s">
        <v>3491</v>
      </c>
      <c r="D143" s="436" t="s">
        <v>3891</v>
      </c>
      <c r="E143" s="437" t="s">
        <v>3892</v>
      </c>
      <c r="F143" s="436" t="s">
        <v>3494</v>
      </c>
      <c r="G143" s="436" t="s">
        <v>3495</v>
      </c>
      <c r="H143" s="437" t="s">
        <v>3496</v>
      </c>
      <c r="I143" s="436" t="s">
        <v>3497</v>
      </c>
      <c r="J143" s="437" t="s">
        <v>3498</v>
      </c>
      <c r="K143" s="437" t="s">
        <v>3499</v>
      </c>
      <c r="L143" s="436" t="s">
        <v>3500</v>
      </c>
      <c r="M143" s="436" t="s">
        <v>3524</v>
      </c>
      <c r="N143" s="436" t="s">
        <v>3502</v>
      </c>
      <c r="O143" s="438">
        <v>119000</v>
      </c>
      <c r="P143" s="438">
        <v>82110</v>
      </c>
      <c r="Q143" s="438">
        <v>1</v>
      </c>
      <c r="R143" s="438">
        <v>0</v>
      </c>
      <c r="S143" s="438">
        <v>0</v>
      </c>
      <c r="T143" s="438">
        <v>0</v>
      </c>
      <c r="U143" s="438">
        <v>0</v>
      </c>
      <c r="V143" s="438">
        <v>0</v>
      </c>
      <c r="W143" s="438">
        <v>31</v>
      </c>
      <c r="X143" s="438">
        <v>0</v>
      </c>
      <c r="Y143" s="438">
        <v>0</v>
      </c>
      <c r="Z143" s="438">
        <v>0</v>
      </c>
      <c r="AA143" s="438">
        <v>0</v>
      </c>
      <c r="AB143" s="438">
        <v>0</v>
      </c>
      <c r="AC143" s="438">
        <v>119000</v>
      </c>
      <c r="AD143" s="438">
        <v>82110</v>
      </c>
      <c r="AE143" s="438">
        <v>0</v>
      </c>
      <c r="AF143" s="438">
        <v>0</v>
      </c>
      <c r="AG143" s="438">
        <v>119000</v>
      </c>
      <c r="AH143" s="438">
        <v>82110</v>
      </c>
      <c r="AI143" s="438">
        <v>33536</v>
      </c>
      <c r="AJ143" s="438">
        <v>3354</v>
      </c>
      <c r="AK143" s="438">
        <v>36890</v>
      </c>
      <c r="AL143" s="414" t="str">
        <f t="shared" si="12"/>
        <v>워커힐 시그니처 양념 본갈비 300g, 8개</v>
      </c>
      <c r="AM143" s="395">
        <f t="shared" si="13"/>
        <v>46060</v>
      </c>
      <c r="AN143" s="396">
        <f t="shared" si="14"/>
        <v>1</v>
      </c>
      <c r="AO143" s="109">
        <f t="shared" si="15"/>
        <v>119000</v>
      </c>
      <c r="AP143" s="109">
        <f t="shared" si="16"/>
        <v>108181.81818181818</v>
      </c>
      <c r="AQ143" s="397">
        <f t="shared" si="17"/>
        <v>108181.81818181818</v>
      </c>
    </row>
    <row r="144" spans="1:43" ht="24">
      <c r="A144" s="436" t="s">
        <v>3899</v>
      </c>
      <c r="B144" s="436" t="s">
        <v>3490</v>
      </c>
      <c r="C144" s="437" t="s">
        <v>3491</v>
      </c>
      <c r="D144" s="436" t="s">
        <v>3894</v>
      </c>
      <c r="E144" s="437" t="s">
        <v>3895</v>
      </c>
      <c r="F144" s="436" t="s">
        <v>3494</v>
      </c>
      <c r="G144" s="436" t="s">
        <v>3495</v>
      </c>
      <c r="H144" s="437" t="s">
        <v>3496</v>
      </c>
      <c r="I144" s="436" t="s">
        <v>3497</v>
      </c>
      <c r="J144" s="437" t="s">
        <v>3498</v>
      </c>
      <c r="K144" s="437" t="s">
        <v>3499</v>
      </c>
      <c r="L144" s="436" t="s">
        <v>3500</v>
      </c>
      <c r="M144" s="436" t="s">
        <v>3524</v>
      </c>
      <c r="N144" s="436" t="s">
        <v>3502</v>
      </c>
      <c r="O144" s="438">
        <v>119000</v>
      </c>
      <c r="P144" s="438">
        <v>82110</v>
      </c>
      <c r="Q144" s="438">
        <v>1</v>
      </c>
      <c r="R144" s="438">
        <v>0</v>
      </c>
      <c r="S144" s="438">
        <v>0</v>
      </c>
      <c r="T144" s="438">
        <v>0</v>
      </c>
      <c r="U144" s="438">
        <v>0</v>
      </c>
      <c r="V144" s="438">
        <v>0</v>
      </c>
      <c r="W144" s="438">
        <v>31</v>
      </c>
      <c r="X144" s="438">
        <v>0</v>
      </c>
      <c r="Y144" s="438">
        <v>0</v>
      </c>
      <c r="Z144" s="438">
        <v>0</v>
      </c>
      <c r="AA144" s="438">
        <v>0</v>
      </c>
      <c r="AB144" s="438">
        <v>0</v>
      </c>
      <c r="AC144" s="438">
        <v>119000</v>
      </c>
      <c r="AD144" s="438">
        <v>82110</v>
      </c>
      <c r="AE144" s="438">
        <v>0</v>
      </c>
      <c r="AF144" s="438">
        <v>0</v>
      </c>
      <c r="AG144" s="438">
        <v>119000</v>
      </c>
      <c r="AH144" s="438">
        <v>82110</v>
      </c>
      <c r="AI144" s="438">
        <v>33536</v>
      </c>
      <c r="AJ144" s="438">
        <v>3354</v>
      </c>
      <c r="AK144" s="438">
        <v>36890</v>
      </c>
      <c r="AL144" s="414" t="str">
        <f t="shared" si="12"/>
        <v>워커힐 시그니처 양념 본갈비 300g, 8개</v>
      </c>
      <c r="AM144" s="395">
        <f t="shared" si="13"/>
        <v>46060</v>
      </c>
      <c r="AN144" s="396">
        <f t="shared" si="14"/>
        <v>1</v>
      </c>
      <c r="AO144" s="109">
        <f t="shared" si="15"/>
        <v>119000</v>
      </c>
      <c r="AP144" s="109">
        <f t="shared" si="16"/>
        <v>108181.81818181818</v>
      </c>
      <c r="AQ144" s="397">
        <f t="shared" si="17"/>
        <v>108181.81818181818</v>
      </c>
    </row>
    <row r="145" spans="1:43" ht="24">
      <c r="A145" s="436" t="s">
        <v>3902</v>
      </c>
      <c r="B145" s="436" t="s">
        <v>3490</v>
      </c>
      <c r="C145" s="437" t="s">
        <v>3491</v>
      </c>
      <c r="D145" s="436" t="s">
        <v>3897</v>
      </c>
      <c r="E145" s="437" t="s">
        <v>3898</v>
      </c>
      <c r="F145" s="436" t="s">
        <v>3494</v>
      </c>
      <c r="G145" s="436" t="s">
        <v>3495</v>
      </c>
      <c r="H145" s="437" t="s">
        <v>3496</v>
      </c>
      <c r="I145" s="436" t="s">
        <v>3497</v>
      </c>
      <c r="J145" s="437" t="s">
        <v>3498</v>
      </c>
      <c r="K145" s="437" t="s">
        <v>3499</v>
      </c>
      <c r="L145" s="436" t="s">
        <v>3500</v>
      </c>
      <c r="M145" s="436" t="s">
        <v>3524</v>
      </c>
      <c r="N145" s="436" t="s">
        <v>3502</v>
      </c>
      <c r="O145" s="438">
        <v>119000</v>
      </c>
      <c r="P145" s="438">
        <v>82110</v>
      </c>
      <c r="Q145" s="438">
        <v>1</v>
      </c>
      <c r="R145" s="438">
        <v>0</v>
      </c>
      <c r="S145" s="438">
        <v>0</v>
      </c>
      <c r="T145" s="438">
        <v>0</v>
      </c>
      <c r="U145" s="438">
        <v>0</v>
      </c>
      <c r="V145" s="438">
        <v>0</v>
      </c>
      <c r="W145" s="438">
        <v>31</v>
      </c>
      <c r="X145" s="438">
        <v>0</v>
      </c>
      <c r="Y145" s="438">
        <v>0</v>
      </c>
      <c r="Z145" s="438">
        <v>0</v>
      </c>
      <c r="AA145" s="438">
        <v>0</v>
      </c>
      <c r="AB145" s="438">
        <v>0</v>
      </c>
      <c r="AC145" s="438">
        <v>119000</v>
      </c>
      <c r="AD145" s="438">
        <v>82110</v>
      </c>
      <c r="AE145" s="438">
        <v>0</v>
      </c>
      <c r="AF145" s="438">
        <v>0</v>
      </c>
      <c r="AG145" s="438">
        <v>119000</v>
      </c>
      <c r="AH145" s="438">
        <v>82110</v>
      </c>
      <c r="AI145" s="438">
        <v>33536</v>
      </c>
      <c r="AJ145" s="438">
        <v>3354</v>
      </c>
      <c r="AK145" s="438">
        <v>36890</v>
      </c>
      <c r="AL145" s="414" t="str">
        <f t="shared" si="12"/>
        <v>워커힐 시그니처 양념 본갈비 300g, 8개</v>
      </c>
      <c r="AM145" s="395">
        <f t="shared" si="13"/>
        <v>46060</v>
      </c>
      <c r="AN145" s="396">
        <f t="shared" si="14"/>
        <v>1</v>
      </c>
      <c r="AO145" s="109">
        <f t="shared" si="15"/>
        <v>119000</v>
      </c>
      <c r="AP145" s="109">
        <f t="shared" si="16"/>
        <v>108181.81818181818</v>
      </c>
      <c r="AQ145" s="397">
        <f t="shared" si="17"/>
        <v>108181.81818181818</v>
      </c>
    </row>
    <row r="146" spans="1:43" ht="24">
      <c r="A146" s="436" t="s">
        <v>3905</v>
      </c>
      <c r="B146" s="436" t="s">
        <v>3490</v>
      </c>
      <c r="C146" s="437" t="s">
        <v>3491</v>
      </c>
      <c r="D146" s="436" t="s">
        <v>3670</v>
      </c>
      <c r="E146" s="437" t="s">
        <v>3671</v>
      </c>
      <c r="F146" s="436" t="s">
        <v>3494</v>
      </c>
      <c r="G146" s="436" t="s">
        <v>3495</v>
      </c>
      <c r="H146" s="437" t="s">
        <v>3496</v>
      </c>
      <c r="I146" s="436" t="s">
        <v>3497</v>
      </c>
      <c r="J146" s="437" t="s">
        <v>3498</v>
      </c>
      <c r="K146" s="437" t="s">
        <v>3499</v>
      </c>
      <c r="L146" s="436" t="s">
        <v>3500</v>
      </c>
      <c r="M146" s="436" t="s">
        <v>3524</v>
      </c>
      <c r="N146" s="436" t="s">
        <v>3502</v>
      </c>
      <c r="O146" s="438">
        <v>119000</v>
      </c>
      <c r="P146" s="438">
        <v>82110</v>
      </c>
      <c r="Q146" s="438">
        <v>1</v>
      </c>
      <c r="R146" s="438">
        <v>0</v>
      </c>
      <c r="S146" s="438">
        <v>0</v>
      </c>
      <c r="T146" s="438">
        <v>0</v>
      </c>
      <c r="U146" s="438">
        <v>0</v>
      </c>
      <c r="V146" s="438">
        <v>0</v>
      </c>
      <c r="W146" s="438">
        <v>31</v>
      </c>
      <c r="X146" s="438">
        <v>0</v>
      </c>
      <c r="Y146" s="438">
        <v>0</v>
      </c>
      <c r="Z146" s="438">
        <v>0</v>
      </c>
      <c r="AA146" s="438">
        <v>0</v>
      </c>
      <c r="AB146" s="438">
        <v>0</v>
      </c>
      <c r="AC146" s="438">
        <v>119000</v>
      </c>
      <c r="AD146" s="438">
        <v>82110</v>
      </c>
      <c r="AE146" s="438">
        <v>0</v>
      </c>
      <c r="AF146" s="438">
        <v>0</v>
      </c>
      <c r="AG146" s="438">
        <v>119000</v>
      </c>
      <c r="AH146" s="438">
        <v>82110</v>
      </c>
      <c r="AI146" s="438">
        <v>33536</v>
      </c>
      <c r="AJ146" s="438">
        <v>3354</v>
      </c>
      <c r="AK146" s="438">
        <v>36890</v>
      </c>
      <c r="AL146" s="414" t="str">
        <f t="shared" si="12"/>
        <v>워커힐 시그니처 양념 본갈비 300g, 8개</v>
      </c>
      <c r="AM146" s="395">
        <f t="shared" si="13"/>
        <v>46060</v>
      </c>
      <c r="AN146" s="396">
        <f t="shared" si="14"/>
        <v>1</v>
      </c>
      <c r="AO146" s="109">
        <f t="shared" si="15"/>
        <v>119000</v>
      </c>
      <c r="AP146" s="109">
        <f t="shared" si="16"/>
        <v>108181.81818181818</v>
      </c>
      <c r="AQ146" s="397">
        <f t="shared" si="17"/>
        <v>108181.81818181818</v>
      </c>
    </row>
    <row r="147" spans="1:43" ht="24">
      <c r="A147" s="436" t="s">
        <v>3908</v>
      </c>
      <c r="B147" s="436" t="s">
        <v>3490</v>
      </c>
      <c r="C147" s="437" t="s">
        <v>3491</v>
      </c>
      <c r="D147" s="436" t="s">
        <v>3900</v>
      </c>
      <c r="E147" s="437" t="s">
        <v>3901</v>
      </c>
      <c r="F147" s="436" t="s">
        <v>3494</v>
      </c>
      <c r="G147" s="436" t="s">
        <v>3495</v>
      </c>
      <c r="H147" s="437" t="s">
        <v>3496</v>
      </c>
      <c r="I147" s="436" t="s">
        <v>3497</v>
      </c>
      <c r="J147" s="437" t="s">
        <v>3498</v>
      </c>
      <c r="K147" s="437" t="s">
        <v>3499</v>
      </c>
      <c r="L147" s="436" t="s">
        <v>3500</v>
      </c>
      <c r="M147" s="436" t="s">
        <v>3524</v>
      </c>
      <c r="N147" s="436" t="s">
        <v>3502</v>
      </c>
      <c r="O147" s="438">
        <v>119000</v>
      </c>
      <c r="P147" s="438">
        <v>82110</v>
      </c>
      <c r="Q147" s="438">
        <v>1</v>
      </c>
      <c r="R147" s="438">
        <v>0</v>
      </c>
      <c r="S147" s="438">
        <v>0</v>
      </c>
      <c r="T147" s="438">
        <v>0</v>
      </c>
      <c r="U147" s="438">
        <v>0</v>
      </c>
      <c r="V147" s="438">
        <v>0</v>
      </c>
      <c r="W147" s="438">
        <v>31</v>
      </c>
      <c r="X147" s="438">
        <v>0</v>
      </c>
      <c r="Y147" s="438">
        <v>0</v>
      </c>
      <c r="Z147" s="438">
        <v>0</v>
      </c>
      <c r="AA147" s="438">
        <v>0</v>
      </c>
      <c r="AB147" s="438">
        <v>0</v>
      </c>
      <c r="AC147" s="438">
        <v>119000</v>
      </c>
      <c r="AD147" s="438">
        <v>82110</v>
      </c>
      <c r="AE147" s="438">
        <v>0</v>
      </c>
      <c r="AF147" s="438">
        <v>0</v>
      </c>
      <c r="AG147" s="438">
        <v>119000</v>
      </c>
      <c r="AH147" s="438">
        <v>82110</v>
      </c>
      <c r="AI147" s="438">
        <v>33536</v>
      </c>
      <c r="AJ147" s="438">
        <v>3354</v>
      </c>
      <c r="AK147" s="438">
        <v>36890</v>
      </c>
      <c r="AL147" s="414" t="str">
        <f t="shared" si="12"/>
        <v>워커힐 시그니처 양념 본갈비 300g, 8개</v>
      </c>
      <c r="AM147" s="395">
        <f t="shared" si="13"/>
        <v>46060</v>
      </c>
      <c r="AN147" s="396">
        <f t="shared" si="14"/>
        <v>1</v>
      </c>
      <c r="AO147" s="109">
        <f t="shared" si="15"/>
        <v>119000</v>
      </c>
      <c r="AP147" s="109">
        <f t="shared" si="16"/>
        <v>108181.81818181818</v>
      </c>
      <c r="AQ147" s="397">
        <f t="shared" si="17"/>
        <v>108181.81818181818</v>
      </c>
    </row>
    <row r="148" spans="1:43" ht="24">
      <c r="A148" s="436" t="s">
        <v>3911</v>
      </c>
      <c r="B148" s="436" t="s">
        <v>3490</v>
      </c>
      <c r="C148" s="437" t="s">
        <v>3491</v>
      </c>
      <c r="D148" s="436" t="s">
        <v>3906</v>
      </c>
      <c r="E148" s="437" t="s">
        <v>3907</v>
      </c>
      <c r="F148" s="436" t="s">
        <v>3494</v>
      </c>
      <c r="G148" s="436" t="s">
        <v>3495</v>
      </c>
      <c r="H148" s="437" t="s">
        <v>3496</v>
      </c>
      <c r="I148" s="436" t="s">
        <v>3497</v>
      </c>
      <c r="J148" s="437" t="s">
        <v>3498</v>
      </c>
      <c r="K148" s="437" t="s">
        <v>3499</v>
      </c>
      <c r="L148" s="436" t="s">
        <v>3500</v>
      </c>
      <c r="M148" s="436" t="s">
        <v>3524</v>
      </c>
      <c r="N148" s="436" t="s">
        <v>3502</v>
      </c>
      <c r="O148" s="438">
        <v>119000</v>
      </c>
      <c r="P148" s="438">
        <v>82110</v>
      </c>
      <c r="Q148" s="438">
        <v>1</v>
      </c>
      <c r="R148" s="438">
        <v>0</v>
      </c>
      <c r="S148" s="438">
        <v>0</v>
      </c>
      <c r="T148" s="438">
        <v>0</v>
      </c>
      <c r="U148" s="438">
        <v>0</v>
      </c>
      <c r="V148" s="438">
        <v>0</v>
      </c>
      <c r="W148" s="438">
        <v>31</v>
      </c>
      <c r="X148" s="438">
        <v>0</v>
      </c>
      <c r="Y148" s="438">
        <v>0</v>
      </c>
      <c r="Z148" s="438">
        <v>0</v>
      </c>
      <c r="AA148" s="438">
        <v>0</v>
      </c>
      <c r="AB148" s="438">
        <v>0</v>
      </c>
      <c r="AC148" s="438">
        <v>119000</v>
      </c>
      <c r="AD148" s="438">
        <v>82110</v>
      </c>
      <c r="AE148" s="438">
        <v>0</v>
      </c>
      <c r="AF148" s="438">
        <v>0</v>
      </c>
      <c r="AG148" s="438">
        <v>119000</v>
      </c>
      <c r="AH148" s="438">
        <v>82110</v>
      </c>
      <c r="AI148" s="438">
        <v>33536</v>
      </c>
      <c r="AJ148" s="438">
        <v>3354</v>
      </c>
      <c r="AK148" s="438">
        <v>36890</v>
      </c>
      <c r="AL148" s="414" t="str">
        <f t="shared" si="12"/>
        <v>워커힐 시그니처 양념 본갈비 300g, 8개</v>
      </c>
      <c r="AM148" s="395">
        <f t="shared" si="13"/>
        <v>46060</v>
      </c>
      <c r="AN148" s="396">
        <f t="shared" si="14"/>
        <v>1</v>
      </c>
      <c r="AO148" s="109">
        <f t="shared" si="15"/>
        <v>119000</v>
      </c>
      <c r="AP148" s="109">
        <f t="shared" si="16"/>
        <v>108181.81818181818</v>
      </c>
      <c r="AQ148" s="397">
        <f t="shared" si="17"/>
        <v>108181.81818181818</v>
      </c>
    </row>
    <row r="149" spans="1:43" ht="24">
      <c r="A149" s="436" t="s">
        <v>3914</v>
      </c>
      <c r="B149" s="436" t="s">
        <v>3490</v>
      </c>
      <c r="C149" s="437" t="s">
        <v>3491</v>
      </c>
      <c r="D149" s="436" t="s">
        <v>3720</v>
      </c>
      <c r="E149" s="437" t="s">
        <v>3721</v>
      </c>
      <c r="F149" s="436" t="s">
        <v>3494</v>
      </c>
      <c r="G149" s="436" t="s">
        <v>3495</v>
      </c>
      <c r="H149" s="437" t="s">
        <v>3496</v>
      </c>
      <c r="I149" s="436" t="s">
        <v>3497</v>
      </c>
      <c r="J149" s="437" t="s">
        <v>3498</v>
      </c>
      <c r="K149" s="437" t="s">
        <v>3548</v>
      </c>
      <c r="L149" s="436" t="s">
        <v>3500</v>
      </c>
      <c r="M149" s="436" t="s">
        <v>3524</v>
      </c>
      <c r="N149" s="436" t="s">
        <v>3502</v>
      </c>
      <c r="O149" s="438">
        <v>119000</v>
      </c>
      <c r="P149" s="438">
        <v>82110</v>
      </c>
      <c r="Q149" s="438">
        <v>1</v>
      </c>
      <c r="R149" s="438">
        <v>0</v>
      </c>
      <c r="S149" s="438">
        <v>0</v>
      </c>
      <c r="T149" s="438">
        <v>0</v>
      </c>
      <c r="U149" s="438">
        <v>0</v>
      </c>
      <c r="V149" s="438">
        <v>0</v>
      </c>
      <c r="W149" s="438">
        <v>31</v>
      </c>
      <c r="X149" s="438">
        <v>0</v>
      </c>
      <c r="Y149" s="438">
        <v>0</v>
      </c>
      <c r="Z149" s="438">
        <v>0</v>
      </c>
      <c r="AA149" s="438">
        <v>0</v>
      </c>
      <c r="AB149" s="438">
        <v>0</v>
      </c>
      <c r="AC149" s="438">
        <v>119000</v>
      </c>
      <c r="AD149" s="438">
        <v>82110</v>
      </c>
      <c r="AE149" s="438">
        <v>0</v>
      </c>
      <c r="AF149" s="438">
        <v>0</v>
      </c>
      <c r="AG149" s="438">
        <v>119000</v>
      </c>
      <c r="AH149" s="438">
        <v>82110</v>
      </c>
      <c r="AI149" s="438">
        <v>33536</v>
      </c>
      <c r="AJ149" s="438">
        <v>3354</v>
      </c>
      <c r="AK149" s="438">
        <v>36890</v>
      </c>
      <c r="AL149" s="414" t="str">
        <f t="shared" si="12"/>
        <v>워커힐 시그니처 양념 본갈비 300g, 8개</v>
      </c>
      <c r="AM149" s="395">
        <f t="shared" si="13"/>
        <v>46060</v>
      </c>
      <c r="AN149" s="396">
        <f t="shared" si="14"/>
        <v>1</v>
      </c>
      <c r="AO149" s="109">
        <f t="shared" si="15"/>
        <v>119000</v>
      </c>
      <c r="AP149" s="109">
        <f t="shared" si="16"/>
        <v>108181.81818181818</v>
      </c>
      <c r="AQ149" s="397">
        <f t="shared" si="17"/>
        <v>108181.81818181818</v>
      </c>
    </row>
    <row r="150" spans="1:43" ht="24">
      <c r="A150" s="436" t="s">
        <v>3917</v>
      </c>
      <c r="B150" s="436" t="s">
        <v>3490</v>
      </c>
      <c r="C150" s="437" t="s">
        <v>3491</v>
      </c>
      <c r="D150" s="436" t="s">
        <v>3580</v>
      </c>
      <c r="E150" s="437" t="s">
        <v>3541</v>
      </c>
      <c r="F150" s="436" t="s">
        <v>3494</v>
      </c>
      <c r="G150" s="436" t="s">
        <v>3495</v>
      </c>
      <c r="H150" s="437" t="s">
        <v>3496</v>
      </c>
      <c r="I150" s="436" t="s">
        <v>3497</v>
      </c>
      <c r="J150" s="437" t="s">
        <v>3498</v>
      </c>
      <c r="K150" s="437" t="s">
        <v>3499</v>
      </c>
      <c r="L150" s="436" t="s">
        <v>3500</v>
      </c>
      <c r="M150" s="436" t="s">
        <v>3524</v>
      </c>
      <c r="N150" s="436" t="s">
        <v>3502</v>
      </c>
      <c r="O150" s="438">
        <v>119000</v>
      </c>
      <c r="P150" s="438">
        <v>82110</v>
      </c>
      <c r="Q150" s="438">
        <v>1</v>
      </c>
      <c r="R150" s="438">
        <v>0</v>
      </c>
      <c r="S150" s="438">
        <v>0</v>
      </c>
      <c r="T150" s="438">
        <v>0</v>
      </c>
      <c r="U150" s="438">
        <v>0</v>
      </c>
      <c r="V150" s="438">
        <v>0</v>
      </c>
      <c r="W150" s="438">
        <v>31</v>
      </c>
      <c r="X150" s="438">
        <v>0</v>
      </c>
      <c r="Y150" s="438">
        <v>0</v>
      </c>
      <c r="Z150" s="438">
        <v>0</v>
      </c>
      <c r="AA150" s="438">
        <v>0</v>
      </c>
      <c r="AB150" s="438">
        <v>0</v>
      </c>
      <c r="AC150" s="438">
        <v>119000</v>
      </c>
      <c r="AD150" s="438">
        <v>82110</v>
      </c>
      <c r="AE150" s="438">
        <v>0</v>
      </c>
      <c r="AF150" s="438">
        <v>0</v>
      </c>
      <c r="AG150" s="438">
        <v>119000</v>
      </c>
      <c r="AH150" s="438">
        <v>82110</v>
      </c>
      <c r="AI150" s="438">
        <v>33536</v>
      </c>
      <c r="AJ150" s="438">
        <v>3354</v>
      </c>
      <c r="AK150" s="438">
        <v>36890</v>
      </c>
      <c r="AL150" s="414" t="str">
        <f t="shared" si="12"/>
        <v>워커힐 시그니처 양념 본갈비 300g, 8개</v>
      </c>
      <c r="AM150" s="395">
        <f t="shared" si="13"/>
        <v>46060</v>
      </c>
      <c r="AN150" s="396">
        <f t="shared" si="14"/>
        <v>1</v>
      </c>
      <c r="AO150" s="109">
        <f t="shared" si="15"/>
        <v>119000</v>
      </c>
      <c r="AP150" s="109">
        <f t="shared" si="16"/>
        <v>108181.81818181818</v>
      </c>
      <c r="AQ150" s="397">
        <f t="shared" si="17"/>
        <v>108181.81818181818</v>
      </c>
    </row>
    <row r="151" spans="1:43" ht="24">
      <c r="A151" s="436" t="s">
        <v>3920</v>
      </c>
      <c r="B151" s="436" t="s">
        <v>3490</v>
      </c>
      <c r="C151" s="437" t="s">
        <v>3491</v>
      </c>
      <c r="D151" s="436" t="s">
        <v>3915</v>
      </c>
      <c r="E151" s="437" t="s">
        <v>3916</v>
      </c>
      <c r="F151" s="436" t="s">
        <v>3494</v>
      </c>
      <c r="G151" s="436" t="s">
        <v>3495</v>
      </c>
      <c r="H151" s="437" t="s">
        <v>3496</v>
      </c>
      <c r="I151" s="436" t="s">
        <v>3497</v>
      </c>
      <c r="J151" s="437" t="s">
        <v>3498</v>
      </c>
      <c r="K151" s="437" t="s">
        <v>3499</v>
      </c>
      <c r="L151" s="436" t="s">
        <v>3500</v>
      </c>
      <c r="M151" s="436" t="s">
        <v>3524</v>
      </c>
      <c r="N151" s="436" t="s">
        <v>3502</v>
      </c>
      <c r="O151" s="438">
        <v>119000</v>
      </c>
      <c r="P151" s="438">
        <v>82110</v>
      </c>
      <c r="Q151" s="438">
        <v>1</v>
      </c>
      <c r="R151" s="438">
        <v>0</v>
      </c>
      <c r="S151" s="438">
        <v>0</v>
      </c>
      <c r="T151" s="438">
        <v>0</v>
      </c>
      <c r="U151" s="438">
        <v>0</v>
      </c>
      <c r="V151" s="438">
        <v>0</v>
      </c>
      <c r="W151" s="438">
        <v>31</v>
      </c>
      <c r="X151" s="438">
        <v>0</v>
      </c>
      <c r="Y151" s="438">
        <v>0</v>
      </c>
      <c r="Z151" s="438">
        <v>0</v>
      </c>
      <c r="AA151" s="438">
        <v>0</v>
      </c>
      <c r="AB151" s="438">
        <v>0</v>
      </c>
      <c r="AC151" s="438">
        <v>119000</v>
      </c>
      <c r="AD151" s="438">
        <v>82110</v>
      </c>
      <c r="AE151" s="438">
        <v>0</v>
      </c>
      <c r="AF151" s="438">
        <v>0</v>
      </c>
      <c r="AG151" s="438">
        <v>119000</v>
      </c>
      <c r="AH151" s="438">
        <v>82110</v>
      </c>
      <c r="AI151" s="438">
        <v>33536</v>
      </c>
      <c r="AJ151" s="438">
        <v>3354</v>
      </c>
      <c r="AK151" s="438">
        <v>36890</v>
      </c>
      <c r="AL151" s="414" t="str">
        <f t="shared" si="12"/>
        <v>워커힐 시그니처 양념 본갈비 300g, 8개</v>
      </c>
      <c r="AM151" s="395">
        <f t="shared" si="13"/>
        <v>46060</v>
      </c>
      <c r="AN151" s="396">
        <f t="shared" si="14"/>
        <v>1</v>
      </c>
      <c r="AO151" s="109">
        <f t="shared" si="15"/>
        <v>119000</v>
      </c>
      <c r="AP151" s="109">
        <f t="shared" si="16"/>
        <v>108181.81818181818</v>
      </c>
      <c r="AQ151" s="397">
        <f t="shared" si="17"/>
        <v>108181.81818181818</v>
      </c>
    </row>
    <row r="152" spans="1:43" ht="24">
      <c r="A152" s="436" t="s">
        <v>3923</v>
      </c>
      <c r="B152" s="436" t="s">
        <v>3490</v>
      </c>
      <c r="C152" s="437" t="s">
        <v>3491</v>
      </c>
      <c r="D152" s="436" t="s">
        <v>3918</v>
      </c>
      <c r="E152" s="437" t="s">
        <v>3919</v>
      </c>
      <c r="F152" s="436" t="s">
        <v>3494</v>
      </c>
      <c r="G152" s="436" t="s">
        <v>3495</v>
      </c>
      <c r="H152" s="437" t="s">
        <v>3496</v>
      </c>
      <c r="I152" s="436" t="s">
        <v>3497</v>
      </c>
      <c r="J152" s="437" t="s">
        <v>3498</v>
      </c>
      <c r="K152" s="437" t="s">
        <v>3499</v>
      </c>
      <c r="L152" s="436" t="s">
        <v>3500</v>
      </c>
      <c r="M152" s="436" t="s">
        <v>3524</v>
      </c>
      <c r="N152" s="436" t="s">
        <v>3502</v>
      </c>
      <c r="O152" s="438">
        <v>119000</v>
      </c>
      <c r="P152" s="438">
        <v>82110</v>
      </c>
      <c r="Q152" s="438">
        <v>1</v>
      </c>
      <c r="R152" s="438">
        <v>0</v>
      </c>
      <c r="S152" s="438">
        <v>0</v>
      </c>
      <c r="T152" s="438">
        <v>0</v>
      </c>
      <c r="U152" s="438">
        <v>0</v>
      </c>
      <c r="V152" s="438">
        <v>0</v>
      </c>
      <c r="W152" s="438">
        <v>31</v>
      </c>
      <c r="X152" s="438">
        <v>0</v>
      </c>
      <c r="Y152" s="438">
        <v>0</v>
      </c>
      <c r="Z152" s="438">
        <v>0</v>
      </c>
      <c r="AA152" s="438">
        <v>0</v>
      </c>
      <c r="AB152" s="438">
        <v>0</v>
      </c>
      <c r="AC152" s="438">
        <v>119000</v>
      </c>
      <c r="AD152" s="438">
        <v>82110</v>
      </c>
      <c r="AE152" s="438">
        <v>0</v>
      </c>
      <c r="AF152" s="438">
        <v>0</v>
      </c>
      <c r="AG152" s="438">
        <v>119000</v>
      </c>
      <c r="AH152" s="438">
        <v>82110</v>
      </c>
      <c r="AI152" s="438">
        <v>33536</v>
      </c>
      <c r="AJ152" s="438">
        <v>3354</v>
      </c>
      <c r="AK152" s="438">
        <v>36890</v>
      </c>
      <c r="AL152" s="414" t="str">
        <f t="shared" si="12"/>
        <v>워커힐 시그니처 양념 본갈비 300g, 8개</v>
      </c>
      <c r="AM152" s="395">
        <f t="shared" si="13"/>
        <v>46060</v>
      </c>
      <c r="AN152" s="396">
        <f t="shared" si="14"/>
        <v>1</v>
      </c>
      <c r="AO152" s="109">
        <f t="shared" si="15"/>
        <v>119000</v>
      </c>
      <c r="AP152" s="109">
        <f t="shared" si="16"/>
        <v>108181.81818181818</v>
      </c>
      <c r="AQ152" s="397">
        <f t="shared" si="17"/>
        <v>108181.81818181818</v>
      </c>
    </row>
    <row r="153" spans="1:43" ht="24">
      <c r="A153" s="436" t="s">
        <v>3926</v>
      </c>
      <c r="B153" s="436" t="s">
        <v>3490</v>
      </c>
      <c r="C153" s="437" t="s">
        <v>3491</v>
      </c>
      <c r="D153" s="436" t="s">
        <v>3681</v>
      </c>
      <c r="E153" s="437" t="s">
        <v>3682</v>
      </c>
      <c r="F153" s="436" t="s">
        <v>3494</v>
      </c>
      <c r="G153" s="436" t="s">
        <v>3495</v>
      </c>
      <c r="H153" s="437" t="s">
        <v>3496</v>
      </c>
      <c r="I153" s="436" t="s">
        <v>3497</v>
      </c>
      <c r="J153" s="437" t="s">
        <v>3498</v>
      </c>
      <c r="K153" s="437" t="s">
        <v>3499</v>
      </c>
      <c r="L153" s="436" t="s">
        <v>3500</v>
      </c>
      <c r="M153" s="436" t="s">
        <v>3524</v>
      </c>
      <c r="N153" s="436" t="s">
        <v>3502</v>
      </c>
      <c r="O153" s="438">
        <v>119000</v>
      </c>
      <c r="P153" s="438">
        <v>82110</v>
      </c>
      <c r="Q153" s="438">
        <v>1</v>
      </c>
      <c r="R153" s="438">
        <v>0</v>
      </c>
      <c r="S153" s="438">
        <v>0</v>
      </c>
      <c r="T153" s="438">
        <v>0</v>
      </c>
      <c r="U153" s="438">
        <v>0</v>
      </c>
      <c r="V153" s="438">
        <v>0</v>
      </c>
      <c r="W153" s="438">
        <v>31</v>
      </c>
      <c r="X153" s="438">
        <v>0</v>
      </c>
      <c r="Y153" s="438">
        <v>0</v>
      </c>
      <c r="Z153" s="438">
        <v>0</v>
      </c>
      <c r="AA153" s="438">
        <v>0</v>
      </c>
      <c r="AB153" s="438">
        <v>0</v>
      </c>
      <c r="AC153" s="438">
        <v>119000</v>
      </c>
      <c r="AD153" s="438">
        <v>82110</v>
      </c>
      <c r="AE153" s="438">
        <v>0</v>
      </c>
      <c r="AF153" s="438">
        <v>0</v>
      </c>
      <c r="AG153" s="438">
        <v>119000</v>
      </c>
      <c r="AH153" s="438">
        <v>82110</v>
      </c>
      <c r="AI153" s="438">
        <v>33536</v>
      </c>
      <c r="AJ153" s="438">
        <v>3354</v>
      </c>
      <c r="AK153" s="438">
        <v>36890</v>
      </c>
      <c r="AL153" s="414" t="str">
        <f t="shared" si="12"/>
        <v>워커힐 시그니처 양념 본갈비 300g, 8개</v>
      </c>
      <c r="AM153" s="395">
        <f t="shared" si="13"/>
        <v>46060</v>
      </c>
      <c r="AN153" s="396">
        <f t="shared" si="14"/>
        <v>1</v>
      </c>
      <c r="AO153" s="109">
        <f t="shared" si="15"/>
        <v>119000</v>
      </c>
      <c r="AP153" s="109">
        <f t="shared" si="16"/>
        <v>108181.81818181818</v>
      </c>
      <c r="AQ153" s="397">
        <f t="shared" si="17"/>
        <v>108181.81818181818</v>
      </c>
    </row>
    <row r="154" spans="1:43" ht="24">
      <c r="A154" s="436" t="s">
        <v>3928</v>
      </c>
      <c r="B154" s="436" t="s">
        <v>3490</v>
      </c>
      <c r="C154" s="437" t="s">
        <v>3491</v>
      </c>
      <c r="D154" s="436" t="s">
        <v>3684</v>
      </c>
      <c r="E154" s="437" t="s">
        <v>3685</v>
      </c>
      <c r="F154" s="436" t="s">
        <v>3494</v>
      </c>
      <c r="G154" s="436" t="s">
        <v>3495</v>
      </c>
      <c r="H154" s="437" t="s">
        <v>3496</v>
      </c>
      <c r="I154" s="436" t="s">
        <v>3497</v>
      </c>
      <c r="J154" s="437" t="s">
        <v>3498</v>
      </c>
      <c r="K154" s="437" t="s">
        <v>3548</v>
      </c>
      <c r="L154" s="436" t="s">
        <v>3500</v>
      </c>
      <c r="M154" s="436" t="s">
        <v>3524</v>
      </c>
      <c r="N154" s="436" t="s">
        <v>3502</v>
      </c>
      <c r="O154" s="438">
        <v>119000</v>
      </c>
      <c r="P154" s="438">
        <v>82110</v>
      </c>
      <c r="Q154" s="438">
        <v>1</v>
      </c>
      <c r="R154" s="438">
        <v>0</v>
      </c>
      <c r="S154" s="438">
        <v>0</v>
      </c>
      <c r="T154" s="438">
        <v>0</v>
      </c>
      <c r="U154" s="438">
        <v>0</v>
      </c>
      <c r="V154" s="438">
        <v>0</v>
      </c>
      <c r="W154" s="438">
        <v>31</v>
      </c>
      <c r="X154" s="438">
        <v>0</v>
      </c>
      <c r="Y154" s="438">
        <v>0</v>
      </c>
      <c r="Z154" s="438">
        <v>0</v>
      </c>
      <c r="AA154" s="438">
        <v>0</v>
      </c>
      <c r="AB154" s="438">
        <v>0</v>
      </c>
      <c r="AC154" s="438">
        <v>119000</v>
      </c>
      <c r="AD154" s="438">
        <v>82110</v>
      </c>
      <c r="AE154" s="438">
        <v>0</v>
      </c>
      <c r="AF154" s="438">
        <v>0</v>
      </c>
      <c r="AG154" s="438">
        <v>119000</v>
      </c>
      <c r="AH154" s="438">
        <v>82110</v>
      </c>
      <c r="AI154" s="438">
        <v>33536</v>
      </c>
      <c r="AJ154" s="438">
        <v>3354</v>
      </c>
      <c r="AK154" s="438">
        <v>36890</v>
      </c>
      <c r="AL154" s="414" t="str">
        <f t="shared" si="12"/>
        <v>워커힐 시그니처 양념 본갈비 300g, 8개</v>
      </c>
      <c r="AM154" s="395">
        <f t="shared" si="13"/>
        <v>46060</v>
      </c>
      <c r="AN154" s="396">
        <f t="shared" si="14"/>
        <v>1</v>
      </c>
      <c r="AO154" s="109">
        <f t="shared" si="15"/>
        <v>119000</v>
      </c>
      <c r="AP154" s="109">
        <f t="shared" si="16"/>
        <v>108181.81818181818</v>
      </c>
      <c r="AQ154" s="397">
        <f t="shared" si="17"/>
        <v>108181.81818181818</v>
      </c>
    </row>
    <row r="155" spans="1:43" ht="24">
      <c r="A155" s="436" t="s">
        <v>3930</v>
      </c>
      <c r="B155" s="436" t="s">
        <v>3490</v>
      </c>
      <c r="C155" s="437" t="s">
        <v>3491</v>
      </c>
      <c r="D155" s="436" t="s">
        <v>3687</v>
      </c>
      <c r="E155" s="437" t="s">
        <v>3688</v>
      </c>
      <c r="F155" s="436" t="s">
        <v>3494</v>
      </c>
      <c r="G155" s="436" t="s">
        <v>3495</v>
      </c>
      <c r="H155" s="437" t="s">
        <v>3496</v>
      </c>
      <c r="I155" s="436" t="s">
        <v>3497</v>
      </c>
      <c r="J155" s="437" t="s">
        <v>3498</v>
      </c>
      <c r="K155" s="437" t="s">
        <v>3499</v>
      </c>
      <c r="L155" s="436" t="s">
        <v>3500</v>
      </c>
      <c r="M155" s="436" t="s">
        <v>3524</v>
      </c>
      <c r="N155" s="436" t="s">
        <v>3502</v>
      </c>
      <c r="O155" s="438">
        <v>119000</v>
      </c>
      <c r="P155" s="438">
        <v>82110</v>
      </c>
      <c r="Q155" s="438">
        <v>1</v>
      </c>
      <c r="R155" s="438">
        <v>0</v>
      </c>
      <c r="S155" s="438">
        <v>0</v>
      </c>
      <c r="T155" s="438">
        <v>0</v>
      </c>
      <c r="U155" s="438">
        <v>0</v>
      </c>
      <c r="V155" s="438">
        <v>0</v>
      </c>
      <c r="W155" s="438">
        <v>31</v>
      </c>
      <c r="X155" s="438">
        <v>0</v>
      </c>
      <c r="Y155" s="438">
        <v>0</v>
      </c>
      <c r="Z155" s="438">
        <v>0</v>
      </c>
      <c r="AA155" s="438">
        <v>0</v>
      </c>
      <c r="AB155" s="438">
        <v>0</v>
      </c>
      <c r="AC155" s="438">
        <v>119000</v>
      </c>
      <c r="AD155" s="438">
        <v>82110</v>
      </c>
      <c r="AE155" s="438">
        <v>0</v>
      </c>
      <c r="AF155" s="438">
        <v>0</v>
      </c>
      <c r="AG155" s="438">
        <v>119000</v>
      </c>
      <c r="AH155" s="438">
        <v>82110</v>
      </c>
      <c r="AI155" s="438">
        <v>33536</v>
      </c>
      <c r="AJ155" s="438">
        <v>3354</v>
      </c>
      <c r="AK155" s="438">
        <v>36890</v>
      </c>
      <c r="AL155" s="414" t="str">
        <f t="shared" si="12"/>
        <v>워커힐 시그니처 양념 본갈비 300g, 8개</v>
      </c>
      <c r="AM155" s="395">
        <f t="shared" si="13"/>
        <v>46060</v>
      </c>
      <c r="AN155" s="396">
        <f t="shared" si="14"/>
        <v>1</v>
      </c>
      <c r="AO155" s="109">
        <f t="shared" si="15"/>
        <v>119000</v>
      </c>
      <c r="AP155" s="109">
        <f t="shared" si="16"/>
        <v>108181.81818181818</v>
      </c>
      <c r="AQ155" s="397">
        <f t="shared" si="17"/>
        <v>108181.81818181818</v>
      </c>
    </row>
    <row r="156" spans="1:43" ht="24">
      <c r="A156" s="436" t="s">
        <v>3932</v>
      </c>
      <c r="B156" s="436" t="s">
        <v>3490</v>
      </c>
      <c r="C156" s="437" t="s">
        <v>3491</v>
      </c>
      <c r="D156" s="436" t="s">
        <v>3921</v>
      </c>
      <c r="E156" s="437" t="s">
        <v>3922</v>
      </c>
      <c r="F156" s="436" t="s">
        <v>3494</v>
      </c>
      <c r="G156" s="436" t="s">
        <v>3495</v>
      </c>
      <c r="H156" s="437" t="s">
        <v>3496</v>
      </c>
      <c r="I156" s="436" t="s">
        <v>3497</v>
      </c>
      <c r="J156" s="437" t="s">
        <v>3498</v>
      </c>
      <c r="K156" s="437" t="s">
        <v>3499</v>
      </c>
      <c r="L156" s="436" t="s">
        <v>3500</v>
      </c>
      <c r="M156" s="436" t="s">
        <v>3524</v>
      </c>
      <c r="N156" s="436" t="s">
        <v>3502</v>
      </c>
      <c r="O156" s="438">
        <v>119000</v>
      </c>
      <c r="P156" s="438">
        <v>82110</v>
      </c>
      <c r="Q156" s="438">
        <v>1</v>
      </c>
      <c r="R156" s="438">
        <v>0</v>
      </c>
      <c r="S156" s="438">
        <v>0</v>
      </c>
      <c r="T156" s="438">
        <v>0</v>
      </c>
      <c r="U156" s="438">
        <v>0</v>
      </c>
      <c r="V156" s="438">
        <v>0</v>
      </c>
      <c r="W156" s="438">
        <v>31</v>
      </c>
      <c r="X156" s="438">
        <v>0</v>
      </c>
      <c r="Y156" s="438">
        <v>0</v>
      </c>
      <c r="Z156" s="438">
        <v>0</v>
      </c>
      <c r="AA156" s="438">
        <v>0</v>
      </c>
      <c r="AB156" s="438">
        <v>0</v>
      </c>
      <c r="AC156" s="438">
        <v>119000</v>
      </c>
      <c r="AD156" s="438">
        <v>82110</v>
      </c>
      <c r="AE156" s="438">
        <v>0</v>
      </c>
      <c r="AF156" s="438">
        <v>0</v>
      </c>
      <c r="AG156" s="438">
        <v>119000</v>
      </c>
      <c r="AH156" s="438">
        <v>82110</v>
      </c>
      <c r="AI156" s="438">
        <v>33536</v>
      </c>
      <c r="AJ156" s="438">
        <v>3354</v>
      </c>
      <c r="AK156" s="438">
        <v>36890</v>
      </c>
      <c r="AL156" s="414" t="str">
        <f t="shared" si="12"/>
        <v>워커힐 시그니처 양념 본갈비 300g, 8개</v>
      </c>
      <c r="AM156" s="395">
        <f t="shared" si="13"/>
        <v>46060</v>
      </c>
      <c r="AN156" s="396">
        <f t="shared" si="14"/>
        <v>1</v>
      </c>
      <c r="AO156" s="109">
        <f t="shared" si="15"/>
        <v>119000</v>
      </c>
      <c r="AP156" s="109">
        <f t="shared" si="16"/>
        <v>108181.81818181818</v>
      </c>
      <c r="AQ156" s="397">
        <f t="shared" si="17"/>
        <v>108181.81818181818</v>
      </c>
    </row>
    <row r="157" spans="1:43" ht="24">
      <c r="A157" s="436" t="s">
        <v>3935</v>
      </c>
      <c r="B157" s="436" t="s">
        <v>3490</v>
      </c>
      <c r="C157" s="437" t="s">
        <v>3491</v>
      </c>
      <c r="D157" s="436" t="s">
        <v>3924</v>
      </c>
      <c r="E157" s="437" t="s">
        <v>3925</v>
      </c>
      <c r="F157" s="436" t="s">
        <v>3494</v>
      </c>
      <c r="G157" s="436" t="s">
        <v>3495</v>
      </c>
      <c r="H157" s="437" t="s">
        <v>3496</v>
      </c>
      <c r="I157" s="436" t="s">
        <v>3497</v>
      </c>
      <c r="J157" s="437" t="s">
        <v>3498</v>
      </c>
      <c r="K157" s="437" t="s">
        <v>3499</v>
      </c>
      <c r="L157" s="436" t="s">
        <v>3500</v>
      </c>
      <c r="M157" s="436" t="s">
        <v>3524</v>
      </c>
      <c r="N157" s="436" t="s">
        <v>3502</v>
      </c>
      <c r="O157" s="438">
        <v>119000</v>
      </c>
      <c r="P157" s="438">
        <v>82110</v>
      </c>
      <c r="Q157" s="438">
        <v>1</v>
      </c>
      <c r="R157" s="438">
        <v>0</v>
      </c>
      <c r="S157" s="438">
        <v>0</v>
      </c>
      <c r="T157" s="438">
        <v>0</v>
      </c>
      <c r="U157" s="438">
        <v>0</v>
      </c>
      <c r="V157" s="438">
        <v>0</v>
      </c>
      <c r="W157" s="438">
        <v>31</v>
      </c>
      <c r="X157" s="438">
        <v>0</v>
      </c>
      <c r="Y157" s="438">
        <v>0</v>
      </c>
      <c r="Z157" s="438">
        <v>0</v>
      </c>
      <c r="AA157" s="438">
        <v>0</v>
      </c>
      <c r="AB157" s="438">
        <v>0</v>
      </c>
      <c r="AC157" s="438">
        <v>119000</v>
      </c>
      <c r="AD157" s="438">
        <v>82110</v>
      </c>
      <c r="AE157" s="438">
        <v>0</v>
      </c>
      <c r="AF157" s="438">
        <v>0</v>
      </c>
      <c r="AG157" s="438">
        <v>119000</v>
      </c>
      <c r="AH157" s="438">
        <v>82110</v>
      </c>
      <c r="AI157" s="438">
        <v>33536</v>
      </c>
      <c r="AJ157" s="438">
        <v>3354</v>
      </c>
      <c r="AK157" s="438">
        <v>36890</v>
      </c>
      <c r="AL157" s="414" t="str">
        <f t="shared" si="12"/>
        <v>워커힐 시그니처 양념 본갈비 300g, 8개</v>
      </c>
      <c r="AM157" s="395">
        <f t="shared" si="13"/>
        <v>46060</v>
      </c>
      <c r="AN157" s="396">
        <f t="shared" si="14"/>
        <v>1</v>
      </c>
      <c r="AO157" s="109">
        <f t="shared" si="15"/>
        <v>119000</v>
      </c>
      <c r="AP157" s="109">
        <f t="shared" si="16"/>
        <v>108181.81818181818</v>
      </c>
      <c r="AQ157" s="397">
        <f t="shared" si="17"/>
        <v>108181.81818181818</v>
      </c>
    </row>
    <row r="158" spans="1:43" ht="24">
      <c r="A158" s="436" t="s">
        <v>3938</v>
      </c>
      <c r="B158" s="436" t="s">
        <v>3490</v>
      </c>
      <c r="C158" s="437" t="s">
        <v>3491</v>
      </c>
      <c r="D158" s="436" t="s">
        <v>3927</v>
      </c>
      <c r="E158" s="437" t="s">
        <v>3700</v>
      </c>
      <c r="F158" s="436" t="s">
        <v>3494</v>
      </c>
      <c r="G158" s="436" t="s">
        <v>3495</v>
      </c>
      <c r="H158" s="437" t="s">
        <v>3496</v>
      </c>
      <c r="I158" s="436" t="s">
        <v>3497</v>
      </c>
      <c r="J158" s="437" t="s">
        <v>3498</v>
      </c>
      <c r="K158" s="437" t="s">
        <v>3499</v>
      </c>
      <c r="L158" s="436" t="s">
        <v>3500</v>
      </c>
      <c r="M158" s="436" t="s">
        <v>3524</v>
      </c>
      <c r="N158" s="436" t="s">
        <v>3502</v>
      </c>
      <c r="O158" s="438">
        <v>119000</v>
      </c>
      <c r="P158" s="438">
        <v>82110</v>
      </c>
      <c r="Q158" s="438">
        <v>1</v>
      </c>
      <c r="R158" s="438">
        <v>0</v>
      </c>
      <c r="S158" s="438">
        <v>0</v>
      </c>
      <c r="T158" s="438">
        <v>0</v>
      </c>
      <c r="U158" s="438">
        <v>0</v>
      </c>
      <c r="V158" s="438">
        <v>0</v>
      </c>
      <c r="W158" s="438">
        <v>31</v>
      </c>
      <c r="X158" s="438">
        <v>0</v>
      </c>
      <c r="Y158" s="438">
        <v>0</v>
      </c>
      <c r="Z158" s="438">
        <v>0</v>
      </c>
      <c r="AA158" s="438">
        <v>0</v>
      </c>
      <c r="AB158" s="438">
        <v>0</v>
      </c>
      <c r="AC158" s="438">
        <v>119000</v>
      </c>
      <c r="AD158" s="438">
        <v>82110</v>
      </c>
      <c r="AE158" s="438">
        <v>0</v>
      </c>
      <c r="AF158" s="438">
        <v>0</v>
      </c>
      <c r="AG158" s="438">
        <v>119000</v>
      </c>
      <c r="AH158" s="438">
        <v>82110</v>
      </c>
      <c r="AI158" s="438">
        <v>33536</v>
      </c>
      <c r="AJ158" s="438">
        <v>3354</v>
      </c>
      <c r="AK158" s="438">
        <v>36890</v>
      </c>
      <c r="AL158" s="414" t="str">
        <f t="shared" si="12"/>
        <v>워커힐 시그니처 양념 본갈비 300g, 8개</v>
      </c>
      <c r="AM158" s="395">
        <f t="shared" si="13"/>
        <v>46060</v>
      </c>
      <c r="AN158" s="396">
        <f t="shared" si="14"/>
        <v>1</v>
      </c>
      <c r="AO158" s="109">
        <f t="shared" si="15"/>
        <v>119000</v>
      </c>
      <c r="AP158" s="109">
        <f t="shared" si="16"/>
        <v>108181.81818181818</v>
      </c>
      <c r="AQ158" s="397">
        <f t="shared" si="17"/>
        <v>108181.81818181818</v>
      </c>
    </row>
    <row r="159" spans="1:43" ht="24">
      <c r="A159" s="436" t="s">
        <v>3941</v>
      </c>
      <c r="B159" s="436" t="s">
        <v>3490</v>
      </c>
      <c r="C159" s="437" t="s">
        <v>3491</v>
      </c>
      <c r="D159" s="436" t="s">
        <v>3931</v>
      </c>
      <c r="E159" s="437" t="s">
        <v>3829</v>
      </c>
      <c r="F159" s="436" t="s">
        <v>3494</v>
      </c>
      <c r="G159" s="436" t="s">
        <v>3495</v>
      </c>
      <c r="H159" s="437" t="s">
        <v>3496</v>
      </c>
      <c r="I159" s="436" t="s">
        <v>3497</v>
      </c>
      <c r="J159" s="437" t="s">
        <v>3498</v>
      </c>
      <c r="K159" s="437" t="s">
        <v>3499</v>
      </c>
      <c r="L159" s="436" t="s">
        <v>3500</v>
      </c>
      <c r="M159" s="436" t="s">
        <v>3524</v>
      </c>
      <c r="N159" s="436" t="s">
        <v>3502</v>
      </c>
      <c r="O159" s="438">
        <v>119000</v>
      </c>
      <c r="P159" s="438">
        <v>82110</v>
      </c>
      <c r="Q159" s="438">
        <v>1</v>
      </c>
      <c r="R159" s="438">
        <v>0</v>
      </c>
      <c r="S159" s="438">
        <v>0</v>
      </c>
      <c r="T159" s="438">
        <v>0</v>
      </c>
      <c r="U159" s="438">
        <v>0</v>
      </c>
      <c r="V159" s="438">
        <v>0</v>
      </c>
      <c r="W159" s="438">
        <v>31</v>
      </c>
      <c r="X159" s="438">
        <v>0</v>
      </c>
      <c r="Y159" s="438">
        <v>0</v>
      </c>
      <c r="Z159" s="438">
        <v>0</v>
      </c>
      <c r="AA159" s="438">
        <v>0</v>
      </c>
      <c r="AB159" s="438">
        <v>0</v>
      </c>
      <c r="AC159" s="438">
        <v>119000</v>
      </c>
      <c r="AD159" s="438">
        <v>82110</v>
      </c>
      <c r="AE159" s="438">
        <v>0</v>
      </c>
      <c r="AF159" s="438">
        <v>0</v>
      </c>
      <c r="AG159" s="438">
        <v>119000</v>
      </c>
      <c r="AH159" s="438">
        <v>82110</v>
      </c>
      <c r="AI159" s="438">
        <v>33536</v>
      </c>
      <c r="AJ159" s="438">
        <v>3354</v>
      </c>
      <c r="AK159" s="438">
        <v>36890</v>
      </c>
      <c r="AL159" s="414" t="str">
        <f t="shared" si="12"/>
        <v>워커힐 시그니처 양념 본갈비 300g, 8개</v>
      </c>
      <c r="AM159" s="395">
        <f t="shared" si="13"/>
        <v>46060</v>
      </c>
      <c r="AN159" s="396">
        <f t="shared" si="14"/>
        <v>1</v>
      </c>
      <c r="AO159" s="109">
        <f t="shared" si="15"/>
        <v>119000</v>
      </c>
      <c r="AP159" s="109">
        <f t="shared" si="16"/>
        <v>108181.81818181818</v>
      </c>
      <c r="AQ159" s="397">
        <f t="shared" si="17"/>
        <v>108181.81818181818</v>
      </c>
    </row>
    <row r="160" spans="1:43" ht="24">
      <c r="A160" s="436" t="s">
        <v>3943</v>
      </c>
      <c r="B160" s="436" t="s">
        <v>3490</v>
      </c>
      <c r="C160" s="437" t="s">
        <v>3491</v>
      </c>
      <c r="D160" s="436" t="s">
        <v>3585</v>
      </c>
      <c r="E160" s="437" t="s">
        <v>3586</v>
      </c>
      <c r="F160" s="436" t="s">
        <v>3494</v>
      </c>
      <c r="G160" s="436" t="s">
        <v>3495</v>
      </c>
      <c r="H160" s="437" t="s">
        <v>3496</v>
      </c>
      <c r="I160" s="436" t="s">
        <v>3497</v>
      </c>
      <c r="J160" s="437" t="s">
        <v>3498</v>
      </c>
      <c r="K160" s="437" t="s">
        <v>3499</v>
      </c>
      <c r="L160" s="436" t="s">
        <v>3500</v>
      </c>
      <c r="M160" s="436" t="s">
        <v>3524</v>
      </c>
      <c r="N160" s="436" t="s">
        <v>3502</v>
      </c>
      <c r="O160" s="438">
        <v>119000</v>
      </c>
      <c r="P160" s="438">
        <v>82110</v>
      </c>
      <c r="Q160" s="438">
        <v>1</v>
      </c>
      <c r="R160" s="438">
        <v>0</v>
      </c>
      <c r="S160" s="438">
        <v>0</v>
      </c>
      <c r="T160" s="438">
        <v>0</v>
      </c>
      <c r="U160" s="438">
        <v>0</v>
      </c>
      <c r="V160" s="438">
        <v>0</v>
      </c>
      <c r="W160" s="438">
        <v>31</v>
      </c>
      <c r="X160" s="438">
        <v>0</v>
      </c>
      <c r="Y160" s="438">
        <v>0</v>
      </c>
      <c r="Z160" s="438">
        <v>0</v>
      </c>
      <c r="AA160" s="438">
        <v>0</v>
      </c>
      <c r="AB160" s="438">
        <v>5950</v>
      </c>
      <c r="AC160" s="438">
        <v>119000</v>
      </c>
      <c r="AD160" s="438">
        <v>82110</v>
      </c>
      <c r="AE160" s="438">
        <v>0</v>
      </c>
      <c r="AF160" s="438">
        <v>5950</v>
      </c>
      <c r="AG160" s="438">
        <v>113050</v>
      </c>
      <c r="AH160" s="438">
        <v>82110</v>
      </c>
      <c r="AI160" s="438">
        <v>28127</v>
      </c>
      <c r="AJ160" s="438">
        <v>2813</v>
      </c>
      <c r="AK160" s="438">
        <v>30940</v>
      </c>
      <c r="AL160" s="414" t="str">
        <f t="shared" si="12"/>
        <v>워커힐 시그니처 양념 본갈비 300g, 8개</v>
      </c>
      <c r="AM160" s="395">
        <f t="shared" si="13"/>
        <v>46060</v>
      </c>
      <c r="AN160" s="396">
        <f t="shared" si="14"/>
        <v>1</v>
      </c>
      <c r="AO160" s="109">
        <f t="shared" si="15"/>
        <v>119000</v>
      </c>
      <c r="AP160" s="109">
        <f t="shared" si="16"/>
        <v>108181.81818181818</v>
      </c>
      <c r="AQ160" s="397">
        <f t="shared" si="17"/>
        <v>108181.81818181818</v>
      </c>
    </row>
    <row r="161" spans="1:43" ht="24">
      <c r="A161" s="436" t="s">
        <v>3946</v>
      </c>
      <c r="B161" s="436" t="s">
        <v>3490</v>
      </c>
      <c r="C161" s="437" t="s">
        <v>3491</v>
      </c>
      <c r="D161" s="436" t="s">
        <v>3933</v>
      </c>
      <c r="E161" s="437" t="s">
        <v>3934</v>
      </c>
      <c r="F161" s="436" t="s">
        <v>3494</v>
      </c>
      <c r="G161" s="436" t="s">
        <v>3495</v>
      </c>
      <c r="H161" s="437" t="s">
        <v>3496</v>
      </c>
      <c r="I161" s="436" t="s">
        <v>3497</v>
      </c>
      <c r="J161" s="437" t="s">
        <v>3498</v>
      </c>
      <c r="K161" s="437" t="s">
        <v>3499</v>
      </c>
      <c r="L161" s="436" t="s">
        <v>3500</v>
      </c>
      <c r="M161" s="436" t="s">
        <v>3524</v>
      </c>
      <c r="N161" s="436" t="s">
        <v>3502</v>
      </c>
      <c r="O161" s="438">
        <v>119000</v>
      </c>
      <c r="P161" s="438">
        <v>82110</v>
      </c>
      <c r="Q161" s="438">
        <v>1</v>
      </c>
      <c r="R161" s="438">
        <v>0</v>
      </c>
      <c r="S161" s="438">
        <v>0</v>
      </c>
      <c r="T161" s="438">
        <v>0</v>
      </c>
      <c r="U161" s="438">
        <v>0</v>
      </c>
      <c r="V161" s="438">
        <v>0</v>
      </c>
      <c r="W161" s="438">
        <v>31</v>
      </c>
      <c r="X161" s="438">
        <v>0</v>
      </c>
      <c r="Y161" s="438">
        <v>0</v>
      </c>
      <c r="Z161" s="438">
        <v>0</v>
      </c>
      <c r="AA161" s="438">
        <v>0</v>
      </c>
      <c r="AB161" s="438">
        <v>0</v>
      </c>
      <c r="AC161" s="438">
        <v>119000</v>
      </c>
      <c r="AD161" s="438">
        <v>82110</v>
      </c>
      <c r="AE161" s="438">
        <v>0</v>
      </c>
      <c r="AF161" s="438">
        <v>0</v>
      </c>
      <c r="AG161" s="438">
        <v>119000</v>
      </c>
      <c r="AH161" s="438">
        <v>82110</v>
      </c>
      <c r="AI161" s="438">
        <v>33536</v>
      </c>
      <c r="AJ161" s="438">
        <v>3354</v>
      </c>
      <c r="AK161" s="438">
        <v>36890</v>
      </c>
      <c r="AL161" s="414" t="str">
        <f t="shared" si="12"/>
        <v>워커힐 시그니처 양념 본갈비 300g, 8개</v>
      </c>
      <c r="AM161" s="395">
        <f t="shared" si="13"/>
        <v>46060</v>
      </c>
      <c r="AN161" s="396">
        <f t="shared" si="14"/>
        <v>1</v>
      </c>
      <c r="AO161" s="109">
        <f t="shared" si="15"/>
        <v>119000</v>
      </c>
      <c r="AP161" s="109">
        <f t="shared" si="16"/>
        <v>108181.81818181818</v>
      </c>
      <c r="AQ161" s="397">
        <f t="shared" si="17"/>
        <v>108181.81818181818</v>
      </c>
    </row>
    <row r="162" spans="1:43" ht="24">
      <c r="A162" s="436" t="s">
        <v>3949</v>
      </c>
      <c r="B162" s="436" t="s">
        <v>3490</v>
      </c>
      <c r="C162" s="437" t="s">
        <v>3491</v>
      </c>
      <c r="D162" s="436" t="s">
        <v>3939</v>
      </c>
      <c r="E162" s="437" t="s">
        <v>3940</v>
      </c>
      <c r="F162" s="436" t="s">
        <v>3494</v>
      </c>
      <c r="G162" s="436" t="s">
        <v>3495</v>
      </c>
      <c r="H162" s="437" t="s">
        <v>3496</v>
      </c>
      <c r="I162" s="436" t="s">
        <v>3497</v>
      </c>
      <c r="J162" s="437" t="s">
        <v>3498</v>
      </c>
      <c r="K162" s="437" t="s">
        <v>3499</v>
      </c>
      <c r="L162" s="436" t="s">
        <v>3500</v>
      </c>
      <c r="M162" s="436" t="s">
        <v>3524</v>
      </c>
      <c r="N162" s="436" t="s">
        <v>3502</v>
      </c>
      <c r="O162" s="438">
        <v>119000</v>
      </c>
      <c r="P162" s="438">
        <v>82110</v>
      </c>
      <c r="Q162" s="438">
        <v>1</v>
      </c>
      <c r="R162" s="438">
        <v>0</v>
      </c>
      <c r="S162" s="438">
        <v>0</v>
      </c>
      <c r="T162" s="438">
        <v>0</v>
      </c>
      <c r="U162" s="438">
        <v>0</v>
      </c>
      <c r="V162" s="438">
        <v>0</v>
      </c>
      <c r="W162" s="438">
        <v>31</v>
      </c>
      <c r="X162" s="438">
        <v>0</v>
      </c>
      <c r="Y162" s="438">
        <v>0</v>
      </c>
      <c r="Z162" s="438">
        <v>0</v>
      </c>
      <c r="AA162" s="438">
        <v>0</v>
      </c>
      <c r="AB162" s="438">
        <v>0</v>
      </c>
      <c r="AC162" s="438">
        <v>119000</v>
      </c>
      <c r="AD162" s="438">
        <v>82110</v>
      </c>
      <c r="AE162" s="438">
        <v>0</v>
      </c>
      <c r="AF162" s="438">
        <v>0</v>
      </c>
      <c r="AG162" s="438">
        <v>119000</v>
      </c>
      <c r="AH162" s="438">
        <v>82110</v>
      </c>
      <c r="AI162" s="438">
        <v>33536</v>
      </c>
      <c r="AJ162" s="438">
        <v>3354</v>
      </c>
      <c r="AK162" s="438">
        <v>36890</v>
      </c>
      <c r="AL162" s="414" t="str">
        <f t="shared" si="12"/>
        <v>워커힐 시그니처 양념 본갈비 300g, 8개</v>
      </c>
      <c r="AM162" s="395">
        <f t="shared" si="13"/>
        <v>46060</v>
      </c>
      <c r="AN162" s="396">
        <f t="shared" si="14"/>
        <v>1</v>
      </c>
      <c r="AO162" s="109">
        <f t="shared" si="15"/>
        <v>119000</v>
      </c>
      <c r="AP162" s="109">
        <f t="shared" si="16"/>
        <v>108181.81818181818</v>
      </c>
      <c r="AQ162" s="397">
        <f t="shared" si="17"/>
        <v>108181.81818181818</v>
      </c>
    </row>
    <row r="163" spans="1:43" ht="24">
      <c r="A163" s="436" t="s">
        <v>3951</v>
      </c>
      <c r="B163" s="436" t="s">
        <v>3490</v>
      </c>
      <c r="C163" s="437" t="s">
        <v>3491</v>
      </c>
      <c r="D163" s="436" t="s">
        <v>3944</v>
      </c>
      <c r="E163" s="437" t="s">
        <v>3945</v>
      </c>
      <c r="F163" s="436" t="s">
        <v>3494</v>
      </c>
      <c r="G163" s="436" t="s">
        <v>3495</v>
      </c>
      <c r="H163" s="437" t="s">
        <v>3496</v>
      </c>
      <c r="I163" s="436" t="s">
        <v>3497</v>
      </c>
      <c r="J163" s="437" t="s">
        <v>3498</v>
      </c>
      <c r="K163" s="437" t="s">
        <v>3499</v>
      </c>
      <c r="L163" s="436" t="s">
        <v>3500</v>
      </c>
      <c r="M163" s="436" t="s">
        <v>3524</v>
      </c>
      <c r="N163" s="436" t="s">
        <v>3502</v>
      </c>
      <c r="O163" s="438">
        <v>119000</v>
      </c>
      <c r="P163" s="438">
        <v>82110</v>
      </c>
      <c r="Q163" s="438">
        <v>1</v>
      </c>
      <c r="R163" s="438">
        <v>0</v>
      </c>
      <c r="S163" s="438">
        <v>0</v>
      </c>
      <c r="T163" s="438">
        <v>0</v>
      </c>
      <c r="U163" s="438">
        <v>0</v>
      </c>
      <c r="V163" s="438">
        <v>0</v>
      </c>
      <c r="W163" s="438">
        <v>31</v>
      </c>
      <c r="X163" s="438">
        <v>0</v>
      </c>
      <c r="Y163" s="438">
        <v>0</v>
      </c>
      <c r="Z163" s="438">
        <v>0</v>
      </c>
      <c r="AA163" s="438">
        <v>0</v>
      </c>
      <c r="AB163" s="438">
        <v>0</v>
      </c>
      <c r="AC163" s="438">
        <v>119000</v>
      </c>
      <c r="AD163" s="438">
        <v>82110</v>
      </c>
      <c r="AE163" s="438">
        <v>0</v>
      </c>
      <c r="AF163" s="438">
        <v>0</v>
      </c>
      <c r="AG163" s="438">
        <v>119000</v>
      </c>
      <c r="AH163" s="438">
        <v>82110</v>
      </c>
      <c r="AI163" s="438">
        <v>33536</v>
      </c>
      <c r="AJ163" s="438">
        <v>3354</v>
      </c>
      <c r="AK163" s="438">
        <v>36890</v>
      </c>
      <c r="AL163" s="414" t="str">
        <f t="shared" si="12"/>
        <v>워커힐 시그니처 양념 본갈비 300g, 8개</v>
      </c>
      <c r="AM163" s="395">
        <f t="shared" si="13"/>
        <v>46060</v>
      </c>
      <c r="AN163" s="396">
        <f t="shared" si="14"/>
        <v>1</v>
      </c>
      <c r="AO163" s="109">
        <f t="shared" si="15"/>
        <v>119000</v>
      </c>
      <c r="AP163" s="109">
        <f t="shared" si="16"/>
        <v>108181.81818181818</v>
      </c>
      <c r="AQ163" s="397">
        <f t="shared" si="17"/>
        <v>108181.81818181818</v>
      </c>
    </row>
    <row r="164" spans="1:43" ht="24">
      <c r="A164" s="436" t="s">
        <v>3954</v>
      </c>
      <c r="B164" s="436" t="s">
        <v>3490</v>
      </c>
      <c r="C164" s="437" t="s">
        <v>3491</v>
      </c>
      <c r="D164" s="436" t="s">
        <v>3705</v>
      </c>
      <c r="E164" s="437" t="s">
        <v>3706</v>
      </c>
      <c r="F164" s="436" t="s">
        <v>3494</v>
      </c>
      <c r="G164" s="436" t="s">
        <v>3495</v>
      </c>
      <c r="H164" s="437" t="s">
        <v>3496</v>
      </c>
      <c r="I164" s="436" t="s">
        <v>3497</v>
      </c>
      <c r="J164" s="437" t="s">
        <v>3498</v>
      </c>
      <c r="K164" s="437" t="s">
        <v>3499</v>
      </c>
      <c r="L164" s="436" t="s">
        <v>3500</v>
      </c>
      <c r="M164" s="436" t="s">
        <v>3524</v>
      </c>
      <c r="N164" s="436" t="s">
        <v>3502</v>
      </c>
      <c r="O164" s="438">
        <v>119000</v>
      </c>
      <c r="P164" s="438">
        <v>82110</v>
      </c>
      <c r="Q164" s="438">
        <v>1</v>
      </c>
      <c r="R164" s="438">
        <v>0</v>
      </c>
      <c r="S164" s="438">
        <v>0</v>
      </c>
      <c r="T164" s="438">
        <v>0</v>
      </c>
      <c r="U164" s="438">
        <v>0</v>
      </c>
      <c r="V164" s="438">
        <v>0</v>
      </c>
      <c r="W164" s="438">
        <v>31</v>
      </c>
      <c r="X164" s="438">
        <v>0</v>
      </c>
      <c r="Y164" s="438">
        <v>0</v>
      </c>
      <c r="Z164" s="438">
        <v>0</v>
      </c>
      <c r="AA164" s="438">
        <v>0</v>
      </c>
      <c r="AB164" s="438">
        <v>0</v>
      </c>
      <c r="AC164" s="438">
        <v>119000</v>
      </c>
      <c r="AD164" s="438">
        <v>82110</v>
      </c>
      <c r="AE164" s="438">
        <v>0</v>
      </c>
      <c r="AF164" s="438">
        <v>0</v>
      </c>
      <c r="AG164" s="438">
        <v>119000</v>
      </c>
      <c r="AH164" s="438">
        <v>82110</v>
      </c>
      <c r="AI164" s="438">
        <v>33536</v>
      </c>
      <c r="AJ164" s="438">
        <v>3354</v>
      </c>
      <c r="AK164" s="438">
        <v>36890</v>
      </c>
      <c r="AL164" s="414" t="str">
        <f t="shared" si="12"/>
        <v>워커힐 시그니처 양념 본갈비 300g, 8개</v>
      </c>
      <c r="AM164" s="395">
        <f t="shared" si="13"/>
        <v>46060</v>
      </c>
      <c r="AN164" s="396">
        <f t="shared" si="14"/>
        <v>1</v>
      </c>
      <c r="AO164" s="109">
        <f t="shared" si="15"/>
        <v>119000</v>
      </c>
      <c r="AP164" s="109">
        <f t="shared" si="16"/>
        <v>108181.81818181818</v>
      </c>
      <c r="AQ164" s="397">
        <f t="shared" si="17"/>
        <v>108181.81818181818</v>
      </c>
    </row>
    <row r="165" spans="1:43" ht="24">
      <c r="A165" s="436" t="s">
        <v>3956</v>
      </c>
      <c r="B165" s="436" t="s">
        <v>3490</v>
      </c>
      <c r="C165" s="437" t="s">
        <v>3491</v>
      </c>
      <c r="D165" s="436" t="s">
        <v>3947</v>
      </c>
      <c r="E165" s="437" t="s">
        <v>3948</v>
      </c>
      <c r="F165" s="436" t="s">
        <v>3494</v>
      </c>
      <c r="G165" s="436" t="s">
        <v>3495</v>
      </c>
      <c r="H165" s="437" t="s">
        <v>3496</v>
      </c>
      <c r="I165" s="436" t="s">
        <v>3497</v>
      </c>
      <c r="J165" s="437" t="s">
        <v>3498</v>
      </c>
      <c r="K165" s="437" t="s">
        <v>3499</v>
      </c>
      <c r="L165" s="436" t="s">
        <v>3500</v>
      </c>
      <c r="M165" s="436" t="s">
        <v>3524</v>
      </c>
      <c r="N165" s="436" t="s">
        <v>3502</v>
      </c>
      <c r="O165" s="438">
        <v>119000</v>
      </c>
      <c r="P165" s="438">
        <v>82110</v>
      </c>
      <c r="Q165" s="438">
        <v>1</v>
      </c>
      <c r="R165" s="438">
        <v>0</v>
      </c>
      <c r="S165" s="438">
        <v>0</v>
      </c>
      <c r="T165" s="438">
        <v>0</v>
      </c>
      <c r="U165" s="438">
        <v>0</v>
      </c>
      <c r="V165" s="438">
        <v>0</v>
      </c>
      <c r="W165" s="438">
        <v>31</v>
      </c>
      <c r="X165" s="438">
        <v>0</v>
      </c>
      <c r="Y165" s="438">
        <v>10000</v>
      </c>
      <c r="Z165" s="438">
        <v>0</v>
      </c>
      <c r="AA165" s="438">
        <v>0</v>
      </c>
      <c r="AB165" s="438">
        <v>0</v>
      </c>
      <c r="AC165" s="438">
        <v>119000</v>
      </c>
      <c r="AD165" s="438">
        <v>82110</v>
      </c>
      <c r="AE165" s="438">
        <v>0</v>
      </c>
      <c r="AF165" s="438">
        <v>10000</v>
      </c>
      <c r="AG165" s="438">
        <v>109000</v>
      </c>
      <c r="AH165" s="438">
        <v>82110</v>
      </c>
      <c r="AI165" s="438">
        <v>24445</v>
      </c>
      <c r="AJ165" s="438">
        <v>2445</v>
      </c>
      <c r="AK165" s="438">
        <v>26890</v>
      </c>
      <c r="AL165" s="414" t="str">
        <f t="shared" si="12"/>
        <v>워커힐 시그니처 양념 본갈비 300g, 8개</v>
      </c>
      <c r="AM165" s="395">
        <f t="shared" si="13"/>
        <v>46060</v>
      </c>
      <c r="AN165" s="396">
        <f t="shared" si="14"/>
        <v>1</v>
      </c>
      <c r="AO165" s="109">
        <f t="shared" si="15"/>
        <v>119000</v>
      </c>
      <c r="AP165" s="109">
        <f t="shared" si="16"/>
        <v>108181.81818181818</v>
      </c>
      <c r="AQ165" s="397">
        <f t="shared" si="17"/>
        <v>108181.81818181818</v>
      </c>
    </row>
    <row r="166" spans="1:43" ht="24">
      <c r="A166" s="436" t="s">
        <v>3959</v>
      </c>
      <c r="B166" s="436" t="s">
        <v>3490</v>
      </c>
      <c r="C166" s="437" t="s">
        <v>3491</v>
      </c>
      <c r="D166" s="436" t="s">
        <v>3950</v>
      </c>
      <c r="E166" s="437" t="s">
        <v>3836</v>
      </c>
      <c r="F166" s="436" t="s">
        <v>3494</v>
      </c>
      <c r="G166" s="436" t="s">
        <v>3495</v>
      </c>
      <c r="H166" s="437" t="s">
        <v>3496</v>
      </c>
      <c r="I166" s="436" t="s">
        <v>3497</v>
      </c>
      <c r="J166" s="437" t="s">
        <v>3498</v>
      </c>
      <c r="K166" s="437" t="s">
        <v>3499</v>
      </c>
      <c r="L166" s="436" t="s">
        <v>3500</v>
      </c>
      <c r="M166" s="436" t="s">
        <v>3524</v>
      </c>
      <c r="N166" s="436" t="s">
        <v>3502</v>
      </c>
      <c r="O166" s="438">
        <v>119000</v>
      </c>
      <c r="P166" s="438">
        <v>82110</v>
      </c>
      <c r="Q166" s="438">
        <v>1</v>
      </c>
      <c r="R166" s="438">
        <v>0</v>
      </c>
      <c r="S166" s="438">
        <v>0</v>
      </c>
      <c r="T166" s="438">
        <v>0</v>
      </c>
      <c r="U166" s="438">
        <v>0</v>
      </c>
      <c r="V166" s="438">
        <v>0</v>
      </c>
      <c r="W166" s="438">
        <v>31</v>
      </c>
      <c r="X166" s="438">
        <v>0</v>
      </c>
      <c r="Y166" s="438">
        <v>0</v>
      </c>
      <c r="Z166" s="438">
        <v>0</v>
      </c>
      <c r="AA166" s="438">
        <v>0</v>
      </c>
      <c r="AB166" s="438">
        <v>0</v>
      </c>
      <c r="AC166" s="438">
        <v>119000</v>
      </c>
      <c r="AD166" s="438">
        <v>82110</v>
      </c>
      <c r="AE166" s="438">
        <v>0</v>
      </c>
      <c r="AF166" s="438">
        <v>0</v>
      </c>
      <c r="AG166" s="438">
        <v>119000</v>
      </c>
      <c r="AH166" s="438">
        <v>82110</v>
      </c>
      <c r="AI166" s="438">
        <v>33536</v>
      </c>
      <c r="AJ166" s="438">
        <v>3354</v>
      </c>
      <c r="AK166" s="438">
        <v>36890</v>
      </c>
      <c r="AL166" s="414" t="str">
        <f t="shared" si="12"/>
        <v>워커힐 시그니처 양념 본갈비 300g, 8개</v>
      </c>
      <c r="AM166" s="395">
        <f t="shared" si="13"/>
        <v>46060</v>
      </c>
      <c r="AN166" s="396">
        <f t="shared" si="14"/>
        <v>1</v>
      </c>
      <c r="AO166" s="109">
        <f t="shared" si="15"/>
        <v>119000</v>
      </c>
      <c r="AP166" s="109">
        <f t="shared" si="16"/>
        <v>108181.81818181818</v>
      </c>
      <c r="AQ166" s="397">
        <f t="shared" si="17"/>
        <v>108181.81818181818</v>
      </c>
    </row>
    <row r="167" spans="1:43" ht="24">
      <c r="A167" s="436" t="s">
        <v>3962</v>
      </c>
      <c r="B167" s="436" t="s">
        <v>3490</v>
      </c>
      <c r="C167" s="437" t="s">
        <v>3491</v>
      </c>
      <c r="D167" s="436" t="s">
        <v>3952</v>
      </c>
      <c r="E167" s="437" t="s">
        <v>3953</v>
      </c>
      <c r="F167" s="436" t="s">
        <v>3494</v>
      </c>
      <c r="G167" s="436" t="s">
        <v>3495</v>
      </c>
      <c r="H167" s="437" t="s">
        <v>3496</v>
      </c>
      <c r="I167" s="436" t="s">
        <v>3497</v>
      </c>
      <c r="J167" s="437" t="s">
        <v>3498</v>
      </c>
      <c r="K167" s="437" t="s">
        <v>3499</v>
      </c>
      <c r="L167" s="436" t="s">
        <v>3500</v>
      </c>
      <c r="M167" s="436" t="s">
        <v>3524</v>
      </c>
      <c r="N167" s="436" t="s">
        <v>3502</v>
      </c>
      <c r="O167" s="438">
        <v>119000</v>
      </c>
      <c r="P167" s="438">
        <v>82110</v>
      </c>
      <c r="Q167" s="438">
        <v>1</v>
      </c>
      <c r="R167" s="438">
        <v>0</v>
      </c>
      <c r="S167" s="438">
        <v>0</v>
      </c>
      <c r="T167" s="438">
        <v>0</v>
      </c>
      <c r="U167" s="438">
        <v>0</v>
      </c>
      <c r="V167" s="438">
        <v>0</v>
      </c>
      <c r="W167" s="438">
        <v>31</v>
      </c>
      <c r="X167" s="438">
        <v>0</v>
      </c>
      <c r="Y167" s="438">
        <v>0</v>
      </c>
      <c r="Z167" s="438">
        <v>0</v>
      </c>
      <c r="AA167" s="438">
        <v>0</v>
      </c>
      <c r="AB167" s="438">
        <v>0</v>
      </c>
      <c r="AC167" s="438">
        <v>119000</v>
      </c>
      <c r="AD167" s="438">
        <v>82110</v>
      </c>
      <c r="AE167" s="438">
        <v>0</v>
      </c>
      <c r="AF167" s="438">
        <v>0</v>
      </c>
      <c r="AG167" s="438">
        <v>119000</v>
      </c>
      <c r="AH167" s="438">
        <v>82110</v>
      </c>
      <c r="AI167" s="438">
        <v>33536</v>
      </c>
      <c r="AJ167" s="438">
        <v>3354</v>
      </c>
      <c r="AK167" s="438">
        <v>36890</v>
      </c>
      <c r="AL167" s="414" t="str">
        <f t="shared" si="12"/>
        <v>워커힐 시그니처 양념 본갈비 300g, 8개</v>
      </c>
      <c r="AM167" s="395">
        <f t="shared" si="13"/>
        <v>46060</v>
      </c>
      <c r="AN167" s="396">
        <f t="shared" si="14"/>
        <v>1</v>
      </c>
      <c r="AO167" s="109">
        <f t="shared" si="15"/>
        <v>119000</v>
      </c>
      <c r="AP167" s="109">
        <f t="shared" si="16"/>
        <v>108181.81818181818</v>
      </c>
      <c r="AQ167" s="397">
        <f t="shared" si="17"/>
        <v>108181.81818181818</v>
      </c>
    </row>
    <row r="168" spans="1:43" ht="24">
      <c r="A168" s="436" t="s">
        <v>3965</v>
      </c>
      <c r="B168" s="436" t="s">
        <v>3490</v>
      </c>
      <c r="C168" s="437" t="s">
        <v>3491</v>
      </c>
      <c r="D168" s="436" t="s">
        <v>3708</v>
      </c>
      <c r="E168" s="437" t="s">
        <v>3709</v>
      </c>
      <c r="F168" s="436" t="s">
        <v>3494</v>
      </c>
      <c r="G168" s="436" t="s">
        <v>3495</v>
      </c>
      <c r="H168" s="437" t="s">
        <v>3496</v>
      </c>
      <c r="I168" s="436" t="s">
        <v>3497</v>
      </c>
      <c r="J168" s="437" t="s">
        <v>3498</v>
      </c>
      <c r="K168" s="437" t="s">
        <v>3499</v>
      </c>
      <c r="L168" s="436" t="s">
        <v>3500</v>
      </c>
      <c r="M168" s="436" t="s">
        <v>3524</v>
      </c>
      <c r="N168" s="436" t="s">
        <v>3502</v>
      </c>
      <c r="O168" s="438">
        <v>119000</v>
      </c>
      <c r="P168" s="438">
        <v>82110</v>
      </c>
      <c r="Q168" s="438">
        <v>1</v>
      </c>
      <c r="R168" s="438">
        <v>0</v>
      </c>
      <c r="S168" s="438">
        <v>0</v>
      </c>
      <c r="T168" s="438">
        <v>0</v>
      </c>
      <c r="U168" s="438">
        <v>0</v>
      </c>
      <c r="V168" s="438">
        <v>0</v>
      </c>
      <c r="W168" s="438">
        <v>31</v>
      </c>
      <c r="X168" s="438">
        <v>0</v>
      </c>
      <c r="Y168" s="438">
        <v>0</v>
      </c>
      <c r="Z168" s="438">
        <v>0</v>
      </c>
      <c r="AA168" s="438">
        <v>0</v>
      </c>
      <c r="AB168" s="438">
        <v>0</v>
      </c>
      <c r="AC168" s="438">
        <v>119000</v>
      </c>
      <c r="AD168" s="438">
        <v>82110</v>
      </c>
      <c r="AE168" s="438">
        <v>0</v>
      </c>
      <c r="AF168" s="438">
        <v>0</v>
      </c>
      <c r="AG168" s="438">
        <v>119000</v>
      </c>
      <c r="AH168" s="438">
        <v>82110</v>
      </c>
      <c r="AI168" s="438">
        <v>33536</v>
      </c>
      <c r="AJ168" s="438">
        <v>3354</v>
      </c>
      <c r="AK168" s="438">
        <v>36890</v>
      </c>
      <c r="AL168" s="414" t="str">
        <f t="shared" si="12"/>
        <v>워커힐 시그니처 양념 본갈비 300g, 8개</v>
      </c>
      <c r="AM168" s="395">
        <f t="shared" si="13"/>
        <v>46060</v>
      </c>
      <c r="AN168" s="396">
        <f t="shared" si="14"/>
        <v>1</v>
      </c>
      <c r="AO168" s="109">
        <f t="shared" si="15"/>
        <v>119000</v>
      </c>
      <c r="AP168" s="109">
        <f t="shared" si="16"/>
        <v>108181.81818181818</v>
      </c>
      <c r="AQ168" s="397">
        <f t="shared" si="17"/>
        <v>108181.81818181818</v>
      </c>
    </row>
    <row r="169" spans="1:43" ht="24">
      <c r="A169" s="436" t="s">
        <v>3968</v>
      </c>
      <c r="B169" s="436" t="s">
        <v>3490</v>
      </c>
      <c r="C169" s="437" t="s">
        <v>3491</v>
      </c>
      <c r="D169" s="436" t="s">
        <v>3963</v>
      </c>
      <c r="E169" s="437" t="s">
        <v>3964</v>
      </c>
      <c r="F169" s="436" t="s">
        <v>3494</v>
      </c>
      <c r="G169" s="436" t="s">
        <v>3495</v>
      </c>
      <c r="H169" s="437" t="s">
        <v>3496</v>
      </c>
      <c r="I169" s="436" t="s">
        <v>3497</v>
      </c>
      <c r="J169" s="437" t="s">
        <v>3498</v>
      </c>
      <c r="K169" s="437" t="s">
        <v>3499</v>
      </c>
      <c r="L169" s="436" t="s">
        <v>3500</v>
      </c>
      <c r="M169" s="436" t="s">
        <v>3524</v>
      </c>
      <c r="N169" s="436" t="s">
        <v>3502</v>
      </c>
      <c r="O169" s="438">
        <v>119000</v>
      </c>
      <c r="P169" s="438">
        <v>82110</v>
      </c>
      <c r="Q169" s="438">
        <v>1</v>
      </c>
      <c r="R169" s="438">
        <v>0</v>
      </c>
      <c r="S169" s="438">
        <v>0</v>
      </c>
      <c r="T169" s="438">
        <v>0</v>
      </c>
      <c r="U169" s="438">
        <v>0</v>
      </c>
      <c r="V169" s="438">
        <v>0</v>
      </c>
      <c r="W169" s="438">
        <v>31</v>
      </c>
      <c r="X169" s="438">
        <v>0</v>
      </c>
      <c r="Y169" s="438">
        <v>0</v>
      </c>
      <c r="Z169" s="438">
        <v>0</v>
      </c>
      <c r="AA169" s="438">
        <v>0</v>
      </c>
      <c r="AB169" s="438">
        <v>0</v>
      </c>
      <c r="AC169" s="438">
        <v>119000</v>
      </c>
      <c r="AD169" s="438">
        <v>82110</v>
      </c>
      <c r="AE169" s="438">
        <v>0</v>
      </c>
      <c r="AF169" s="438">
        <v>0</v>
      </c>
      <c r="AG169" s="438">
        <v>119000</v>
      </c>
      <c r="AH169" s="438">
        <v>82110</v>
      </c>
      <c r="AI169" s="438">
        <v>33536</v>
      </c>
      <c r="AJ169" s="438">
        <v>3354</v>
      </c>
      <c r="AK169" s="438">
        <v>36890</v>
      </c>
      <c r="AL169" s="414" t="str">
        <f t="shared" si="12"/>
        <v>워커힐 시그니처 양념 본갈비 300g, 8개</v>
      </c>
      <c r="AM169" s="395">
        <f t="shared" si="13"/>
        <v>46060</v>
      </c>
      <c r="AN169" s="396">
        <f t="shared" si="14"/>
        <v>1</v>
      </c>
      <c r="AO169" s="109">
        <f t="shared" si="15"/>
        <v>119000</v>
      </c>
      <c r="AP169" s="109">
        <f t="shared" si="16"/>
        <v>108181.81818181818</v>
      </c>
      <c r="AQ169" s="397">
        <f t="shared" si="17"/>
        <v>108181.81818181818</v>
      </c>
    </row>
    <row r="170" spans="1:43" ht="24">
      <c r="A170" s="436" t="s">
        <v>3970</v>
      </c>
      <c r="B170" s="436" t="s">
        <v>3490</v>
      </c>
      <c r="C170" s="437" t="s">
        <v>3491</v>
      </c>
      <c r="D170" s="436" t="s">
        <v>3966</v>
      </c>
      <c r="E170" s="437" t="s">
        <v>3967</v>
      </c>
      <c r="F170" s="436" t="s">
        <v>3494</v>
      </c>
      <c r="G170" s="436" t="s">
        <v>3495</v>
      </c>
      <c r="H170" s="437" t="s">
        <v>3496</v>
      </c>
      <c r="I170" s="436" t="s">
        <v>3497</v>
      </c>
      <c r="J170" s="437" t="s">
        <v>3498</v>
      </c>
      <c r="K170" s="437" t="s">
        <v>3548</v>
      </c>
      <c r="L170" s="436" t="s">
        <v>3500</v>
      </c>
      <c r="M170" s="436" t="s">
        <v>3524</v>
      </c>
      <c r="N170" s="436" t="s">
        <v>3502</v>
      </c>
      <c r="O170" s="438">
        <v>119000</v>
      </c>
      <c r="P170" s="438">
        <v>82110</v>
      </c>
      <c r="Q170" s="438">
        <v>1</v>
      </c>
      <c r="R170" s="438">
        <v>0</v>
      </c>
      <c r="S170" s="438">
        <v>0</v>
      </c>
      <c r="T170" s="438">
        <v>0</v>
      </c>
      <c r="U170" s="438">
        <v>0</v>
      </c>
      <c r="V170" s="438">
        <v>0</v>
      </c>
      <c r="W170" s="438">
        <v>31</v>
      </c>
      <c r="X170" s="438">
        <v>0</v>
      </c>
      <c r="Y170" s="438">
        <v>0</v>
      </c>
      <c r="Z170" s="438">
        <v>0</v>
      </c>
      <c r="AA170" s="438">
        <v>0</v>
      </c>
      <c r="AB170" s="438">
        <v>0</v>
      </c>
      <c r="AC170" s="438">
        <v>119000</v>
      </c>
      <c r="AD170" s="438">
        <v>82110</v>
      </c>
      <c r="AE170" s="438">
        <v>0</v>
      </c>
      <c r="AF170" s="438">
        <v>0</v>
      </c>
      <c r="AG170" s="438">
        <v>119000</v>
      </c>
      <c r="AH170" s="438">
        <v>82110</v>
      </c>
      <c r="AI170" s="438">
        <v>33536</v>
      </c>
      <c r="AJ170" s="438">
        <v>3354</v>
      </c>
      <c r="AK170" s="438">
        <v>36890</v>
      </c>
      <c r="AL170" s="414" t="str">
        <f t="shared" si="12"/>
        <v>워커힐 시그니처 양념 본갈비 300g, 8개</v>
      </c>
      <c r="AM170" s="395">
        <f t="shared" si="13"/>
        <v>46060</v>
      </c>
      <c r="AN170" s="396">
        <f t="shared" si="14"/>
        <v>1</v>
      </c>
      <c r="AO170" s="109">
        <f t="shared" si="15"/>
        <v>119000</v>
      </c>
      <c r="AP170" s="109">
        <f t="shared" si="16"/>
        <v>108181.81818181818</v>
      </c>
      <c r="AQ170" s="397">
        <f t="shared" si="17"/>
        <v>108181.81818181818</v>
      </c>
    </row>
    <row r="171" spans="1:43" ht="24">
      <c r="A171" s="436" t="s">
        <v>3973</v>
      </c>
      <c r="B171" s="436" t="s">
        <v>3490</v>
      </c>
      <c r="C171" s="437" t="s">
        <v>3491</v>
      </c>
      <c r="D171" s="436" t="s">
        <v>3596</v>
      </c>
      <c r="E171" s="437" t="s">
        <v>3597</v>
      </c>
      <c r="F171" s="436" t="s">
        <v>3494</v>
      </c>
      <c r="G171" s="436" t="s">
        <v>3495</v>
      </c>
      <c r="H171" s="437" t="s">
        <v>3496</v>
      </c>
      <c r="I171" s="436" t="s">
        <v>3497</v>
      </c>
      <c r="J171" s="437" t="s">
        <v>3498</v>
      </c>
      <c r="K171" s="437" t="s">
        <v>3499</v>
      </c>
      <c r="L171" s="436" t="s">
        <v>3500</v>
      </c>
      <c r="M171" s="436" t="s">
        <v>3524</v>
      </c>
      <c r="N171" s="436" t="s">
        <v>3502</v>
      </c>
      <c r="O171" s="438">
        <v>119000</v>
      </c>
      <c r="P171" s="438">
        <v>82110</v>
      </c>
      <c r="Q171" s="438">
        <v>1</v>
      </c>
      <c r="R171" s="438">
        <v>0</v>
      </c>
      <c r="S171" s="438">
        <v>0</v>
      </c>
      <c r="T171" s="438">
        <v>0</v>
      </c>
      <c r="U171" s="438">
        <v>0</v>
      </c>
      <c r="V171" s="438">
        <v>0</v>
      </c>
      <c r="W171" s="438">
        <v>31</v>
      </c>
      <c r="X171" s="438">
        <v>0</v>
      </c>
      <c r="Y171" s="438">
        <v>0</v>
      </c>
      <c r="Z171" s="438">
        <v>0</v>
      </c>
      <c r="AA171" s="438">
        <v>0</v>
      </c>
      <c r="AB171" s="438">
        <v>0</v>
      </c>
      <c r="AC171" s="438">
        <v>119000</v>
      </c>
      <c r="AD171" s="438">
        <v>82110</v>
      </c>
      <c r="AE171" s="438">
        <v>0</v>
      </c>
      <c r="AF171" s="438">
        <v>0</v>
      </c>
      <c r="AG171" s="438">
        <v>119000</v>
      </c>
      <c r="AH171" s="438">
        <v>82110</v>
      </c>
      <c r="AI171" s="438">
        <v>33536</v>
      </c>
      <c r="AJ171" s="438">
        <v>3354</v>
      </c>
      <c r="AK171" s="438">
        <v>36890</v>
      </c>
      <c r="AL171" s="414" t="str">
        <f t="shared" si="12"/>
        <v>워커힐 시그니처 양념 본갈비 300g, 8개</v>
      </c>
      <c r="AM171" s="395">
        <f t="shared" si="13"/>
        <v>46060</v>
      </c>
      <c r="AN171" s="396">
        <f t="shared" si="14"/>
        <v>1</v>
      </c>
      <c r="AO171" s="109">
        <f t="shared" si="15"/>
        <v>119000</v>
      </c>
      <c r="AP171" s="109">
        <f t="shared" si="16"/>
        <v>108181.81818181818</v>
      </c>
      <c r="AQ171" s="397">
        <f t="shared" si="17"/>
        <v>108181.81818181818</v>
      </c>
    </row>
    <row r="172" spans="1:43" ht="24">
      <c r="A172" s="436" t="s">
        <v>3976</v>
      </c>
      <c r="B172" s="436" t="s">
        <v>3490</v>
      </c>
      <c r="C172" s="437" t="s">
        <v>3491</v>
      </c>
      <c r="D172" s="436" t="s">
        <v>4089</v>
      </c>
      <c r="E172" s="437" t="s">
        <v>4090</v>
      </c>
      <c r="F172" s="436" t="s">
        <v>3494</v>
      </c>
      <c r="G172" s="436" t="s">
        <v>3495</v>
      </c>
      <c r="H172" s="437" t="s">
        <v>3496</v>
      </c>
      <c r="I172" s="436" t="s">
        <v>3497</v>
      </c>
      <c r="J172" s="437" t="s">
        <v>3498</v>
      </c>
      <c r="K172" s="437" t="s">
        <v>3499</v>
      </c>
      <c r="L172" s="436" t="s">
        <v>3500</v>
      </c>
      <c r="M172" s="436" t="s">
        <v>3524</v>
      </c>
      <c r="N172" s="436" t="s">
        <v>3502</v>
      </c>
      <c r="O172" s="438">
        <v>119000</v>
      </c>
      <c r="P172" s="438">
        <v>82110</v>
      </c>
      <c r="Q172" s="438">
        <v>1</v>
      </c>
      <c r="R172" s="438">
        <v>0</v>
      </c>
      <c r="S172" s="438">
        <v>0</v>
      </c>
      <c r="T172" s="438">
        <v>0</v>
      </c>
      <c r="U172" s="438">
        <v>0</v>
      </c>
      <c r="V172" s="438">
        <v>0</v>
      </c>
      <c r="W172" s="438">
        <v>31</v>
      </c>
      <c r="X172" s="438">
        <v>0</v>
      </c>
      <c r="Y172" s="438">
        <v>0</v>
      </c>
      <c r="Z172" s="438">
        <v>0</v>
      </c>
      <c r="AA172" s="438">
        <v>0</v>
      </c>
      <c r="AB172" s="438">
        <v>0</v>
      </c>
      <c r="AC172" s="438">
        <v>119000</v>
      </c>
      <c r="AD172" s="438">
        <v>82110</v>
      </c>
      <c r="AE172" s="438">
        <v>0</v>
      </c>
      <c r="AF172" s="438">
        <v>0</v>
      </c>
      <c r="AG172" s="438">
        <v>119000</v>
      </c>
      <c r="AH172" s="438">
        <v>82110</v>
      </c>
      <c r="AI172" s="438">
        <v>33536</v>
      </c>
      <c r="AJ172" s="438">
        <v>3354</v>
      </c>
      <c r="AK172" s="438">
        <v>36890</v>
      </c>
      <c r="AL172" s="414" t="str">
        <f t="shared" si="12"/>
        <v>워커힐 시그니처 양념 본갈비 300g, 8개</v>
      </c>
      <c r="AM172" s="395">
        <f t="shared" si="13"/>
        <v>46060</v>
      </c>
      <c r="AN172" s="396">
        <f t="shared" si="14"/>
        <v>1</v>
      </c>
      <c r="AO172" s="109">
        <f t="shared" si="15"/>
        <v>119000</v>
      </c>
      <c r="AP172" s="109">
        <f t="shared" si="16"/>
        <v>108181.81818181818</v>
      </c>
      <c r="AQ172" s="397">
        <f t="shared" si="17"/>
        <v>108181.81818181818</v>
      </c>
    </row>
    <row r="173" spans="1:43" ht="24">
      <c r="A173" s="436" t="s">
        <v>3978</v>
      </c>
      <c r="B173" s="436" t="s">
        <v>3490</v>
      </c>
      <c r="C173" s="437" t="s">
        <v>3491</v>
      </c>
      <c r="D173" s="436" t="s">
        <v>4092</v>
      </c>
      <c r="E173" s="437" t="s">
        <v>4090</v>
      </c>
      <c r="F173" s="436" t="s">
        <v>3494</v>
      </c>
      <c r="G173" s="436" t="s">
        <v>3495</v>
      </c>
      <c r="H173" s="437" t="s">
        <v>3496</v>
      </c>
      <c r="I173" s="436" t="s">
        <v>3497</v>
      </c>
      <c r="J173" s="437" t="s">
        <v>3498</v>
      </c>
      <c r="K173" s="437" t="s">
        <v>3499</v>
      </c>
      <c r="L173" s="436" t="s">
        <v>3500</v>
      </c>
      <c r="M173" s="436" t="s">
        <v>3524</v>
      </c>
      <c r="N173" s="436" t="s">
        <v>3502</v>
      </c>
      <c r="O173" s="438">
        <v>119000</v>
      </c>
      <c r="P173" s="438">
        <v>82110</v>
      </c>
      <c r="Q173" s="438">
        <v>1</v>
      </c>
      <c r="R173" s="438">
        <v>0</v>
      </c>
      <c r="S173" s="438">
        <v>0</v>
      </c>
      <c r="T173" s="438">
        <v>0</v>
      </c>
      <c r="U173" s="438">
        <v>0</v>
      </c>
      <c r="V173" s="438">
        <v>0</v>
      </c>
      <c r="W173" s="438">
        <v>31</v>
      </c>
      <c r="X173" s="438">
        <v>0</v>
      </c>
      <c r="Y173" s="438">
        <v>0</v>
      </c>
      <c r="Z173" s="438">
        <v>0</v>
      </c>
      <c r="AA173" s="438">
        <v>0</v>
      </c>
      <c r="AB173" s="438">
        <v>0</v>
      </c>
      <c r="AC173" s="438">
        <v>119000</v>
      </c>
      <c r="AD173" s="438">
        <v>82110</v>
      </c>
      <c r="AE173" s="438">
        <v>0</v>
      </c>
      <c r="AF173" s="438">
        <v>0</v>
      </c>
      <c r="AG173" s="438">
        <v>119000</v>
      </c>
      <c r="AH173" s="438">
        <v>82110</v>
      </c>
      <c r="AI173" s="438">
        <v>33536</v>
      </c>
      <c r="AJ173" s="438">
        <v>3354</v>
      </c>
      <c r="AK173" s="438">
        <v>36890</v>
      </c>
      <c r="AL173" s="414" t="str">
        <f t="shared" si="12"/>
        <v>워커힐 시그니처 양념 본갈비 300g, 8개</v>
      </c>
      <c r="AM173" s="395">
        <f t="shared" si="13"/>
        <v>46060</v>
      </c>
      <c r="AN173" s="396">
        <f t="shared" si="14"/>
        <v>1</v>
      </c>
      <c r="AO173" s="109">
        <f t="shared" si="15"/>
        <v>119000</v>
      </c>
      <c r="AP173" s="109">
        <f t="shared" si="16"/>
        <v>108181.81818181818</v>
      </c>
      <c r="AQ173" s="397">
        <f t="shared" si="17"/>
        <v>108181.81818181818</v>
      </c>
    </row>
    <row r="174" spans="1:43" ht="24">
      <c r="A174" s="436" t="s">
        <v>3980</v>
      </c>
      <c r="B174" s="436" t="s">
        <v>3490</v>
      </c>
      <c r="C174" s="437" t="s">
        <v>3491</v>
      </c>
      <c r="D174" s="436" t="s">
        <v>3726</v>
      </c>
      <c r="E174" s="437" t="s">
        <v>3727</v>
      </c>
      <c r="F174" s="436" t="s">
        <v>3494</v>
      </c>
      <c r="G174" s="436" t="s">
        <v>3495</v>
      </c>
      <c r="H174" s="437" t="s">
        <v>3496</v>
      </c>
      <c r="I174" s="436" t="s">
        <v>3497</v>
      </c>
      <c r="J174" s="437" t="s">
        <v>3498</v>
      </c>
      <c r="K174" s="437" t="s">
        <v>3499</v>
      </c>
      <c r="L174" s="436" t="s">
        <v>3500</v>
      </c>
      <c r="M174" s="436" t="s">
        <v>3524</v>
      </c>
      <c r="N174" s="436" t="s">
        <v>3502</v>
      </c>
      <c r="O174" s="438">
        <v>119000</v>
      </c>
      <c r="P174" s="438">
        <v>82110</v>
      </c>
      <c r="Q174" s="438">
        <v>1</v>
      </c>
      <c r="R174" s="438">
        <v>0</v>
      </c>
      <c r="S174" s="438">
        <v>0</v>
      </c>
      <c r="T174" s="438">
        <v>0</v>
      </c>
      <c r="U174" s="438">
        <v>0</v>
      </c>
      <c r="V174" s="438">
        <v>0</v>
      </c>
      <c r="W174" s="438">
        <v>31</v>
      </c>
      <c r="X174" s="438">
        <v>0</v>
      </c>
      <c r="Y174" s="438">
        <v>10000</v>
      </c>
      <c r="Z174" s="438">
        <v>0</v>
      </c>
      <c r="AA174" s="438">
        <v>0</v>
      </c>
      <c r="AB174" s="438">
        <v>0</v>
      </c>
      <c r="AC174" s="438">
        <v>119000</v>
      </c>
      <c r="AD174" s="438">
        <v>82110</v>
      </c>
      <c r="AE174" s="438">
        <v>0</v>
      </c>
      <c r="AF174" s="438">
        <v>10000</v>
      </c>
      <c r="AG174" s="438">
        <v>109000</v>
      </c>
      <c r="AH174" s="438">
        <v>82110</v>
      </c>
      <c r="AI174" s="438">
        <v>24445</v>
      </c>
      <c r="AJ174" s="438">
        <v>2445</v>
      </c>
      <c r="AK174" s="438">
        <v>26890</v>
      </c>
      <c r="AL174" s="414" t="str">
        <f t="shared" si="12"/>
        <v>워커힐 시그니처 양념 본갈비 300g, 8개</v>
      </c>
      <c r="AM174" s="395">
        <f t="shared" si="13"/>
        <v>46060</v>
      </c>
      <c r="AN174" s="396">
        <f t="shared" si="14"/>
        <v>1</v>
      </c>
      <c r="AO174" s="109">
        <f t="shared" si="15"/>
        <v>119000</v>
      </c>
      <c r="AP174" s="109">
        <f t="shared" si="16"/>
        <v>108181.81818181818</v>
      </c>
      <c r="AQ174" s="397">
        <f t="shared" si="17"/>
        <v>108181.81818181818</v>
      </c>
    </row>
    <row r="175" spans="1:43" ht="24">
      <c r="A175" s="436" t="s">
        <v>3982</v>
      </c>
      <c r="B175" s="436" t="s">
        <v>3490</v>
      </c>
      <c r="C175" s="437" t="s">
        <v>3491</v>
      </c>
      <c r="D175" s="436" t="s">
        <v>3977</v>
      </c>
      <c r="E175" s="437" t="s">
        <v>3752</v>
      </c>
      <c r="F175" s="436" t="s">
        <v>3494</v>
      </c>
      <c r="G175" s="436" t="s">
        <v>3495</v>
      </c>
      <c r="H175" s="437" t="s">
        <v>3496</v>
      </c>
      <c r="I175" s="436" t="s">
        <v>3497</v>
      </c>
      <c r="J175" s="437" t="s">
        <v>3498</v>
      </c>
      <c r="K175" s="437" t="s">
        <v>3499</v>
      </c>
      <c r="L175" s="436" t="s">
        <v>3500</v>
      </c>
      <c r="M175" s="436" t="s">
        <v>3524</v>
      </c>
      <c r="N175" s="436" t="s">
        <v>3502</v>
      </c>
      <c r="O175" s="438">
        <v>119000</v>
      </c>
      <c r="P175" s="438">
        <v>82110</v>
      </c>
      <c r="Q175" s="438">
        <v>1</v>
      </c>
      <c r="R175" s="438">
        <v>0</v>
      </c>
      <c r="S175" s="438">
        <v>0</v>
      </c>
      <c r="T175" s="438">
        <v>0</v>
      </c>
      <c r="U175" s="438">
        <v>0</v>
      </c>
      <c r="V175" s="438">
        <v>0</v>
      </c>
      <c r="W175" s="438">
        <v>31</v>
      </c>
      <c r="X175" s="438">
        <v>0</v>
      </c>
      <c r="Y175" s="438">
        <v>0</v>
      </c>
      <c r="Z175" s="438">
        <v>0</v>
      </c>
      <c r="AA175" s="438">
        <v>0</v>
      </c>
      <c r="AB175" s="438">
        <v>0</v>
      </c>
      <c r="AC175" s="438">
        <v>119000</v>
      </c>
      <c r="AD175" s="438">
        <v>82110</v>
      </c>
      <c r="AE175" s="438">
        <v>0</v>
      </c>
      <c r="AF175" s="438">
        <v>0</v>
      </c>
      <c r="AG175" s="438">
        <v>119000</v>
      </c>
      <c r="AH175" s="438">
        <v>82110</v>
      </c>
      <c r="AI175" s="438">
        <v>33536</v>
      </c>
      <c r="AJ175" s="438">
        <v>3354</v>
      </c>
      <c r="AK175" s="438">
        <v>36890</v>
      </c>
      <c r="AL175" s="414" t="str">
        <f t="shared" si="12"/>
        <v>워커힐 시그니처 양념 본갈비 300g, 8개</v>
      </c>
      <c r="AM175" s="395">
        <f t="shared" si="13"/>
        <v>46060</v>
      </c>
      <c r="AN175" s="396">
        <f t="shared" si="14"/>
        <v>1</v>
      </c>
      <c r="AO175" s="109">
        <f t="shared" si="15"/>
        <v>119000</v>
      </c>
      <c r="AP175" s="109">
        <f t="shared" si="16"/>
        <v>108181.81818181818</v>
      </c>
      <c r="AQ175" s="397">
        <f t="shared" si="17"/>
        <v>108181.81818181818</v>
      </c>
    </row>
    <row r="176" spans="1:43" ht="24">
      <c r="A176" s="436" t="s">
        <v>3985</v>
      </c>
      <c r="B176" s="436" t="s">
        <v>3490</v>
      </c>
      <c r="C176" s="437" t="s">
        <v>3491</v>
      </c>
      <c r="D176" s="436" t="s">
        <v>4110</v>
      </c>
      <c r="E176" s="437" t="s">
        <v>4111</v>
      </c>
      <c r="F176" s="436" t="s">
        <v>3494</v>
      </c>
      <c r="G176" s="436" t="s">
        <v>3495</v>
      </c>
      <c r="H176" s="437" t="s">
        <v>3496</v>
      </c>
      <c r="I176" s="436" t="s">
        <v>3497</v>
      </c>
      <c r="J176" s="437" t="s">
        <v>3498</v>
      </c>
      <c r="K176" s="437" t="s">
        <v>3499</v>
      </c>
      <c r="L176" s="436" t="s">
        <v>3500</v>
      </c>
      <c r="M176" s="436" t="s">
        <v>3524</v>
      </c>
      <c r="N176" s="436" t="s">
        <v>3502</v>
      </c>
      <c r="O176" s="438">
        <v>119000</v>
      </c>
      <c r="P176" s="438">
        <v>82110</v>
      </c>
      <c r="Q176" s="438">
        <v>1</v>
      </c>
      <c r="R176" s="438">
        <v>0</v>
      </c>
      <c r="S176" s="438">
        <v>0</v>
      </c>
      <c r="T176" s="438">
        <v>0</v>
      </c>
      <c r="U176" s="438">
        <v>0</v>
      </c>
      <c r="V176" s="438">
        <v>0</v>
      </c>
      <c r="W176" s="438">
        <v>31</v>
      </c>
      <c r="X176" s="438">
        <v>0</v>
      </c>
      <c r="Y176" s="438">
        <v>0</v>
      </c>
      <c r="Z176" s="438">
        <v>0</v>
      </c>
      <c r="AA176" s="438">
        <v>0</v>
      </c>
      <c r="AB176" s="438">
        <v>0</v>
      </c>
      <c r="AC176" s="438">
        <v>119000</v>
      </c>
      <c r="AD176" s="438">
        <v>82110</v>
      </c>
      <c r="AE176" s="438">
        <v>0</v>
      </c>
      <c r="AF176" s="438">
        <v>0</v>
      </c>
      <c r="AG176" s="438">
        <v>119000</v>
      </c>
      <c r="AH176" s="438">
        <v>82110</v>
      </c>
      <c r="AI176" s="438">
        <v>33536</v>
      </c>
      <c r="AJ176" s="438">
        <v>3354</v>
      </c>
      <c r="AK176" s="438">
        <v>36890</v>
      </c>
      <c r="AL176" s="414" t="str">
        <f t="shared" si="12"/>
        <v>워커힐 시그니처 양념 본갈비 300g, 8개</v>
      </c>
      <c r="AM176" s="395">
        <f t="shared" si="13"/>
        <v>46060</v>
      </c>
      <c r="AN176" s="396">
        <f t="shared" si="14"/>
        <v>1</v>
      </c>
      <c r="AO176" s="109">
        <f t="shared" si="15"/>
        <v>119000</v>
      </c>
      <c r="AP176" s="109">
        <f t="shared" si="16"/>
        <v>108181.81818181818</v>
      </c>
      <c r="AQ176" s="397">
        <f t="shared" si="17"/>
        <v>108181.81818181818</v>
      </c>
    </row>
    <row r="177" spans="1:43" ht="24">
      <c r="A177" s="436" t="s">
        <v>3988</v>
      </c>
      <c r="B177" s="436" t="s">
        <v>3490</v>
      </c>
      <c r="C177" s="437" t="s">
        <v>3491</v>
      </c>
      <c r="D177" s="436" t="s">
        <v>3979</v>
      </c>
      <c r="E177" s="437" t="s">
        <v>3836</v>
      </c>
      <c r="F177" s="436" t="s">
        <v>3494</v>
      </c>
      <c r="G177" s="436" t="s">
        <v>3495</v>
      </c>
      <c r="H177" s="437" t="s">
        <v>3496</v>
      </c>
      <c r="I177" s="436" t="s">
        <v>3497</v>
      </c>
      <c r="J177" s="437" t="s">
        <v>3498</v>
      </c>
      <c r="K177" s="437" t="s">
        <v>3499</v>
      </c>
      <c r="L177" s="436" t="s">
        <v>3500</v>
      </c>
      <c r="M177" s="436" t="s">
        <v>3524</v>
      </c>
      <c r="N177" s="436" t="s">
        <v>3502</v>
      </c>
      <c r="O177" s="438">
        <v>119000</v>
      </c>
      <c r="P177" s="438">
        <v>82110</v>
      </c>
      <c r="Q177" s="438">
        <v>1</v>
      </c>
      <c r="R177" s="438">
        <v>0</v>
      </c>
      <c r="S177" s="438">
        <v>0</v>
      </c>
      <c r="T177" s="438">
        <v>0</v>
      </c>
      <c r="U177" s="438">
        <v>0</v>
      </c>
      <c r="V177" s="438">
        <v>0</v>
      </c>
      <c r="W177" s="438">
        <v>31</v>
      </c>
      <c r="X177" s="438">
        <v>0</v>
      </c>
      <c r="Y177" s="438">
        <v>0</v>
      </c>
      <c r="Z177" s="438">
        <v>0</v>
      </c>
      <c r="AA177" s="438">
        <v>0</v>
      </c>
      <c r="AB177" s="438">
        <v>0</v>
      </c>
      <c r="AC177" s="438">
        <v>119000</v>
      </c>
      <c r="AD177" s="438">
        <v>82110</v>
      </c>
      <c r="AE177" s="438">
        <v>0</v>
      </c>
      <c r="AF177" s="438">
        <v>0</v>
      </c>
      <c r="AG177" s="438">
        <v>119000</v>
      </c>
      <c r="AH177" s="438">
        <v>82110</v>
      </c>
      <c r="AI177" s="438">
        <v>33536</v>
      </c>
      <c r="AJ177" s="438">
        <v>3354</v>
      </c>
      <c r="AK177" s="438">
        <v>36890</v>
      </c>
      <c r="AL177" s="414" t="str">
        <f t="shared" si="12"/>
        <v>워커힐 시그니처 양념 본갈비 300g, 8개</v>
      </c>
      <c r="AM177" s="395">
        <f t="shared" si="13"/>
        <v>46060</v>
      </c>
      <c r="AN177" s="396">
        <f t="shared" si="14"/>
        <v>1</v>
      </c>
      <c r="AO177" s="109">
        <f t="shared" si="15"/>
        <v>119000</v>
      </c>
      <c r="AP177" s="109">
        <f t="shared" si="16"/>
        <v>108181.81818181818</v>
      </c>
      <c r="AQ177" s="397">
        <f t="shared" si="17"/>
        <v>108181.81818181818</v>
      </c>
    </row>
    <row r="178" spans="1:43" ht="24">
      <c r="A178" s="436" t="s">
        <v>3991</v>
      </c>
      <c r="B178" s="436" t="s">
        <v>3490</v>
      </c>
      <c r="C178" s="437" t="s">
        <v>3491</v>
      </c>
      <c r="D178" s="436" t="s">
        <v>3981</v>
      </c>
      <c r="E178" s="437" t="s">
        <v>3845</v>
      </c>
      <c r="F178" s="436" t="s">
        <v>3494</v>
      </c>
      <c r="G178" s="436" t="s">
        <v>3495</v>
      </c>
      <c r="H178" s="437" t="s">
        <v>3496</v>
      </c>
      <c r="I178" s="436" t="s">
        <v>3497</v>
      </c>
      <c r="J178" s="437" t="s">
        <v>3498</v>
      </c>
      <c r="K178" s="437" t="s">
        <v>3499</v>
      </c>
      <c r="L178" s="436" t="s">
        <v>3500</v>
      </c>
      <c r="M178" s="436" t="s">
        <v>3524</v>
      </c>
      <c r="N178" s="436" t="s">
        <v>3502</v>
      </c>
      <c r="O178" s="438">
        <v>119000</v>
      </c>
      <c r="P178" s="438">
        <v>82110</v>
      </c>
      <c r="Q178" s="438">
        <v>1</v>
      </c>
      <c r="R178" s="438">
        <v>0</v>
      </c>
      <c r="S178" s="438">
        <v>0</v>
      </c>
      <c r="T178" s="438">
        <v>0</v>
      </c>
      <c r="U178" s="438">
        <v>0</v>
      </c>
      <c r="V178" s="438">
        <v>0</v>
      </c>
      <c r="W178" s="438">
        <v>31</v>
      </c>
      <c r="X178" s="438">
        <v>19040</v>
      </c>
      <c r="Y178" s="438">
        <v>0</v>
      </c>
      <c r="Z178" s="438">
        <v>0</v>
      </c>
      <c r="AA178" s="438">
        <v>0</v>
      </c>
      <c r="AB178" s="438">
        <v>0</v>
      </c>
      <c r="AC178" s="438">
        <v>119000</v>
      </c>
      <c r="AD178" s="438">
        <v>82110</v>
      </c>
      <c r="AE178" s="438">
        <v>0</v>
      </c>
      <c r="AF178" s="438">
        <v>19040</v>
      </c>
      <c r="AG178" s="438">
        <v>99960</v>
      </c>
      <c r="AH178" s="438">
        <v>82110</v>
      </c>
      <c r="AI178" s="438">
        <v>16227</v>
      </c>
      <c r="AJ178" s="438">
        <v>1623</v>
      </c>
      <c r="AK178" s="438">
        <v>17850</v>
      </c>
      <c r="AL178" s="414" t="str">
        <f t="shared" si="12"/>
        <v>워커힐 시그니처 양념 본갈비 300g, 8개</v>
      </c>
      <c r="AM178" s="395">
        <f t="shared" si="13"/>
        <v>46060</v>
      </c>
      <c r="AN178" s="396">
        <f t="shared" si="14"/>
        <v>1</v>
      </c>
      <c r="AO178" s="109">
        <f t="shared" si="15"/>
        <v>119000</v>
      </c>
      <c r="AP178" s="109">
        <f t="shared" si="16"/>
        <v>108181.81818181818</v>
      </c>
      <c r="AQ178" s="397">
        <f t="shared" si="17"/>
        <v>108181.81818181818</v>
      </c>
    </row>
    <row r="179" spans="1:43" ht="24">
      <c r="A179" s="436" t="s">
        <v>3994</v>
      </c>
      <c r="B179" s="436" t="s">
        <v>3490</v>
      </c>
      <c r="C179" s="437" t="s">
        <v>3491</v>
      </c>
      <c r="D179" s="436" t="s">
        <v>3986</v>
      </c>
      <c r="E179" s="437" t="s">
        <v>3987</v>
      </c>
      <c r="F179" s="436" t="s">
        <v>3494</v>
      </c>
      <c r="G179" s="436" t="s">
        <v>3495</v>
      </c>
      <c r="H179" s="437" t="s">
        <v>3496</v>
      </c>
      <c r="I179" s="436" t="s">
        <v>3497</v>
      </c>
      <c r="J179" s="437" t="s">
        <v>3498</v>
      </c>
      <c r="K179" s="437" t="s">
        <v>3499</v>
      </c>
      <c r="L179" s="436" t="s">
        <v>3500</v>
      </c>
      <c r="M179" s="436" t="s">
        <v>3524</v>
      </c>
      <c r="N179" s="436" t="s">
        <v>3502</v>
      </c>
      <c r="O179" s="438">
        <v>119000</v>
      </c>
      <c r="P179" s="438">
        <v>82110</v>
      </c>
      <c r="Q179" s="438">
        <v>1</v>
      </c>
      <c r="R179" s="438">
        <v>0</v>
      </c>
      <c r="S179" s="438">
        <v>0</v>
      </c>
      <c r="T179" s="438">
        <v>0</v>
      </c>
      <c r="U179" s="438">
        <v>0</v>
      </c>
      <c r="V179" s="438">
        <v>0</v>
      </c>
      <c r="W179" s="438">
        <v>31</v>
      </c>
      <c r="X179" s="438">
        <v>0</v>
      </c>
      <c r="Y179" s="438">
        <v>0</v>
      </c>
      <c r="Z179" s="438">
        <v>0</v>
      </c>
      <c r="AA179" s="438">
        <v>0</v>
      </c>
      <c r="AB179" s="438">
        <v>0</v>
      </c>
      <c r="AC179" s="438">
        <v>119000</v>
      </c>
      <c r="AD179" s="438">
        <v>82110</v>
      </c>
      <c r="AE179" s="438">
        <v>0</v>
      </c>
      <c r="AF179" s="438">
        <v>0</v>
      </c>
      <c r="AG179" s="438">
        <v>119000</v>
      </c>
      <c r="AH179" s="438">
        <v>82110</v>
      </c>
      <c r="AI179" s="438">
        <v>33536</v>
      </c>
      <c r="AJ179" s="438">
        <v>3354</v>
      </c>
      <c r="AK179" s="438">
        <v>36890</v>
      </c>
      <c r="AL179" s="414" t="str">
        <f t="shared" si="12"/>
        <v>워커힐 시그니처 양념 본갈비 300g, 8개</v>
      </c>
      <c r="AM179" s="395">
        <f t="shared" si="13"/>
        <v>46060</v>
      </c>
      <c r="AN179" s="396">
        <f t="shared" si="14"/>
        <v>1</v>
      </c>
      <c r="AO179" s="109">
        <f t="shared" si="15"/>
        <v>119000</v>
      </c>
      <c r="AP179" s="109">
        <f t="shared" si="16"/>
        <v>108181.81818181818</v>
      </c>
      <c r="AQ179" s="397">
        <f t="shared" si="17"/>
        <v>108181.81818181818</v>
      </c>
    </row>
    <row r="180" spans="1:43" ht="24">
      <c r="A180" s="436" t="s">
        <v>3997</v>
      </c>
      <c r="B180" s="436" t="s">
        <v>3490</v>
      </c>
      <c r="C180" s="437" t="s">
        <v>3491</v>
      </c>
      <c r="D180" s="436" t="s">
        <v>4116</v>
      </c>
      <c r="E180" s="437" t="s">
        <v>4117</v>
      </c>
      <c r="F180" s="436" t="s">
        <v>3494</v>
      </c>
      <c r="G180" s="436" t="s">
        <v>3495</v>
      </c>
      <c r="H180" s="437" t="s">
        <v>3496</v>
      </c>
      <c r="I180" s="436" t="s">
        <v>3497</v>
      </c>
      <c r="J180" s="437" t="s">
        <v>3498</v>
      </c>
      <c r="K180" s="437" t="s">
        <v>3499</v>
      </c>
      <c r="L180" s="436" t="s">
        <v>3500</v>
      </c>
      <c r="M180" s="436" t="s">
        <v>3524</v>
      </c>
      <c r="N180" s="436" t="s">
        <v>3502</v>
      </c>
      <c r="O180" s="438">
        <v>119000</v>
      </c>
      <c r="P180" s="438">
        <v>82110</v>
      </c>
      <c r="Q180" s="438">
        <v>1</v>
      </c>
      <c r="R180" s="438">
        <v>0</v>
      </c>
      <c r="S180" s="438">
        <v>0</v>
      </c>
      <c r="T180" s="438">
        <v>0</v>
      </c>
      <c r="U180" s="438">
        <v>0</v>
      </c>
      <c r="V180" s="438">
        <v>0</v>
      </c>
      <c r="W180" s="438">
        <v>31</v>
      </c>
      <c r="X180" s="438">
        <v>0</v>
      </c>
      <c r="Y180" s="438">
        <v>0</v>
      </c>
      <c r="Z180" s="438">
        <v>0</v>
      </c>
      <c r="AA180" s="438">
        <v>0</v>
      </c>
      <c r="AB180" s="438">
        <v>0</v>
      </c>
      <c r="AC180" s="438">
        <v>119000</v>
      </c>
      <c r="AD180" s="438">
        <v>82110</v>
      </c>
      <c r="AE180" s="438">
        <v>0</v>
      </c>
      <c r="AF180" s="438">
        <v>0</v>
      </c>
      <c r="AG180" s="438">
        <v>119000</v>
      </c>
      <c r="AH180" s="438">
        <v>82110</v>
      </c>
      <c r="AI180" s="438">
        <v>33536</v>
      </c>
      <c r="AJ180" s="438">
        <v>3354</v>
      </c>
      <c r="AK180" s="438">
        <v>36890</v>
      </c>
      <c r="AL180" s="414" t="str">
        <f t="shared" si="12"/>
        <v>워커힐 시그니처 양념 본갈비 300g, 8개</v>
      </c>
      <c r="AM180" s="395">
        <f t="shared" si="13"/>
        <v>46060</v>
      </c>
      <c r="AN180" s="396">
        <f t="shared" si="14"/>
        <v>1</v>
      </c>
      <c r="AO180" s="109">
        <f t="shared" si="15"/>
        <v>119000</v>
      </c>
      <c r="AP180" s="109">
        <f t="shared" si="16"/>
        <v>108181.81818181818</v>
      </c>
      <c r="AQ180" s="397">
        <f t="shared" si="17"/>
        <v>108181.81818181818</v>
      </c>
    </row>
    <row r="181" spans="1:43" ht="24">
      <c r="A181" s="436" t="s">
        <v>4000</v>
      </c>
      <c r="B181" s="436" t="s">
        <v>3490</v>
      </c>
      <c r="C181" s="437" t="s">
        <v>3491</v>
      </c>
      <c r="D181" s="436" t="s">
        <v>4127</v>
      </c>
      <c r="E181" s="437" t="s">
        <v>4128</v>
      </c>
      <c r="F181" s="436" t="s">
        <v>3494</v>
      </c>
      <c r="G181" s="436" t="s">
        <v>3495</v>
      </c>
      <c r="H181" s="437" t="s">
        <v>3496</v>
      </c>
      <c r="I181" s="436" t="s">
        <v>3497</v>
      </c>
      <c r="J181" s="437" t="s">
        <v>3498</v>
      </c>
      <c r="K181" s="437" t="s">
        <v>3499</v>
      </c>
      <c r="L181" s="436" t="s">
        <v>3500</v>
      </c>
      <c r="M181" s="436" t="s">
        <v>3524</v>
      </c>
      <c r="N181" s="436" t="s">
        <v>3502</v>
      </c>
      <c r="O181" s="438">
        <v>119000</v>
      </c>
      <c r="P181" s="438">
        <v>82110</v>
      </c>
      <c r="Q181" s="438">
        <v>1</v>
      </c>
      <c r="R181" s="438">
        <v>0</v>
      </c>
      <c r="S181" s="438">
        <v>0</v>
      </c>
      <c r="T181" s="438">
        <v>0</v>
      </c>
      <c r="U181" s="438">
        <v>0</v>
      </c>
      <c r="V181" s="438">
        <v>0</v>
      </c>
      <c r="W181" s="438">
        <v>31</v>
      </c>
      <c r="X181" s="438">
        <v>0</v>
      </c>
      <c r="Y181" s="438">
        <v>0</v>
      </c>
      <c r="Z181" s="438">
        <v>0</v>
      </c>
      <c r="AA181" s="438">
        <v>0</v>
      </c>
      <c r="AB181" s="438">
        <v>0</v>
      </c>
      <c r="AC181" s="438">
        <v>119000</v>
      </c>
      <c r="AD181" s="438">
        <v>82110</v>
      </c>
      <c r="AE181" s="438">
        <v>0</v>
      </c>
      <c r="AF181" s="438">
        <v>0</v>
      </c>
      <c r="AG181" s="438">
        <v>119000</v>
      </c>
      <c r="AH181" s="438">
        <v>82110</v>
      </c>
      <c r="AI181" s="438">
        <v>33536</v>
      </c>
      <c r="AJ181" s="438">
        <v>3354</v>
      </c>
      <c r="AK181" s="438">
        <v>36890</v>
      </c>
      <c r="AL181" s="414" t="str">
        <f t="shared" si="12"/>
        <v>워커힐 시그니처 양념 본갈비 300g, 8개</v>
      </c>
      <c r="AM181" s="395">
        <f t="shared" si="13"/>
        <v>46060</v>
      </c>
      <c r="AN181" s="396">
        <f t="shared" si="14"/>
        <v>1</v>
      </c>
      <c r="AO181" s="109">
        <f t="shared" si="15"/>
        <v>119000</v>
      </c>
      <c r="AP181" s="109">
        <f t="shared" si="16"/>
        <v>108181.81818181818</v>
      </c>
      <c r="AQ181" s="397">
        <f t="shared" si="17"/>
        <v>108181.81818181818</v>
      </c>
    </row>
    <row r="182" spans="1:43" ht="24">
      <c r="A182" s="436" t="s">
        <v>4001</v>
      </c>
      <c r="B182" s="436" t="s">
        <v>3490</v>
      </c>
      <c r="C182" s="437" t="s">
        <v>3491</v>
      </c>
      <c r="D182" s="436" t="s">
        <v>3733</v>
      </c>
      <c r="E182" s="437" t="s">
        <v>3734</v>
      </c>
      <c r="F182" s="436" t="s">
        <v>3494</v>
      </c>
      <c r="G182" s="436" t="s">
        <v>3495</v>
      </c>
      <c r="H182" s="437" t="s">
        <v>3496</v>
      </c>
      <c r="I182" s="436" t="s">
        <v>3497</v>
      </c>
      <c r="J182" s="437" t="s">
        <v>3498</v>
      </c>
      <c r="K182" s="437" t="s">
        <v>3499</v>
      </c>
      <c r="L182" s="436" t="s">
        <v>3500</v>
      </c>
      <c r="M182" s="436" t="s">
        <v>3524</v>
      </c>
      <c r="N182" s="436" t="s">
        <v>3502</v>
      </c>
      <c r="O182" s="438">
        <v>119000</v>
      </c>
      <c r="P182" s="438">
        <v>82110</v>
      </c>
      <c r="Q182" s="438">
        <v>1</v>
      </c>
      <c r="R182" s="438">
        <v>0</v>
      </c>
      <c r="S182" s="438">
        <v>0</v>
      </c>
      <c r="T182" s="438">
        <v>0</v>
      </c>
      <c r="U182" s="438">
        <v>0</v>
      </c>
      <c r="V182" s="438">
        <v>0</v>
      </c>
      <c r="W182" s="438">
        <v>31</v>
      </c>
      <c r="X182" s="438">
        <v>0</v>
      </c>
      <c r="Y182" s="438">
        <v>0</v>
      </c>
      <c r="Z182" s="438">
        <v>0</v>
      </c>
      <c r="AA182" s="438">
        <v>0</v>
      </c>
      <c r="AB182" s="438">
        <v>0</v>
      </c>
      <c r="AC182" s="438">
        <v>119000</v>
      </c>
      <c r="AD182" s="438">
        <v>82110</v>
      </c>
      <c r="AE182" s="438">
        <v>0</v>
      </c>
      <c r="AF182" s="438">
        <v>0</v>
      </c>
      <c r="AG182" s="438">
        <v>119000</v>
      </c>
      <c r="AH182" s="438">
        <v>82110</v>
      </c>
      <c r="AI182" s="438">
        <v>33536</v>
      </c>
      <c r="AJ182" s="438">
        <v>3354</v>
      </c>
      <c r="AK182" s="438">
        <v>36890</v>
      </c>
      <c r="AL182" s="414" t="str">
        <f t="shared" si="12"/>
        <v>워커힐 시그니처 양념 본갈비 300g, 8개</v>
      </c>
      <c r="AM182" s="395">
        <f t="shared" si="13"/>
        <v>46060</v>
      </c>
      <c r="AN182" s="396">
        <f t="shared" si="14"/>
        <v>1</v>
      </c>
      <c r="AO182" s="109">
        <f t="shared" si="15"/>
        <v>119000</v>
      </c>
      <c r="AP182" s="109">
        <f t="shared" si="16"/>
        <v>108181.81818181818</v>
      </c>
      <c r="AQ182" s="397">
        <f t="shared" si="17"/>
        <v>108181.81818181818</v>
      </c>
    </row>
    <row r="183" spans="1:43" ht="24">
      <c r="A183" s="436" t="s">
        <v>4003</v>
      </c>
      <c r="B183" s="436" t="s">
        <v>3490</v>
      </c>
      <c r="C183" s="437" t="s">
        <v>3491</v>
      </c>
      <c r="D183" s="436" t="s">
        <v>4002</v>
      </c>
      <c r="E183" s="437" t="s">
        <v>3752</v>
      </c>
      <c r="F183" s="436" t="s">
        <v>3494</v>
      </c>
      <c r="G183" s="436" t="s">
        <v>3495</v>
      </c>
      <c r="H183" s="437" t="s">
        <v>3496</v>
      </c>
      <c r="I183" s="436" t="s">
        <v>3497</v>
      </c>
      <c r="J183" s="437" t="s">
        <v>3498</v>
      </c>
      <c r="K183" s="437" t="s">
        <v>3499</v>
      </c>
      <c r="L183" s="436" t="s">
        <v>3500</v>
      </c>
      <c r="M183" s="436" t="s">
        <v>3524</v>
      </c>
      <c r="N183" s="436" t="s">
        <v>3502</v>
      </c>
      <c r="O183" s="438">
        <v>119000</v>
      </c>
      <c r="P183" s="438">
        <v>82110</v>
      </c>
      <c r="Q183" s="438">
        <v>1</v>
      </c>
      <c r="R183" s="438">
        <v>0</v>
      </c>
      <c r="S183" s="438">
        <v>0</v>
      </c>
      <c r="T183" s="438">
        <v>0</v>
      </c>
      <c r="U183" s="438">
        <v>0</v>
      </c>
      <c r="V183" s="438">
        <v>0</v>
      </c>
      <c r="W183" s="438">
        <v>31</v>
      </c>
      <c r="X183" s="438">
        <v>0</v>
      </c>
      <c r="Y183" s="438">
        <v>0</v>
      </c>
      <c r="Z183" s="438">
        <v>0</v>
      </c>
      <c r="AA183" s="438">
        <v>0</v>
      </c>
      <c r="AB183" s="438">
        <v>0</v>
      </c>
      <c r="AC183" s="438">
        <v>119000</v>
      </c>
      <c r="AD183" s="438">
        <v>82110</v>
      </c>
      <c r="AE183" s="438">
        <v>0</v>
      </c>
      <c r="AF183" s="438">
        <v>0</v>
      </c>
      <c r="AG183" s="438">
        <v>119000</v>
      </c>
      <c r="AH183" s="438">
        <v>82110</v>
      </c>
      <c r="AI183" s="438">
        <v>33536</v>
      </c>
      <c r="AJ183" s="438">
        <v>3354</v>
      </c>
      <c r="AK183" s="438">
        <v>36890</v>
      </c>
      <c r="AL183" s="414" t="str">
        <f t="shared" si="12"/>
        <v>워커힐 시그니처 양념 본갈비 300g, 8개</v>
      </c>
      <c r="AM183" s="395">
        <f t="shared" si="13"/>
        <v>46060</v>
      </c>
      <c r="AN183" s="396">
        <f t="shared" si="14"/>
        <v>1</v>
      </c>
      <c r="AO183" s="109">
        <f t="shared" si="15"/>
        <v>119000</v>
      </c>
      <c r="AP183" s="109">
        <f t="shared" si="16"/>
        <v>108181.81818181818</v>
      </c>
      <c r="AQ183" s="397">
        <f t="shared" si="17"/>
        <v>108181.81818181818</v>
      </c>
    </row>
    <row r="184" spans="1:43" ht="24">
      <c r="A184" s="436" t="s">
        <v>4005</v>
      </c>
      <c r="B184" s="436" t="s">
        <v>3490</v>
      </c>
      <c r="C184" s="437" t="s">
        <v>3491</v>
      </c>
      <c r="D184" s="436" t="s">
        <v>4132</v>
      </c>
      <c r="E184" s="437" t="s">
        <v>3851</v>
      </c>
      <c r="F184" s="436" t="s">
        <v>3494</v>
      </c>
      <c r="G184" s="436" t="s">
        <v>3495</v>
      </c>
      <c r="H184" s="437" t="s">
        <v>3496</v>
      </c>
      <c r="I184" s="436" t="s">
        <v>3497</v>
      </c>
      <c r="J184" s="437" t="s">
        <v>3498</v>
      </c>
      <c r="K184" s="437" t="s">
        <v>3499</v>
      </c>
      <c r="L184" s="436" t="s">
        <v>3500</v>
      </c>
      <c r="M184" s="436" t="s">
        <v>3524</v>
      </c>
      <c r="N184" s="436" t="s">
        <v>3502</v>
      </c>
      <c r="O184" s="438">
        <v>119000</v>
      </c>
      <c r="P184" s="438">
        <v>82110</v>
      </c>
      <c r="Q184" s="438">
        <v>1</v>
      </c>
      <c r="R184" s="438">
        <v>0</v>
      </c>
      <c r="S184" s="438">
        <v>0</v>
      </c>
      <c r="T184" s="438">
        <v>0</v>
      </c>
      <c r="U184" s="438">
        <v>0</v>
      </c>
      <c r="V184" s="438">
        <v>0</v>
      </c>
      <c r="W184" s="438">
        <v>31</v>
      </c>
      <c r="X184" s="438">
        <v>0</v>
      </c>
      <c r="Y184" s="438">
        <v>0</v>
      </c>
      <c r="Z184" s="438">
        <v>0</v>
      </c>
      <c r="AA184" s="438">
        <v>0</v>
      </c>
      <c r="AB184" s="438">
        <v>5950</v>
      </c>
      <c r="AC184" s="438">
        <v>119000</v>
      </c>
      <c r="AD184" s="438">
        <v>82110</v>
      </c>
      <c r="AE184" s="438">
        <v>0</v>
      </c>
      <c r="AF184" s="438">
        <v>5950</v>
      </c>
      <c r="AG184" s="438">
        <v>113050</v>
      </c>
      <c r="AH184" s="438">
        <v>82110</v>
      </c>
      <c r="AI184" s="438">
        <v>28127</v>
      </c>
      <c r="AJ184" s="438">
        <v>2813</v>
      </c>
      <c r="AK184" s="438">
        <v>30940</v>
      </c>
      <c r="AL184" s="414" t="str">
        <f t="shared" si="12"/>
        <v>워커힐 시그니처 양념 본갈비 300g, 8개</v>
      </c>
      <c r="AM184" s="395">
        <f t="shared" si="13"/>
        <v>46060</v>
      </c>
      <c r="AN184" s="396">
        <f t="shared" si="14"/>
        <v>1</v>
      </c>
      <c r="AO184" s="109">
        <f t="shared" si="15"/>
        <v>119000</v>
      </c>
      <c r="AP184" s="109">
        <f t="shared" si="16"/>
        <v>108181.81818181818</v>
      </c>
      <c r="AQ184" s="397">
        <f t="shared" si="17"/>
        <v>108181.81818181818</v>
      </c>
    </row>
    <row r="185" spans="1:43" ht="24">
      <c r="A185" s="436" t="s">
        <v>4008</v>
      </c>
      <c r="B185" s="436" t="s">
        <v>3490</v>
      </c>
      <c r="C185" s="437" t="s">
        <v>3491</v>
      </c>
      <c r="D185" s="436" t="s">
        <v>4139</v>
      </c>
      <c r="E185" s="437" t="s">
        <v>4140</v>
      </c>
      <c r="F185" s="436" t="s">
        <v>3494</v>
      </c>
      <c r="G185" s="436" t="s">
        <v>3495</v>
      </c>
      <c r="H185" s="437" t="s">
        <v>3496</v>
      </c>
      <c r="I185" s="436" t="s">
        <v>3497</v>
      </c>
      <c r="J185" s="437" t="s">
        <v>3498</v>
      </c>
      <c r="K185" s="437" t="s">
        <v>3499</v>
      </c>
      <c r="L185" s="436" t="s">
        <v>3500</v>
      </c>
      <c r="M185" s="436" t="s">
        <v>3524</v>
      </c>
      <c r="N185" s="436" t="s">
        <v>3502</v>
      </c>
      <c r="O185" s="438">
        <v>119000</v>
      </c>
      <c r="P185" s="438">
        <v>82110</v>
      </c>
      <c r="Q185" s="438">
        <v>1</v>
      </c>
      <c r="R185" s="438">
        <v>0</v>
      </c>
      <c r="S185" s="438">
        <v>0</v>
      </c>
      <c r="T185" s="438">
        <v>0</v>
      </c>
      <c r="U185" s="438">
        <v>0</v>
      </c>
      <c r="V185" s="438">
        <v>0</v>
      </c>
      <c r="W185" s="438">
        <v>31</v>
      </c>
      <c r="X185" s="438">
        <v>0</v>
      </c>
      <c r="Y185" s="438">
        <v>0</v>
      </c>
      <c r="Z185" s="438">
        <v>0</v>
      </c>
      <c r="AA185" s="438">
        <v>0</v>
      </c>
      <c r="AB185" s="438">
        <v>0</v>
      </c>
      <c r="AC185" s="438">
        <v>119000</v>
      </c>
      <c r="AD185" s="438">
        <v>82110</v>
      </c>
      <c r="AE185" s="438">
        <v>0</v>
      </c>
      <c r="AF185" s="438">
        <v>0</v>
      </c>
      <c r="AG185" s="438">
        <v>119000</v>
      </c>
      <c r="AH185" s="438">
        <v>82110</v>
      </c>
      <c r="AI185" s="438">
        <v>33536</v>
      </c>
      <c r="AJ185" s="438">
        <v>3354</v>
      </c>
      <c r="AK185" s="438">
        <v>36890</v>
      </c>
      <c r="AL185" s="414" t="str">
        <f t="shared" si="12"/>
        <v>워커힐 시그니처 양념 본갈비 300g, 8개</v>
      </c>
      <c r="AM185" s="395">
        <f t="shared" si="13"/>
        <v>46060</v>
      </c>
      <c r="AN185" s="396">
        <f t="shared" si="14"/>
        <v>1</v>
      </c>
      <c r="AO185" s="109">
        <f t="shared" si="15"/>
        <v>119000</v>
      </c>
      <c r="AP185" s="109">
        <f t="shared" si="16"/>
        <v>108181.81818181818</v>
      </c>
      <c r="AQ185" s="397">
        <f t="shared" si="17"/>
        <v>108181.81818181818</v>
      </c>
    </row>
    <row r="186" spans="1:43" ht="24">
      <c r="A186" s="436" t="s">
        <v>4011</v>
      </c>
      <c r="B186" s="436" t="s">
        <v>3490</v>
      </c>
      <c r="C186" s="437" t="s">
        <v>3491</v>
      </c>
      <c r="D186" s="436" t="s">
        <v>3736</v>
      </c>
      <c r="E186" s="437" t="s">
        <v>3737</v>
      </c>
      <c r="F186" s="436" t="s">
        <v>3494</v>
      </c>
      <c r="G186" s="436" t="s">
        <v>3495</v>
      </c>
      <c r="H186" s="437" t="s">
        <v>3496</v>
      </c>
      <c r="I186" s="436" t="s">
        <v>3497</v>
      </c>
      <c r="J186" s="437" t="s">
        <v>3498</v>
      </c>
      <c r="K186" s="437" t="s">
        <v>3499</v>
      </c>
      <c r="L186" s="436" t="s">
        <v>3500</v>
      </c>
      <c r="M186" s="436" t="s">
        <v>3524</v>
      </c>
      <c r="N186" s="436" t="s">
        <v>3502</v>
      </c>
      <c r="O186" s="438">
        <v>119000</v>
      </c>
      <c r="P186" s="438">
        <v>82110</v>
      </c>
      <c r="Q186" s="438">
        <v>1</v>
      </c>
      <c r="R186" s="438">
        <v>0</v>
      </c>
      <c r="S186" s="438">
        <v>0</v>
      </c>
      <c r="T186" s="438">
        <v>0</v>
      </c>
      <c r="U186" s="438">
        <v>0</v>
      </c>
      <c r="V186" s="438">
        <v>0</v>
      </c>
      <c r="W186" s="438">
        <v>31</v>
      </c>
      <c r="X186" s="438">
        <v>0</v>
      </c>
      <c r="Y186" s="438">
        <v>10000</v>
      </c>
      <c r="Z186" s="438">
        <v>0</v>
      </c>
      <c r="AA186" s="438">
        <v>0</v>
      </c>
      <c r="AB186" s="438">
        <v>0</v>
      </c>
      <c r="AC186" s="438">
        <v>119000</v>
      </c>
      <c r="AD186" s="438">
        <v>82110</v>
      </c>
      <c r="AE186" s="438">
        <v>0</v>
      </c>
      <c r="AF186" s="438">
        <v>10000</v>
      </c>
      <c r="AG186" s="438">
        <v>109000</v>
      </c>
      <c r="AH186" s="438">
        <v>82110</v>
      </c>
      <c r="AI186" s="438">
        <v>24445</v>
      </c>
      <c r="AJ186" s="438">
        <v>2445</v>
      </c>
      <c r="AK186" s="438">
        <v>26890</v>
      </c>
      <c r="AL186" s="414" t="str">
        <f t="shared" si="12"/>
        <v>워커힐 시그니처 양념 본갈비 300g, 8개</v>
      </c>
      <c r="AM186" s="395">
        <f t="shared" si="13"/>
        <v>46060</v>
      </c>
      <c r="AN186" s="396">
        <f t="shared" si="14"/>
        <v>1</v>
      </c>
      <c r="AO186" s="109">
        <f t="shared" si="15"/>
        <v>119000</v>
      </c>
      <c r="AP186" s="109">
        <f t="shared" si="16"/>
        <v>108181.81818181818</v>
      </c>
      <c r="AQ186" s="397">
        <f t="shared" si="17"/>
        <v>108181.81818181818</v>
      </c>
    </row>
    <row r="187" spans="1:43" ht="24">
      <c r="A187" s="436" t="s">
        <v>4014</v>
      </c>
      <c r="B187" s="436" t="s">
        <v>3490</v>
      </c>
      <c r="C187" s="437" t="s">
        <v>3491</v>
      </c>
      <c r="D187" s="436" t="s">
        <v>3742</v>
      </c>
      <c r="E187" s="437" t="s">
        <v>3743</v>
      </c>
      <c r="F187" s="436" t="s">
        <v>3494</v>
      </c>
      <c r="G187" s="436" t="s">
        <v>3495</v>
      </c>
      <c r="H187" s="437" t="s">
        <v>3496</v>
      </c>
      <c r="I187" s="436" t="s">
        <v>3497</v>
      </c>
      <c r="J187" s="437" t="s">
        <v>3498</v>
      </c>
      <c r="K187" s="437" t="s">
        <v>163</v>
      </c>
      <c r="L187" s="436" t="s">
        <v>3500</v>
      </c>
      <c r="M187" s="436" t="s">
        <v>3524</v>
      </c>
      <c r="N187" s="436" t="s">
        <v>3502</v>
      </c>
      <c r="O187" s="438">
        <v>119000</v>
      </c>
      <c r="P187" s="438">
        <v>82110</v>
      </c>
      <c r="Q187" s="438">
        <v>2</v>
      </c>
      <c r="R187" s="438">
        <v>0</v>
      </c>
      <c r="S187" s="438">
        <v>0</v>
      </c>
      <c r="T187" s="438">
        <v>0</v>
      </c>
      <c r="U187" s="438">
        <v>0</v>
      </c>
      <c r="V187" s="438">
        <v>0</v>
      </c>
      <c r="W187" s="438">
        <v>31</v>
      </c>
      <c r="X187" s="438">
        <v>0</v>
      </c>
      <c r="Y187" s="438">
        <v>0</v>
      </c>
      <c r="Z187" s="438">
        <v>0</v>
      </c>
      <c r="AA187" s="438">
        <v>0</v>
      </c>
      <c r="AB187" s="438">
        <v>0</v>
      </c>
      <c r="AC187" s="438">
        <v>238000</v>
      </c>
      <c r="AD187" s="438">
        <v>164220</v>
      </c>
      <c r="AE187" s="438">
        <v>0</v>
      </c>
      <c r="AF187" s="438">
        <v>0</v>
      </c>
      <c r="AG187" s="438">
        <v>238000</v>
      </c>
      <c r="AH187" s="438">
        <v>164220</v>
      </c>
      <c r="AI187" s="438">
        <v>67073</v>
      </c>
      <c r="AJ187" s="438">
        <v>6707</v>
      </c>
      <c r="AK187" s="438">
        <v>73780</v>
      </c>
      <c r="AL187" s="414" t="str">
        <f t="shared" si="12"/>
        <v>워커힐 시그니처 양념 본갈비 300g, 8개</v>
      </c>
      <c r="AM187" s="395">
        <f t="shared" si="13"/>
        <v>46060</v>
      </c>
      <c r="AN187" s="396">
        <f t="shared" si="14"/>
        <v>2</v>
      </c>
      <c r="AO187" s="109">
        <f t="shared" si="15"/>
        <v>119000</v>
      </c>
      <c r="AP187" s="109">
        <f t="shared" si="16"/>
        <v>108181.81818181818</v>
      </c>
      <c r="AQ187" s="397">
        <f t="shared" si="17"/>
        <v>216363.63636363635</v>
      </c>
    </row>
    <row r="188" spans="1:43" ht="24">
      <c r="A188" s="436" t="s">
        <v>4015</v>
      </c>
      <c r="B188" s="436" t="s">
        <v>3490</v>
      </c>
      <c r="C188" s="437" t="s">
        <v>3491</v>
      </c>
      <c r="D188" s="436" t="s">
        <v>4004</v>
      </c>
      <c r="E188" s="437" t="s">
        <v>3541</v>
      </c>
      <c r="F188" s="436" t="s">
        <v>3494</v>
      </c>
      <c r="G188" s="436" t="s">
        <v>3495</v>
      </c>
      <c r="H188" s="437" t="s">
        <v>3496</v>
      </c>
      <c r="I188" s="436" t="s">
        <v>3497</v>
      </c>
      <c r="J188" s="437" t="s">
        <v>3498</v>
      </c>
      <c r="K188" s="437" t="s">
        <v>3499</v>
      </c>
      <c r="L188" s="436" t="s">
        <v>3500</v>
      </c>
      <c r="M188" s="436" t="s">
        <v>3524</v>
      </c>
      <c r="N188" s="436" t="s">
        <v>3502</v>
      </c>
      <c r="O188" s="438">
        <v>119000</v>
      </c>
      <c r="P188" s="438">
        <v>82110</v>
      </c>
      <c r="Q188" s="438">
        <v>1</v>
      </c>
      <c r="R188" s="438">
        <v>0</v>
      </c>
      <c r="S188" s="438">
        <v>0</v>
      </c>
      <c r="T188" s="438">
        <v>0</v>
      </c>
      <c r="U188" s="438">
        <v>0</v>
      </c>
      <c r="V188" s="438">
        <v>0</v>
      </c>
      <c r="W188" s="438">
        <v>31</v>
      </c>
      <c r="X188" s="438">
        <v>0</v>
      </c>
      <c r="Y188" s="438">
        <v>0</v>
      </c>
      <c r="Z188" s="438">
        <v>0</v>
      </c>
      <c r="AA188" s="438">
        <v>0</v>
      </c>
      <c r="AB188" s="438">
        <v>0</v>
      </c>
      <c r="AC188" s="438">
        <v>119000</v>
      </c>
      <c r="AD188" s="438">
        <v>82110</v>
      </c>
      <c r="AE188" s="438">
        <v>0</v>
      </c>
      <c r="AF188" s="438">
        <v>0</v>
      </c>
      <c r="AG188" s="438">
        <v>119000</v>
      </c>
      <c r="AH188" s="438">
        <v>82110</v>
      </c>
      <c r="AI188" s="438">
        <v>33536</v>
      </c>
      <c r="AJ188" s="438">
        <v>3354</v>
      </c>
      <c r="AK188" s="438">
        <v>36890</v>
      </c>
      <c r="AL188" s="414" t="str">
        <f t="shared" si="12"/>
        <v>워커힐 시그니처 양념 본갈비 300g, 8개</v>
      </c>
      <c r="AM188" s="395">
        <f t="shared" si="13"/>
        <v>46060</v>
      </c>
      <c r="AN188" s="396">
        <f t="shared" si="14"/>
        <v>1</v>
      </c>
      <c r="AO188" s="109">
        <f t="shared" si="15"/>
        <v>119000</v>
      </c>
      <c r="AP188" s="109">
        <f t="shared" si="16"/>
        <v>108181.81818181818</v>
      </c>
      <c r="AQ188" s="397">
        <f t="shared" si="17"/>
        <v>108181.81818181818</v>
      </c>
    </row>
    <row r="189" spans="1:43" ht="24">
      <c r="A189" s="436" t="s">
        <v>4017</v>
      </c>
      <c r="B189" s="436" t="s">
        <v>3490</v>
      </c>
      <c r="C189" s="437" t="s">
        <v>3491</v>
      </c>
      <c r="D189" s="436" t="s">
        <v>4165</v>
      </c>
      <c r="E189" s="437" t="s">
        <v>4166</v>
      </c>
      <c r="F189" s="436" t="s">
        <v>3494</v>
      </c>
      <c r="G189" s="436" t="s">
        <v>3495</v>
      </c>
      <c r="H189" s="437" t="s">
        <v>3496</v>
      </c>
      <c r="I189" s="436" t="s">
        <v>3497</v>
      </c>
      <c r="J189" s="437" t="s">
        <v>3498</v>
      </c>
      <c r="K189" s="437" t="s">
        <v>3499</v>
      </c>
      <c r="L189" s="436" t="s">
        <v>3500</v>
      </c>
      <c r="M189" s="436" t="s">
        <v>3524</v>
      </c>
      <c r="N189" s="436" t="s">
        <v>3502</v>
      </c>
      <c r="O189" s="438">
        <v>119000</v>
      </c>
      <c r="P189" s="438">
        <v>82110</v>
      </c>
      <c r="Q189" s="438">
        <v>1</v>
      </c>
      <c r="R189" s="438">
        <v>0</v>
      </c>
      <c r="S189" s="438">
        <v>0</v>
      </c>
      <c r="T189" s="438">
        <v>0</v>
      </c>
      <c r="U189" s="438">
        <v>0</v>
      </c>
      <c r="V189" s="438">
        <v>0</v>
      </c>
      <c r="W189" s="438">
        <v>31</v>
      </c>
      <c r="X189" s="438">
        <v>0</v>
      </c>
      <c r="Y189" s="438">
        <v>0</v>
      </c>
      <c r="Z189" s="438">
        <v>0</v>
      </c>
      <c r="AA189" s="438">
        <v>0</v>
      </c>
      <c r="AB189" s="438">
        <v>0</v>
      </c>
      <c r="AC189" s="438">
        <v>119000</v>
      </c>
      <c r="AD189" s="438">
        <v>82110</v>
      </c>
      <c r="AE189" s="438">
        <v>0</v>
      </c>
      <c r="AF189" s="438">
        <v>0</v>
      </c>
      <c r="AG189" s="438">
        <v>119000</v>
      </c>
      <c r="AH189" s="438">
        <v>82110</v>
      </c>
      <c r="AI189" s="438">
        <v>33536</v>
      </c>
      <c r="AJ189" s="438">
        <v>3354</v>
      </c>
      <c r="AK189" s="438">
        <v>36890</v>
      </c>
      <c r="AL189" s="414" t="str">
        <f t="shared" si="12"/>
        <v>워커힐 시그니처 양념 본갈비 300g, 8개</v>
      </c>
      <c r="AM189" s="395">
        <f t="shared" si="13"/>
        <v>46060</v>
      </c>
      <c r="AN189" s="396">
        <f t="shared" si="14"/>
        <v>1</v>
      </c>
      <c r="AO189" s="109">
        <f t="shared" si="15"/>
        <v>119000</v>
      </c>
      <c r="AP189" s="109">
        <f t="shared" si="16"/>
        <v>108181.81818181818</v>
      </c>
      <c r="AQ189" s="397">
        <f t="shared" si="17"/>
        <v>108181.81818181818</v>
      </c>
    </row>
    <row r="190" spans="1:43" ht="24">
      <c r="A190" s="436" t="s">
        <v>4020</v>
      </c>
      <c r="B190" s="436" t="s">
        <v>3490</v>
      </c>
      <c r="C190" s="437" t="s">
        <v>3491</v>
      </c>
      <c r="D190" s="436" t="s">
        <v>4006</v>
      </c>
      <c r="E190" s="437" t="s">
        <v>4007</v>
      </c>
      <c r="F190" s="436" t="s">
        <v>3494</v>
      </c>
      <c r="G190" s="436" t="s">
        <v>3495</v>
      </c>
      <c r="H190" s="437" t="s">
        <v>3496</v>
      </c>
      <c r="I190" s="436" t="s">
        <v>3497</v>
      </c>
      <c r="J190" s="437" t="s">
        <v>3498</v>
      </c>
      <c r="K190" s="437" t="s">
        <v>3499</v>
      </c>
      <c r="L190" s="436" t="s">
        <v>3500</v>
      </c>
      <c r="M190" s="436" t="s">
        <v>3524</v>
      </c>
      <c r="N190" s="436" t="s">
        <v>3502</v>
      </c>
      <c r="O190" s="438">
        <v>119000</v>
      </c>
      <c r="P190" s="438">
        <v>82110</v>
      </c>
      <c r="Q190" s="438">
        <v>1</v>
      </c>
      <c r="R190" s="438">
        <v>0</v>
      </c>
      <c r="S190" s="438">
        <v>0</v>
      </c>
      <c r="T190" s="438">
        <v>0</v>
      </c>
      <c r="U190" s="438">
        <v>0</v>
      </c>
      <c r="V190" s="438">
        <v>0</v>
      </c>
      <c r="W190" s="438">
        <v>31</v>
      </c>
      <c r="X190" s="438">
        <v>0</v>
      </c>
      <c r="Y190" s="438">
        <v>0</v>
      </c>
      <c r="Z190" s="438">
        <v>0</v>
      </c>
      <c r="AA190" s="438">
        <v>0</v>
      </c>
      <c r="AB190" s="438">
        <v>0</v>
      </c>
      <c r="AC190" s="438">
        <v>119000</v>
      </c>
      <c r="AD190" s="438">
        <v>82110</v>
      </c>
      <c r="AE190" s="438">
        <v>0</v>
      </c>
      <c r="AF190" s="438">
        <v>0</v>
      </c>
      <c r="AG190" s="438">
        <v>119000</v>
      </c>
      <c r="AH190" s="438">
        <v>82110</v>
      </c>
      <c r="AI190" s="438">
        <v>33536</v>
      </c>
      <c r="AJ190" s="438">
        <v>3354</v>
      </c>
      <c r="AK190" s="438">
        <v>36890</v>
      </c>
      <c r="AL190" s="414" t="str">
        <f t="shared" si="12"/>
        <v>워커힐 시그니처 양념 본갈비 300g, 8개</v>
      </c>
      <c r="AM190" s="395">
        <f t="shared" si="13"/>
        <v>46060</v>
      </c>
      <c r="AN190" s="396">
        <f t="shared" si="14"/>
        <v>1</v>
      </c>
      <c r="AO190" s="109">
        <f t="shared" si="15"/>
        <v>119000</v>
      </c>
      <c r="AP190" s="109">
        <f t="shared" si="16"/>
        <v>108181.81818181818</v>
      </c>
      <c r="AQ190" s="397">
        <f t="shared" si="17"/>
        <v>108181.81818181818</v>
      </c>
    </row>
    <row r="191" spans="1:43" ht="24">
      <c r="A191" s="436" t="s">
        <v>4023</v>
      </c>
      <c r="B191" s="436" t="s">
        <v>3490</v>
      </c>
      <c r="C191" s="437" t="s">
        <v>3491</v>
      </c>
      <c r="D191" s="436" t="s">
        <v>4173</v>
      </c>
      <c r="E191" s="437" t="s">
        <v>3813</v>
      </c>
      <c r="F191" s="436" t="s">
        <v>3494</v>
      </c>
      <c r="G191" s="436" t="s">
        <v>3495</v>
      </c>
      <c r="H191" s="437" t="s">
        <v>3496</v>
      </c>
      <c r="I191" s="436" t="s">
        <v>3497</v>
      </c>
      <c r="J191" s="437" t="s">
        <v>3498</v>
      </c>
      <c r="K191" s="437" t="s">
        <v>3499</v>
      </c>
      <c r="L191" s="436" t="s">
        <v>3500</v>
      </c>
      <c r="M191" s="436" t="s">
        <v>3524</v>
      </c>
      <c r="N191" s="436" t="s">
        <v>3502</v>
      </c>
      <c r="O191" s="438">
        <v>119000</v>
      </c>
      <c r="P191" s="438">
        <v>82110</v>
      </c>
      <c r="Q191" s="438">
        <v>1</v>
      </c>
      <c r="R191" s="438">
        <v>0</v>
      </c>
      <c r="S191" s="438">
        <v>0</v>
      </c>
      <c r="T191" s="438">
        <v>0</v>
      </c>
      <c r="U191" s="438">
        <v>0</v>
      </c>
      <c r="V191" s="438">
        <v>0</v>
      </c>
      <c r="W191" s="438">
        <v>31</v>
      </c>
      <c r="X191" s="438">
        <v>0</v>
      </c>
      <c r="Y191" s="438">
        <v>10000</v>
      </c>
      <c r="Z191" s="438">
        <v>0</v>
      </c>
      <c r="AA191" s="438">
        <v>0</v>
      </c>
      <c r="AB191" s="438">
        <v>0</v>
      </c>
      <c r="AC191" s="438">
        <v>119000</v>
      </c>
      <c r="AD191" s="438">
        <v>82110</v>
      </c>
      <c r="AE191" s="438">
        <v>0</v>
      </c>
      <c r="AF191" s="438">
        <v>10000</v>
      </c>
      <c r="AG191" s="438">
        <v>109000</v>
      </c>
      <c r="AH191" s="438">
        <v>82110</v>
      </c>
      <c r="AI191" s="438">
        <v>24445</v>
      </c>
      <c r="AJ191" s="438">
        <v>2445</v>
      </c>
      <c r="AK191" s="438">
        <v>26890</v>
      </c>
      <c r="AL191" s="414" t="str">
        <f t="shared" si="12"/>
        <v>워커힐 시그니처 양념 본갈비 300g, 8개</v>
      </c>
      <c r="AM191" s="395">
        <f t="shared" si="13"/>
        <v>46060</v>
      </c>
      <c r="AN191" s="396">
        <f t="shared" si="14"/>
        <v>1</v>
      </c>
      <c r="AO191" s="109">
        <f t="shared" si="15"/>
        <v>119000</v>
      </c>
      <c r="AP191" s="109">
        <f t="shared" si="16"/>
        <v>108181.81818181818</v>
      </c>
      <c r="AQ191" s="397">
        <f t="shared" si="17"/>
        <v>108181.81818181818</v>
      </c>
    </row>
    <row r="192" spans="1:43" ht="24">
      <c r="A192" s="436" t="s">
        <v>4026</v>
      </c>
      <c r="B192" s="436" t="s">
        <v>3490</v>
      </c>
      <c r="C192" s="437" t="s">
        <v>3491</v>
      </c>
      <c r="D192" s="436" t="s">
        <v>4107</v>
      </c>
      <c r="E192" s="437" t="s">
        <v>3697</v>
      </c>
      <c r="F192" s="436" t="s">
        <v>3494</v>
      </c>
      <c r="G192" s="436" t="s">
        <v>3495</v>
      </c>
      <c r="H192" s="437" t="s">
        <v>3496</v>
      </c>
      <c r="I192" s="436" t="s">
        <v>3497</v>
      </c>
      <c r="J192" s="437" t="s">
        <v>3498</v>
      </c>
      <c r="K192" s="437" t="s">
        <v>3499</v>
      </c>
      <c r="L192" s="436" t="s">
        <v>3500</v>
      </c>
      <c r="M192" s="436" t="s">
        <v>3524</v>
      </c>
      <c r="N192" s="436" t="s">
        <v>3502</v>
      </c>
      <c r="O192" s="438">
        <v>119000</v>
      </c>
      <c r="P192" s="438">
        <v>82110</v>
      </c>
      <c r="Q192" s="438">
        <v>1</v>
      </c>
      <c r="R192" s="438">
        <v>0</v>
      </c>
      <c r="S192" s="438">
        <v>0</v>
      </c>
      <c r="T192" s="438">
        <v>0</v>
      </c>
      <c r="U192" s="438">
        <v>0</v>
      </c>
      <c r="V192" s="438">
        <v>0</v>
      </c>
      <c r="W192" s="438">
        <v>31</v>
      </c>
      <c r="X192" s="438">
        <v>0</v>
      </c>
      <c r="Y192" s="438">
        <v>0</v>
      </c>
      <c r="Z192" s="438">
        <v>0</v>
      </c>
      <c r="AA192" s="438">
        <v>0</v>
      </c>
      <c r="AB192" s="438">
        <v>0</v>
      </c>
      <c r="AC192" s="438">
        <v>119000</v>
      </c>
      <c r="AD192" s="438">
        <v>82110</v>
      </c>
      <c r="AE192" s="438">
        <v>0</v>
      </c>
      <c r="AF192" s="438">
        <v>0</v>
      </c>
      <c r="AG192" s="438">
        <v>119000</v>
      </c>
      <c r="AH192" s="438">
        <v>82110</v>
      </c>
      <c r="AI192" s="438">
        <v>33536</v>
      </c>
      <c r="AJ192" s="438">
        <v>3354</v>
      </c>
      <c r="AK192" s="438">
        <v>36890</v>
      </c>
      <c r="AL192" s="414" t="str">
        <f t="shared" si="12"/>
        <v>워커힐 시그니처 양념 본갈비 300g, 8개</v>
      </c>
      <c r="AM192" s="395">
        <f t="shared" si="13"/>
        <v>46060</v>
      </c>
      <c r="AN192" s="396">
        <f t="shared" si="14"/>
        <v>1</v>
      </c>
      <c r="AO192" s="109">
        <f t="shared" si="15"/>
        <v>119000</v>
      </c>
      <c r="AP192" s="109">
        <f t="shared" si="16"/>
        <v>108181.81818181818</v>
      </c>
      <c r="AQ192" s="397">
        <f t="shared" si="17"/>
        <v>108181.81818181818</v>
      </c>
    </row>
    <row r="193" spans="1:43" ht="24">
      <c r="A193" s="436" t="s">
        <v>4029</v>
      </c>
      <c r="B193" s="436" t="s">
        <v>3490</v>
      </c>
      <c r="C193" s="437" t="s">
        <v>3491</v>
      </c>
      <c r="D193" s="436" t="s">
        <v>3983</v>
      </c>
      <c r="E193" s="437" t="s">
        <v>3984</v>
      </c>
      <c r="F193" s="436" t="s">
        <v>3494</v>
      </c>
      <c r="G193" s="436" t="s">
        <v>3495</v>
      </c>
      <c r="H193" s="437" t="s">
        <v>3496</v>
      </c>
      <c r="I193" s="436" t="s">
        <v>3497</v>
      </c>
      <c r="J193" s="437" t="s">
        <v>3498</v>
      </c>
      <c r="K193" s="437" t="s">
        <v>3499</v>
      </c>
      <c r="L193" s="436" t="s">
        <v>3500</v>
      </c>
      <c r="M193" s="436" t="s">
        <v>3524</v>
      </c>
      <c r="N193" s="436" t="s">
        <v>3502</v>
      </c>
      <c r="O193" s="438">
        <v>119000</v>
      </c>
      <c r="P193" s="438">
        <v>82110</v>
      </c>
      <c r="Q193" s="438">
        <v>1</v>
      </c>
      <c r="R193" s="438">
        <v>0</v>
      </c>
      <c r="S193" s="438">
        <v>0</v>
      </c>
      <c r="T193" s="438">
        <v>0</v>
      </c>
      <c r="U193" s="438">
        <v>0</v>
      </c>
      <c r="V193" s="438">
        <v>0</v>
      </c>
      <c r="W193" s="438">
        <v>31</v>
      </c>
      <c r="X193" s="438">
        <v>0</v>
      </c>
      <c r="Y193" s="438">
        <v>0</v>
      </c>
      <c r="Z193" s="438">
        <v>0</v>
      </c>
      <c r="AA193" s="438">
        <v>0</v>
      </c>
      <c r="AB193" s="438">
        <v>0</v>
      </c>
      <c r="AC193" s="438">
        <v>119000</v>
      </c>
      <c r="AD193" s="438">
        <v>82110</v>
      </c>
      <c r="AE193" s="438">
        <v>0</v>
      </c>
      <c r="AF193" s="438">
        <v>0</v>
      </c>
      <c r="AG193" s="438">
        <v>119000</v>
      </c>
      <c r="AH193" s="438">
        <v>82110</v>
      </c>
      <c r="AI193" s="438">
        <v>33536</v>
      </c>
      <c r="AJ193" s="438">
        <v>3354</v>
      </c>
      <c r="AK193" s="438">
        <v>36890</v>
      </c>
      <c r="AL193" s="414" t="str">
        <f t="shared" si="12"/>
        <v>워커힐 시그니처 양념 본갈비 300g, 8개</v>
      </c>
      <c r="AM193" s="395">
        <f t="shared" si="13"/>
        <v>46060</v>
      </c>
      <c r="AN193" s="396">
        <f t="shared" si="14"/>
        <v>1</v>
      </c>
      <c r="AO193" s="109">
        <f t="shared" si="15"/>
        <v>119000</v>
      </c>
      <c r="AP193" s="109">
        <f t="shared" si="16"/>
        <v>108181.81818181818</v>
      </c>
      <c r="AQ193" s="397">
        <f t="shared" si="17"/>
        <v>108181.81818181818</v>
      </c>
    </row>
    <row r="194" spans="1:43" ht="24">
      <c r="A194" s="436" t="s">
        <v>4032</v>
      </c>
      <c r="B194" s="436" t="s">
        <v>3490</v>
      </c>
      <c r="C194" s="437" t="s">
        <v>3491</v>
      </c>
      <c r="D194" s="436" t="s">
        <v>4125</v>
      </c>
      <c r="E194" s="437" t="s">
        <v>3724</v>
      </c>
      <c r="F194" s="436" t="s">
        <v>3494</v>
      </c>
      <c r="G194" s="436" t="s">
        <v>3495</v>
      </c>
      <c r="H194" s="437" t="s">
        <v>3496</v>
      </c>
      <c r="I194" s="436" t="s">
        <v>3497</v>
      </c>
      <c r="J194" s="437" t="s">
        <v>3498</v>
      </c>
      <c r="K194" s="437" t="s">
        <v>3499</v>
      </c>
      <c r="L194" s="436" t="s">
        <v>3500</v>
      </c>
      <c r="M194" s="436" t="s">
        <v>3524</v>
      </c>
      <c r="N194" s="436" t="s">
        <v>3502</v>
      </c>
      <c r="O194" s="438">
        <v>119000</v>
      </c>
      <c r="P194" s="438">
        <v>82110</v>
      </c>
      <c r="Q194" s="438">
        <v>1</v>
      </c>
      <c r="R194" s="438">
        <v>0</v>
      </c>
      <c r="S194" s="438">
        <v>0</v>
      </c>
      <c r="T194" s="438">
        <v>0</v>
      </c>
      <c r="U194" s="438">
        <v>0</v>
      </c>
      <c r="V194" s="438">
        <v>0</v>
      </c>
      <c r="W194" s="438">
        <v>31</v>
      </c>
      <c r="X194" s="438">
        <v>17850</v>
      </c>
      <c r="Y194" s="438">
        <v>0</v>
      </c>
      <c r="Z194" s="438">
        <v>0</v>
      </c>
      <c r="AA194" s="438">
        <v>0</v>
      </c>
      <c r="AB194" s="438">
        <v>0</v>
      </c>
      <c r="AC194" s="438">
        <v>119000</v>
      </c>
      <c r="AD194" s="438">
        <v>82110</v>
      </c>
      <c r="AE194" s="438">
        <v>0</v>
      </c>
      <c r="AF194" s="438">
        <v>17850</v>
      </c>
      <c r="AG194" s="438">
        <v>101150</v>
      </c>
      <c r="AH194" s="438">
        <v>82110</v>
      </c>
      <c r="AI194" s="438">
        <v>17309</v>
      </c>
      <c r="AJ194" s="438">
        <v>1731</v>
      </c>
      <c r="AK194" s="438">
        <v>19040</v>
      </c>
      <c r="AL194" s="414" t="str">
        <f t="shared" si="12"/>
        <v>워커힐 시그니처 양념 본갈비 300g, 8개</v>
      </c>
      <c r="AM194" s="395">
        <f t="shared" si="13"/>
        <v>46060</v>
      </c>
      <c r="AN194" s="396">
        <f t="shared" si="14"/>
        <v>1</v>
      </c>
      <c r="AO194" s="109">
        <f t="shared" si="15"/>
        <v>119000</v>
      </c>
      <c r="AP194" s="109">
        <f t="shared" si="16"/>
        <v>108181.81818181818</v>
      </c>
      <c r="AQ194" s="397">
        <f t="shared" si="17"/>
        <v>108181.81818181818</v>
      </c>
    </row>
    <row r="195" spans="1:43" ht="24">
      <c r="A195" s="436" t="s">
        <v>4034</v>
      </c>
      <c r="B195" s="436" t="s">
        <v>3490</v>
      </c>
      <c r="C195" s="437" t="s">
        <v>3491</v>
      </c>
      <c r="D195" s="436" t="s">
        <v>4016</v>
      </c>
      <c r="E195" s="437" t="s">
        <v>3618</v>
      </c>
      <c r="F195" s="436" t="s">
        <v>3494</v>
      </c>
      <c r="G195" s="436" t="s">
        <v>3495</v>
      </c>
      <c r="H195" s="437" t="s">
        <v>3496</v>
      </c>
      <c r="I195" s="436" t="s">
        <v>3497</v>
      </c>
      <c r="J195" s="437" t="s">
        <v>3498</v>
      </c>
      <c r="K195" s="437" t="s">
        <v>3499</v>
      </c>
      <c r="L195" s="436" t="s">
        <v>3500</v>
      </c>
      <c r="M195" s="436" t="s">
        <v>3524</v>
      </c>
      <c r="N195" s="436" t="s">
        <v>3502</v>
      </c>
      <c r="O195" s="438">
        <v>119000</v>
      </c>
      <c r="P195" s="438">
        <v>82110</v>
      </c>
      <c r="Q195" s="438">
        <v>1</v>
      </c>
      <c r="R195" s="438">
        <v>0</v>
      </c>
      <c r="S195" s="438">
        <v>0</v>
      </c>
      <c r="T195" s="438">
        <v>0</v>
      </c>
      <c r="U195" s="438">
        <v>0</v>
      </c>
      <c r="V195" s="438">
        <v>0</v>
      </c>
      <c r="W195" s="438">
        <v>31</v>
      </c>
      <c r="X195" s="438">
        <v>0</v>
      </c>
      <c r="Y195" s="438">
        <v>0</v>
      </c>
      <c r="Z195" s="438">
        <v>0</v>
      </c>
      <c r="AA195" s="438">
        <v>0</v>
      </c>
      <c r="AB195" s="438">
        <v>0</v>
      </c>
      <c r="AC195" s="438">
        <v>119000</v>
      </c>
      <c r="AD195" s="438">
        <v>82110</v>
      </c>
      <c r="AE195" s="438">
        <v>0</v>
      </c>
      <c r="AF195" s="438">
        <v>0</v>
      </c>
      <c r="AG195" s="438">
        <v>119000</v>
      </c>
      <c r="AH195" s="438">
        <v>82110</v>
      </c>
      <c r="AI195" s="438">
        <v>33536</v>
      </c>
      <c r="AJ195" s="438">
        <v>3354</v>
      </c>
      <c r="AK195" s="438">
        <v>36890</v>
      </c>
      <c r="AL195" s="414" t="str">
        <f t="shared" ref="AL195:AL258" si="18">SUBSTITUTE(SUBSTITUTE(H195,"[워커힐]워커힐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195" s="395">
        <f t="shared" ref="AM195:AM258" si="19">IF(N195="배송완료", DATE(LEFT(M195,4), MID(M195,6,2), MID(M195,9,2)), "")</f>
        <v>46060</v>
      </c>
      <c r="AN195" s="396">
        <f t="shared" ref="AN195:AN258" si="20">IF(OR(N195="배송완료", Q195&lt;0), Q195, 0)</f>
        <v>1</v>
      </c>
      <c r="AO195" s="109">
        <f t="shared" ref="AO195:AO258" si="21">IF(AL195="워커힐 시그니처 양념 본갈비 300g, 8개",119000,IF(AL195="워커힐 시그니처 양념 본갈비 300g, 4개",78000,""))</f>
        <v>119000</v>
      </c>
      <c r="AP195" s="109">
        <f t="shared" ref="AP195:AP258" si="22">AO195/1.1</f>
        <v>108181.81818181818</v>
      </c>
      <c r="AQ195" s="397">
        <f t="shared" ref="AQ195:AQ258" si="23">AN195*AP195</f>
        <v>108181.81818181818</v>
      </c>
    </row>
    <row r="196" spans="1:43" ht="24">
      <c r="A196" s="436" t="s">
        <v>4037</v>
      </c>
      <c r="B196" s="436" t="s">
        <v>3490</v>
      </c>
      <c r="C196" s="437" t="s">
        <v>3491</v>
      </c>
      <c r="D196" s="436" t="s">
        <v>4183</v>
      </c>
      <c r="E196" s="437" t="s">
        <v>4184</v>
      </c>
      <c r="F196" s="436" t="s">
        <v>3494</v>
      </c>
      <c r="G196" s="436" t="s">
        <v>3495</v>
      </c>
      <c r="H196" s="437" t="s">
        <v>3496</v>
      </c>
      <c r="I196" s="436" t="s">
        <v>3497</v>
      </c>
      <c r="J196" s="437" t="s">
        <v>3498</v>
      </c>
      <c r="K196" s="437" t="s">
        <v>3499</v>
      </c>
      <c r="L196" s="436" t="s">
        <v>3500</v>
      </c>
      <c r="M196" s="436" t="s">
        <v>3524</v>
      </c>
      <c r="N196" s="436" t="s">
        <v>3502</v>
      </c>
      <c r="O196" s="438">
        <v>119000</v>
      </c>
      <c r="P196" s="438">
        <v>82110</v>
      </c>
      <c r="Q196" s="438">
        <v>1</v>
      </c>
      <c r="R196" s="438">
        <v>0</v>
      </c>
      <c r="S196" s="438">
        <v>0</v>
      </c>
      <c r="T196" s="438">
        <v>0</v>
      </c>
      <c r="U196" s="438">
        <v>0</v>
      </c>
      <c r="V196" s="438">
        <v>0</v>
      </c>
      <c r="W196" s="438">
        <v>31</v>
      </c>
      <c r="X196" s="438">
        <v>17850</v>
      </c>
      <c r="Y196" s="438">
        <v>0</v>
      </c>
      <c r="Z196" s="438">
        <v>0</v>
      </c>
      <c r="AA196" s="438">
        <v>0</v>
      </c>
      <c r="AB196" s="438">
        <v>0</v>
      </c>
      <c r="AC196" s="438">
        <v>119000</v>
      </c>
      <c r="AD196" s="438">
        <v>82110</v>
      </c>
      <c r="AE196" s="438">
        <v>0</v>
      </c>
      <c r="AF196" s="438">
        <v>17850</v>
      </c>
      <c r="AG196" s="438">
        <v>101150</v>
      </c>
      <c r="AH196" s="438">
        <v>82110</v>
      </c>
      <c r="AI196" s="438">
        <v>17309</v>
      </c>
      <c r="AJ196" s="438">
        <v>1731</v>
      </c>
      <c r="AK196" s="438">
        <v>19040</v>
      </c>
      <c r="AL196" s="414" t="str">
        <f t="shared" si="18"/>
        <v>워커힐 시그니처 양념 본갈비 300g, 8개</v>
      </c>
      <c r="AM196" s="395">
        <f t="shared" si="19"/>
        <v>46060</v>
      </c>
      <c r="AN196" s="396">
        <f t="shared" si="20"/>
        <v>1</v>
      </c>
      <c r="AO196" s="109">
        <f t="shared" si="21"/>
        <v>119000</v>
      </c>
      <c r="AP196" s="109">
        <f t="shared" si="22"/>
        <v>108181.81818181818</v>
      </c>
      <c r="AQ196" s="397">
        <f t="shared" si="23"/>
        <v>108181.81818181818</v>
      </c>
    </row>
    <row r="197" spans="1:43" ht="24">
      <c r="A197" s="436" t="s">
        <v>4039</v>
      </c>
      <c r="B197" s="436" t="s">
        <v>3490</v>
      </c>
      <c r="C197" s="437" t="s">
        <v>3491</v>
      </c>
      <c r="D197" s="436" t="s">
        <v>4312</v>
      </c>
      <c r="E197" s="437" t="s">
        <v>4313</v>
      </c>
      <c r="F197" s="436" t="s">
        <v>3494</v>
      </c>
      <c r="G197" s="436" t="s">
        <v>3495</v>
      </c>
      <c r="H197" s="437" t="s">
        <v>3496</v>
      </c>
      <c r="I197" s="436" t="s">
        <v>3497</v>
      </c>
      <c r="J197" s="437" t="s">
        <v>3498</v>
      </c>
      <c r="K197" s="437" t="s">
        <v>3499</v>
      </c>
      <c r="L197" s="436" t="s">
        <v>3500</v>
      </c>
      <c r="M197" s="436" t="s">
        <v>3524</v>
      </c>
      <c r="N197" s="436" t="s">
        <v>3502</v>
      </c>
      <c r="O197" s="438">
        <v>119000</v>
      </c>
      <c r="P197" s="438">
        <v>82110</v>
      </c>
      <c r="Q197" s="438">
        <v>1</v>
      </c>
      <c r="R197" s="438">
        <v>0</v>
      </c>
      <c r="S197" s="438">
        <v>0</v>
      </c>
      <c r="T197" s="438">
        <v>0</v>
      </c>
      <c r="U197" s="438">
        <v>0</v>
      </c>
      <c r="V197" s="438">
        <v>0</v>
      </c>
      <c r="W197" s="438">
        <v>31</v>
      </c>
      <c r="X197" s="438">
        <v>0</v>
      </c>
      <c r="Y197" s="438">
        <v>0</v>
      </c>
      <c r="Z197" s="438">
        <v>0</v>
      </c>
      <c r="AA197" s="438">
        <v>0</v>
      </c>
      <c r="AB197" s="438">
        <v>0</v>
      </c>
      <c r="AC197" s="438">
        <v>119000</v>
      </c>
      <c r="AD197" s="438">
        <v>82110</v>
      </c>
      <c r="AE197" s="438">
        <v>0</v>
      </c>
      <c r="AF197" s="438">
        <v>0</v>
      </c>
      <c r="AG197" s="438">
        <v>119000</v>
      </c>
      <c r="AH197" s="438">
        <v>82110</v>
      </c>
      <c r="AI197" s="438">
        <v>33536</v>
      </c>
      <c r="AJ197" s="438">
        <v>3354</v>
      </c>
      <c r="AK197" s="438">
        <v>36890</v>
      </c>
      <c r="AL197" s="414" t="str">
        <f t="shared" si="18"/>
        <v>워커힐 시그니처 양념 본갈비 300g, 8개</v>
      </c>
      <c r="AM197" s="395">
        <f t="shared" si="19"/>
        <v>46060</v>
      </c>
      <c r="AN197" s="396">
        <f t="shared" si="20"/>
        <v>1</v>
      </c>
      <c r="AO197" s="109">
        <f t="shared" si="21"/>
        <v>119000</v>
      </c>
      <c r="AP197" s="109">
        <f t="shared" si="22"/>
        <v>108181.81818181818</v>
      </c>
      <c r="AQ197" s="397">
        <f t="shared" si="23"/>
        <v>108181.81818181818</v>
      </c>
    </row>
    <row r="198" spans="1:43" ht="24">
      <c r="A198" s="436" t="s">
        <v>4041</v>
      </c>
      <c r="B198" s="436" t="s">
        <v>3490</v>
      </c>
      <c r="C198" s="437" t="s">
        <v>3491</v>
      </c>
      <c r="D198" s="436" t="s">
        <v>4107</v>
      </c>
      <c r="E198" s="437" t="s">
        <v>3697</v>
      </c>
      <c r="F198" s="436" t="s">
        <v>3494</v>
      </c>
      <c r="G198" s="436" t="s">
        <v>3495</v>
      </c>
      <c r="H198" s="437" t="s">
        <v>3496</v>
      </c>
      <c r="I198" s="436" t="s">
        <v>3497</v>
      </c>
      <c r="J198" s="437" t="s">
        <v>3498</v>
      </c>
      <c r="K198" s="437" t="s">
        <v>3499</v>
      </c>
      <c r="L198" s="436" t="s">
        <v>3500</v>
      </c>
      <c r="M198" s="436" t="s">
        <v>3524</v>
      </c>
      <c r="N198" s="436" t="s">
        <v>3502</v>
      </c>
      <c r="O198" s="438">
        <v>119000</v>
      </c>
      <c r="P198" s="438">
        <v>82110</v>
      </c>
      <c r="Q198" s="438">
        <v>1</v>
      </c>
      <c r="R198" s="438">
        <v>0</v>
      </c>
      <c r="S198" s="438">
        <v>0</v>
      </c>
      <c r="T198" s="438">
        <v>0</v>
      </c>
      <c r="U198" s="438">
        <v>0</v>
      </c>
      <c r="V198" s="438">
        <v>0</v>
      </c>
      <c r="W198" s="438">
        <v>31</v>
      </c>
      <c r="X198" s="438">
        <v>0</v>
      </c>
      <c r="Y198" s="438">
        <v>0</v>
      </c>
      <c r="Z198" s="438">
        <v>0</v>
      </c>
      <c r="AA198" s="438">
        <v>0</v>
      </c>
      <c r="AB198" s="438">
        <v>0</v>
      </c>
      <c r="AC198" s="438">
        <v>119000</v>
      </c>
      <c r="AD198" s="438">
        <v>82110</v>
      </c>
      <c r="AE198" s="438">
        <v>0</v>
      </c>
      <c r="AF198" s="438">
        <v>0</v>
      </c>
      <c r="AG198" s="438">
        <v>119000</v>
      </c>
      <c r="AH198" s="438">
        <v>82110</v>
      </c>
      <c r="AI198" s="438">
        <v>33536</v>
      </c>
      <c r="AJ198" s="438">
        <v>3354</v>
      </c>
      <c r="AK198" s="438">
        <v>36890</v>
      </c>
      <c r="AL198" s="414" t="str">
        <f t="shared" si="18"/>
        <v>워커힐 시그니처 양념 본갈비 300g, 8개</v>
      </c>
      <c r="AM198" s="395">
        <f t="shared" si="19"/>
        <v>46060</v>
      </c>
      <c r="AN198" s="396">
        <f t="shared" si="20"/>
        <v>1</v>
      </c>
      <c r="AO198" s="109">
        <f t="shared" si="21"/>
        <v>119000</v>
      </c>
      <c r="AP198" s="109">
        <f t="shared" si="22"/>
        <v>108181.81818181818</v>
      </c>
      <c r="AQ198" s="397">
        <f t="shared" si="23"/>
        <v>108181.81818181818</v>
      </c>
    </row>
    <row r="199" spans="1:43" ht="24">
      <c r="A199" s="436" t="s">
        <v>4044</v>
      </c>
      <c r="B199" s="436" t="s">
        <v>3490</v>
      </c>
      <c r="C199" s="437" t="s">
        <v>3491</v>
      </c>
      <c r="D199" s="436" t="s">
        <v>4035</v>
      </c>
      <c r="E199" s="437" t="s">
        <v>4036</v>
      </c>
      <c r="F199" s="436" t="s">
        <v>3494</v>
      </c>
      <c r="G199" s="436" t="s">
        <v>3495</v>
      </c>
      <c r="H199" s="437" t="s">
        <v>3496</v>
      </c>
      <c r="I199" s="436" t="s">
        <v>3497</v>
      </c>
      <c r="J199" s="437" t="s">
        <v>3498</v>
      </c>
      <c r="K199" s="437" t="s">
        <v>3499</v>
      </c>
      <c r="L199" s="436" t="s">
        <v>3500</v>
      </c>
      <c r="M199" s="436" t="s">
        <v>3524</v>
      </c>
      <c r="N199" s="436" t="s">
        <v>3502</v>
      </c>
      <c r="O199" s="438">
        <v>119000</v>
      </c>
      <c r="P199" s="438">
        <v>82110</v>
      </c>
      <c r="Q199" s="438">
        <v>1</v>
      </c>
      <c r="R199" s="438">
        <v>0</v>
      </c>
      <c r="S199" s="438">
        <v>0</v>
      </c>
      <c r="T199" s="438">
        <v>0</v>
      </c>
      <c r="U199" s="438">
        <v>0</v>
      </c>
      <c r="V199" s="438">
        <v>0</v>
      </c>
      <c r="W199" s="438">
        <v>31</v>
      </c>
      <c r="X199" s="438">
        <v>0</v>
      </c>
      <c r="Y199" s="438">
        <v>0</v>
      </c>
      <c r="Z199" s="438">
        <v>0</v>
      </c>
      <c r="AA199" s="438">
        <v>0</v>
      </c>
      <c r="AB199" s="438">
        <v>0</v>
      </c>
      <c r="AC199" s="438">
        <v>119000</v>
      </c>
      <c r="AD199" s="438">
        <v>82110</v>
      </c>
      <c r="AE199" s="438">
        <v>0</v>
      </c>
      <c r="AF199" s="438">
        <v>0</v>
      </c>
      <c r="AG199" s="438">
        <v>119000</v>
      </c>
      <c r="AH199" s="438">
        <v>82110</v>
      </c>
      <c r="AI199" s="438">
        <v>33536</v>
      </c>
      <c r="AJ199" s="438">
        <v>3354</v>
      </c>
      <c r="AK199" s="438">
        <v>36890</v>
      </c>
      <c r="AL199" s="414" t="str">
        <f t="shared" si="18"/>
        <v>워커힐 시그니처 양념 본갈비 300g, 8개</v>
      </c>
      <c r="AM199" s="395">
        <f t="shared" si="19"/>
        <v>46060</v>
      </c>
      <c r="AN199" s="396">
        <f t="shared" si="20"/>
        <v>1</v>
      </c>
      <c r="AO199" s="109">
        <f t="shared" si="21"/>
        <v>119000</v>
      </c>
      <c r="AP199" s="109">
        <f t="shared" si="22"/>
        <v>108181.81818181818</v>
      </c>
      <c r="AQ199" s="397">
        <f t="shared" si="23"/>
        <v>108181.81818181818</v>
      </c>
    </row>
    <row r="200" spans="1:43" ht="24">
      <c r="A200" s="436" t="s">
        <v>4047</v>
      </c>
      <c r="B200" s="436" t="s">
        <v>3490</v>
      </c>
      <c r="C200" s="437" t="s">
        <v>3491</v>
      </c>
      <c r="D200" s="436" t="s">
        <v>4040</v>
      </c>
      <c r="E200" s="437" t="s">
        <v>3530</v>
      </c>
      <c r="F200" s="436" t="s">
        <v>3494</v>
      </c>
      <c r="G200" s="436" t="s">
        <v>3495</v>
      </c>
      <c r="H200" s="437" t="s">
        <v>3496</v>
      </c>
      <c r="I200" s="436" t="s">
        <v>3497</v>
      </c>
      <c r="J200" s="437" t="s">
        <v>3498</v>
      </c>
      <c r="K200" s="437" t="s">
        <v>163</v>
      </c>
      <c r="L200" s="436" t="s">
        <v>3500</v>
      </c>
      <c r="M200" s="436" t="s">
        <v>3524</v>
      </c>
      <c r="N200" s="436" t="s">
        <v>3502</v>
      </c>
      <c r="O200" s="438">
        <v>119000</v>
      </c>
      <c r="P200" s="438">
        <v>82110</v>
      </c>
      <c r="Q200" s="438">
        <v>1</v>
      </c>
      <c r="R200" s="438">
        <v>0</v>
      </c>
      <c r="S200" s="438">
        <v>0</v>
      </c>
      <c r="T200" s="438">
        <v>0</v>
      </c>
      <c r="U200" s="438">
        <v>0</v>
      </c>
      <c r="V200" s="438">
        <v>0</v>
      </c>
      <c r="W200" s="438">
        <v>31</v>
      </c>
      <c r="X200" s="438">
        <v>0</v>
      </c>
      <c r="Y200" s="438">
        <v>0</v>
      </c>
      <c r="Z200" s="438">
        <v>0</v>
      </c>
      <c r="AA200" s="438">
        <v>0</v>
      </c>
      <c r="AB200" s="438">
        <v>0</v>
      </c>
      <c r="AC200" s="438">
        <v>119000</v>
      </c>
      <c r="AD200" s="438">
        <v>82110</v>
      </c>
      <c r="AE200" s="438">
        <v>0</v>
      </c>
      <c r="AF200" s="438">
        <v>0</v>
      </c>
      <c r="AG200" s="438">
        <v>119000</v>
      </c>
      <c r="AH200" s="438">
        <v>82110</v>
      </c>
      <c r="AI200" s="438">
        <v>33536</v>
      </c>
      <c r="AJ200" s="438">
        <v>3354</v>
      </c>
      <c r="AK200" s="438">
        <v>36890</v>
      </c>
      <c r="AL200" s="414" t="str">
        <f t="shared" si="18"/>
        <v>워커힐 시그니처 양념 본갈비 300g, 8개</v>
      </c>
      <c r="AM200" s="395">
        <f t="shared" si="19"/>
        <v>46060</v>
      </c>
      <c r="AN200" s="396">
        <f t="shared" si="20"/>
        <v>1</v>
      </c>
      <c r="AO200" s="109">
        <f t="shared" si="21"/>
        <v>119000</v>
      </c>
      <c r="AP200" s="109">
        <f t="shared" si="22"/>
        <v>108181.81818181818</v>
      </c>
      <c r="AQ200" s="397">
        <f t="shared" si="23"/>
        <v>108181.81818181818</v>
      </c>
    </row>
    <row r="201" spans="1:43" ht="24">
      <c r="A201" s="436" t="s">
        <v>4050</v>
      </c>
      <c r="B201" s="436" t="s">
        <v>3490</v>
      </c>
      <c r="C201" s="437" t="s">
        <v>3491</v>
      </c>
      <c r="D201" s="436" t="s">
        <v>4042</v>
      </c>
      <c r="E201" s="437" t="s">
        <v>4043</v>
      </c>
      <c r="F201" s="436" t="s">
        <v>3494</v>
      </c>
      <c r="G201" s="436" t="s">
        <v>3495</v>
      </c>
      <c r="H201" s="437" t="s">
        <v>3496</v>
      </c>
      <c r="I201" s="436" t="s">
        <v>3497</v>
      </c>
      <c r="J201" s="437" t="s">
        <v>3498</v>
      </c>
      <c r="K201" s="437" t="s">
        <v>3548</v>
      </c>
      <c r="L201" s="436" t="s">
        <v>3500</v>
      </c>
      <c r="M201" s="436" t="s">
        <v>3524</v>
      </c>
      <c r="N201" s="436" t="s">
        <v>3502</v>
      </c>
      <c r="O201" s="438">
        <v>119000</v>
      </c>
      <c r="P201" s="438">
        <v>82110</v>
      </c>
      <c r="Q201" s="438">
        <v>1</v>
      </c>
      <c r="R201" s="438">
        <v>0</v>
      </c>
      <c r="S201" s="438">
        <v>0</v>
      </c>
      <c r="T201" s="438">
        <v>0</v>
      </c>
      <c r="U201" s="438">
        <v>0</v>
      </c>
      <c r="V201" s="438">
        <v>0</v>
      </c>
      <c r="W201" s="438">
        <v>31</v>
      </c>
      <c r="X201" s="438">
        <v>0</v>
      </c>
      <c r="Y201" s="438">
        <v>0</v>
      </c>
      <c r="Z201" s="438">
        <v>0</v>
      </c>
      <c r="AA201" s="438">
        <v>0</v>
      </c>
      <c r="AB201" s="438">
        <v>0</v>
      </c>
      <c r="AC201" s="438">
        <v>119000</v>
      </c>
      <c r="AD201" s="438">
        <v>82110</v>
      </c>
      <c r="AE201" s="438">
        <v>0</v>
      </c>
      <c r="AF201" s="438">
        <v>0</v>
      </c>
      <c r="AG201" s="438">
        <v>119000</v>
      </c>
      <c r="AH201" s="438">
        <v>82110</v>
      </c>
      <c r="AI201" s="438">
        <v>33536</v>
      </c>
      <c r="AJ201" s="438">
        <v>3354</v>
      </c>
      <c r="AK201" s="438">
        <v>36890</v>
      </c>
      <c r="AL201" s="414" t="str">
        <f t="shared" si="18"/>
        <v>워커힐 시그니처 양념 본갈비 300g, 8개</v>
      </c>
      <c r="AM201" s="395">
        <f t="shared" si="19"/>
        <v>46060</v>
      </c>
      <c r="AN201" s="396">
        <f t="shared" si="20"/>
        <v>1</v>
      </c>
      <c r="AO201" s="109">
        <f t="shared" si="21"/>
        <v>119000</v>
      </c>
      <c r="AP201" s="109">
        <f t="shared" si="22"/>
        <v>108181.81818181818</v>
      </c>
      <c r="AQ201" s="397">
        <f t="shared" si="23"/>
        <v>108181.81818181818</v>
      </c>
    </row>
    <row r="202" spans="1:43" ht="24">
      <c r="A202" s="436" t="s">
        <v>4053</v>
      </c>
      <c r="B202" s="436" t="s">
        <v>3490</v>
      </c>
      <c r="C202" s="437" t="s">
        <v>3491</v>
      </c>
      <c r="D202" s="436" t="s">
        <v>4207</v>
      </c>
      <c r="E202" s="437" t="s">
        <v>4208</v>
      </c>
      <c r="F202" s="436" t="s">
        <v>3494</v>
      </c>
      <c r="G202" s="436" t="s">
        <v>3495</v>
      </c>
      <c r="H202" s="437" t="s">
        <v>3496</v>
      </c>
      <c r="I202" s="436" t="s">
        <v>3497</v>
      </c>
      <c r="J202" s="437" t="s">
        <v>3498</v>
      </c>
      <c r="K202" s="437" t="s">
        <v>3499</v>
      </c>
      <c r="L202" s="436" t="s">
        <v>3500</v>
      </c>
      <c r="M202" s="436" t="s">
        <v>3524</v>
      </c>
      <c r="N202" s="436" t="s">
        <v>3502</v>
      </c>
      <c r="O202" s="438">
        <v>119000</v>
      </c>
      <c r="P202" s="438">
        <v>82110</v>
      </c>
      <c r="Q202" s="438">
        <v>1</v>
      </c>
      <c r="R202" s="438">
        <v>0</v>
      </c>
      <c r="S202" s="438">
        <v>0</v>
      </c>
      <c r="T202" s="438">
        <v>0</v>
      </c>
      <c r="U202" s="438">
        <v>0</v>
      </c>
      <c r="V202" s="438">
        <v>0</v>
      </c>
      <c r="W202" s="438">
        <v>31</v>
      </c>
      <c r="X202" s="438">
        <v>0</v>
      </c>
      <c r="Y202" s="438">
        <v>0</v>
      </c>
      <c r="Z202" s="438">
        <v>0</v>
      </c>
      <c r="AA202" s="438">
        <v>0</v>
      </c>
      <c r="AB202" s="438">
        <v>0</v>
      </c>
      <c r="AC202" s="438">
        <v>119000</v>
      </c>
      <c r="AD202" s="438">
        <v>82110</v>
      </c>
      <c r="AE202" s="438">
        <v>0</v>
      </c>
      <c r="AF202" s="438">
        <v>0</v>
      </c>
      <c r="AG202" s="438">
        <v>119000</v>
      </c>
      <c r="AH202" s="438">
        <v>82110</v>
      </c>
      <c r="AI202" s="438">
        <v>33536</v>
      </c>
      <c r="AJ202" s="438">
        <v>3354</v>
      </c>
      <c r="AK202" s="438">
        <v>36890</v>
      </c>
      <c r="AL202" s="414" t="str">
        <f t="shared" si="18"/>
        <v>워커힐 시그니처 양념 본갈비 300g, 8개</v>
      </c>
      <c r="AM202" s="395">
        <f t="shared" si="19"/>
        <v>46060</v>
      </c>
      <c r="AN202" s="396">
        <f t="shared" si="20"/>
        <v>1</v>
      </c>
      <c r="AO202" s="109">
        <f t="shared" si="21"/>
        <v>119000</v>
      </c>
      <c r="AP202" s="109">
        <f t="shared" si="22"/>
        <v>108181.81818181818</v>
      </c>
      <c r="AQ202" s="397">
        <f t="shared" si="23"/>
        <v>108181.81818181818</v>
      </c>
    </row>
    <row r="203" spans="1:43" ht="24">
      <c r="A203" s="436" t="s">
        <v>4054</v>
      </c>
      <c r="B203" s="436" t="s">
        <v>3490</v>
      </c>
      <c r="C203" s="437" t="s">
        <v>3491</v>
      </c>
      <c r="D203" s="436" t="s">
        <v>4137</v>
      </c>
      <c r="E203" s="437" t="s">
        <v>4135</v>
      </c>
      <c r="F203" s="436" t="s">
        <v>3494</v>
      </c>
      <c r="G203" s="436" t="s">
        <v>3495</v>
      </c>
      <c r="H203" s="437" t="s">
        <v>3496</v>
      </c>
      <c r="I203" s="436" t="s">
        <v>3497</v>
      </c>
      <c r="J203" s="437" t="s">
        <v>3498</v>
      </c>
      <c r="K203" s="437" t="s">
        <v>3499</v>
      </c>
      <c r="L203" s="436" t="s">
        <v>3500</v>
      </c>
      <c r="M203" s="436" t="s">
        <v>3524</v>
      </c>
      <c r="N203" s="436" t="s">
        <v>3502</v>
      </c>
      <c r="O203" s="438">
        <v>119000</v>
      </c>
      <c r="P203" s="438">
        <v>82110</v>
      </c>
      <c r="Q203" s="438">
        <v>2</v>
      </c>
      <c r="R203" s="438">
        <v>0</v>
      </c>
      <c r="S203" s="438">
        <v>0</v>
      </c>
      <c r="T203" s="438">
        <v>0</v>
      </c>
      <c r="U203" s="438">
        <v>0</v>
      </c>
      <c r="V203" s="438">
        <v>0</v>
      </c>
      <c r="W203" s="438">
        <v>31</v>
      </c>
      <c r="X203" s="438">
        <v>45220</v>
      </c>
      <c r="Y203" s="438">
        <v>0</v>
      </c>
      <c r="Z203" s="438">
        <v>0</v>
      </c>
      <c r="AA203" s="438">
        <v>0</v>
      </c>
      <c r="AB203" s="438">
        <v>0</v>
      </c>
      <c r="AC203" s="438">
        <v>238000</v>
      </c>
      <c r="AD203" s="438">
        <v>164220</v>
      </c>
      <c r="AE203" s="438">
        <v>0</v>
      </c>
      <c r="AF203" s="438">
        <v>45220</v>
      </c>
      <c r="AG203" s="438">
        <v>192780</v>
      </c>
      <c r="AH203" s="438">
        <v>164220</v>
      </c>
      <c r="AI203" s="438">
        <v>25964</v>
      </c>
      <c r="AJ203" s="438">
        <v>2596</v>
      </c>
      <c r="AK203" s="438">
        <v>28560</v>
      </c>
      <c r="AL203" s="414" t="str">
        <f t="shared" si="18"/>
        <v>워커힐 시그니처 양념 본갈비 300g, 8개</v>
      </c>
      <c r="AM203" s="395">
        <f t="shared" si="19"/>
        <v>46060</v>
      </c>
      <c r="AN203" s="396">
        <f t="shared" si="20"/>
        <v>2</v>
      </c>
      <c r="AO203" s="109">
        <f t="shared" si="21"/>
        <v>119000</v>
      </c>
      <c r="AP203" s="109">
        <f t="shared" si="22"/>
        <v>108181.81818181818</v>
      </c>
      <c r="AQ203" s="397">
        <f t="shared" si="23"/>
        <v>216363.63636363635</v>
      </c>
    </row>
    <row r="204" spans="1:43" ht="24">
      <c r="A204" s="436" t="s">
        <v>4057</v>
      </c>
      <c r="B204" s="436" t="s">
        <v>3490</v>
      </c>
      <c r="C204" s="437" t="s">
        <v>3491</v>
      </c>
      <c r="D204" s="436" t="s">
        <v>4356</v>
      </c>
      <c r="E204" s="437" t="s">
        <v>4357</v>
      </c>
      <c r="F204" s="436" t="s">
        <v>3494</v>
      </c>
      <c r="G204" s="436" t="s">
        <v>3495</v>
      </c>
      <c r="H204" s="437" t="s">
        <v>3496</v>
      </c>
      <c r="I204" s="436" t="s">
        <v>3497</v>
      </c>
      <c r="J204" s="437" t="s">
        <v>3498</v>
      </c>
      <c r="K204" s="437" t="s">
        <v>3499</v>
      </c>
      <c r="L204" s="436" t="s">
        <v>3500</v>
      </c>
      <c r="M204" s="436" t="s">
        <v>3524</v>
      </c>
      <c r="N204" s="436" t="s">
        <v>3502</v>
      </c>
      <c r="O204" s="438">
        <v>119000</v>
      </c>
      <c r="P204" s="438">
        <v>82110</v>
      </c>
      <c r="Q204" s="438">
        <v>1</v>
      </c>
      <c r="R204" s="438">
        <v>0</v>
      </c>
      <c r="S204" s="438">
        <v>0</v>
      </c>
      <c r="T204" s="438">
        <v>0</v>
      </c>
      <c r="U204" s="438">
        <v>0</v>
      </c>
      <c r="V204" s="438">
        <v>0</v>
      </c>
      <c r="W204" s="438">
        <v>31</v>
      </c>
      <c r="X204" s="438">
        <v>0</v>
      </c>
      <c r="Y204" s="438">
        <v>0</v>
      </c>
      <c r="Z204" s="438">
        <v>0</v>
      </c>
      <c r="AA204" s="438">
        <v>0</v>
      </c>
      <c r="AB204" s="438">
        <v>0</v>
      </c>
      <c r="AC204" s="438">
        <v>119000</v>
      </c>
      <c r="AD204" s="438">
        <v>82110</v>
      </c>
      <c r="AE204" s="438">
        <v>0</v>
      </c>
      <c r="AF204" s="438">
        <v>0</v>
      </c>
      <c r="AG204" s="438">
        <v>119000</v>
      </c>
      <c r="AH204" s="438">
        <v>82110</v>
      </c>
      <c r="AI204" s="438">
        <v>33536</v>
      </c>
      <c r="AJ204" s="438">
        <v>3354</v>
      </c>
      <c r="AK204" s="438">
        <v>36890</v>
      </c>
      <c r="AL204" s="414" t="str">
        <f t="shared" si="18"/>
        <v>워커힐 시그니처 양념 본갈비 300g, 8개</v>
      </c>
      <c r="AM204" s="395">
        <f t="shared" si="19"/>
        <v>46060</v>
      </c>
      <c r="AN204" s="396">
        <f t="shared" si="20"/>
        <v>1</v>
      </c>
      <c r="AO204" s="109">
        <f t="shared" si="21"/>
        <v>119000</v>
      </c>
      <c r="AP204" s="109">
        <f t="shared" si="22"/>
        <v>108181.81818181818</v>
      </c>
      <c r="AQ204" s="397">
        <f t="shared" si="23"/>
        <v>108181.81818181818</v>
      </c>
    </row>
    <row r="205" spans="1:43" ht="24">
      <c r="A205" s="436" t="s">
        <v>4060</v>
      </c>
      <c r="B205" s="436" t="s">
        <v>3490</v>
      </c>
      <c r="C205" s="437" t="s">
        <v>3491</v>
      </c>
      <c r="D205" s="436" t="s">
        <v>4051</v>
      </c>
      <c r="E205" s="437" t="s">
        <v>4052</v>
      </c>
      <c r="F205" s="436" t="s">
        <v>3494</v>
      </c>
      <c r="G205" s="436" t="s">
        <v>3495</v>
      </c>
      <c r="H205" s="437" t="s">
        <v>3496</v>
      </c>
      <c r="I205" s="436" t="s">
        <v>3497</v>
      </c>
      <c r="J205" s="437" t="s">
        <v>3498</v>
      </c>
      <c r="K205" s="437" t="s">
        <v>3499</v>
      </c>
      <c r="L205" s="436" t="s">
        <v>3500</v>
      </c>
      <c r="M205" s="436" t="s">
        <v>3524</v>
      </c>
      <c r="N205" s="436" t="s">
        <v>3502</v>
      </c>
      <c r="O205" s="438">
        <v>119000</v>
      </c>
      <c r="P205" s="438">
        <v>82110</v>
      </c>
      <c r="Q205" s="438">
        <v>1</v>
      </c>
      <c r="R205" s="438">
        <v>0</v>
      </c>
      <c r="S205" s="438">
        <v>0</v>
      </c>
      <c r="T205" s="438">
        <v>0</v>
      </c>
      <c r="U205" s="438">
        <v>0</v>
      </c>
      <c r="V205" s="438">
        <v>0</v>
      </c>
      <c r="W205" s="438">
        <v>31</v>
      </c>
      <c r="X205" s="438">
        <v>0</v>
      </c>
      <c r="Y205" s="438">
        <v>0</v>
      </c>
      <c r="Z205" s="438">
        <v>0</v>
      </c>
      <c r="AA205" s="438">
        <v>0</v>
      </c>
      <c r="AB205" s="438">
        <v>0</v>
      </c>
      <c r="AC205" s="438">
        <v>119000</v>
      </c>
      <c r="AD205" s="438">
        <v>82110</v>
      </c>
      <c r="AE205" s="438">
        <v>0</v>
      </c>
      <c r="AF205" s="438">
        <v>0</v>
      </c>
      <c r="AG205" s="438">
        <v>119000</v>
      </c>
      <c r="AH205" s="438">
        <v>82110</v>
      </c>
      <c r="AI205" s="438">
        <v>33536</v>
      </c>
      <c r="AJ205" s="438">
        <v>3354</v>
      </c>
      <c r="AK205" s="438">
        <v>36890</v>
      </c>
      <c r="AL205" s="414" t="str">
        <f t="shared" si="18"/>
        <v>워커힐 시그니처 양념 본갈비 300g, 8개</v>
      </c>
      <c r="AM205" s="395">
        <f t="shared" si="19"/>
        <v>46060</v>
      </c>
      <c r="AN205" s="396">
        <f t="shared" si="20"/>
        <v>1</v>
      </c>
      <c r="AO205" s="109">
        <f t="shared" si="21"/>
        <v>119000</v>
      </c>
      <c r="AP205" s="109">
        <f t="shared" si="22"/>
        <v>108181.81818181818</v>
      </c>
      <c r="AQ205" s="397">
        <f t="shared" si="23"/>
        <v>108181.81818181818</v>
      </c>
    </row>
    <row r="206" spans="1:43" ht="24">
      <c r="A206" s="436" t="s">
        <v>4063</v>
      </c>
      <c r="B206" s="436" t="s">
        <v>3490</v>
      </c>
      <c r="C206" s="437" t="s">
        <v>3491</v>
      </c>
      <c r="D206" s="436" t="s">
        <v>3699</v>
      </c>
      <c r="E206" s="437" t="s">
        <v>3700</v>
      </c>
      <c r="F206" s="436" t="s">
        <v>3494</v>
      </c>
      <c r="G206" s="436" t="s">
        <v>3495</v>
      </c>
      <c r="H206" s="437" t="s">
        <v>3496</v>
      </c>
      <c r="I206" s="436" t="s">
        <v>3497</v>
      </c>
      <c r="J206" s="437" t="s">
        <v>3498</v>
      </c>
      <c r="K206" s="437" t="s">
        <v>3499</v>
      </c>
      <c r="L206" s="436" t="s">
        <v>3500</v>
      </c>
      <c r="M206" s="436" t="s">
        <v>3524</v>
      </c>
      <c r="N206" s="436" t="s">
        <v>3502</v>
      </c>
      <c r="O206" s="438">
        <v>119000</v>
      </c>
      <c r="P206" s="438">
        <v>82110</v>
      </c>
      <c r="Q206" s="438">
        <v>1</v>
      </c>
      <c r="R206" s="438">
        <v>0</v>
      </c>
      <c r="S206" s="438">
        <v>0</v>
      </c>
      <c r="T206" s="438">
        <v>0</v>
      </c>
      <c r="U206" s="438">
        <v>0</v>
      </c>
      <c r="V206" s="438">
        <v>0</v>
      </c>
      <c r="W206" s="438">
        <v>31</v>
      </c>
      <c r="X206" s="438">
        <v>0</v>
      </c>
      <c r="Y206" s="438">
        <v>0</v>
      </c>
      <c r="Z206" s="438">
        <v>0</v>
      </c>
      <c r="AA206" s="438">
        <v>0</v>
      </c>
      <c r="AB206" s="438">
        <v>0</v>
      </c>
      <c r="AC206" s="438">
        <v>119000</v>
      </c>
      <c r="AD206" s="438">
        <v>82110</v>
      </c>
      <c r="AE206" s="438">
        <v>0</v>
      </c>
      <c r="AF206" s="438">
        <v>0</v>
      </c>
      <c r="AG206" s="438">
        <v>119000</v>
      </c>
      <c r="AH206" s="438">
        <v>82110</v>
      </c>
      <c r="AI206" s="438">
        <v>33536</v>
      </c>
      <c r="AJ206" s="438">
        <v>3354</v>
      </c>
      <c r="AK206" s="438">
        <v>36890</v>
      </c>
      <c r="AL206" s="414" t="str">
        <f t="shared" si="18"/>
        <v>워커힐 시그니처 양념 본갈비 300g, 8개</v>
      </c>
      <c r="AM206" s="395">
        <f t="shared" si="19"/>
        <v>46060</v>
      </c>
      <c r="AN206" s="396">
        <f t="shared" si="20"/>
        <v>1</v>
      </c>
      <c r="AO206" s="109">
        <f t="shared" si="21"/>
        <v>119000</v>
      </c>
      <c r="AP206" s="109">
        <f t="shared" si="22"/>
        <v>108181.81818181818</v>
      </c>
      <c r="AQ206" s="397">
        <f t="shared" si="23"/>
        <v>108181.81818181818</v>
      </c>
    </row>
    <row r="207" spans="1:43" ht="24">
      <c r="A207" s="436" t="s">
        <v>4066</v>
      </c>
      <c r="B207" s="436" t="s">
        <v>3490</v>
      </c>
      <c r="C207" s="437" t="s">
        <v>3491</v>
      </c>
      <c r="D207" s="436" t="s">
        <v>4368</v>
      </c>
      <c r="E207" s="437" t="s">
        <v>4369</v>
      </c>
      <c r="F207" s="436" t="s">
        <v>3494</v>
      </c>
      <c r="G207" s="436" t="s">
        <v>3495</v>
      </c>
      <c r="H207" s="437" t="s">
        <v>3496</v>
      </c>
      <c r="I207" s="436" t="s">
        <v>3497</v>
      </c>
      <c r="J207" s="437" t="s">
        <v>3498</v>
      </c>
      <c r="K207" s="437" t="s">
        <v>3499</v>
      </c>
      <c r="L207" s="436" t="s">
        <v>3500</v>
      </c>
      <c r="M207" s="436" t="s">
        <v>3524</v>
      </c>
      <c r="N207" s="436" t="s">
        <v>3502</v>
      </c>
      <c r="O207" s="438">
        <v>119000</v>
      </c>
      <c r="P207" s="438">
        <v>82110</v>
      </c>
      <c r="Q207" s="438">
        <v>1</v>
      </c>
      <c r="R207" s="438">
        <v>0</v>
      </c>
      <c r="S207" s="438">
        <v>0</v>
      </c>
      <c r="T207" s="438">
        <v>0</v>
      </c>
      <c r="U207" s="438">
        <v>0</v>
      </c>
      <c r="V207" s="438">
        <v>0</v>
      </c>
      <c r="W207" s="438">
        <v>31</v>
      </c>
      <c r="X207" s="438">
        <v>0</v>
      </c>
      <c r="Y207" s="438">
        <v>0</v>
      </c>
      <c r="Z207" s="438">
        <v>0</v>
      </c>
      <c r="AA207" s="438">
        <v>0</v>
      </c>
      <c r="AB207" s="438">
        <v>5950</v>
      </c>
      <c r="AC207" s="438">
        <v>119000</v>
      </c>
      <c r="AD207" s="438">
        <v>82110</v>
      </c>
      <c r="AE207" s="438">
        <v>0</v>
      </c>
      <c r="AF207" s="438">
        <v>5950</v>
      </c>
      <c r="AG207" s="438">
        <v>113050</v>
      </c>
      <c r="AH207" s="438">
        <v>82110</v>
      </c>
      <c r="AI207" s="438">
        <v>28127</v>
      </c>
      <c r="AJ207" s="438">
        <v>2813</v>
      </c>
      <c r="AK207" s="438">
        <v>30940</v>
      </c>
      <c r="AL207" s="414" t="str">
        <f t="shared" si="18"/>
        <v>워커힐 시그니처 양념 본갈비 300g, 8개</v>
      </c>
      <c r="AM207" s="395">
        <f t="shared" si="19"/>
        <v>46060</v>
      </c>
      <c r="AN207" s="396">
        <f t="shared" si="20"/>
        <v>1</v>
      </c>
      <c r="AO207" s="109">
        <f t="shared" si="21"/>
        <v>119000</v>
      </c>
      <c r="AP207" s="109">
        <f t="shared" si="22"/>
        <v>108181.81818181818</v>
      </c>
      <c r="AQ207" s="397">
        <f t="shared" si="23"/>
        <v>108181.81818181818</v>
      </c>
    </row>
    <row r="208" spans="1:43" ht="24">
      <c r="A208" s="436" t="s">
        <v>4069</v>
      </c>
      <c r="B208" s="436" t="s">
        <v>3490</v>
      </c>
      <c r="C208" s="437" t="s">
        <v>3491</v>
      </c>
      <c r="D208" s="436" t="s">
        <v>4055</v>
      </c>
      <c r="E208" s="437" t="s">
        <v>4056</v>
      </c>
      <c r="F208" s="436" t="s">
        <v>3494</v>
      </c>
      <c r="G208" s="436" t="s">
        <v>3495</v>
      </c>
      <c r="H208" s="437" t="s">
        <v>3496</v>
      </c>
      <c r="I208" s="436" t="s">
        <v>3497</v>
      </c>
      <c r="J208" s="437" t="s">
        <v>3498</v>
      </c>
      <c r="K208" s="437" t="s">
        <v>3499</v>
      </c>
      <c r="L208" s="436" t="s">
        <v>3500</v>
      </c>
      <c r="M208" s="436" t="s">
        <v>3524</v>
      </c>
      <c r="N208" s="436" t="s">
        <v>3502</v>
      </c>
      <c r="O208" s="438">
        <v>119000</v>
      </c>
      <c r="P208" s="438">
        <v>82110</v>
      </c>
      <c r="Q208" s="438">
        <v>1</v>
      </c>
      <c r="R208" s="438">
        <v>0</v>
      </c>
      <c r="S208" s="438">
        <v>0</v>
      </c>
      <c r="T208" s="438">
        <v>0</v>
      </c>
      <c r="U208" s="438">
        <v>0</v>
      </c>
      <c r="V208" s="438">
        <v>0</v>
      </c>
      <c r="W208" s="438">
        <v>31</v>
      </c>
      <c r="X208" s="438">
        <v>0</v>
      </c>
      <c r="Y208" s="438">
        <v>0</v>
      </c>
      <c r="Z208" s="438">
        <v>0</v>
      </c>
      <c r="AA208" s="438">
        <v>0</v>
      </c>
      <c r="AB208" s="438">
        <v>5950</v>
      </c>
      <c r="AC208" s="438">
        <v>119000</v>
      </c>
      <c r="AD208" s="438">
        <v>82110</v>
      </c>
      <c r="AE208" s="438">
        <v>0</v>
      </c>
      <c r="AF208" s="438">
        <v>5950</v>
      </c>
      <c r="AG208" s="438">
        <v>113050</v>
      </c>
      <c r="AH208" s="438">
        <v>82110</v>
      </c>
      <c r="AI208" s="438">
        <v>28127</v>
      </c>
      <c r="AJ208" s="438">
        <v>2813</v>
      </c>
      <c r="AK208" s="438">
        <v>30940</v>
      </c>
      <c r="AL208" s="414" t="str">
        <f t="shared" si="18"/>
        <v>워커힐 시그니처 양념 본갈비 300g, 8개</v>
      </c>
      <c r="AM208" s="395">
        <f t="shared" si="19"/>
        <v>46060</v>
      </c>
      <c r="AN208" s="396">
        <f t="shared" si="20"/>
        <v>1</v>
      </c>
      <c r="AO208" s="109">
        <f t="shared" si="21"/>
        <v>119000</v>
      </c>
      <c r="AP208" s="109">
        <f t="shared" si="22"/>
        <v>108181.81818181818</v>
      </c>
      <c r="AQ208" s="397">
        <f t="shared" si="23"/>
        <v>108181.81818181818</v>
      </c>
    </row>
    <row r="209" spans="1:43" ht="24">
      <c r="A209" s="436" t="s">
        <v>4072</v>
      </c>
      <c r="B209" s="436" t="s">
        <v>3490</v>
      </c>
      <c r="C209" s="437" t="s">
        <v>3491</v>
      </c>
      <c r="D209" s="436" t="s">
        <v>4058</v>
      </c>
      <c r="E209" s="437" t="s">
        <v>4059</v>
      </c>
      <c r="F209" s="436" t="s">
        <v>3494</v>
      </c>
      <c r="G209" s="436" t="s">
        <v>3495</v>
      </c>
      <c r="H209" s="437" t="s">
        <v>3496</v>
      </c>
      <c r="I209" s="436" t="s">
        <v>3497</v>
      </c>
      <c r="J209" s="437" t="s">
        <v>3498</v>
      </c>
      <c r="K209" s="437" t="s">
        <v>3499</v>
      </c>
      <c r="L209" s="436" t="s">
        <v>3500</v>
      </c>
      <c r="M209" s="436" t="s">
        <v>3524</v>
      </c>
      <c r="N209" s="436" t="s">
        <v>3502</v>
      </c>
      <c r="O209" s="438">
        <v>119000</v>
      </c>
      <c r="P209" s="438">
        <v>82110</v>
      </c>
      <c r="Q209" s="438">
        <v>1</v>
      </c>
      <c r="R209" s="438">
        <v>0</v>
      </c>
      <c r="S209" s="438">
        <v>0</v>
      </c>
      <c r="T209" s="438">
        <v>0</v>
      </c>
      <c r="U209" s="438">
        <v>0</v>
      </c>
      <c r="V209" s="438">
        <v>0</v>
      </c>
      <c r="W209" s="438">
        <v>31</v>
      </c>
      <c r="X209" s="438">
        <v>0</v>
      </c>
      <c r="Y209" s="438">
        <v>10000</v>
      </c>
      <c r="Z209" s="438">
        <v>0</v>
      </c>
      <c r="AA209" s="438">
        <v>0</v>
      </c>
      <c r="AB209" s="438">
        <v>0</v>
      </c>
      <c r="AC209" s="438">
        <v>119000</v>
      </c>
      <c r="AD209" s="438">
        <v>82110</v>
      </c>
      <c r="AE209" s="438">
        <v>0</v>
      </c>
      <c r="AF209" s="438">
        <v>10000</v>
      </c>
      <c r="AG209" s="438">
        <v>109000</v>
      </c>
      <c r="AH209" s="438">
        <v>82110</v>
      </c>
      <c r="AI209" s="438">
        <v>24445</v>
      </c>
      <c r="AJ209" s="438">
        <v>2445</v>
      </c>
      <c r="AK209" s="438">
        <v>26890</v>
      </c>
      <c r="AL209" s="414" t="str">
        <f t="shared" si="18"/>
        <v>워커힐 시그니처 양념 본갈비 300g, 8개</v>
      </c>
      <c r="AM209" s="395">
        <f t="shared" si="19"/>
        <v>46060</v>
      </c>
      <c r="AN209" s="396">
        <f t="shared" si="20"/>
        <v>1</v>
      </c>
      <c r="AO209" s="109">
        <f t="shared" si="21"/>
        <v>119000</v>
      </c>
      <c r="AP209" s="109">
        <f t="shared" si="22"/>
        <v>108181.81818181818</v>
      </c>
      <c r="AQ209" s="397">
        <f t="shared" si="23"/>
        <v>108181.81818181818</v>
      </c>
    </row>
    <row r="210" spans="1:43" ht="24">
      <c r="A210" s="436" t="s">
        <v>4074</v>
      </c>
      <c r="B210" s="436" t="s">
        <v>3490</v>
      </c>
      <c r="C210" s="437" t="s">
        <v>3491</v>
      </c>
      <c r="D210" s="436" t="s">
        <v>4061</v>
      </c>
      <c r="E210" s="437" t="s">
        <v>4062</v>
      </c>
      <c r="F210" s="436" t="s">
        <v>3494</v>
      </c>
      <c r="G210" s="436" t="s">
        <v>3495</v>
      </c>
      <c r="H210" s="437" t="s">
        <v>3496</v>
      </c>
      <c r="I210" s="436" t="s">
        <v>3497</v>
      </c>
      <c r="J210" s="437" t="s">
        <v>3498</v>
      </c>
      <c r="K210" s="437" t="s">
        <v>3499</v>
      </c>
      <c r="L210" s="436" t="s">
        <v>3500</v>
      </c>
      <c r="M210" s="436" t="s">
        <v>3524</v>
      </c>
      <c r="N210" s="436" t="s">
        <v>3502</v>
      </c>
      <c r="O210" s="438">
        <v>119000</v>
      </c>
      <c r="P210" s="438">
        <v>82110</v>
      </c>
      <c r="Q210" s="438">
        <v>1</v>
      </c>
      <c r="R210" s="438">
        <v>0</v>
      </c>
      <c r="S210" s="438">
        <v>0</v>
      </c>
      <c r="T210" s="438">
        <v>0</v>
      </c>
      <c r="U210" s="438">
        <v>0</v>
      </c>
      <c r="V210" s="438">
        <v>0</v>
      </c>
      <c r="W210" s="438">
        <v>31</v>
      </c>
      <c r="X210" s="438">
        <v>0</v>
      </c>
      <c r="Y210" s="438">
        <v>0</v>
      </c>
      <c r="Z210" s="438">
        <v>0</v>
      </c>
      <c r="AA210" s="438">
        <v>0</v>
      </c>
      <c r="AB210" s="438">
        <v>0</v>
      </c>
      <c r="AC210" s="438">
        <v>119000</v>
      </c>
      <c r="AD210" s="438">
        <v>82110</v>
      </c>
      <c r="AE210" s="438">
        <v>0</v>
      </c>
      <c r="AF210" s="438">
        <v>0</v>
      </c>
      <c r="AG210" s="438">
        <v>119000</v>
      </c>
      <c r="AH210" s="438">
        <v>82110</v>
      </c>
      <c r="AI210" s="438">
        <v>33536</v>
      </c>
      <c r="AJ210" s="438">
        <v>3354</v>
      </c>
      <c r="AK210" s="438">
        <v>36890</v>
      </c>
      <c r="AL210" s="414" t="str">
        <f t="shared" si="18"/>
        <v>워커힐 시그니처 양념 본갈비 300g, 8개</v>
      </c>
      <c r="AM210" s="395">
        <f t="shared" si="19"/>
        <v>46060</v>
      </c>
      <c r="AN210" s="396">
        <f t="shared" si="20"/>
        <v>1</v>
      </c>
      <c r="AO210" s="109">
        <f t="shared" si="21"/>
        <v>119000</v>
      </c>
      <c r="AP210" s="109">
        <f t="shared" si="22"/>
        <v>108181.81818181818</v>
      </c>
      <c r="AQ210" s="397">
        <f t="shared" si="23"/>
        <v>108181.81818181818</v>
      </c>
    </row>
    <row r="211" spans="1:43" ht="24">
      <c r="A211" s="436" t="s">
        <v>4075</v>
      </c>
      <c r="B211" s="436" t="s">
        <v>3490</v>
      </c>
      <c r="C211" s="437" t="s">
        <v>3491</v>
      </c>
      <c r="D211" s="436" t="s">
        <v>4064</v>
      </c>
      <c r="E211" s="437" t="s">
        <v>4065</v>
      </c>
      <c r="F211" s="436" t="s">
        <v>3494</v>
      </c>
      <c r="G211" s="436" t="s">
        <v>3495</v>
      </c>
      <c r="H211" s="437" t="s">
        <v>3496</v>
      </c>
      <c r="I211" s="436" t="s">
        <v>3497</v>
      </c>
      <c r="J211" s="437" t="s">
        <v>3498</v>
      </c>
      <c r="K211" s="437" t="s">
        <v>163</v>
      </c>
      <c r="L211" s="436" t="s">
        <v>3500</v>
      </c>
      <c r="M211" s="436" t="s">
        <v>3524</v>
      </c>
      <c r="N211" s="436" t="s">
        <v>3502</v>
      </c>
      <c r="O211" s="438">
        <v>119000</v>
      </c>
      <c r="P211" s="438">
        <v>82110</v>
      </c>
      <c r="Q211" s="438">
        <v>1</v>
      </c>
      <c r="R211" s="438">
        <v>0</v>
      </c>
      <c r="S211" s="438">
        <v>0</v>
      </c>
      <c r="T211" s="438">
        <v>0</v>
      </c>
      <c r="U211" s="438">
        <v>0</v>
      </c>
      <c r="V211" s="438">
        <v>0</v>
      </c>
      <c r="W211" s="438">
        <v>31</v>
      </c>
      <c r="X211" s="438">
        <v>0</v>
      </c>
      <c r="Y211" s="438">
        <v>5950</v>
      </c>
      <c r="Z211" s="438">
        <v>0</v>
      </c>
      <c r="AA211" s="438">
        <v>0</v>
      </c>
      <c r="AB211" s="438">
        <v>0</v>
      </c>
      <c r="AC211" s="438">
        <v>119000</v>
      </c>
      <c r="AD211" s="438">
        <v>82110</v>
      </c>
      <c r="AE211" s="438">
        <v>0</v>
      </c>
      <c r="AF211" s="438">
        <v>5950</v>
      </c>
      <c r="AG211" s="438">
        <v>113050</v>
      </c>
      <c r="AH211" s="438">
        <v>82110</v>
      </c>
      <c r="AI211" s="438">
        <v>28127</v>
      </c>
      <c r="AJ211" s="438">
        <v>2813</v>
      </c>
      <c r="AK211" s="438">
        <v>30940</v>
      </c>
      <c r="AL211" s="414" t="str">
        <f t="shared" si="18"/>
        <v>워커힐 시그니처 양념 본갈비 300g, 8개</v>
      </c>
      <c r="AM211" s="395">
        <f t="shared" si="19"/>
        <v>46060</v>
      </c>
      <c r="AN211" s="396">
        <f t="shared" si="20"/>
        <v>1</v>
      </c>
      <c r="AO211" s="109">
        <f t="shared" si="21"/>
        <v>119000</v>
      </c>
      <c r="AP211" s="109">
        <f t="shared" si="22"/>
        <v>108181.81818181818</v>
      </c>
      <c r="AQ211" s="397">
        <f t="shared" si="23"/>
        <v>108181.81818181818</v>
      </c>
    </row>
    <row r="212" spans="1:43" ht="24">
      <c r="A212" s="436" t="s">
        <v>4078</v>
      </c>
      <c r="B212" s="436" t="s">
        <v>3490</v>
      </c>
      <c r="C212" s="437" t="s">
        <v>3491</v>
      </c>
      <c r="D212" s="436" t="s">
        <v>4067</v>
      </c>
      <c r="E212" s="437" t="s">
        <v>4068</v>
      </c>
      <c r="F212" s="436" t="s">
        <v>3494</v>
      </c>
      <c r="G212" s="436" t="s">
        <v>3495</v>
      </c>
      <c r="H212" s="437" t="s">
        <v>3496</v>
      </c>
      <c r="I212" s="436" t="s">
        <v>3497</v>
      </c>
      <c r="J212" s="437" t="s">
        <v>3498</v>
      </c>
      <c r="K212" s="437" t="s">
        <v>3499</v>
      </c>
      <c r="L212" s="436" t="s">
        <v>3500</v>
      </c>
      <c r="M212" s="436" t="s">
        <v>3524</v>
      </c>
      <c r="N212" s="436" t="s">
        <v>3502</v>
      </c>
      <c r="O212" s="438">
        <v>119000</v>
      </c>
      <c r="P212" s="438">
        <v>82110</v>
      </c>
      <c r="Q212" s="438">
        <v>1</v>
      </c>
      <c r="R212" s="438">
        <v>0</v>
      </c>
      <c r="S212" s="438">
        <v>0</v>
      </c>
      <c r="T212" s="438">
        <v>0</v>
      </c>
      <c r="U212" s="438">
        <v>0</v>
      </c>
      <c r="V212" s="438">
        <v>0</v>
      </c>
      <c r="W212" s="438">
        <v>31</v>
      </c>
      <c r="X212" s="438">
        <v>0</v>
      </c>
      <c r="Y212" s="438">
        <v>10000</v>
      </c>
      <c r="Z212" s="438">
        <v>0</v>
      </c>
      <c r="AA212" s="438">
        <v>0</v>
      </c>
      <c r="AB212" s="438">
        <v>0</v>
      </c>
      <c r="AC212" s="438">
        <v>119000</v>
      </c>
      <c r="AD212" s="438">
        <v>82110</v>
      </c>
      <c r="AE212" s="438">
        <v>0</v>
      </c>
      <c r="AF212" s="438">
        <v>10000</v>
      </c>
      <c r="AG212" s="438">
        <v>109000</v>
      </c>
      <c r="AH212" s="438">
        <v>82110</v>
      </c>
      <c r="AI212" s="438">
        <v>24445</v>
      </c>
      <c r="AJ212" s="438">
        <v>2445</v>
      </c>
      <c r="AK212" s="438">
        <v>26890</v>
      </c>
      <c r="AL212" s="414" t="str">
        <f t="shared" si="18"/>
        <v>워커힐 시그니처 양념 본갈비 300g, 8개</v>
      </c>
      <c r="AM212" s="395">
        <f t="shared" si="19"/>
        <v>46060</v>
      </c>
      <c r="AN212" s="396">
        <f t="shared" si="20"/>
        <v>1</v>
      </c>
      <c r="AO212" s="109">
        <f t="shared" si="21"/>
        <v>119000</v>
      </c>
      <c r="AP212" s="109">
        <f t="shared" si="22"/>
        <v>108181.81818181818</v>
      </c>
      <c r="AQ212" s="397">
        <f t="shared" si="23"/>
        <v>108181.81818181818</v>
      </c>
    </row>
    <row r="213" spans="1:43" ht="24">
      <c r="A213" s="436" t="s">
        <v>4081</v>
      </c>
      <c r="B213" s="436" t="s">
        <v>3490</v>
      </c>
      <c r="C213" s="437" t="s">
        <v>3491</v>
      </c>
      <c r="D213" s="436" t="s">
        <v>4404</v>
      </c>
      <c r="E213" s="437" t="s">
        <v>3551</v>
      </c>
      <c r="F213" s="436" t="s">
        <v>3494</v>
      </c>
      <c r="G213" s="436" t="s">
        <v>3495</v>
      </c>
      <c r="H213" s="437" t="s">
        <v>3496</v>
      </c>
      <c r="I213" s="436" t="s">
        <v>3497</v>
      </c>
      <c r="J213" s="437" t="s">
        <v>3498</v>
      </c>
      <c r="K213" s="437" t="s">
        <v>3499</v>
      </c>
      <c r="L213" s="436" t="s">
        <v>3500</v>
      </c>
      <c r="M213" s="436" t="s">
        <v>3524</v>
      </c>
      <c r="N213" s="436" t="s">
        <v>3502</v>
      </c>
      <c r="O213" s="438">
        <v>119000</v>
      </c>
      <c r="P213" s="438">
        <v>82110</v>
      </c>
      <c r="Q213" s="438">
        <v>1</v>
      </c>
      <c r="R213" s="438">
        <v>0</v>
      </c>
      <c r="S213" s="438">
        <v>0</v>
      </c>
      <c r="T213" s="438">
        <v>0</v>
      </c>
      <c r="U213" s="438">
        <v>0</v>
      </c>
      <c r="V213" s="438">
        <v>0</v>
      </c>
      <c r="W213" s="438">
        <v>31</v>
      </c>
      <c r="X213" s="438">
        <v>0</v>
      </c>
      <c r="Y213" s="438">
        <v>0</v>
      </c>
      <c r="Z213" s="438">
        <v>0</v>
      </c>
      <c r="AA213" s="438">
        <v>0</v>
      </c>
      <c r="AB213" s="438">
        <v>0</v>
      </c>
      <c r="AC213" s="438">
        <v>119000</v>
      </c>
      <c r="AD213" s="438">
        <v>82110</v>
      </c>
      <c r="AE213" s="438">
        <v>0</v>
      </c>
      <c r="AF213" s="438">
        <v>0</v>
      </c>
      <c r="AG213" s="438">
        <v>119000</v>
      </c>
      <c r="AH213" s="438">
        <v>82110</v>
      </c>
      <c r="AI213" s="438">
        <v>33536</v>
      </c>
      <c r="AJ213" s="438">
        <v>3354</v>
      </c>
      <c r="AK213" s="438">
        <v>36890</v>
      </c>
      <c r="AL213" s="414" t="str">
        <f t="shared" si="18"/>
        <v>워커힐 시그니처 양념 본갈비 300g, 8개</v>
      </c>
      <c r="AM213" s="395">
        <f t="shared" si="19"/>
        <v>46060</v>
      </c>
      <c r="AN213" s="396">
        <f t="shared" si="20"/>
        <v>1</v>
      </c>
      <c r="AO213" s="109">
        <f t="shared" si="21"/>
        <v>119000</v>
      </c>
      <c r="AP213" s="109">
        <f t="shared" si="22"/>
        <v>108181.81818181818</v>
      </c>
      <c r="AQ213" s="397">
        <f t="shared" si="23"/>
        <v>108181.81818181818</v>
      </c>
    </row>
    <row r="214" spans="1:43" ht="24">
      <c r="A214" s="436" t="s">
        <v>4084</v>
      </c>
      <c r="B214" s="436" t="s">
        <v>3490</v>
      </c>
      <c r="C214" s="437" t="s">
        <v>3491</v>
      </c>
      <c r="D214" s="436" t="s">
        <v>4406</v>
      </c>
      <c r="E214" s="437" t="s">
        <v>4407</v>
      </c>
      <c r="F214" s="436" t="s">
        <v>3494</v>
      </c>
      <c r="G214" s="436" t="s">
        <v>3495</v>
      </c>
      <c r="H214" s="437" t="s">
        <v>3496</v>
      </c>
      <c r="I214" s="436" t="s">
        <v>3497</v>
      </c>
      <c r="J214" s="437" t="s">
        <v>3498</v>
      </c>
      <c r="K214" s="437" t="s">
        <v>3499</v>
      </c>
      <c r="L214" s="436" t="s">
        <v>3500</v>
      </c>
      <c r="M214" s="436" t="s">
        <v>3524</v>
      </c>
      <c r="N214" s="436" t="s">
        <v>3502</v>
      </c>
      <c r="O214" s="438">
        <v>119000</v>
      </c>
      <c r="P214" s="438">
        <v>82110</v>
      </c>
      <c r="Q214" s="438">
        <v>1</v>
      </c>
      <c r="R214" s="438">
        <v>0</v>
      </c>
      <c r="S214" s="438">
        <v>0</v>
      </c>
      <c r="T214" s="438">
        <v>0</v>
      </c>
      <c r="U214" s="438">
        <v>0</v>
      </c>
      <c r="V214" s="438">
        <v>0</v>
      </c>
      <c r="W214" s="438">
        <v>31</v>
      </c>
      <c r="X214" s="438">
        <v>0</v>
      </c>
      <c r="Y214" s="438">
        <v>0</v>
      </c>
      <c r="Z214" s="438">
        <v>0</v>
      </c>
      <c r="AA214" s="438">
        <v>0</v>
      </c>
      <c r="AB214" s="438">
        <v>0</v>
      </c>
      <c r="AC214" s="438">
        <v>119000</v>
      </c>
      <c r="AD214" s="438">
        <v>82110</v>
      </c>
      <c r="AE214" s="438">
        <v>0</v>
      </c>
      <c r="AF214" s="438">
        <v>0</v>
      </c>
      <c r="AG214" s="438">
        <v>119000</v>
      </c>
      <c r="AH214" s="438">
        <v>82110</v>
      </c>
      <c r="AI214" s="438">
        <v>33536</v>
      </c>
      <c r="AJ214" s="438">
        <v>3354</v>
      </c>
      <c r="AK214" s="438">
        <v>36890</v>
      </c>
      <c r="AL214" s="414" t="str">
        <f t="shared" si="18"/>
        <v>워커힐 시그니처 양념 본갈비 300g, 8개</v>
      </c>
      <c r="AM214" s="395">
        <f t="shared" si="19"/>
        <v>46060</v>
      </c>
      <c r="AN214" s="396">
        <f t="shared" si="20"/>
        <v>1</v>
      </c>
      <c r="AO214" s="109">
        <f t="shared" si="21"/>
        <v>119000</v>
      </c>
      <c r="AP214" s="109">
        <f t="shared" si="22"/>
        <v>108181.81818181818</v>
      </c>
      <c r="AQ214" s="397">
        <f t="shared" si="23"/>
        <v>108181.81818181818</v>
      </c>
    </row>
    <row r="215" spans="1:43" ht="24">
      <c r="A215" s="436" t="s">
        <v>4086</v>
      </c>
      <c r="B215" s="436" t="s">
        <v>3490</v>
      </c>
      <c r="C215" s="437" t="s">
        <v>3491</v>
      </c>
      <c r="D215" s="436" t="s">
        <v>4418</v>
      </c>
      <c r="E215" s="437" t="s">
        <v>4419</v>
      </c>
      <c r="F215" s="436" t="s">
        <v>3494</v>
      </c>
      <c r="G215" s="436" t="s">
        <v>3495</v>
      </c>
      <c r="H215" s="437" t="s">
        <v>3496</v>
      </c>
      <c r="I215" s="436" t="s">
        <v>3497</v>
      </c>
      <c r="J215" s="437" t="s">
        <v>3498</v>
      </c>
      <c r="K215" s="437" t="s">
        <v>3499</v>
      </c>
      <c r="L215" s="436" t="s">
        <v>3500</v>
      </c>
      <c r="M215" s="436" t="s">
        <v>3524</v>
      </c>
      <c r="N215" s="436" t="s">
        <v>3502</v>
      </c>
      <c r="O215" s="438">
        <v>119000</v>
      </c>
      <c r="P215" s="438">
        <v>82110</v>
      </c>
      <c r="Q215" s="438">
        <v>1</v>
      </c>
      <c r="R215" s="438">
        <v>0</v>
      </c>
      <c r="S215" s="438">
        <v>0</v>
      </c>
      <c r="T215" s="438">
        <v>0</v>
      </c>
      <c r="U215" s="438">
        <v>0</v>
      </c>
      <c r="V215" s="438">
        <v>0</v>
      </c>
      <c r="W215" s="438">
        <v>31</v>
      </c>
      <c r="X215" s="438">
        <v>0</v>
      </c>
      <c r="Y215" s="438">
        <v>0</v>
      </c>
      <c r="Z215" s="438">
        <v>0</v>
      </c>
      <c r="AA215" s="438">
        <v>0</v>
      </c>
      <c r="AB215" s="438">
        <v>0</v>
      </c>
      <c r="AC215" s="438">
        <v>119000</v>
      </c>
      <c r="AD215" s="438">
        <v>82110</v>
      </c>
      <c r="AE215" s="438">
        <v>0</v>
      </c>
      <c r="AF215" s="438">
        <v>0</v>
      </c>
      <c r="AG215" s="438">
        <v>119000</v>
      </c>
      <c r="AH215" s="438">
        <v>82110</v>
      </c>
      <c r="AI215" s="438">
        <v>33536</v>
      </c>
      <c r="AJ215" s="438">
        <v>3354</v>
      </c>
      <c r="AK215" s="438">
        <v>36890</v>
      </c>
      <c r="AL215" s="414" t="str">
        <f t="shared" si="18"/>
        <v>워커힐 시그니처 양념 본갈비 300g, 8개</v>
      </c>
      <c r="AM215" s="395">
        <f t="shared" si="19"/>
        <v>46060</v>
      </c>
      <c r="AN215" s="396">
        <f t="shared" si="20"/>
        <v>1</v>
      </c>
      <c r="AO215" s="109">
        <f t="shared" si="21"/>
        <v>119000</v>
      </c>
      <c r="AP215" s="109">
        <f t="shared" si="22"/>
        <v>108181.81818181818</v>
      </c>
      <c r="AQ215" s="397">
        <f t="shared" si="23"/>
        <v>108181.81818181818</v>
      </c>
    </row>
    <row r="216" spans="1:43" ht="24">
      <c r="A216" s="436" t="s">
        <v>4088</v>
      </c>
      <c r="B216" s="436" t="s">
        <v>3490</v>
      </c>
      <c r="C216" s="437" t="s">
        <v>3491</v>
      </c>
      <c r="D216" s="436" t="s">
        <v>3733</v>
      </c>
      <c r="E216" s="437" t="s">
        <v>3734</v>
      </c>
      <c r="F216" s="436" t="s">
        <v>3494</v>
      </c>
      <c r="G216" s="436" t="s">
        <v>3495</v>
      </c>
      <c r="H216" s="437" t="s">
        <v>3496</v>
      </c>
      <c r="I216" s="436" t="s">
        <v>3497</v>
      </c>
      <c r="J216" s="437" t="s">
        <v>3498</v>
      </c>
      <c r="K216" s="437" t="s">
        <v>3499</v>
      </c>
      <c r="L216" s="436" t="s">
        <v>3500</v>
      </c>
      <c r="M216" s="436" t="s">
        <v>3524</v>
      </c>
      <c r="N216" s="436" t="s">
        <v>3502</v>
      </c>
      <c r="O216" s="438">
        <v>119000</v>
      </c>
      <c r="P216" s="438">
        <v>82110</v>
      </c>
      <c r="Q216" s="438">
        <v>1</v>
      </c>
      <c r="R216" s="438">
        <v>0</v>
      </c>
      <c r="S216" s="438">
        <v>0</v>
      </c>
      <c r="T216" s="438">
        <v>0</v>
      </c>
      <c r="U216" s="438">
        <v>0</v>
      </c>
      <c r="V216" s="438">
        <v>0</v>
      </c>
      <c r="W216" s="438">
        <v>31</v>
      </c>
      <c r="X216" s="438">
        <v>0</v>
      </c>
      <c r="Y216" s="438">
        <v>0</v>
      </c>
      <c r="Z216" s="438">
        <v>0</v>
      </c>
      <c r="AA216" s="438">
        <v>0</v>
      </c>
      <c r="AB216" s="438">
        <v>0</v>
      </c>
      <c r="AC216" s="438">
        <v>119000</v>
      </c>
      <c r="AD216" s="438">
        <v>82110</v>
      </c>
      <c r="AE216" s="438">
        <v>0</v>
      </c>
      <c r="AF216" s="438">
        <v>0</v>
      </c>
      <c r="AG216" s="438">
        <v>119000</v>
      </c>
      <c r="AH216" s="438">
        <v>82110</v>
      </c>
      <c r="AI216" s="438">
        <v>33536</v>
      </c>
      <c r="AJ216" s="438">
        <v>3354</v>
      </c>
      <c r="AK216" s="438">
        <v>36890</v>
      </c>
      <c r="AL216" s="414" t="str">
        <f t="shared" si="18"/>
        <v>워커힐 시그니처 양념 본갈비 300g, 8개</v>
      </c>
      <c r="AM216" s="395">
        <f t="shared" si="19"/>
        <v>46060</v>
      </c>
      <c r="AN216" s="396">
        <f t="shared" si="20"/>
        <v>1</v>
      </c>
      <c r="AO216" s="109">
        <f t="shared" si="21"/>
        <v>119000</v>
      </c>
      <c r="AP216" s="109">
        <f t="shared" si="22"/>
        <v>108181.81818181818</v>
      </c>
      <c r="AQ216" s="397">
        <f t="shared" si="23"/>
        <v>108181.81818181818</v>
      </c>
    </row>
    <row r="217" spans="1:43" ht="24">
      <c r="A217" s="436" t="s">
        <v>4091</v>
      </c>
      <c r="B217" s="436" t="s">
        <v>3490</v>
      </c>
      <c r="C217" s="437" t="s">
        <v>3491</v>
      </c>
      <c r="D217" s="436" t="s">
        <v>4232</v>
      </c>
      <c r="E217" s="437" t="s">
        <v>3734</v>
      </c>
      <c r="F217" s="436" t="s">
        <v>3494</v>
      </c>
      <c r="G217" s="436" t="s">
        <v>3495</v>
      </c>
      <c r="H217" s="437" t="s">
        <v>3496</v>
      </c>
      <c r="I217" s="436" t="s">
        <v>3497</v>
      </c>
      <c r="J217" s="437" t="s">
        <v>3498</v>
      </c>
      <c r="K217" s="437" t="s">
        <v>3499</v>
      </c>
      <c r="L217" s="436" t="s">
        <v>3500</v>
      </c>
      <c r="M217" s="436" t="s">
        <v>3524</v>
      </c>
      <c r="N217" s="436" t="s">
        <v>3502</v>
      </c>
      <c r="O217" s="438">
        <v>119000</v>
      </c>
      <c r="P217" s="438">
        <v>82110</v>
      </c>
      <c r="Q217" s="438">
        <v>1</v>
      </c>
      <c r="R217" s="438">
        <v>0</v>
      </c>
      <c r="S217" s="438">
        <v>0</v>
      </c>
      <c r="T217" s="438">
        <v>0</v>
      </c>
      <c r="U217" s="438">
        <v>0</v>
      </c>
      <c r="V217" s="438">
        <v>0</v>
      </c>
      <c r="W217" s="438">
        <v>31</v>
      </c>
      <c r="X217" s="438">
        <v>0</v>
      </c>
      <c r="Y217" s="438">
        <v>0</v>
      </c>
      <c r="Z217" s="438">
        <v>0</v>
      </c>
      <c r="AA217" s="438">
        <v>0</v>
      </c>
      <c r="AB217" s="438">
        <v>0</v>
      </c>
      <c r="AC217" s="438">
        <v>119000</v>
      </c>
      <c r="AD217" s="438">
        <v>82110</v>
      </c>
      <c r="AE217" s="438">
        <v>0</v>
      </c>
      <c r="AF217" s="438">
        <v>0</v>
      </c>
      <c r="AG217" s="438">
        <v>119000</v>
      </c>
      <c r="AH217" s="438">
        <v>82110</v>
      </c>
      <c r="AI217" s="438">
        <v>33536</v>
      </c>
      <c r="AJ217" s="438">
        <v>3354</v>
      </c>
      <c r="AK217" s="438">
        <v>36890</v>
      </c>
      <c r="AL217" s="414" t="str">
        <f t="shared" si="18"/>
        <v>워커힐 시그니처 양념 본갈비 300g, 8개</v>
      </c>
      <c r="AM217" s="395">
        <f t="shared" si="19"/>
        <v>46060</v>
      </c>
      <c r="AN217" s="396">
        <f t="shared" si="20"/>
        <v>1</v>
      </c>
      <c r="AO217" s="109">
        <f t="shared" si="21"/>
        <v>119000</v>
      </c>
      <c r="AP217" s="109">
        <f t="shared" si="22"/>
        <v>108181.81818181818</v>
      </c>
      <c r="AQ217" s="397">
        <f t="shared" si="23"/>
        <v>108181.81818181818</v>
      </c>
    </row>
    <row r="218" spans="1:43" ht="24">
      <c r="A218" s="436" t="s">
        <v>4093</v>
      </c>
      <c r="B218" s="436" t="s">
        <v>3490</v>
      </c>
      <c r="C218" s="437" t="s">
        <v>3491</v>
      </c>
      <c r="D218" s="436" t="s">
        <v>4515</v>
      </c>
      <c r="E218" s="437" t="s">
        <v>4516</v>
      </c>
      <c r="F218" s="436" t="s">
        <v>3494</v>
      </c>
      <c r="G218" s="436" t="s">
        <v>3495</v>
      </c>
      <c r="H218" s="437" t="s">
        <v>3496</v>
      </c>
      <c r="I218" s="436" t="s">
        <v>3497</v>
      </c>
      <c r="J218" s="437" t="s">
        <v>3498</v>
      </c>
      <c r="K218" s="437" t="s">
        <v>3499</v>
      </c>
      <c r="L218" s="436" t="s">
        <v>3500</v>
      </c>
      <c r="M218" s="436" t="s">
        <v>3524</v>
      </c>
      <c r="N218" s="436" t="s">
        <v>3502</v>
      </c>
      <c r="O218" s="438">
        <v>119000</v>
      </c>
      <c r="P218" s="438">
        <v>82110</v>
      </c>
      <c r="Q218" s="438">
        <v>1</v>
      </c>
      <c r="R218" s="438">
        <v>0</v>
      </c>
      <c r="S218" s="438">
        <v>0</v>
      </c>
      <c r="T218" s="438">
        <v>0</v>
      </c>
      <c r="U218" s="438">
        <v>0</v>
      </c>
      <c r="V218" s="438">
        <v>0</v>
      </c>
      <c r="W218" s="438">
        <v>31</v>
      </c>
      <c r="X218" s="438">
        <v>0</v>
      </c>
      <c r="Y218" s="438">
        <v>0</v>
      </c>
      <c r="Z218" s="438">
        <v>0</v>
      </c>
      <c r="AA218" s="438">
        <v>0</v>
      </c>
      <c r="AB218" s="438">
        <v>0</v>
      </c>
      <c r="AC218" s="438">
        <v>119000</v>
      </c>
      <c r="AD218" s="438">
        <v>82110</v>
      </c>
      <c r="AE218" s="438">
        <v>0</v>
      </c>
      <c r="AF218" s="438">
        <v>0</v>
      </c>
      <c r="AG218" s="438">
        <v>119000</v>
      </c>
      <c r="AH218" s="438">
        <v>82110</v>
      </c>
      <c r="AI218" s="438">
        <v>33536</v>
      </c>
      <c r="AJ218" s="438">
        <v>3354</v>
      </c>
      <c r="AK218" s="438">
        <v>36890</v>
      </c>
      <c r="AL218" s="414" t="str">
        <f t="shared" si="18"/>
        <v>워커힐 시그니처 양념 본갈비 300g, 8개</v>
      </c>
      <c r="AM218" s="395">
        <f t="shared" si="19"/>
        <v>46060</v>
      </c>
      <c r="AN218" s="396">
        <f t="shared" si="20"/>
        <v>1</v>
      </c>
      <c r="AO218" s="109">
        <f t="shared" si="21"/>
        <v>119000</v>
      </c>
      <c r="AP218" s="109">
        <f t="shared" si="22"/>
        <v>108181.81818181818</v>
      </c>
      <c r="AQ218" s="397">
        <f t="shared" si="23"/>
        <v>108181.81818181818</v>
      </c>
    </row>
    <row r="219" spans="1:43" ht="24">
      <c r="A219" s="436" t="s">
        <v>4096</v>
      </c>
      <c r="B219" s="436" t="s">
        <v>3490</v>
      </c>
      <c r="C219" s="437" t="s">
        <v>3491</v>
      </c>
      <c r="D219" s="436" t="s">
        <v>3974</v>
      </c>
      <c r="E219" s="437" t="s">
        <v>3975</v>
      </c>
      <c r="F219" s="436" t="s">
        <v>3494</v>
      </c>
      <c r="G219" s="436" t="s">
        <v>3495</v>
      </c>
      <c r="H219" s="437" t="s">
        <v>3496</v>
      </c>
      <c r="I219" s="436" t="s">
        <v>3497</v>
      </c>
      <c r="J219" s="437" t="s">
        <v>3498</v>
      </c>
      <c r="K219" s="437" t="s">
        <v>3499</v>
      </c>
      <c r="L219" s="436" t="s">
        <v>3500</v>
      </c>
      <c r="M219" s="436" t="s">
        <v>3524</v>
      </c>
      <c r="N219" s="436" t="s">
        <v>3502</v>
      </c>
      <c r="O219" s="438">
        <v>119000</v>
      </c>
      <c r="P219" s="438">
        <v>82110</v>
      </c>
      <c r="Q219" s="438">
        <v>1</v>
      </c>
      <c r="R219" s="438">
        <v>0</v>
      </c>
      <c r="S219" s="438">
        <v>0</v>
      </c>
      <c r="T219" s="438">
        <v>0</v>
      </c>
      <c r="U219" s="438">
        <v>0</v>
      </c>
      <c r="V219" s="438">
        <v>0</v>
      </c>
      <c r="W219" s="438">
        <v>31</v>
      </c>
      <c r="X219" s="438">
        <v>0</v>
      </c>
      <c r="Y219" s="438">
        <v>0</v>
      </c>
      <c r="Z219" s="438">
        <v>0</v>
      </c>
      <c r="AA219" s="438">
        <v>0</v>
      </c>
      <c r="AB219" s="438">
        <v>0</v>
      </c>
      <c r="AC219" s="438">
        <v>119000</v>
      </c>
      <c r="AD219" s="438">
        <v>82110</v>
      </c>
      <c r="AE219" s="438">
        <v>0</v>
      </c>
      <c r="AF219" s="438">
        <v>0</v>
      </c>
      <c r="AG219" s="438">
        <v>119000</v>
      </c>
      <c r="AH219" s="438">
        <v>82110</v>
      </c>
      <c r="AI219" s="438">
        <v>33536</v>
      </c>
      <c r="AJ219" s="438">
        <v>3354</v>
      </c>
      <c r="AK219" s="438">
        <v>36890</v>
      </c>
      <c r="AL219" s="414" t="str">
        <f t="shared" si="18"/>
        <v>워커힐 시그니처 양념 본갈비 300g, 8개</v>
      </c>
      <c r="AM219" s="395">
        <f t="shared" si="19"/>
        <v>46060</v>
      </c>
      <c r="AN219" s="396">
        <f t="shared" si="20"/>
        <v>1</v>
      </c>
      <c r="AO219" s="109">
        <f t="shared" si="21"/>
        <v>119000</v>
      </c>
      <c r="AP219" s="109">
        <f t="shared" si="22"/>
        <v>108181.81818181818</v>
      </c>
      <c r="AQ219" s="397">
        <f t="shared" si="23"/>
        <v>108181.81818181818</v>
      </c>
    </row>
    <row r="220" spans="1:43" ht="24">
      <c r="A220" s="436" t="s">
        <v>4098</v>
      </c>
      <c r="B220" s="436" t="s">
        <v>3490</v>
      </c>
      <c r="C220" s="437" t="s">
        <v>3491</v>
      </c>
      <c r="D220" s="436" t="s">
        <v>4097</v>
      </c>
      <c r="E220" s="437" t="s">
        <v>3823</v>
      </c>
      <c r="F220" s="436" t="s">
        <v>3494</v>
      </c>
      <c r="G220" s="436" t="s">
        <v>3495</v>
      </c>
      <c r="H220" s="437" t="s">
        <v>3496</v>
      </c>
      <c r="I220" s="436" t="s">
        <v>3497</v>
      </c>
      <c r="J220" s="437" t="s">
        <v>3498</v>
      </c>
      <c r="K220" s="437" t="s">
        <v>3499</v>
      </c>
      <c r="L220" s="436" t="s">
        <v>3500</v>
      </c>
      <c r="M220" s="436" t="s">
        <v>3524</v>
      </c>
      <c r="N220" s="436" t="s">
        <v>3502</v>
      </c>
      <c r="O220" s="438">
        <v>119000</v>
      </c>
      <c r="P220" s="438">
        <v>82110</v>
      </c>
      <c r="Q220" s="438">
        <v>1</v>
      </c>
      <c r="R220" s="438">
        <v>0</v>
      </c>
      <c r="S220" s="438">
        <v>0</v>
      </c>
      <c r="T220" s="438">
        <v>0</v>
      </c>
      <c r="U220" s="438">
        <v>0</v>
      </c>
      <c r="V220" s="438">
        <v>0</v>
      </c>
      <c r="W220" s="438">
        <v>31</v>
      </c>
      <c r="X220" s="438">
        <v>0</v>
      </c>
      <c r="Y220" s="438">
        <v>0</v>
      </c>
      <c r="Z220" s="438">
        <v>0</v>
      </c>
      <c r="AA220" s="438">
        <v>0</v>
      </c>
      <c r="AB220" s="438">
        <v>0</v>
      </c>
      <c r="AC220" s="438">
        <v>119000</v>
      </c>
      <c r="AD220" s="438">
        <v>82110</v>
      </c>
      <c r="AE220" s="438">
        <v>0</v>
      </c>
      <c r="AF220" s="438">
        <v>0</v>
      </c>
      <c r="AG220" s="438">
        <v>119000</v>
      </c>
      <c r="AH220" s="438">
        <v>82110</v>
      </c>
      <c r="AI220" s="438">
        <v>33536</v>
      </c>
      <c r="AJ220" s="438">
        <v>3354</v>
      </c>
      <c r="AK220" s="438">
        <v>36890</v>
      </c>
      <c r="AL220" s="414" t="str">
        <f t="shared" si="18"/>
        <v>워커힐 시그니처 양념 본갈비 300g, 8개</v>
      </c>
      <c r="AM220" s="395">
        <f t="shared" si="19"/>
        <v>46060</v>
      </c>
      <c r="AN220" s="396">
        <f t="shared" si="20"/>
        <v>1</v>
      </c>
      <c r="AO220" s="109">
        <f t="shared" si="21"/>
        <v>119000</v>
      </c>
      <c r="AP220" s="109">
        <f t="shared" si="22"/>
        <v>108181.81818181818</v>
      </c>
      <c r="AQ220" s="397">
        <f t="shared" si="23"/>
        <v>108181.81818181818</v>
      </c>
    </row>
    <row r="221" spans="1:43" ht="24">
      <c r="A221" s="436" t="s">
        <v>4100</v>
      </c>
      <c r="B221" s="436" t="s">
        <v>3490</v>
      </c>
      <c r="C221" s="437" t="s">
        <v>3491</v>
      </c>
      <c r="D221" s="436" t="s">
        <v>4099</v>
      </c>
      <c r="E221" s="437" t="s">
        <v>3523</v>
      </c>
      <c r="F221" s="436" t="s">
        <v>3494</v>
      </c>
      <c r="G221" s="436" t="s">
        <v>3495</v>
      </c>
      <c r="H221" s="437" t="s">
        <v>3496</v>
      </c>
      <c r="I221" s="436" t="s">
        <v>3497</v>
      </c>
      <c r="J221" s="437" t="s">
        <v>3498</v>
      </c>
      <c r="K221" s="437" t="s">
        <v>3499</v>
      </c>
      <c r="L221" s="436" t="s">
        <v>3500</v>
      </c>
      <c r="M221" s="436" t="s">
        <v>3524</v>
      </c>
      <c r="N221" s="436" t="s">
        <v>3502</v>
      </c>
      <c r="O221" s="438">
        <v>119000</v>
      </c>
      <c r="P221" s="438">
        <v>82110</v>
      </c>
      <c r="Q221" s="438">
        <v>1</v>
      </c>
      <c r="R221" s="438">
        <v>0</v>
      </c>
      <c r="S221" s="438">
        <v>0</v>
      </c>
      <c r="T221" s="438">
        <v>0</v>
      </c>
      <c r="U221" s="438">
        <v>0</v>
      </c>
      <c r="V221" s="438">
        <v>0</v>
      </c>
      <c r="W221" s="438">
        <v>31</v>
      </c>
      <c r="X221" s="438">
        <v>0</v>
      </c>
      <c r="Y221" s="438">
        <v>10000</v>
      </c>
      <c r="Z221" s="438">
        <v>0</v>
      </c>
      <c r="AA221" s="438">
        <v>0</v>
      </c>
      <c r="AB221" s="438">
        <v>0</v>
      </c>
      <c r="AC221" s="438">
        <v>119000</v>
      </c>
      <c r="AD221" s="438">
        <v>82110</v>
      </c>
      <c r="AE221" s="438">
        <v>0</v>
      </c>
      <c r="AF221" s="438">
        <v>10000</v>
      </c>
      <c r="AG221" s="438">
        <v>109000</v>
      </c>
      <c r="AH221" s="438">
        <v>82110</v>
      </c>
      <c r="AI221" s="438">
        <v>24445</v>
      </c>
      <c r="AJ221" s="438">
        <v>2445</v>
      </c>
      <c r="AK221" s="438">
        <v>26890</v>
      </c>
      <c r="AL221" s="414" t="str">
        <f t="shared" si="18"/>
        <v>워커힐 시그니처 양념 본갈비 300g, 8개</v>
      </c>
      <c r="AM221" s="395">
        <f t="shared" si="19"/>
        <v>46060</v>
      </c>
      <c r="AN221" s="396">
        <f t="shared" si="20"/>
        <v>1</v>
      </c>
      <c r="AO221" s="109">
        <f t="shared" si="21"/>
        <v>119000</v>
      </c>
      <c r="AP221" s="109">
        <f t="shared" si="22"/>
        <v>108181.81818181818</v>
      </c>
      <c r="AQ221" s="397">
        <f t="shared" si="23"/>
        <v>108181.81818181818</v>
      </c>
    </row>
    <row r="222" spans="1:43" ht="24">
      <c r="A222" s="436" t="s">
        <v>4103</v>
      </c>
      <c r="B222" s="436" t="s">
        <v>3490</v>
      </c>
      <c r="C222" s="437" t="s">
        <v>3491</v>
      </c>
      <c r="D222" s="436" t="s">
        <v>4101</v>
      </c>
      <c r="E222" s="437" t="s">
        <v>4102</v>
      </c>
      <c r="F222" s="436" t="s">
        <v>3494</v>
      </c>
      <c r="G222" s="436" t="s">
        <v>3495</v>
      </c>
      <c r="H222" s="437" t="s">
        <v>3496</v>
      </c>
      <c r="I222" s="436" t="s">
        <v>3497</v>
      </c>
      <c r="J222" s="437" t="s">
        <v>3498</v>
      </c>
      <c r="K222" s="437" t="s">
        <v>3499</v>
      </c>
      <c r="L222" s="436" t="s">
        <v>3500</v>
      </c>
      <c r="M222" s="436" t="s">
        <v>3524</v>
      </c>
      <c r="N222" s="436" t="s">
        <v>3502</v>
      </c>
      <c r="O222" s="438">
        <v>119000</v>
      </c>
      <c r="P222" s="438">
        <v>82110</v>
      </c>
      <c r="Q222" s="438">
        <v>1</v>
      </c>
      <c r="R222" s="438">
        <v>0</v>
      </c>
      <c r="S222" s="438">
        <v>0</v>
      </c>
      <c r="T222" s="438">
        <v>0</v>
      </c>
      <c r="U222" s="438">
        <v>0</v>
      </c>
      <c r="V222" s="438">
        <v>0</v>
      </c>
      <c r="W222" s="438">
        <v>31</v>
      </c>
      <c r="X222" s="438">
        <v>0</v>
      </c>
      <c r="Y222" s="438">
        <v>0</v>
      </c>
      <c r="Z222" s="438">
        <v>0</v>
      </c>
      <c r="AA222" s="438">
        <v>0</v>
      </c>
      <c r="AB222" s="438">
        <v>0</v>
      </c>
      <c r="AC222" s="438">
        <v>119000</v>
      </c>
      <c r="AD222" s="438">
        <v>82110</v>
      </c>
      <c r="AE222" s="438">
        <v>0</v>
      </c>
      <c r="AF222" s="438">
        <v>0</v>
      </c>
      <c r="AG222" s="438">
        <v>119000</v>
      </c>
      <c r="AH222" s="438">
        <v>82110</v>
      </c>
      <c r="AI222" s="438">
        <v>33536</v>
      </c>
      <c r="AJ222" s="438">
        <v>3354</v>
      </c>
      <c r="AK222" s="438">
        <v>36890</v>
      </c>
      <c r="AL222" s="414" t="str">
        <f t="shared" si="18"/>
        <v>워커힐 시그니처 양념 본갈비 300g, 8개</v>
      </c>
      <c r="AM222" s="395">
        <f t="shared" si="19"/>
        <v>46060</v>
      </c>
      <c r="AN222" s="396">
        <f t="shared" si="20"/>
        <v>1</v>
      </c>
      <c r="AO222" s="109">
        <f t="shared" si="21"/>
        <v>119000</v>
      </c>
      <c r="AP222" s="109">
        <f t="shared" si="22"/>
        <v>108181.81818181818</v>
      </c>
      <c r="AQ222" s="397">
        <f t="shared" si="23"/>
        <v>108181.81818181818</v>
      </c>
    </row>
    <row r="223" spans="1:43" ht="24">
      <c r="A223" s="436" t="s">
        <v>4106</v>
      </c>
      <c r="B223" s="436" t="s">
        <v>3490</v>
      </c>
      <c r="C223" s="437" t="s">
        <v>3491</v>
      </c>
      <c r="D223" s="436" t="s">
        <v>4104</v>
      </c>
      <c r="E223" s="437" t="s">
        <v>4105</v>
      </c>
      <c r="F223" s="436" t="s">
        <v>3494</v>
      </c>
      <c r="G223" s="436" t="s">
        <v>3495</v>
      </c>
      <c r="H223" s="437" t="s">
        <v>3496</v>
      </c>
      <c r="I223" s="436" t="s">
        <v>3497</v>
      </c>
      <c r="J223" s="437" t="s">
        <v>3498</v>
      </c>
      <c r="K223" s="437" t="s">
        <v>3499</v>
      </c>
      <c r="L223" s="436" t="s">
        <v>3500</v>
      </c>
      <c r="M223" s="436" t="s">
        <v>3524</v>
      </c>
      <c r="N223" s="436" t="s">
        <v>3502</v>
      </c>
      <c r="O223" s="438">
        <v>119000</v>
      </c>
      <c r="P223" s="438">
        <v>82110</v>
      </c>
      <c r="Q223" s="438">
        <v>1</v>
      </c>
      <c r="R223" s="438">
        <v>0</v>
      </c>
      <c r="S223" s="438">
        <v>0</v>
      </c>
      <c r="T223" s="438">
        <v>0</v>
      </c>
      <c r="U223" s="438">
        <v>0</v>
      </c>
      <c r="V223" s="438">
        <v>0</v>
      </c>
      <c r="W223" s="438">
        <v>31</v>
      </c>
      <c r="X223" s="438">
        <v>0</v>
      </c>
      <c r="Y223" s="438">
        <v>0</v>
      </c>
      <c r="Z223" s="438">
        <v>0</v>
      </c>
      <c r="AA223" s="438">
        <v>0</v>
      </c>
      <c r="AB223" s="438">
        <v>0</v>
      </c>
      <c r="AC223" s="438">
        <v>119000</v>
      </c>
      <c r="AD223" s="438">
        <v>82110</v>
      </c>
      <c r="AE223" s="438">
        <v>0</v>
      </c>
      <c r="AF223" s="438">
        <v>0</v>
      </c>
      <c r="AG223" s="438">
        <v>119000</v>
      </c>
      <c r="AH223" s="438">
        <v>82110</v>
      </c>
      <c r="AI223" s="438">
        <v>33536</v>
      </c>
      <c r="AJ223" s="438">
        <v>3354</v>
      </c>
      <c r="AK223" s="438">
        <v>36890</v>
      </c>
      <c r="AL223" s="414" t="str">
        <f t="shared" si="18"/>
        <v>워커힐 시그니처 양념 본갈비 300g, 8개</v>
      </c>
      <c r="AM223" s="395">
        <f t="shared" si="19"/>
        <v>46060</v>
      </c>
      <c r="AN223" s="396">
        <f t="shared" si="20"/>
        <v>1</v>
      </c>
      <c r="AO223" s="109">
        <f t="shared" si="21"/>
        <v>119000</v>
      </c>
      <c r="AP223" s="109">
        <f t="shared" si="22"/>
        <v>108181.81818181818</v>
      </c>
      <c r="AQ223" s="397">
        <f t="shared" si="23"/>
        <v>108181.81818181818</v>
      </c>
    </row>
    <row r="224" spans="1:43" ht="24">
      <c r="A224" s="436" t="s">
        <v>4108</v>
      </c>
      <c r="B224" s="436" t="s">
        <v>3490</v>
      </c>
      <c r="C224" s="437" t="s">
        <v>3491</v>
      </c>
      <c r="D224" s="436" t="s">
        <v>4009</v>
      </c>
      <c r="E224" s="437" t="s">
        <v>4010</v>
      </c>
      <c r="F224" s="436" t="s">
        <v>3494</v>
      </c>
      <c r="G224" s="436" t="s">
        <v>3495</v>
      </c>
      <c r="H224" s="437" t="s">
        <v>3496</v>
      </c>
      <c r="I224" s="436" t="s">
        <v>3497</v>
      </c>
      <c r="J224" s="437" t="s">
        <v>3498</v>
      </c>
      <c r="K224" s="437" t="s">
        <v>3499</v>
      </c>
      <c r="L224" s="436" t="s">
        <v>3500</v>
      </c>
      <c r="M224" s="436" t="s">
        <v>3524</v>
      </c>
      <c r="N224" s="436" t="s">
        <v>3502</v>
      </c>
      <c r="O224" s="438">
        <v>119000</v>
      </c>
      <c r="P224" s="438">
        <v>82110</v>
      </c>
      <c r="Q224" s="438">
        <v>1</v>
      </c>
      <c r="R224" s="438">
        <v>0</v>
      </c>
      <c r="S224" s="438">
        <v>0</v>
      </c>
      <c r="T224" s="438">
        <v>0</v>
      </c>
      <c r="U224" s="438">
        <v>0</v>
      </c>
      <c r="V224" s="438">
        <v>0</v>
      </c>
      <c r="W224" s="438">
        <v>31</v>
      </c>
      <c r="X224" s="438">
        <v>0</v>
      </c>
      <c r="Y224" s="438">
        <v>0</v>
      </c>
      <c r="Z224" s="438">
        <v>0</v>
      </c>
      <c r="AA224" s="438">
        <v>0</v>
      </c>
      <c r="AB224" s="438">
        <v>0</v>
      </c>
      <c r="AC224" s="438">
        <v>119000</v>
      </c>
      <c r="AD224" s="438">
        <v>82110</v>
      </c>
      <c r="AE224" s="438">
        <v>0</v>
      </c>
      <c r="AF224" s="438">
        <v>0</v>
      </c>
      <c r="AG224" s="438">
        <v>119000</v>
      </c>
      <c r="AH224" s="438">
        <v>82110</v>
      </c>
      <c r="AI224" s="438">
        <v>33536</v>
      </c>
      <c r="AJ224" s="438">
        <v>3354</v>
      </c>
      <c r="AK224" s="438">
        <v>36890</v>
      </c>
      <c r="AL224" s="414" t="str">
        <f t="shared" si="18"/>
        <v>워커힐 시그니처 양념 본갈비 300g, 8개</v>
      </c>
      <c r="AM224" s="395">
        <f t="shared" si="19"/>
        <v>46060</v>
      </c>
      <c r="AN224" s="396">
        <f t="shared" si="20"/>
        <v>1</v>
      </c>
      <c r="AO224" s="109">
        <f t="shared" si="21"/>
        <v>119000</v>
      </c>
      <c r="AP224" s="109">
        <f t="shared" si="22"/>
        <v>108181.81818181818</v>
      </c>
      <c r="AQ224" s="397">
        <f t="shared" si="23"/>
        <v>108181.81818181818</v>
      </c>
    </row>
    <row r="225" spans="1:43" ht="24">
      <c r="A225" s="436" t="s">
        <v>4109</v>
      </c>
      <c r="B225" s="436" t="s">
        <v>3490</v>
      </c>
      <c r="C225" s="437" t="s">
        <v>3491</v>
      </c>
      <c r="D225" s="436" t="s">
        <v>4113</v>
      </c>
      <c r="E225" s="437" t="s">
        <v>4114</v>
      </c>
      <c r="F225" s="436" t="s">
        <v>3494</v>
      </c>
      <c r="G225" s="436" t="s">
        <v>3495</v>
      </c>
      <c r="H225" s="437" t="s">
        <v>3496</v>
      </c>
      <c r="I225" s="436" t="s">
        <v>3497</v>
      </c>
      <c r="J225" s="437" t="s">
        <v>3498</v>
      </c>
      <c r="K225" s="437" t="s">
        <v>3499</v>
      </c>
      <c r="L225" s="436" t="s">
        <v>3500</v>
      </c>
      <c r="M225" s="436" t="s">
        <v>3524</v>
      </c>
      <c r="N225" s="436" t="s">
        <v>3502</v>
      </c>
      <c r="O225" s="438">
        <v>119000</v>
      </c>
      <c r="P225" s="438">
        <v>82110</v>
      </c>
      <c r="Q225" s="438">
        <v>1</v>
      </c>
      <c r="R225" s="438">
        <v>0</v>
      </c>
      <c r="S225" s="438">
        <v>0</v>
      </c>
      <c r="T225" s="438">
        <v>0</v>
      </c>
      <c r="U225" s="438">
        <v>0</v>
      </c>
      <c r="V225" s="438">
        <v>0</v>
      </c>
      <c r="W225" s="438">
        <v>31</v>
      </c>
      <c r="X225" s="438">
        <v>0</v>
      </c>
      <c r="Y225" s="438">
        <v>0</v>
      </c>
      <c r="Z225" s="438">
        <v>0</v>
      </c>
      <c r="AA225" s="438">
        <v>0</v>
      </c>
      <c r="AB225" s="438">
        <v>0</v>
      </c>
      <c r="AC225" s="438">
        <v>119000</v>
      </c>
      <c r="AD225" s="438">
        <v>82110</v>
      </c>
      <c r="AE225" s="438">
        <v>0</v>
      </c>
      <c r="AF225" s="438">
        <v>0</v>
      </c>
      <c r="AG225" s="438">
        <v>119000</v>
      </c>
      <c r="AH225" s="438">
        <v>82110</v>
      </c>
      <c r="AI225" s="438">
        <v>33536</v>
      </c>
      <c r="AJ225" s="438">
        <v>3354</v>
      </c>
      <c r="AK225" s="438">
        <v>36890</v>
      </c>
      <c r="AL225" s="414" t="str">
        <f t="shared" si="18"/>
        <v>워커힐 시그니처 양념 본갈비 300g, 8개</v>
      </c>
      <c r="AM225" s="395">
        <f t="shared" si="19"/>
        <v>46060</v>
      </c>
      <c r="AN225" s="396">
        <f t="shared" si="20"/>
        <v>1</v>
      </c>
      <c r="AO225" s="109">
        <f t="shared" si="21"/>
        <v>119000</v>
      </c>
      <c r="AP225" s="109">
        <f t="shared" si="22"/>
        <v>108181.81818181818</v>
      </c>
      <c r="AQ225" s="397">
        <f t="shared" si="23"/>
        <v>108181.81818181818</v>
      </c>
    </row>
    <row r="226" spans="1:43" ht="24">
      <c r="A226" s="436" t="s">
        <v>4112</v>
      </c>
      <c r="B226" s="436" t="s">
        <v>3490</v>
      </c>
      <c r="C226" s="437" t="s">
        <v>3491</v>
      </c>
      <c r="D226" s="436" t="s">
        <v>3989</v>
      </c>
      <c r="E226" s="437" t="s">
        <v>3990</v>
      </c>
      <c r="F226" s="436" t="s">
        <v>3494</v>
      </c>
      <c r="G226" s="436" t="s">
        <v>3495</v>
      </c>
      <c r="H226" s="437" t="s">
        <v>3496</v>
      </c>
      <c r="I226" s="436" t="s">
        <v>3497</v>
      </c>
      <c r="J226" s="437" t="s">
        <v>3498</v>
      </c>
      <c r="K226" s="437" t="s">
        <v>3499</v>
      </c>
      <c r="L226" s="436" t="s">
        <v>3500</v>
      </c>
      <c r="M226" s="436" t="s">
        <v>3524</v>
      </c>
      <c r="N226" s="436" t="s">
        <v>3502</v>
      </c>
      <c r="O226" s="438">
        <v>119000</v>
      </c>
      <c r="P226" s="438">
        <v>82110</v>
      </c>
      <c r="Q226" s="438">
        <v>1</v>
      </c>
      <c r="R226" s="438">
        <v>0</v>
      </c>
      <c r="S226" s="438">
        <v>0</v>
      </c>
      <c r="T226" s="438">
        <v>0</v>
      </c>
      <c r="U226" s="438">
        <v>0</v>
      </c>
      <c r="V226" s="438">
        <v>0</v>
      </c>
      <c r="W226" s="438">
        <v>31</v>
      </c>
      <c r="X226" s="438">
        <v>0</v>
      </c>
      <c r="Y226" s="438">
        <v>0</v>
      </c>
      <c r="Z226" s="438">
        <v>0</v>
      </c>
      <c r="AA226" s="438">
        <v>0</v>
      </c>
      <c r="AB226" s="438">
        <v>0</v>
      </c>
      <c r="AC226" s="438">
        <v>119000</v>
      </c>
      <c r="AD226" s="438">
        <v>82110</v>
      </c>
      <c r="AE226" s="438">
        <v>0</v>
      </c>
      <c r="AF226" s="438">
        <v>0</v>
      </c>
      <c r="AG226" s="438">
        <v>119000</v>
      </c>
      <c r="AH226" s="438">
        <v>82110</v>
      </c>
      <c r="AI226" s="438">
        <v>33536</v>
      </c>
      <c r="AJ226" s="438">
        <v>3354</v>
      </c>
      <c r="AK226" s="438">
        <v>36890</v>
      </c>
      <c r="AL226" s="414" t="str">
        <f t="shared" si="18"/>
        <v>워커힐 시그니처 양념 본갈비 300g, 8개</v>
      </c>
      <c r="AM226" s="395">
        <f t="shared" si="19"/>
        <v>46060</v>
      </c>
      <c r="AN226" s="396">
        <f t="shared" si="20"/>
        <v>1</v>
      </c>
      <c r="AO226" s="109">
        <f t="shared" si="21"/>
        <v>119000</v>
      </c>
      <c r="AP226" s="109">
        <f t="shared" si="22"/>
        <v>108181.81818181818</v>
      </c>
      <c r="AQ226" s="397">
        <f t="shared" si="23"/>
        <v>108181.81818181818</v>
      </c>
    </row>
    <row r="227" spans="1:43" ht="24">
      <c r="A227" s="436" t="s">
        <v>4115</v>
      </c>
      <c r="B227" s="436" t="s">
        <v>3490</v>
      </c>
      <c r="C227" s="437" t="s">
        <v>3491</v>
      </c>
      <c r="D227" s="436" t="s">
        <v>4119</v>
      </c>
      <c r="E227" s="437" t="s">
        <v>4120</v>
      </c>
      <c r="F227" s="436" t="s">
        <v>3494</v>
      </c>
      <c r="G227" s="436" t="s">
        <v>3495</v>
      </c>
      <c r="H227" s="437" t="s">
        <v>3496</v>
      </c>
      <c r="I227" s="436" t="s">
        <v>3497</v>
      </c>
      <c r="J227" s="437" t="s">
        <v>3498</v>
      </c>
      <c r="K227" s="437" t="s">
        <v>3499</v>
      </c>
      <c r="L227" s="436" t="s">
        <v>3500</v>
      </c>
      <c r="M227" s="436" t="s">
        <v>3524</v>
      </c>
      <c r="N227" s="436" t="s">
        <v>3502</v>
      </c>
      <c r="O227" s="438">
        <v>119000</v>
      </c>
      <c r="P227" s="438">
        <v>82110</v>
      </c>
      <c r="Q227" s="438">
        <v>1</v>
      </c>
      <c r="R227" s="438">
        <v>0</v>
      </c>
      <c r="S227" s="438">
        <v>0</v>
      </c>
      <c r="T227" s="438">
        <v>0</v>
      </c>
      <c r="U227" s="438">
        <v>0</v>
      </c>
      <c r="V227" s="438">
        <v>0</v>
      </c>
      <c r="W227" s="438">
        <v>31</v>
      </c>
      <c r="X227" s="438">
        <v>0</v>
      </c>
      <c r="Y227" s="438">
        <v>0</v>
      </c>
      <c r="Z227" s="438">
        <v>0</v>
      </c>
      <c r="AA227" s="438">
        <v>0</v>
      </c>
      <c r="AB227" s="438">
        <v>5950</v>
      </c>
      <c r="AC227" s="438">
        <v>119000</v>
      </c>
      <c r="AD227" s="438">
        <v>82110</v>
      </c>
      <c r="AE227" s="438">
        <v>0</v>
      </c>
      <c r="AF227" s="438">
        <v>5950</v>
      </c>
      <c r="AG227" s="438">
        <v>113050</v>
      </c>
      <c r="AH227" s="438">
        <v>82110</v>
      </c>
      <c r="AI227" s="438">
        <v>28127</v>
      </c>
      <c r="AJ227" s="438">
        <v>2813</v>
      </c>
      <c r="AK227" s="438">
        <v>30940</v>
      </c>
      <c r="AL227" s="414" t="str">
        <f t="shared" si="18"/>
        <v>워커힐 시그니처 양념 본갈비 300g, 8개</v>
      </c>
      <c r="AM227" s="395">
        <f t="shared" si="19"/>
        <v>46060</v>
      </c>
      <c r="AN227" s="396">
        <f t="shared" si="20"/>
        <v>1</v>
      </c>
      <c r="AO227" s="109">
        <f t="shared" si="21"/>
        <v>119000</v>
      </c>
      <c r="AP227" s="109">
        <f t="shared" si="22"/>
        <v>108181.81818181818</v>
      </c>
      <c r="AQ227" s="397">
        <f t="shared" si="23"/>
        <v>108181.81818181818</v>
      </c>
    </row>
    <row r="228" spans="1:43" ht="24">
      <c r="A228" s="436" t="s">
        <v>4118</v>
      </c>
      <c r="B228" s="436" t="s">
        <v>3490</v>
      </c>
      <c r="C228" s="437" t="s">
        <v>3491</v>
      </c>
      <c r="D228" s="436" t="s">
        <v>4122</v>
      </c>
      <c r="E228" s="437" t="s">
        <v>4123</v>
      </c>
      <c r="F228" s="436" t="s">
        <v>3494</v>
      </c>
      <c r="G228" s="436" t="s">
        <v>3495</v>
      </c>
      <c r="H228" s="437" t="s">
        <v>3496</v>
      </c>
      <c r="I228" s="436" t="s">
        <v>3497</v>
      </c>
      <c r="J228" s="437" t="s">
        <v>3498</v>
      </c>
      <c r="K228" s="437" t="s">
        <v>3499</v>
      </c>
      <c r="L228" s="436" t="s">
        <v>3500</v>
      </c>
      <c r="M228" s="436" t="s">
        <v>3524</v>
      </c>
      <c r="N228" s="436" t="s">
        <v>3502</v>
      </c>
      <c r="O228" s="438">
        <v>119000</v>
      </c>
      <c r="P228" s="438">
        <v>82110</v>
      </c>
      <c r="Q228" s="438">
        <v>1</v>
      </c>
      <c r="R228" s="438">
        <v>0</v>
      </c>
      <c r="S228" s="438">
        <v>0</v>
      </c>
      <c r="T228" s="438">
        <v>0</v>
      </c>
      <c r="U228" s="438">
        <v>0</v>
      </c>
      <c r="V228" s="438">
        <v>0</v>
      </c>
      <c r="W228" s="438">
        <v>31</v>
      </c>
      <c r="X228" s="438">
        <v>0</v>
      </c>
      <c r="Y228" s="438">
        <v>0</v>
      </c>
      <c r="Z228" s="438">
        <v>0</v>
      </c>
      <c r="AA228" s="438">
        <v>0</v>
      </c>
      <c r="AB228" s="438">
        <v>0</v>
      </c>
      <c r="AC228" s="438">
        <v>119000</v>
      </c>
      <c r="AD228" s="438">
        <v>82110</v>
      </c>
      <c r="AE228" s="438">
        <v>0</v>
      </c>
      <c r="AF228" s="438">
        <v>0</v>
      </c>
      <c r="AG228" s="438">
        <v>119000</v>
      </c>
      <c r="AH228" s="438">
        <v>82110</v>
      </c>
      <c r="AI228" s="438">
        <v>33536</v>
      </c>
      <c r="AJ228" s="438">
        <v>3354</v>
      </c>
      <c r="AK228" s="438">
        <v>36890</v>
      </c>
      <c r="AL228" s="414" t="str">
        <f t="shared" si="18"/>
        <v>워커힐 시그니처 양념 본갈비 300g, 8개</v>
      </c>
      <c r="AM228" s="395">
        <f t="shared" si="19"/>
        <v>46060</v>
      </c>
      <c r="AN228" s="396">
        <f t="shared" si="20"/>
        <v>1</v>
      </c>
      <c r="AO228" s="109">
        <f t="shared" si="21"/>
        <v>119000</v>
      </c>
      <c r="AP228" s="109">
        <f t="shared" si="22"/>
        <v>108181.81818181818</v>
      </c>
      <c r="AQ228" s="397">
        <f t="shared" si="23"/>
        <v>108181.81818181818</v>
      </c>
    </row>
    <row r="229" spans="1:43" ht="24">
      <c r="A229" s="436" t="s">
        <v>4121</v>
      </c>
      <c r="B229" s="436" t="s">
        <v>3490</v>
      </c>
      <c r="C229" s="437" t="s">
        <v>3491</v>
      </c>
      <c r="D229" s="436" t="s">
        <v>3995</v>
      </c>
      <c r="E229" s="437" t="s">
        <v>3996</v>
      </c>
      <c r="F229" s="436" t="s">
        <v>3494</v>
      </c>
      <c r="G229" s="436" t="s">
        <v>3495</v>
      </c>
      <c r="H229" s="437" t="s">
        <v>3496</v>
      </c>
      <c r="I229" s="436" t="s">
        <v>3497</v>
      </c>
      <c r="J229" s="437" t="s">
        <v>3498</v>
      </c>
      <c r="K229" s="437" t="s">
        <v>3499</v>
      </c>
      <c r="L229" s="436" t="s">
        <v>3500</v>
      </c>
      <c r="M229" s="436" t="s">
        <v>3524</v>
      </c>
      <c r="N229" s="436" t="s">
        <v>3502</v>
      </c>
      <c r="O229" s="438">
        <v>119000</v>
      </c>
      <c r="P229" s="438">
        <v>82110</v>
      </c>
      <c r="Q229" s="438">
        <v>1</v>
      </c>
      <c r="R229" s="438">
        <v>0</v>
      </c>
      <c r="S229" s="438">
        <v>0</v>
      </c>
      <c r="T229" s="438">
        <v>0</v>
      </c>
      <c r="U229" s="438">
        <v>0</v>
      </c>
      <c r="V229" s="438">
        <v>0</v>
      </c>
      <c r="W229" s="438">
        <v>31</v>
      </c>
      <c r="X229" s="438">
        <v>0</v>
      </c>
      <c r="Y229" s="438">
        <v>0</v>
      </c>
      <c r="Z229" s="438">
        <v>0</v>
      </c>
      <c r="AA229" s="438">
        <v>0</v>
      </c>
      <c r="AB229" s="438">
        <v>0</v>
      </c>
      <c r="AC229" s="438">
        <v>119000</v>
      </c>
      <c r="AD229" s="438">
        <v>82110</v>
      </c>
      <c r="AE229" s="438">
        <v>0</v>
      </c>
      <c r="AF229" s="438">
        <v>0</v>
      </c>
      <c r="AG229" s="438">
        <v>119000</v>
      </c>
      <c r="AH229" s="438">
        <v>82110</v>
      </c>
      <c r="AI229" s="438">
        <v>33536</v>
      </c>
      <c r="AJ229" s="438">
        <v>3354</v>
      </c>
      <c r="AK229" s="438">
        <v>36890</v>
      </c>
      <c r="AL229" s="414" t="str">
        <f t="shared" si="18"/>
        <v>워커힐 시그니처 양념 본갈비 300g, 8개</v>
      </c>
      <c r="AM229" s="395">
        <f t="shared" si="19"/>
        <v>46060</v>
      </c>
      <c r="AN229" s="396">
        <f t="shared" si="20"/>
        <v>1</v>
      </c>
      <c r="AO229" s="109">
        <f t="shared" si="21"/>
        <v>119000</v>
      </c>
      <c r="AP229" s="109">
        <f t="shared" si="22"/>
        <v>108181.81818181818</v>
      </c>
      <c r="AQ229" s="397">
        <f t="shared" si="23"/>
        <v>108181.81818181818</v>
      </c>
    </row>
    <row r="230" spans="1:43" ht="24">
      <c r="A230" s="436" t="s">
        <v>4124</v>
      </c>
      <c r="B230" s="436" t="s">
        <v>3490</v>
      </c>
      <c r="C230" s="437" t="s">
        <v>3491</v>
      </c>
      <c r="D230" s="436" t="s">
        <v>4130</v>
      </c>
      <c r="E230" s="437" t="s">
        <v>3796</v>
      </c>
      <c r="F230" s="436" t="s">
        <v>3494</v>
      </c>
      <c r="G230" s="436" t="s">
        <v>3495</v>
      </c>
      <c r="H230" s="437" t="s">
        <v>3496</v>
      </c>
      <c r="I230" s="436" t="s">
        <v>3497</v>
      </c>
      <c r="J230" s="437" t="s">
        <v>3498</v>
      </c>
      <c r="K230" s="437" t="s">
        <v>3499</v>
      </c>
      <c r="L230" s="436" t="s">
        <v>3500</v>
      </c>
      <c r="M230" s="436" t="s">
        <v>3524</v>
      </c>
      <c r="N230" s="436" t="s">
        <v>3502</v>
      </c>
      <c r="O230" s="438">
        <v>119000</v>
      </c>
      <c r="P230" s="438">
        <v>82110</v>
      </c>
      <c r="Q230" s="438">
        <v>1</v>
      </c>
      <c r="R230" s="438">
        <v>0</v>
      </c>
      <c r="S230" s="438">
        <v>0</v>
      </c>
      <c r="T230" s="438">
        <v>0</v>
      </c>
      <c r="U230" s="438">
        <v>0</v>
      </c>
      <c r="V230" s="438">
        <v>0</v>
      </c>
      <c r="W230" s="438">
        <v>31</v>
      </c>
      <c r="X230" s="438">
        <v>0</v>
      </c>
      <c r="Y230" s="438">
        <v>0</v>
      </c>
      <c r="Z230" s="438">
        <v>0</v>
      </c>
      <c r="AA230" s="438">
        <v>0</v>
      </c>
      <c r="AB230" s="438">
        <v>0</v>
      </c>
      <c r="AC230" s="438">
        <v>119000</v>
      </c>
      <c r="AD230" s="438">
        <v>82110</v>
      </c>
      <c r="AE230" s="438">
        <v>0</v>
      </c>
      <c r="AF230" s="438">
        <v>0</v>
      </c>
      <c r="AG230" s="438">
        <v>119000</v>
      </c>
      <c r="AH230" s="438">
        <v>82110</v>
      </c>
      <c r="AI230" s="438">
        <v>33536</v>
      </c>
      <c r="AJ230" s="438">
        <v>3354</v>
      </c>
      <c r="AK230" s="438">
        <v>36890</v>
      </c>
      <c r="AL230" s="414" t="str">
        <f t="shared" si="18"/>
        <v>워커힐 시그니처 양념 본갈비 300g, 8개</v>
      </c>
      <c r="AM230" s="395">
        <f t="shared" si="19"/>
        <v>46060</v>
      </c>
      <c r="AN230" s="396">
        <f t="shared" si="20"/>
        <v>1</v>
      </c>
      <c r="AO230" s="109">
        <f t="shared" si="21"/>
        <v>119000</v>
      </c>
      <c r="AP230" s="109">
        <f t="shared" si="22"/>
        <v>108181.81818181818</v>
      </c>
      <c r="AQ230" s="397">
        <f t="shared" si="23"/>
        <v>108181.81818181818</v>
      </c>
    </row>
    <row r="231" spans="1:43" ht="24">
      <c r="A231" s="436" t="s">
        <v>4126</v>
      </c>
      <c r="B231" s="436" t="s">
        <v>3490</v>
      </c>
      <c r="C231" s="437" t="s">
        <v>3491</v>
      </c>
      <c r="D231" s="436" t="s">
        <v>3998</v>
      </c>
      <c r="E231" s="437" t="s">
        <v>3999</v>
      </c>
      <c r="F231" s="436" t="s">
        <v>3494</v>
      </c>
      <c r="G231" s="436" t="s">
        <v>3495</v>
      </c>
      <c r="H231" s="437" t="s">
        <v>3496</v>
      </c>
      <c r="I231" s="436" t="s">
        <v>3497</v>
      </c>
      <c r="J231" s="437" t="s">
        <v>3498</v>
      </c>
      <c r="K231" s="437" t="s">
        <v>3499</v>
      </c>
      <c r="L231" s="436" t="s">
        <v>3500</v>
      </c>
      <c r="M231" s="436" t="s">
        <v>3524</v>
      </c>
      <c r="N231" s="436" t="s">
        <v>3502</v>
      </c>
      <c r="O231" s="438">
        <v>119000</v>
      </c>
      <c r="P231" s="438">
        <v>82110</v>
      </c>
      <c r="Q231" s="438">
        <v>1</v>
      </c>
      <c r="R231" s="438">
        <v>0</v>
      </c>
      <c r="S231" s="438">
        <v>0</v>
      </c>
      <c r="T231" s="438">
        <v>0</v>
      </c>
      <c r="U231" s="438">
        <v>0</v>
      </c>
      <c r="V231" s="438">
        <v>0</v>
      </c>
      <c r="W231" s="438">
        <v>31</v>
      </c>
      <c r="X231" s="438">
        <v>0</v>
      </c>
      <c r="Y231" s="438">
        <v>0</v>
      </c>
      <c r="Z231" s="438">
        <v>0</v>
      </c>
      <c r="AA231" s="438">
        <v>0</v>
      </c>
      <c r="AB231" s="438">
        <v>0</v>
      </c>
      <c r="AC231" s="438">
        <v>119000</v>
      </c>
      <c r="AD231" s="438">
        <v>82110</v>
      </c>
      <c r="AE231" s="438">
        <v>0</v>
      </c>
      <c r="AF231" s="438">
        <v>0</v>
      </c>
      <c r="AG231" s="438">
        <v>119000</v>
      </c>
      <c r="AH231" s="438">
        <v>82110</v>
      </c>
      <c r="AI231" s="438">
        <v>33536</v>
      </c>
      <c r="AJ231" s="438">
        <v>3354</v>
      </c>
      <c r="AK231" s="438">
        <v>36890</v>
      </c>
      <c r="AL231" s="414" t="str">
        <f t="shared" si="18"/>
        <v>워커힐 시그니처 양념 본갈비 300g, 8개</v>
      </c>
      <c r="AM231" s="395">
        <f t="shared" si="19"/>
        <v>46060</v>
      </c>
      <c r="AN231" s="396">
        <f t="shared" si="20"/>
        <v>1</v>
      </c>
      <c r="AO231" s="109">
        <f t="shared" si="21"/>
        <v>119000</v>
      </c>
      <c r="AP231" s="109">
        <f t="shared" si="22"/>
        <v>108181.81818181818</v>
      </c>
      <c r="AQ231" s="397">
        <f t="shared" si="23"/>
        <v>108181.81818181818</v>
      </c>
    </row>
    <row r="232" spans="1:43" ht="24">
      <c r="A232" s="436" t="s">
        <v>4129</v>
      </c>
      <c r="B232" s="436" t="s">
        <v>3490</v>
      </c>
      <c r="C232" s="437" t="s">
        <v>3491</v>
      </c>
      <c r="D232" s="436" t="s">
        <v>3998</v>
      </c>
      <c r="E232" s="437" t="s">
        <v>3999</v>
      </c>
      <c r="F232" s="436" t="s">
        <v>3494</v>
      </c>
      <c r="G232" s="436" t="s">
        <v>3495</v>
      </c>
      <c r="H232" s="437" t="s">
        <v>3496</v>
      </c>
      <c r="I232" s="436" t="s">
        <v>3497</v>
      </c>
      <c r="J232" s="437" t="s">
        <v>3498</v>
      </c>
      <c r="K232" s="437" t="s">
        <v>3499</v>
      </c>
      <c r="L232" s="436" t="s">
        <v>3500</v>
      </c>
      <c r="M232" s="436" t="s">
        <v>3524</v>
      </c>
      <c r="N232" s="436" t="s">
        <v>3502</v>
      </c>
      <c r="O232" s="438">
        <v>119000</v>
      </c>
      <c r="P232" s="438">
        <v>82110</v>
      </c>
      <c r="Q232" s="438">
        <v>1</v>
      </c>
      <c r="R232" s="438">
        <v>0</v>
      </c>
      <c r="S232" s="438">
        <v>0</v>
      </c>
      <c r="T232" s="438">
        <v>0</v>
      </c>
      <c r="U232" s="438">
        <v>0</v>
      </c>
      <c r="V232" s="438">
        <v>0</v>
      </c>
      <c r="W232" s="438">
        <v>31</v>
      </c>
      <c r="X232" s="438">
        <v>0</v>
      </c>
      <c r="Y232" s="438">
        <v>0</v>
      </c>
      <c r="Z232" s="438">
        <v>0</v>
      </c>
      <c r="AA232" s="438">
        <v>0</v>
      </c>
      <c r="AB232" s="438">
        <v>0</v>
      </c>
      <c r="AC232" s="438">
        <v>119000</v>
      </c>
      <c r="AD232" s="438">
        <v>82110</v>
      </c>
      <c r="AE232" s="438">
        <v>0</v>
      </c>
      <c r="AF232" s="438">
        <v>0</v>
      </c>
      <c r="AG232" s="438">
        <v>119000</v>
      </c>
      <c r="AH232" s="438">
        <v>82110</v>
      </c>
      <c r="AI232" s="438">
        <v>33536</v>
      </c>
      <c r="AJ232" s="438">
        <v>3354</v>
      </c>
      <c r="AK232" s="438">
        <v>36890</v>
      </c>
      <c r="AL232" s="414" t="str">
        <f t="shared" si="18"/>
        <v>워커힐 시그니처 양념 본갈비 300g, 8개</v>
      </c>
      <c r="AM232" s="395">
        <f t="shared" si="19"/>
        <v>46060</v>
      </c>
      <c r="AN232" s="396">
        <f t="shared" si="20"/>
        <v>1</v>
      </c>
      <c r="AO232" s="109">
        <f t="shared" si="21"/>
        <v>119000</v>
      </c>
      <c r="AP232" s="109">
        <f t="shared" si="22"/>
        <v>108181.81818181818</v>
      </c>
      <c r="AQ232" s="397">
        <f t="shared" si="23"/>
        <v>108181.81818181818</v>
      </c>
    </row>
    <row r="233" spans="1:43" ht="24">
      <c r="A233" s="436" t="s">
        <v>4131</v>
      </c>
      <c r="B233" s="436" t="s">
        <v>3490</v>
      </c>
      <c r="C233" s="437" t="s">
        <v>3491</v>
      </c>
      <c r="D233" s="436" t="s">
        <v>3730</v>
      </c>
      <c r="E233" s="437" t="s">
        <v>3731</v>
      </c>
      <c r="F233" s="436" t="s">
        <v>3494</v>
      </c>
      <c r="G233" s="436" t="s">
        <v>3495</v>
      </c>
      <c r="H233" s="437" t="s">
        <v>3496</v>
      </c>
      <c r="I233" s="436" t="s">
        <v>3497</v>
      </c>
      <c r="J233" s="437" t="s">
        <v>3498</v>
      </c>
      <c r="K233" s="437" t="s">
        <v>3499</v>
      </c>
      <c r="L233" s="436" t="s">
        <v>3500</v>
      </c>
      <c r="M233" s="436" t="s">
        <v>3524</v>
      </c>
      <c r="N233" s="436" t="s">
        <v>3502</v>
      </c>
      <c r="O233" s="438">
        <v>119000</v>
      </c>
      <c r="P233" s="438">
        <v>82110</v>
      </c>
      <c r="Q233" s="438">
        <v>1</v>
      </c>
      <c r="R233" s="438">
        <v>0</v>
      </c>
      <c r="S233" s="438">
        <v>0</v>
      </c>
      <c r="T233" s="438">
        <v>0</v>
      </c>
      <c r="U233" s="438">
        <v>0</v>
      </c>
      <c r="V233" s="438">
        <v>0</v>
      </c>
      <c r="W233" s="438">
        <v>31</v>
      </c>
      <c r="X233" s="438">
        <v>0</v>
      </c>
      <c r="Y233" s="438">
        <v>0</v>
      </c>
      <c r="Z233" s="438">
        <v>0</v>
      </c>
      <c r="AA233" s="438">
        <v>0</v>
      </c>
      <c r="AB233" s="438">
        <v>0</v>
      </c>
      <c r="AC233" s="438">
        <v>119000</v>
      </c>
      <c r="AD233" s="438">
        <v>82110</v>
      </c>
      <c r="AE233" s="438">
        <v>0</v>
      </c>
      <c r="AF233" s="438">
        <v>0</v>
      </c>
      <c r="AG233" s="438">
        <v>119000</v>
      </c>
      <c r="AH233" s="438">
        <v>82110</v>
      </c>
      <c r="AI233" s="438">
        <v>33536</v>
      </c>
      <c r="AJ233" s="438">
        <v>3354</v>
      </c>
      <c r="AK233" s="438">
        <v>36890</v>
      </c>
      <c r="AL233" s="414" t="str">
        <f t="shared" si="18"/>
        <v>워커힐 시그니처 양념 본갈비 300g, 8개</v>
      </c>
      <c r="AM233" s="395">
        <f t="shared" si="19"/>
        <v>46060</v>
      </c>
      <c r="AN233" s="396">
        <f t="shared" si="20"/>
        <v>1</v>
      </c>
      <c r="AO233" s="109">
        <f t="shared" si="21"/>
        <v>119000</v>
      </c>
      <c r="AP233" s="109">
        <f t="shared" si="22"/>
        <v>108181.81818181818</v>
      </c>
      <c r="AQ233" s="397">
        <f t="shared" si="23"/>
        <v>108181.81818181818</v>
      </c>
    </row>
    <row r="234" spans="1:43" ht="24">
      <c r="A234" s="436" t="s">
        <v>4133</v>
      </c>
      <c r="B234" s="436" t="s">
        <v>3490</v>
      </c>
      <c r="C234" s="437" t="s">
        <v>3491</v>
      </c>
      <c r="D234" s="436" t="s">
        <v>4144</v>
      </c>
      <c r="E234" s="437" t="s">
        <v>4145</v>
      </c>
      <c r="F234" s="436" t="s">
        <v>3494</v>
      </c>
      <c r="G234" s="436" t="s">
        <v>3495</v>
      </c>
      <c r="H234" s="437" t="s">
        <v>3496</v>
      </c>
      <c r="I234" s="436" t="s">
        <v>3497</v>
      </c>
      <c r="J234" s="437" t="s">
        <v>3498</v>
      </c>
      <c r="K234" s="437" t="s">
        <v>3499</v>
      </c>
      <c r="L234" s="436" t="s">
        <v>3500</v>
      </c>
      <c r="M234" s="436" t="s">
        <v>3524</v>
      </c>
      <c r="N234" s="436" t="s">
        <v>3502</v>
      </c>
      <c r="O234" s="438">
        <v>119000</v>
      </c>
      <c r="P234" s="438">
        <v>82110</v>
      </c>
      <c r="Q234" s="438">
        <v>1</v>
      </c>
      <c r="R234" s="438">
        <v>0</v>
      </c>
      <c r="S234" s="438">
        <v>0</v>
      </c>
      <c r="T234" s="438">
        <v>0</v>
      </c>
      <c r="U234" s="438">
        <v>0</v>
      </c>
      <c r="V234" s="438">
        <v>0</v>
      </c>
      <c r="W234" s="438">
        <v>31</v>
      </c>
      <c r="X234" s="438">
        <v>0</v>
      </c>
      <c r="Y234" s="438">
        <v>0</v>
      </c>
      <c r="Z234" s="438">
        <v>0</v>
      </c>
      <c r="AA234" s="438">
        <v>0</v>
      </c>
      <c r="AB234" s="438">
        <v>0</v>
      </c>
      <c r="AC234" s="438">
        <v>119000</v>
      </c>
      <c r="AD234" s="438">
        <v>82110</v>
      </c>
      <c r="AE234" s="438">
        <v>0</v>
      </c>
      <c r="AF234" s="438">
        <v>0</v>
      </c>
      <c r="AG234" s="438">
        <v>119000</v>
      </c>
      <c r="AH234" s="438">
        <v>82110</v>
      </c>
      <c r="AI234" s="438">
        <v>33536</v>
      </c>
      <c r="AJ234" s="438">
        <v>3354</v>
      </c>
      <c r="AK234" s="438">
        <v>36890</v>
      </c>
      <c r="AL234" s="414" t="str">
        <f t="shared" si="18"/>
        <v>워커힐 시그니처 양념 본갈비 300g, 8개</v>
      </c>
      <c r="AM234" s="395">
        <f t="shared" si="19"/>
        <v>46060</v>
      </c>
      <c r="AN234" s="396">
        <f t="shared" si="20"/>
        <v>1</v>
      </c>
      <c r="AO234" s="109">
        <f t="shared" si="21"/>
        <v>119000</v>
      </c>
      <c r="AP234" s="109">
        <f t="shared" si="22"/>
        <v>108181.81818181818</v>
      </c>
      <c r="AQ234" s="397">
        <f t="shared" si="23"/>
        <v>108181.81818181818</v>
      </c>
    </row>
    <row r="235" spans="1:43" ht="24">
      <c r="A235" s="436" t="s">
        <v>4136</v>
      </c>
      <c r="B235" s="436" t="s">
        <v>3490</v>
      </c>
      <c r="C235" s="437" t="s">
        <v>3491</v>
      </c>
      <c r="D235" s="436" t="s">
        <v>4147</v>
      </c>
      <c r="E235" s="437" t="s">
        <v>4148</v>
      </c>
      <c r="F235" s="436" t="s">
        <v>3494</v>
      </c>
      <c r="G235" s="436" t="s">
        <v>3495</v>
      </c>
      <c r="H235" s="437" t="s">
        <v>3496</v>
      </c>
      <c r="I235" s="436" t="s">
        <v>3497</v>
      </c>
      <c r="J235" s="437" t="s">
        <v>3498</v>
      </c>
      <c r="K235" s="437" t="s">
        <v>3499</v>
      </c>
      <c r="L235" s="436" t="s">
        <v>3500</v>
      </c>
      <c r="M235" s="436" t="s">
        <v>3524</v>
      </c>
      <c r="N235" s="436" t="s">
        <v>3502</v>
      </c>
      <c r="O235" s="438">
        <v>119000</v>
      </c>
      <c r="P235" s="438">
        <v>82110</v>
      </c>
      <c r="Q235" s="438">
        <v>1</v>
      </c>
      <c r="R235" s="438">
        <v>0</v>
      </c>
      <c r="S235" s="438">
        <v>0</v>
      </c>
      <c r="T235" s="438">
        <v>0</v>
      </c>
      <c r="U235" s="438">
        <v>0</v>
      </c>
      <c r="V235" s="438">
        <v>0</v>
      </c>
      <c r="W235" s="438">
        <v>31</v>
      </c>
      <c r="X235" s="438">
        <v>0</v>
      </c>
      <c r="Y235" s="438">
        <v>0</v>
      </c>
      <c r="Z235" s="438">
        <v>0</v>
      </c>
      <c r="AA235" s="438">
        <v>0</v>
      </c>
      <c r="AB235" s="438">
        <v>0</v>
      </c>
      <c r="AC235" s="438">
        <v>119000</v>
      </c>
      <c r="AD235" s="438">
        <v>82110</v>
      </c>
      <c r="AE235" s="438">
        <v>0</v>
      </c>
      <c r="AF235" s="438">
        <v>0</v>
      </c>
      <c r="AG235" s="438">
        <v>119000</v>
      </c>
      <c r="AH235" s="438">
        <v>82110</v>
      </c>
      <c r="AI235" s="438">
        <v>33536</v>
      </c>
      <c r="AJ235" s="438">
        <v>3354</v>
      </c>
      <c r="AK235" s="438">
        <v>36890</v>
      </c>
      <c r="AL235" s="414" t="str">
        <f t="shared" si="18"/>
        <v>워커힐 시그니처 양념 본갈비 300g, 8개</v>
      </c>
      <c r="AM235" s="395">
        <f t="shared" si="19"/>
        <v>46060</v>
      </c>
      <c r="AN235" s="396">
        <f t="shared" si="20"/>
        <v>1</v>
      </c>
      <c r="AO235" s="109">
        <f t="shared" si="21"/>
        <v>119000</v>
      </c>
      <c r="AP235" s="109">
        <f t="shared" si="22"/>
        <v>108181.81818181818</v>
      </c>
      <c r="AQ235" s="397">
        <f t="shared" si="23"/>
        <v>108181.81818181818</v>
      </c>
    </row>
    <row r="236" spans="1:43" ht="24">
      <c r="A236" s="436" t="s">
        <v>4138</v>
      </c>
      <c r="B236" s="436" t="s">
        <v>3490</v>
      </c>
      <c r="C236" s="437" t="s">
        <v>3491</v>
      </c>
      <c r="D236" s="436" t="s">
        <v>4150</v>
      </c>
      <c r="E236" s="437" t="s">
        <v>3685</v>
      </c>
      <c r="F236" s="436" t="s">
        <v>3494</v>
      </c>
      <c r="G236" s="436" t="s">
        <v>3495</v>
      </c>
      <c r="H236" s="437" t="s">
        <v>3496</v>
      </c>
      <c r="I236" s="436" t="s">
        <v>3497</v>
      </c>
      <c r="J236" s="437" t="s">
        <v>3498</v>
      </c>
      <c r="K236" s="437" t="s">
        <v>3499</v>
      </c>
      <c r="L236" s="436" t="s">
        <v>3500</v>
      </c>
      <c r="M236" s="436" t="s">
        <v>3524</v>
      </c>
      <c r="N236" s="436" t="s">
        <v>3502</v>
      </c>
      <c r="O236" s="438">
        <v>119000</v>
      </c>
      <c r="P236" s="438">
        <v>82110</v>
      </c>
      <c r="Q236" s="438">
        <v>1</v>
      </c>
      <c r="R236" s="438">
        <v>0</v>
      </c>
      <c r="S236" s="438">
        <v>0</v>
      </c>
      <c r="T236" s="438">
        <v>0</v>
      </c>
      <c r="U236" s="438">
        <v>0</v>
      </c>
      <c r="V236" s="438">
        <v>0</v>
      </c>
      <c r="W236" s="438">
        <v>31</v>
      </c>
      <c r="X236" s="438">
        <v>0</v>
      </c>
      <c r="Y236" s="438">
        <v>0</v>
      </c>
      <c r="Z236" s="438">
        <v>0</v>
      </c>
      <c r="AA236" s="438">
        <v>0</v>
      </c>
      <c r="AB236" s="438">
        <v>0</v>
      </c>
      <c r="AC236" s="438">
        <v>119000</v>
      </c>
      <c r="AD236" s="438">
        <v>82110</v>
      </c>
      <c r="AE236" s="438">
        <v>0</v>
      </c>
      <c r="AF236" s="438">
        <v>0</v>
      </c>
      <c r="AG236" s="438">
        <v>119000</v>
      </c>
      <c r="AH236" s="438">
        <v>82110</v>
      </c>
      <c r="AI236" s="438">
        <v>33536</v>
      </c>
      <c r="AJ236" s="438">
        <v>3354</v>
      </c>
      <c r="AK236" s="438">
        <v>36890</v>
      </c>
      <c r="AL236" s="414" t="str">
        <f t="shared" si="18"/>
        <v>워커힐 시그니처 양념 본갈비 300g, 8개</v>
      </c>
      <c r="AM236" s="395">
        <f t="shared" si="19"/>
        <v>46060</v>
      </c>
      <c r="AN236" s="396">
        <f t="shared" si="20"/>
        <v>1</v>
      </c>
      <c r="AO236" s="109">
        <f t="shared" si="21"/>
        <v>119000</v>
      </c>
      <c r="AP236" s="109">
        <f t="shared" si="22"/>
        <v>108181.81818181818</v>
      </c>
      <c r="AQ236" s="397">
        <f t="shared" si="23"/>
        <v>108181.81818181818</v>
      </c>
    </row>
    <row r="237" spans="1:43" ht="24">
      <c r="A237" s="436" t="s">
        <v>4141</v>
      </c>
      <c r="B237" s="436" t="s">
        <v>3490</v>
      </c>
      <c r="C237" s="437" t="s">
        <v>3491</v>
      </c>
      <c r="D237" s="436" t="s">
        <v>4152</v>
      </c>
      <c r="E237" s="437" t="s">
        <v>3848</v>
      </c>
      <c r="F237" s="436" t="s">
        <v>3494</v>
      </c>
      <c r="G237" s="436" t="s">
        <v>3495</v>
      </c>
      <c r="H237" s="437" t="s">
        <v>3496</v>
      </c>
      <c r="I237" s="436" t="s">
        <v>3497</v>
      </c>
      <c r="J237" s="437" t="s">
        <v>3498</v>
      </c>
      <c r="K237" s="437" t="s">
        <v>3548</v>
      </c>
      <c r="L237" s="436" t="s">
        <v>3500</v>
      </c>
      <c r="M237" s="436" t="s">
        <v>3524</v>
      </c>
      <c r="N237" s="436" t="s">
        <v>3502</v>
      </c>
      <c r="O237" s="438">
        <v>119000</v>
      </c>
      <c r="P237" s="438">
        <v>82110</v>
      </c>
      <c r="Q237" s="438">
        <v>1</v>
      </c>
      <c r="R237" s="438">
        <v>0</v>
      </c>
      <c r="S237" s="438">
        <v>0</v>
      </c>
      <c r="T237" s="438">
        <v>0</v>
      </c>
      <c r="U237" s="438">
        <v>0</v>
      </c>
      <c r="V237" s="438">
        <v>0</v>
      </c>
      <c r="W237" s="438">
        <v>31</v>
      </c>
      <c r="X237" s="438">
        <v>0</v>
      </c>
      <c r="Y237" s="438">
        <v>0</v>
      </c>
      <c r="Z237" s="438">
        <v>0</v>
      </c>
      <c r="AA237" s="438">
        <v>0</v>
      </c>
      <c r="AB237" s="438">
        <v>0</v>
      </c>
      <c r="AC237" s="438">
        <v>119000</v>
      </c>
      <c r="AD237" s="438">
        <v>82110</v>
      </c>
      <c r="AE237" s="438">
        <v>0</v>
      </c>
      <c r="AF237" s="438">
        <v>0</v>
      </c>
      <c r="AG237" s="438">
        <v>119000</v>
      </c>
      <c r="AH237" s="438">
        <v>82110</v>
      </c>
      <c r="AI237" s="438">
        <v>33536</v>
      </c>
      <c r="AJ237" s="438">
        <v>3354</v>
      </c>
      <c r="AK237" s="438">
        <v>36890</v>
      </c>
      <c r="AL237" s="414" t="str">
        <f t="shared" si="18"/>
        <v>워커힐 시그니처 양념 본갈비 300g, 8개</v>
      </c>
      <c r="AM237" s="395">
        <f t="shared" si="19"/>
        <v>46060</v>
      </c>
      <c r="AN237" s="396">
        <f t="shared" si="20"/>
        <v>1</v>
      </c>
      <c r="AO237" s="109">
        <f t="shared" si="21"/>
        <v>119000</v>
      </c>
      <c r="AP237" s="109">
        <f t="shared" si="22"/>
        <v>108181.81818181818</v>
      </c>
      <c r="AQ237" s="397">
        <f t="shared" si="23"/>
        <v>108181.81818181818</v>
      </c>
    </row>
    <row r="238" spans="1:43" ht="24">
      <c r="A238" s="436" t="s">
        <v>4143</v>
      </c>
      <c r="B238" s="436" t="s">
        <v>3490</v>
      </c>
      <c r="C238" s="437" t="s">
        <v>3491</v>
      </c>
      <c r="D238" s="436" t="s">
        <v>4154</v>
      </c>
      <c r="E238" s="437" t="s">
        <v>4155</v>
      </c>
      <c r="F238" s="436" t="s">
        <v>3494</v>
      </c>
      <c r="G238" s="436" t="s">
        <v>3495</v>
      </c>
      <c r="H238" s="437" t="s">
        <v>3496</v>
      </c>
      <c r="I238" s="436" t="s">
        <v>3497</v>
      </c>
      <c r="J238" s="437" t="s">
        <v>3498</v>
      </c>
      <c r="K238" s="437" t="s">
        <v>3499</v>
      </c>
      <c r="L238" s="436" t="s">
        <v>3500</v>
      </c>
      <c r="M238" s="436" t="s">
        <v>3524</v>
      </c>
      <c r="N238" s="436" t="s">
        <v>3502</v>
      </c>
      <c r="O238" s="438">
        <v>119000</v>
      </c>
      <c r="P238" s="438">
        <v>82110</v>
      </c>
      <c r="Q238" s="438">
        <v>1</v>
      </c>
      <c r="R238" s="438">
        <v>0</v>
      </c>
      <c r="S238" s="438">
        <v>0</v>
      </c>
      <c r="T238" s="438">
        <v>0</v>
      </c>
      <c r="U238" s="438">
        <v>0</v>
      </c>
      <c r="V238" s="438">
        <v>0</v>
      </c>
      <c r="W238" s="438">
        <v>31</v>
      </c>
      <c r="X238" s="438">
        <v>0</v>
      </c>
      <c r="Y238" s="438">
        <v>0</v>
      </c>
      <c r="Z238" s="438">
        <v>0</v>
      </c>
      <c r="AA238" s="438">
        <v>0</v>
      </c>
      <c r="AB238" s="438">
        <v>0</v>
      </c>
      <c r="AC238" s="438">
        <v>119000</v>
      </c>
      <c r="AD238" s="438">
        <v>82110</v>
      </c>
      <c r="AE238" s="438">
        <v>0</v>
      </c>
      <c r="AF238" s="438">
        <v>0</v>
      </c>
      <c r="AG238" s="438">
        <v>119000</v>
      </c>
      <c r="AH238" s="438">
        <v>82110</v>
      </c>
      <c r="AI238" s="438">
        <v>33536</v>
      </c>
      <c r="AJ238" s="438">
        <v>3354</v>
      </c>
      <c r="AK238" s="438">
        <v>36890</v>
      </c>
      <c r="AL238" s="414" t="str">
        <f t="shared" si="18"/>
        <v>워커힐 시그니처 양념 본갈비 300g, 8개</v>
      </c>
      <c r="AM238" s="395">
        <f t="shared" si="19"/>
        <v>46060</v>
      </c>
      <c r="AN238" s="396">
        <f t="shared" si="20"/>
        <v>1</v>
      </c>
      <c r="AO238" s="109">
        <f t="shared" si="21"/>
        <v>119000</v>
      </c>
      <c r="AP238" s="109">
        <f t="shared" si="22"/>
        <v>108181.81818181818</v>
      </c>
      <c r="AQ238" s="397">
        <f t="shared" si="23"/>
        <v>108181.81818181818</v>
      </c>
    </row>
    <row r="239" spans="1:43" ht="24">
      <c r="A239" s="436" t="s">
        <v>4146</v>
      </c>
      <c r="B239" s="436" t="s">
        <v>3490</v>
      </c>
      <c r="C239" s="437" t="s">
        <v>3491</v>
      </c>
      <c r="D239" s="436" t="s">
        <v>4160</v>
      </c>
      <c r="E239" s="437" t="s">
        <v>3967</v>
      </c>
      <c r="F239" s="436" t="s">
        <v>3494</v>
      </c>
      <c r="G239" s="436" t="s">
        <v>3495</v>
      </c>
      <c r="H239" s="437" t="s">
        <v>3496</v>
      </c>
      <c r="I239" s="436" t="s">
        <v>3497</v>
      </c>
      <c r="J239" s="437" t="s">
        <v>3498</v>
      </c>
      <c r="K239" s="437" t="s">
        <v>3499</v>
      </c>
      <c r="L239" s="436" t="s">
        <v>3500</v>
      </c>
      <c r="M239" s="436" t="s">
        <v>3524</v>
      </c>
      <c r="N239" s="436" t="s">
        <v>3502</v>
      </c>
      <c r="O239" s="438">
        <v>119000</v>
      </c>
      <c r="P239" s="438">
        <v>82110</v>
      </c>
      <c r="Q239" s="438">
        <v>1</v>
      </c>
      <c r="R239" s="438">
        <v>0</v>
      </c>
      <c r="S239" s="438">
        <v>0</v>
      </c>
      <c r="T239" s="438">
        <v>0</v>
      </c>
      <c r="U239" s="438">
        <v>0</v>
      </c>
      <c r="V239" s="438">
        <v>0</v>
      </c>
      <c r="W239" s="438">
        <v>31</v>
      </c>
      <c r="X239" s="438">
        <v>0</v>
      </c>
      <c r="Y239" s="438">
        <v>0</v>
      </c>
      <c r="Z239" s="438">
        <v>0</v>
      </c>
      <c r="AA239" s="438">
        <v>0</v>
      </c>
      <c r="AB239" s="438">
        <v>0</v>
      </c>
      <c r="AC239" s="438">
        <v>119000</v>
      </c>
      <c r="AD239" s="438">
        <v>82110</v>
      </c>
      <c r="AE239" s="438">
        <v>0</v>
      </c>
      <c r="AF239" s="438">
        <v>0</v>
      </c>
      <c r="AG239" s="438">
        <v>119000</v>
      </c>
      <c r="AH239" s="438">
        <v>82110</v>
      </c>
      <c r="AI239" s="438">
        <v>33536</v>
      </c>
      <c r="AJ239" s="438">
        <v>3354</v>
      </c>
      <c r="AK239" s="438">
        <v>36890</v>
      </c>
      <c r="AL239" s="414" t="str">
        <f t="shared" si="18"/>
        <v>워커힐 시그니처 양념 본갈비 300g, 8개</v>
      </c>
      <c r="AM239" s="395">
        <f t="shared" si="19"/>
        <v>46060</v>
      </c>
      <c r="AN239" s="396">
        <f t="shared" si="20"/>
        <v>1</v>
      </c>
      <c r="AO239" s="109">
        <f t="shared" si="21"/>
        <v>119000</v>
      </c>
      <c r="AP239" s="109">
        <f t="shared" si="22"/>
        <v>108181.81818181818</v>
      </c>
      <c r="AQ239" s="397">
        <f t="shared" si="23"/>
        <v>108181.81818181818</v>
      </c>
    </row>
    <row r="240" spans="1:43" ht="24">
      <c r="A240" s="436" t="s">
        <v>4149</v>
      </c>
      <c r="B240" s="436" t="s">
        <v>3490</v>
      </c>
      <c r="C240" s="437" t="s">
        <v>3491</v>
      </c>
      <c r="D240" s="436" t="s">
        <v>4162</v>
      </c>
      <c r="E240" s="437" t="s">
        <v>4163</v>
      </c>
      <c r="F240" s="436" t="s">
        <v>3494</v>
      </c>
      <c r="G240" s="436" t="s">
        <v>3495</v>
      </c>
      <c r="H240" s="437" t="s">
        <v>3496</v>
      </c>
      <c r="I240" s="436" t="s">
        <v>3497</v>
      </c>
      <c r="J240" s="437" t="s">
        <v>3498</v>
      </c>
      <c r="K240" s="437" t="s">
        <v>3499</v>
      </c>
      <c r="L240" s="436" t="s">
        <v>3500</v>
      </c>
      <c r="M240" s="436" t="s">
        <v>3524</v>
      </c>
      <c r="N240" s="436" t="s">
        <v>3502</v>
      </c>
      <c r="O240" s="438">
        <v>119000</v>
      </c>
      <c r="P240" s="438">
        <v>82110</v>
      </c>
      <c r="Q240" s="438">
        <v>1</v>
      </c>
      <c r="R240" s="438">
        <v>0</v>
      </c>
      <c r="S240" s="438">
        <v>0</v>
      </c>
      <c r="T240" s="438">
        <v>0</v>
      </c>
      <c r="U240" s="438">
        <v>0</v>
      </c>
      <c r="V240" s="438">
        <v>0</v>
      </c>
      <c r="W240" s="438">
        <v>31</v>
      </c>
      <c r="X240" s="438">
        <v>0</v>
      </c>
      <c r="Y240" s="438">
        <v>0</v>
      </c>
      <c r="Z240" s="438">
        <v>0</v>
      </c>
      <c r="AA240" s="438">
        <v>0</v>
      </c>
      <c r="AB240" s="438">
        <v>0</v>
      </c>
      <c r="AC240" s="438">
        <v>119000</v>
      </c>
      <c r="AD240" s="438">
        <v>82110</v>
      </c>
      <c r="AE240" s="438">
        <v>0</v>
      </c>
      <c r="AF240" s="438">
        <v>0</v>
      </c>
      <c r="AG240" s="438">
        <v>119000</v>
      </c>
      <c r="AH240" s="438">
        <v>82110</v>
      </c>
      <c r="AI240" s="438">
        <v>33536</v>
      </c>
      <c r="AJ240" s="438">
        <v>3354</v>
      </c>
      <c r="AK240" s="438">
        <v>36890</v>
      </c>
      <c r="AL240" s="414" t="str">
        <f t="shared" si="18"/>
        <v>워커힐 시그니처 양념 본갈비 300g, 8개</v>
      </c>
      <c r="AM240" s="395">
        <f t="shared" si="19"/>
        <v>46060</v>
      </c>
      <c r="AN240" s="396">
        <f t="shared" si="20"/>
        <v>1</v>
      </c>
      <c r="AO240" s="109">
        <f t="shared" si="21"/>
        <v>119000</v>
      </c>
      <c r="AP240" s="109">
        <f t="shared" si="22"/>
        <v>108181.81818181818</v>
      </c>
      <c r="AQ240" s="397">
        <f t="shared" si="23"/>
        <v>108181.81818181818</v>
      </c>
    </row>
    <row r="241" spans="1:43" ht="24">
      <c r="A241" s="436" t="s">
        <v>4151</v>
      </c>
      <c r="B241" s="436" t="s">
        <v>3490</v>
      </c>
      <c r="C241" s="437" t="s">
        <v>3491</v>
      </c>
      <c r="D241" s="436" t="s">
        <v>4168</v>
      </c>
      <c r="E241" s="437" t="s">
        <v>4169</v>
      </c>
      <c r="F241" s="436" t="s">
        <v>3494</v>
      </c>
      <c r="G241" s="436" t="s">
        <v>3495</v>
      </c>
      <c r="H241" s="437" t="s">
        <v>3496</v>
      </c>
      <c r="I241" s="436" t="s">
        <v>3497</v>
      </c>
      <c r="J241" s="437" t="s">
        <v>3498</v>
      </c>
      <c r="K241" s="437" t="s">
        <v>3499</v>
      </c>
      <c r="L241" s="436" t="s">
        <v>3500</v>
      </c>
      <c r="M241" s="436" t="s">
        <v>3524</v>
      </c>
      <c r="N241" s="436" t="s">
        <v>3502</v>
      </c>
      <c r="O241" s="438">
        <v>119000</v>
      </c>
      <c r="P241" s="438">
        <v>82110</v>
      </c>
      <c r="Q241" s="438">
        <v>1</v>
      </c>
      <c r="R241" s="438">
        <v>0</v>
      </c>
      <c r="S241" s="438">
        <v>0</v>
      </c>
      <c r="T241" s="438">
        <v>0</v>
      </c>
      <c r="U241" s="438">
        <v>0</v>
      </c>
      <c r="V241" s="438">
        <v>0</v>
      </c>
      <c r="W241" s="438">
        <v>31</v>
      </c>
      <c r="X241" s="438">
        <v>0</v>
      </c>
      <c r="Y241" s="438">
        <v>0</v>
      </c>
      <c r="Z241" s="438">
        <v>0</v>
      </c>
      <c r="AA241" s="438">
        <v>0</v>
      </c>
      <c r="AB241" s="438">
        <v>0</v>
      </c>
      <c r="AC241" s="438">
        <v>119000</v>
      </c>
      <c r="AD241" s="438">
        <v>82110</v>
      </c>
      <c r="AE241" s="438">
        <v>0</v>
      </c>
      <c r="AF241" s="438">
        <v>0</v>
      </c>
      <c r="AG241" s="438">
        <v>119000</v>
      </c>
      <c r="AH241" s="438">
        <v>82110</v>
      </c>
      <c r="AI241" s="438">
        <v>33536</v>
      </c>
      <c r="AJ241" s="438">
        <v>3354</v>
      </c>
      <c r="AK241" s="438">
        <v>36890</v>
      </c>
      <c r="AL241" s="414" t="str">
        <f t="shared" si="18"/>
        <v>워커힐 시그니처 양념 본갈비 300g, 8개</v>
      </c>
      <c r="AM241" s="395">
        <f t="shared" si="19"/>
        <v>46060</v>
      </c>
      <c r="AN241" s="396">
        <f t="shared" si="20"/>
        <v>1</v>
      </c>
      <c r="AO241" s="109">
        <f t="shared" si="21"/>
        <v>119000</v>
      </c>
      <c r="AP241" s="109">
        <f t="shared" si="22"/>
        <v>108181.81818181818</v>
      </c>
      <c r="AQ241" s="397">
        <f t="shared" si="23"/>
        <v>108181.81818181818</v>
      </c>
    </row>
    <row r="242" spans="1:43" ht="24">
      <c r="A242" s="436" t="s">
        <v>4153</v>
      </c>
      <c r="B242" s="436" t="s">
        <v>3490</v>
      </c>
      <c r="C242" s="437" t="s">
        <v>3491</v>
      </c>
      <c r="D242" s="436" t="s">
        <v>4171</v>
      </c>
      <c r="E242" s="437" t="s">
        <v>4090</v>
      </c>
      <c r="F242" s="436" t="s">
        <v>3494</v>
      </c>
      <c r="G242" s="436" t="s">
        <v>3495</v>
      </c>
      <c r="H242" s="437" t="s">
        <v>3496</v>
      </c>
      <c r="I242" s="436" t="s">
        <v>3497</v>
      </c>
      <c r="J242" s="437" t="s">
        <v>3498</v>
      </c>
      <c r="K242" s="437" t="s">
        <v>3499</v>
      </c>
      <c r="L242" s="436" t="s">
        <v>3500</v>
      </c>
      <c r="M242" s="436" t="s">
        <v>3524</v>
      </c>
      <c r="N242" s="436" t="s">
        <v>3502</v>
      </c>
      <c r="O242" s="438">
        <v>119000</v>
      </c>
      <c r="P242" s="438">
        <v>82110</v>
      </c>
      <c r="Q242" s="438">
        <v>1</v>
      </c>
      <c r="R242" s="438">
        <v>0</v>
      </c>
      <c r="S242" s="438">
        <v>0</v>
      </c>
      <c r="T242" s="438">
        <v>0</v>
      </c>
      <c r="U242" s="438">
        <v>0</v>
      </c>
      <c r="V242" s="438">
        <v>0</v>
      </c>
      <c r="W242" s="438">
        <v>31</v>
      </c>
      <c r="X242" s="438">
        <v>0</v>
      </c>
      <c r="Y242" s="438">
        <v>0</v>
      </c>
      <c r="Z242" s="438">
        <v>0</v>
      </c>
      <c r="AA242" s="438">
        <v>0</v>
      </c>
      <c r="AB242" s="438">
        <v>0</v>
      </c>
      <c r="AC242" s="438">
        <v>119000</v>
      </c>
      <c r="AD242" s="438">
        <v>82110</v>
      </c>
      <c r="AE242" s="438">
        <v>0</v>
      </c>
      <c r="AF242" s="438">
        <v>0</v>
      </c>
      <c r="AG242" s="438">
        <v>119000</v>
      </c>
      <c r="AH242" s="438">
        <v>82110</v>
      </c>
      <c r="AI242" s="438">
        <v>33536</v>
      </c>
      <c r="AJ242" s="438">
        <v>3354</v>
      </c>
      <c r="AK242" s="438">
        <v>36890</v>
      </c>
      <c r="AL242" s="414" t="str">
        <f t="shared" si="18"/>
        <v>워커힐 시그니처 양념 본갈비 300g, 8개</v>
      </c>
      <c r="AM242" s="395">
        <f t="shared" si="19"/>
        <v>46060</v>
      </c>
      <c r="AN242" s="396">
        <f t="shared" si="20"/>
        <v>1</v>
      </c>
      <c r="AO242" s="109">
        <f t="shared" si="21"/>
        <v>119000</v>
      </c>
      <c r="AP242" s="109">
        <f t="shared" si="22"/>
        <v>108181.81818181818</v>
      </c>
      <c r="AQ242" s="397">
        <f t="shared" si="23"/>
        <v>108181.81818181818</v>
      </c>
    </row>
    <row r="243" spans="1:43" ht="24">
      <c r="A243" s="436" t="s">
        <v>4156</v>
      </c>
      <c r="B243" s="436" t="s">
        <v>3490</v>
      </c>
      <c r="C243" s="437" t="s">
        <v>3491</v>
      </c>
      <c r="D243" s="436" t="s">
        <v>4012</v>
      </c>
      <c r="E243" s="437" t="s">
        <v>4013</v>
      </c>
      <c r="F243" s="436" t="s">
        <v>3494</v>
      </c>
      <c r="G243" s="436" t="s">
        <v>3495</v>
      </c>
      <c r="H243" s="437" t="s">
        <v>3496</v>
      </c>
      <c r="I243" s="436" t="s">
        <v>3497</v>
      </c>
      <c r="J243" s="437" t="s">
        <v>3498</v>
      </c>
      <c r="K243" s="437" t="s">
        <v>3499</v>
      </c>
      <c r="L243" s="436" t="s">
        <v>3500</v>
      </c>
      <c r="M243" s="436" t="s">
        <v>3524</v>
      </c>
      <c r="N243" s="436" t="s">
        <v>3502</v>
      </c>
      <c r="O243" s="438">
        <v>119000</v>
      </c>
      <c r="P243" s="438">
        <v>82110</v>
      </c>
      <c r="Q243" s="438">
        <v>1</v>
      </c>
      <c r="R243" s="438">
        <v>0</v>
      </c>
      <c r="S243" s="438">
        <v>0</v>
      </c>
      <c r="T243" s="438">
        <v>0</v>
      </c>
      <c r="U243" s="438">
        <v>0</v>
      </c>
      <c r="V243" s="438">
        <v>0</v>
      </c>
      <c r="W243" s="438">
        <v>31</v>
      </c>
      <c r="X243" s="438">
        <v>0</v>
      </c>
      <c r="Y243" s="438">
        <v>0</v>
      </c>
      <c r="Z243" s="438">
        <v>0</v>
      </c>
      <c r="AA243" s="438">
        <v>0</v>
      </c>
      <c r="AB243" s="438">
        <v>0</v>
      </c>
      <c r="AC243" s="438">
        <v>119000</v>
      </c>
      <c r="AD243" s="438">
        <v>82110</v>
      </c>
      <c r="AE243" s="438">
        <v>0</v>
      </c>
      <c r="AF243" s="438">
        <v>0</v>
      </c>
      <c r="AG243" s="438">
        <v>119000</v>
      </c>
      <c r="AH243" s="438">
        <v>82110</v>
      </c>
      <c r="AI243" s="438">
        <v>33536</v>
      </c>
      <c r="AJ243" s="438">
        <v>3354</v>
      </c>
      <c r="AK243" s="438">
        <v>36890</v>
      </c>
      <c r="AL243" s="414" t="str">
        <f t="shared" si="18"/>
        <v>워커힐 시그니처 양념 본갈비 300g, 8개</v>
      </c>
      <c r="AM243" s="395">
        <f t="shared" si="19"/>
        <v>46060</v>
      </c>
      <c r="AN243" s="396">
        <f t="shared" si="20"/>
        <v>1</v>
      </c>
      <c r="AO243" s="109">
        <f t="shared" si="21"/>
        <v>119000</v>
      </c>
      <c r="AP243" s="109">
        <f t="shared" si="22"/>
        <v>108181.81818181818</v>
      </c>
      <c r="AQ243" s="397">
        <f t="shared" si="23"/>
        <v>108181.81818181818</v>
      </c>
    </row>
    <row r="244" spans="1:43" ht="24">
      <c r="A244" s="436" t="s">
        <v>4159</v>
      </c>
      <c r="B244" s="436" t="s">
        <v>3490</v>
      </c>
      <c r="C244" s="437" t="s">
        <v>3491</v>
      </c>
      <c r="D244" s="436" t="s">
        <v>4012</v>
      </c>
      <c r="E244" s="437" t="s">
        <v>4013</v>
      </c>
      <c r="F244" s="436" t="s">
        <v>3494</v>
      </c>
      <c r="G244" s="436" t="s">
        <v>3495</v>
      </c>
      <c r="H244" s="437" t="s">
        <v>3496</v>
      </c>
      <c r="I244" s="436" t="s">
        <v>3497</v>
      </c>
      <c r="J244" s="437" t="s">
        <v>3498</v>
      </c>
      <c r="K244" s="437" t="s">
        <v>3499</v>
      </c>
      <c r="L244" s="436" t="s">
        <v>3500</v>
      </c>
      <c r="M244" s="436" t="s">
        <v>3524</v>
      </c>
      <c r="N244" s="436" t="s">
        <v>3502</v>
      </c>
      <c r="O244" s="438">
        <v>119000</v>
      </c>
      <c r="P244" s="438">
        <v>82110</v>
      </c>
      <c r="Q244" s="438">
        <v>1</v>
      </c>
      <c r="R244" s="438">
        <v>0</v>
      </c>
      <c r="S244" s="438">
        <v>0</v>
      </c>
      <c r="T244" s="438">
        <v>0</v>
      </c>
      <c r="U244" s="438">
        <v>0</v>
      </c>
      <c r="V244" s="438">
        <v>0</v>
      </c>
      <c r="W244" s="438">
        <v>31</v>
      </c>
      <c r="X244" s="438">
        <v>0</v>
      </c>
      <c r="Y244" s="438">
        <v>0</v>
      </c>
      <c r="Z244" s="438">
        <v>0</v>
      </c>
      <c r="AA244" s="438">
        <v>0</v>
      </c>
      <c r="AB244" s="438">
        <v>0</v>
      </c>
      <c r="AC244" s="438">
        <v>119000</v>
      </c>
      <c r="AD244" s="438">
        <v>82110</v>
      </c>
      <c r="AE244" s="438">
        <v>0</v>
      </c>
      <c r="AF244" s="438">
        <v>0</v>
      </c>
      <c r="AG244" s="438">
        <v>119000</v>
      </c>
      <c r="AH244" s="438">
        <v>82110</v>
      </c>
      <c r="AI244" s="438">
        <v>33536</v>
      </c>
      <c r="AJ244" s="438">
        <v>3354</v>
      </c>
      <c r="AK244" s="438">
        <v>36890</v>
      </c>
      <c r="AL244" s="414" t="str">
        <f t="shared" si="18"/>
        <v>워커힐 시그니처 양념 본갈비 300g, 8개</v>
      </c>
      <c r="AM244" s="395">
        <f t="shared" si="19"/>
        <v>46060</v>
      </c>
      <c r="AN244" s="396">
        <f t="shared" si="20"/>
        <v>1</v>
      </c>
      <c r="AO244" s="109">
        <f t="shared" si="21"/>
        <v>119000</v>
      </c>
      <c r="AP244" s="109">
        <f t="shared" si="22"/>
        <v>108181.81818181818</v>
      </c>
      <c r="AQ244" s="397">
        <f t="shared" si="23"/>
        <v>108181.81818181818</v>
      </c>
    </row>
    <row r="245" spans="1:43" ht="24">
      <c r="A245" s="436" t="s">
        <v>4161</v>
      </c>
      <c r="B245" s="436" t="s">
        <v>3490</v>
      </c>
      <c r="C245" s="437" t="s">
        <v>3491</v>
      </c>
      <c r="D245" s="436" t="s">
        <v>4175</v>
      </c>
      <c r="E245" s="437" t="s">
        <v>4065</v>
      </c>
      <c r="F245" s="436" t="s">
        <v>3494</v>
      </c>
      <c r="G245" s="436" t="s">
        <v>3495</v>
      </c>
      <c r="H245" s="437" t="s">
        <v>3496</v>
      </c>
      <c r="I245" s="436" t="s">
        <v>3497</v>
      </c>
      <c r="J245" s="437" t="s">
        <v>3498</v>
      </c>
      <c r="K245" s="437" t="s">
        <v>3499</v>
      </c>
      <c r="L245" s="436" t="s">
        <v>3500</v>
      </c>
      <c r="M245" s="436" t="s">
        <v>3524</v>
      </c>
      <c r="N245" s="436" t="s">
        <v>3502</v>
      </c>
      <c r="O245" s="438">
        <v>119000</v>
      </c>
      <c r="P245" s="438">
        <v>82110</v>
      </c>
      <c r="Q245" s="438">
        <v>1</v>
      </c>
      <c r="R245" s="438">
        <v>0</v>
      </c>
      <c r="S245" s="438">
        <v>0</v>
      </c>
      <c r="T245" s="438">
        <v>0</v>
      </c>
      <c r="U245" s="438">
        <v>0</v>
      </c>
      <c r="V245" s="438">
        <v>0</v>
      </c>
      <c r="W245" s="438">
        <v>31</v>
      </c>
      <c r="X245" s="438">
        <v>0</v>
      </c>
      <c r="Y245" s="438">
        <v>0</v>
      </c>
      <c r="Z245" s="438">
        <v>0</v>
      </c>
      <c r="AA245" s="438">
        <v>0</v>
      </c>
      <c r="AB245" s="438">
        <v>0</v>
      </c>
      <c r="AC245" s="438">
        <v>119000</v>
      </c>
      <c r="AD245" s="438">
        <v>82110</v>
      </c>
      <c r="AE245" s="438">
        <v>0</v>
      </c>
      <c r="AF245" s="438">
        <v>0</v>
      </c>
      <c r="AG245" s="438">
        <v>119000</v>
      </c>
      <c r="AH245" s="438">
        <v>82110</v>
      </c>
      <c r="AI245" s="438">
        <v>33536</v>
      </c>
      <c r="AJ245" s="438">
        <v>3354</v>
      </c>
      <c r="AK245" s="438">
        <v>36890</v>
      </c>
      <c r="AL245" s="414" t="str">
        <f t="shared" si="18"/>
        <v>워커힐 시그니처 양념 본갈비 300g, 8개</v>
      </c>
      <c r="AM245" s="395">
        <f t="shared" si="19"/>
        <v>46060</v>
      </c>
      <c r="AN245" s="396">
        <f t="shared" si="20"/>
        <v>1</v>
      </c>
      <c r="AO245" s="109">
        <f t="shared" si="21"/>
        <v>119000</v>
      </c>
      <c r="AP245" s="109">
        <f t="shared" si="22"/>
        <v>108181.81818181818</v>
      </c>
      <c r="AQ245" s="397">
        <f t="shared" si="23"/>
        <v>108181.81818181818</v>
      </c>
    </row>
    <row r="246" spans="1:43" ht="24">
      <c r="A246" s="436" t="s">
        <v>4164</v>
      </c>
      <c r="B246" s="436" t="s">
        <v>3490</v>
      </c>
      <c r="C246" s="437" t="s">
        <v>3491</v>
      </c>
      <c r="D246" s="436" t="s">
        <v>4177</v>
      </c>
      <c r="E246" s="437" t="s">
        <v>4178</v>
      </c>
      <c r="F246" s="436" t="s">
        <v>3494</v>
      </c>
      <c r="G246" s="436" t="s">
        <v>3495</v>
      </c>
      <c r="H246" s="437" t="s">
        <v>3496</v>
      </c>
      <c r="I246" s="436" t="s">
        <v>3497</v>
      </c>
      <c r="J246" s="437" t="s">
        <v>3498</v>
      </c>
      <c r="K246" s="437" t="s">
        <v>3499</v>
      </c>
      <c r="L246" s="436" t="s">
        <v>3500</v>
      </c>
      <c r="M246" s="436" t="s">
        <v>3524</v>
      </c>
      <c r="N246" s="436" t="s">
        <v>3502</v>
      </c>
      <c r="O246" s="438">
        <v>119000</v>
      </c>
      <c r="P246" s="438">
        <v>82110</v>
      </c>
      <c r="Q246" s="438">
        <v>1</v>
      </c>
      <c r="R246" s="438">
        <v>0</v>
      </c>
      <c r="S246" s="438">
        <v>0</v>
      </c>
      <c r="T246" s="438">
        <v>0</v>
      </c>
      <c r="U246" s="438">
        <v>0</v>
      </c>
      <c r="V246" s="438">
        <v>0</v>
      </c>
      <c r="W246" s="438">
        <v>31</v>
      </c>
      <c r="X246" s="438">
        <v>0</v>
      </c>
      <c r="Y246" s="438">
        <v>10000</v>
      </c>
      <c r="Z246" s="438">
        <v>0</v>
      </c>
      <c r="AA246" s="438">
        <v>0</v>
      </c>
      <c r="AB246" s="438">
        <v>0</v>
      </c>
      <c r="AC246" s="438">
        <v>119000</v>
      </c>
      <c r="AD246" s="438">
        <v>82110</v>
      </c>
      <c r="AE246" s="438">
        <v>0</v>
      </c>
      <c r="AF246" s="438">
        <v>10000</v>
      </c>
      <c r="AG246" s="438">
        <v>109000</v>
      </c>
      <c r="AH246" s="438">
        <v>82110</v>
      </c>
      <c r="AI246" s="438">
        <v>24445</v>
      </c>
      <c r="AJ246" s="438">
        <v>2445</v>
      </c>
      <c r="AK246" s="438">
        <v>26890</v>
      </c>
      <c r="AL246" s="414" t="str">
        <f t="shared" si="18"/>
        <v>워커힐 시그니처 양념 본갈비 300g, 8개</v>
      </c>
      <c r="AM246" s="395">
        <f t="shared" si="19"/>
        <v>46060</v>
      </c>
      <c r="AN246" s="396">
        <f t="shared" si="20"/>
        <v>1</v>
      </c>
      <c r="AO246" s="109">
        <f t="shared" si="21"/>
        <v>119000</v>
      </c>
      <c r="AP246" s="109">
        <f t="shared" si="22"/>
        <v>108181.81818181818</v>
      </c>
      <c r="AQ246" s="397">
        <f t="shared" si="23"/>
        <v>108181.81818181818</v>
      </c>
    </row>
    <row r="247" spans="1:43" ht="24">
      <c r="A247" s="436" t="s">
        <v>4167</v>
      </c>
      <c r="B247" s="436" t="s">
        <v>3490</v>
      </c>
      <c r="C247" s="437" t="s">
        <v>3491</v>
      </c>
      <c r="D247" s="436" t="s">
        <v>4018</v>
      </c>
      <c r="E247" s="437" t="s">
        <v>4019</v>
      </c>
      <c r="F247" s="436" t="s">
        <v>3494</v>
      </c>
      <c r="G247" s="436" t="s">
        <v>3495</v>
      </c>
      <c r="H247" s="437" t="s">
        <v>3496</v>
      </c>
      <c r="I247" s="436" t="s">
        <v>3497</v>
      </c>
      <c r="J247" s="437" t="s">
        <v>3498</v>
      </c>
      <c r="K247" s="437" t="s">
        <v>3499</v>
      </c>
      <c r="L247" s="436" t="s">
        <v>3500</v>
      </c>
      <c r="M247" s="436" t="s">
        <v>3524</v>
      </c>
      <c r="N247" s="436" t="s">
        <v>3502</v>
      </c>
      <c r="O247" s="438">
        <v>119000</v>
      </c>
      <c r="P247" s="438">
        <v>82110</v>
      </c>
      <c r="Q247" s="438">
        <v>1</v>
      </c>
      <c r="R247" s="438">
        <v>0</v>
      </c>
      <c r="S247" s="438">
        <v>0</v>
      </c>
      <c r="T247" s="438">
        <v>0</v>
      </c>
      <c r="U247" s="438">
        <v>0</v>
      </c>
      <c r="V247" s="438">
        <v>0</v>
      </c>
      <c r="W247" s="438">
        <v>31</v>
      </c>
      <c r="X247" s="438">
        <v>0</v>
      </c>
      <c r="Y247" s="438">
        <v>0</v>
      </c>
      <c r="Z247" s="438">
        <v>0</v>
      </c>
      <c r="AA247" s="438">
        <v>0</v>
      </c>
      <c r="AB247" s="438">
        <v>0</v>
      </c>
      <c r="AC247" s="438">
        <v>119000</v>
      </c>
      <c r="AD247" s="438">
        <v>82110</v>
      </c>
      <c r="AE247" s="438">
        <v>0</v>
      </c>
      <c r="AF247" s="438">
        <v>0</v>
      </c>
      <c r="AG247" s="438">
        <v>119000</v>
      </c>
      <c r="AH247" s="438">
        <v>82110</v>
      </c>
      <c r="AI247" s="438">
        <v>33536</v>
      </c>
      <c r="AJ247" s="438">
        <v>3354</v>
      </c>
      <c r="AK247" s="438">
        <v>36890</v>
      </c>
      <c r="AL247" s="414" t="str">
        <f t="shared" si="18"/>
        <v>워커힐 시그니처 양념 본갈비 300g, 8개</v>
      </c>
      <c r="AM247" s="395">
        <f t="shared" si="19"/>
        <v>46060</v>
      </c>
      <c r="AN247" s="396">
        <f t="shared" si="20"/>
        <v>1</v>
      </c>
      <c r="AO247" s="109">
        <f t="shared" si="21"/>
        <v>119000</v>
      </c>
      <c r="AP247" s="109">
        <f t="shared" si="22"/>
        <v>108181.81818181818</v>
      </c>
      <c r="AQ247" s="397">
        <f t="shared" si="23"/>
        <v>108181.81818181818</v>
      </c>
    </row>
    <row r="248" spans="1:43" ht="24">
      <c r="A248" s="436" t="s">
        <v>4170</v>
      </c>
      <c r="B248" s="436" t="s">
        <v>3490</v>
      </c>
      <c r="C248" s="437" t="s">
        <v>3491</v>
      </c>
      <c r="D248" s="436" t="s">
        <v>4180</v>
      </c>
      <c r="E248" s="437" t="s">
        <v>4181</v>
      </c>
      <c r="F248" s="436" t="s">
        <v>3494</v>
      </c>
      <c r="G248" s="436" t="s">
        <v>3495</v>
      </c>
      <c r="H248" s="437" t="s">
        <v>3496</v>
      </c>
      <c r="I248" s="436" t="s">
        <v>3497</v>
      </c>
      <c r="J248" s="437" t="s">
        <v>3498</v>
      </c>
      <c r="K248" s="437" t="s">
        <v>3499</v>
      </c>
      <c r="L248" s="436" t="s">
        <v>3500</v>
      </c>
      <c r="M248" s="436" t="s">
        <v>3524</v>
      </c>
      <c r="N248" s="436" t="s">
        <v>3502</v>
      </c>
      <c r="O248" s="438">
        <v>119000</v>
      </c>
      <c r="P248" s="438">
        <v>82110</v>
      </c>
      <c r="Q248" s="438">
        <v>1</v>
      </c>
      <c r="R248" s="438">
        <v>0</v>
      </c>
      <c r="S248" s="438">
        <v>0</v>
      </c>
      <c r="T248" s="438">
        <v>0</v>
      </c>
      <c r="U248" s="438">
        <v>0</v>
      </c>
      <c r="V248" s="438">
        <v>0</v>
      </c>
      <c r="W248" s="438">
        <v>31</v>
      </c>
      <c r="X248" s="438">
        <v>0</v>
      </c>
      <c r="Y248" s="438">
        <v>0</v>
      </c>
      <c r="Z248" s="438">
        <v>0</v>
      </c>
      <c r="AA248" s="438">
        <v>0</v>
      </c>
      <c r="AB248" s="438">
        <v>0</v>
      </c>
      <c r="AC248" s="438">
        <v>119000</v>
      </c>
      <c r="AD248" s="438">
        <v>82110</v>
      </c>
      <c r="AE248" s="438">
        <v>0</v>
      </c>
      <c r="AF248" s="438">
        <v>0</v>
      </c>
      <c r="AG248" s="438">
        <v>119000</v>
      </c>
      <c r="AH248" s="438">
        <v>82110</v>
      </c>
      <c r="AI248" s="438">
        <v>33536</v>
      </c>
      <c r="AJ248" s="438">
        <v>3354</v>
      </c>
      <c r="AK248" s="438">
        <v>36890</v>
      </c>
      <c r="AL248" s="414" t="str">
        <f t="shared" si="18"/>
        <v>워커힐 시그니처 양념 본갈비 300g, 8개</v>
      </c>
      <c r="AM248" s="395">
        <f t="shared" si="19"/>
        <v>46060</v>
      </c>
      <c r="AN248" s="396">
        <f t="shared" si="20"/>
        <v>1</v>
      </c>
      <c r="AO248" s="109">
        <f t="shared" si="21"/>
        <v>119000</v>
      </c>
      <c r="AP248" s="109">
        <f t="shared" si="22"/>
        <v>108181.81818181818</v>
      </c>
      <c r="AQ248" s="397">
        <f t="shared" si="23"/>
        <v>108181.81818181818</v>
      </c>
    </row>
    <row r="249" spans="1:43" ht="24">
      <c r="A249" s="436" t="s">
        <v>4172</v>
      </c>
      <c r="B249" s="436" t="s">
        <v>3490</v>
      </c>
      <c r="C249" s="437" t="s">
        <v>3491</v>
      </c>
      <c r="D249" s="436" t="s">
        <v>4027</v>
      </c>
      <c r="E249" s="437" t="s">
        <v>4028</v>
      </c>
      <c r="F249" s="436" t="s">
        <v>3494</v>
      </c>
      <c r="G249" s="436" t="s">
        <v>3495</v>
      </c>
      <c r="H249" s="437" t="s">
        <v>3496</v>
      </c>
      <c r="I249" s="436" t="s">
        <v>3497</v>
      </c>
      <c r="J249" s="437" t="s">
        <v>3498</v>
      </c>
      <c r="K249" s="437" t="s">
        <v>3499</v>
      </c>
      <c r="L249" s="436" t="s">
        <v>3500</v>
      </c>
      <c r="M249" s="436" t="s">
        <v>3524</v>
      </c>
      <c r="N249" s="436" t="s">
        <v>3502</v>
      </c>
      <c r="O249" s="438">
        <v>119000</v>
      </c>
      <c r="P249" s="438">
        <v>82110</v>
      </c>
      <c r="Q249" s="438">
        <v>1</v>
      </c>
      <c r="R249" s="438">
        <v>0</v>
      </c>
      <c r="S249" s="438">
        <v>0</v>
      </c>
      <c r="T249" s="438">
        <v>0</v>
      </c>
      <c r="U249" s="438">
        <v>0</v>
      </c>
      <c r="V249" s="438">
        <v>0</v>
      </c>
      <c r="W249" s="438">
        <v>31</v>
      </c>
      <c r="X249" s="438">
        <v>0</v>
      </c>
      <c r="Y249" s="438">
        <v>0</v>
      </c>
      <c r="Z249" s="438">
        <v>0</v>
      </c>
      <c r="AA249" s="438">
        <v>0</v>
      </c>
      <c r="AB249" s="438">
        <v>0</v>
      </c>
      <c r="AC249" s="438">
        <v>119000</v>
      </c>
      <c r="AD249" s="438">
        <v>82110</v>
      </c>
      <c r="AE249" s="438">
        <v>0</v>
      </c>
      <c r="AF249" s="438">
        <v>0</v>
      </c>
      <c r="AG249" s="438">
        <v>119000</v>
      </c>
      <c r="AH249" s="438">
        <v>82110</v>
      </c>
      <c r="AI249" s="438">
        <v>33536</v>
      </c>
      <c r="AJ249" s="438">
        <v>3354</v>
      </c>
      <c r="AK249" s="438">
        <v>36890</v>
      </c>
      <c r="AL249" s="414" t="str">
        <f t="shared" si="18"/>
        <v>워커힐 시그니처 양념 본갈비 300g, 8개</v>
      </c>
      <c r="AM249" s="395">
        <f t="shared" si="19"/>
        <v>46060</v>
      </c>
      <c r="AN249" s="396">
        <f t="shared" si="20"/>
        <v>1</v>
      </c>
      <c r="AO249" s="109">
        <f t="shared" si="21"/>
        <v>119000</v>
      </c>
      <c r="AP249" s="109">
        <f t="shared" si="22"/>
        <v>108181.81818181818</v>
      </c>
      <c r="AQ249" s="397">
        <f t="shared" si="23"/>
        <v>108181.81818181818</v>
      </c>
    </row>
    <row r="250" spans="1:43" ht="24">
      <c r="A250" s="436" t="s">
        <v>4174</v>
      </c>
      <c r="B250" s="436" t="s">
        <v>3490</v>
      </c>
      <c r="C250" s="437" t="s">
        <v>3491</v>
      </c>
      <c r="D250" s="436" t="s">
        <v>4188</v>
      </c>
      <c r="E250" s="437" t="s">
        <v>4189</v>
      </c>
      <c r="F250" s="436" t="s">
        <v>3494</v>
      </c>
      <c r="G250" s="436" t="s">
        <v>3495</v>
      </c>
      <c r="H250" s="437" t="s">
        <v>3496</v>
      </c>
      <c r="I250" s="436" t="s">
        <v>3497</v>
      </c>
      <c r="J250" s="437" t="s">
        <v>3498</v>
      </c>
      <c r="K250" s="437" t="s">
        <v>3499</v>
      </c>
      <c r="L250" s="436" t="s">
        <v>3500</v>
      </c>
      <c r="M250" s="436" t="s">
        <v>3524</v>
      </c>
      <c r="N250" s="436" t="s">
        <v>3502</v>
      </c>
      <c r="O250" s="438">
        <v>119000</v>
      </c>
      <c r="P250" s="438">
        <v>82110</v>
      </c>
      <c r="Q250" s="438">
        <v>1</v>
      </c>
      <c r="R250" s="438">
        <v>0</v>
      </c>
      <c r="S250" s="438">
        <v>0</v>
      </c>
      <c r="T250" s="438">
        <v>0</v>
      </c>
      <c r="U250" s="438">
        <v>0</v>
      </c>
      <c r="V250" s="438">
        <v>0</v>
      </c>
      <c r="W250" s="438">
        <v>31</v>
      </c>
      <c r="X250" s="438">
        <v>0</v>
      </c>
      <c r="Y250" s="438">
        <v>0</v>
      </c>
      <c r="Z250" s="438">
        <v>0</v>
      </c>
      <c r="AA250" s="438">
        <v>0</v>
      </c>
      <c r="AB250" s="438">
        <v>0</v>
      </c>
      <c r="AC250" s="438">
        <v>119000</v>
      </c>
      <c r="AD250" s="438">
        <v>82110</v>
      </c>
      <c r="AE250" s="438">
        <v>0</v>
      </c>
      <c r="AF250" s="438">
        <v>0</v>
      </c>
      <c r="AG250" s="438">
        <v>119000</v>
      </c>
      <c r="AH250" s="438">
        <v>82110</v>
      </c>
      <c r="AI250" s="438">
        <v>33536</v>
      </c>
      <c r="AJ250" s="438">
        <v>3354</v>
      </c>
      <c r="AK250" s="438">
        <v>36890</v>
      </c>
      <c r="AL250" s="414" t="str">
        <f t="shared" si="18"/>
        <v>워커힐 시그니처 양념 본갈비 300g, 8개</v>
      </c>
      <c r="AM250" s="395">
        <f t="shared" si="19"/>
        <v>46060</v>
      </c>
      <c r="AN250" s="396">
        <f t="shared" si="20"/>
        <v>1</v>
      </c>
      <c r="AO250" s="109">
        <f t="shared" si="21"/>
        <v>119000</v>
      </c>
      <c r="AP250" s="109">
        <f t="shared" si="22"/>
        <v>108181.81818181818</v>
      </c>
      <c r="AQ250" s="397">
        <f t="shared" si="23"/>
        <v>108181.81818181818</v>
      </c>
    </row>
    <row r="251" spans="1:43" ht="24">
      <c r="A251" s="436" t="s">
        <v>4176</v>
      </c>
      <c r="B251" s="436" t="s">
        <v>3490</v>
      </c>
      <c r="C251" s="437" t="s">
        <v>3491</v>
      </c>
      <c r="D251" s="436" t="s">
        <v>4328</v>
      </c>
      <c r="E251" s="437" t="s">
        <v>4329</v>
      </c>
      <c r="F251" s="436" t="s">
        <v>3494</v>
      </c>
      <c r="G251" s="436" t="s">
        <v>3495</v>
      </c>
      <c r="H251" s="437" t="s">
        <v>3496</v>
      </c>
      <c r="I251" s="436" t="s">
        <v>3497</v>
      </c>
      <c r="J251" s="437" t="s">
        <v>3498</v>
      </c>
      <c r="K251" s="437" t="s">
        <v>3499</v>
      </c>
      <c r="L251" s="436" t="s">
        <v>3500</v>
      </c>
      <c r="M251" s="436" t="s">
        <v>3524</v>
      </c>
      <c r="N251" s="436" t="s">
        <v>3502</v>
      </c>
      <c r="O251" s="438">
        <v>119000</v>
      </c>
      <c r="P251" s="438">
        <v>82110</v>
      </c>
      <c r="Q251" s="438">
        <v>1</v>
      </c>
      <c r="R251" s="438">
        <v>0</v>
      </c>
      <c r="S251" s="438">
        <v>0</v>
      </c>
      <c r="T251" s="438">
        <v>0</v>
      </c>
      <c r="U251" s="438">
        <v>0</v>
      </c>
      <c r="V251" s="438">
        <v>0</v>
      </c>
      <c r="W251" s="438">
        <v>31</v>
      </c>
      <c r="X251" s="438">
        <v>0</v>
      </c>
      <c r="Y251" s="438">
        <v>0</v>
      </c>
      <c r="Z251" s="438">
        <v>0</v>
      </c>
      <c r="AA251" s="438">
        <v>0</v>
      </c>
      <c r="AB251" s="438">
        <v>0</v>
      </c>
      <c r="AC251" s="438">
        <v>119000</v>
      </c>
      <c r="AD251" s="438">
        <v>82110</v>
      </c>
      <c r="AE251" s="438">
        <v>0</v>
      </c>
      <c r="AF251" s="438">
        <v>0</v>
      </c>
      <c r="AG251" s="438">
        <v>119000</v>
      </c>
      <c r="AH251" s="438">
        <v>82110</v>
      </c>
      <c r="AI251" s="438">
        <v>33536</v>
      </c>
      <c r="AJ251" s="438">
        <v>3354</v>
      </c>
      <c r="AK251" s="438">
        <v>36890</v>
      </c>
      <c r="AL251" s="414" t="str">
        <f t="shared" si="18"/>
        <v>워커힐 시그니처 양념 본갈비 300g, 8개</v>
      </c>
      <c r="AM251" s="395">
        <f t="shared" si="19"/>
        <v>46060</v>
      </c>
      <c r="AN251" s="396">
        <f t="shared" si="20"/>
        <v>1</v>
      </c>
      <c r="AO251" s="109">
        <f t="shared" si="21"/>
        <v>119000</v>
      </c>
      <c r="AP251" s="109">
        <f t="shared" si="22"/>
        <v>108181.81818181818</v>
      </c>
      <c r="AQ251" s="397">
        <f t="shared" si="23"/>
        <v>108181.81818181818</v>
      </c>
    </row>
    <row r="252" spans="1:43" ht="24">
      <c r="A252" s="436" t="s">
        <v>4179</v>
      </c>
      <c r="B252" s="436" t="s">
        <v>3490</v>
      </c>
      <c r="C252" s="437" t="s">
        <v>3491</v>
      </c>
      <c r="D252" s="436" t="s">
        <v>4194</v>
      </c>
      <c r="E252" s="437" t="s">
        <v>4195</v>
      </c>
      <c r="F252" s="436" t="s">
        <v>3494</v>
      </c>
      <c r="G252" s="436" t="s">
        <v>3495</v>
      </c>
      <c r="H252" s="437" t="s">
        <v>3496</v>
      </c>
      <c r="I252" s="436" t="s">
        <v>3497</v>
      </c>
      <c r="J252" s="437" t="s">
        <v>3498</v>
      </c>
      <c r="K252" s="437" t="s">
        <v>163</v>
      </c>
      <c r="L252" s="436" t="s">
        <v>3500</v>
      </c>
      <c r="M252" s="436" t="s">
        <v>3524</v>
      </c>
      <c r="N252" s="436" t="s">
        <v>3502</v>
      </c>
      <c r="O252" s="438">
        <v>119000</v>
      </c>
      <c r="P252" s="438">
        <v>82110</v>
      </c>
      <c r="Q252" s="438">
        <v>1</v>
      </c>
      <c r="R252" s="438">
        <v>0</v>
      </c>
      <c r="S252" s="438">
        <v>0</v>
      </c>
      <c r="T252" s="438">
        <v>0</v>
      </c>
      <c r="U252" s="438">
        <v>0</v>
      </c>
      <c r="V252" s="438">
        <v>0</v>
      </c>
      <c r="W252" s="438">
        <v>31</v>
      </c>
      <c r="X252" s="438">
        <v>0</v>
      </c>
      <c r="Y252" s="438">
        <v>5950</v>
      </c>
      <c r="Z252" s="438">
        <v>0</v>
      </c>
      <c r="AA252" s="438">
        <v>0</v>
      </c>
      <c r="AB252" s="438">
        <v>0</v>
      </c>
      <c r="AC252" s="438">
        <v>119000</v>
      </c>
      <c r="AD252" s="438">
        <v>82110</v>
      </c>
      <c r="AE252" s="438">
        <v>0</v>
      </c>
      <c r="AF252" s="438">
        <v>5950</v>
      </c>
      <c r="AG252" s="438">
        <v>113050</v>
      </c>
      <c r="AH252" s="438">
        <v>82110</v>
      </c>
      <c r="AI252" s="438">
        <v>28127</v>
      </c>
      <c r="AJ252" s="438">
        <v>2813</v>
      </c>
      <c r="AK252" s="438">
        <v>30940</v>
      </c>
      <c r="AL252" s="414" t="str">
        <f t="shared" si="18"/>
        <v>워커힐 시그니처 양념 본갈비 300g, 8개</v>
      </c>
      <c r="AM252" s="395">
        <f t="shared" si="19"/>
        <v>46060</v>
      </c>
      <c r="AN252" s="396">
        <f t="shared" si="20"/>
        <v>1</v>
      </c>
      <c r="AO252" s="109">
        <f t="shared" si="21"/>
        <v>119000</v>
      </c>
      <c r="AP252" s="109">
        <f t="shared" si="22"/>
        <v>108181.81818181818</v>
      </c>
      <c r="AQ252" s="397">
        <f t="shared" si="23"/>
        <v>108181.81818181818</v>
      </c>
    </row>
    <row r="253" spans="1:43" ht="24">
      <c r="A253" s="436" t="s">
        <v>4182</v>
      </c>
      <c r="B253" s="436" t="s">
        <v>3490</v>
      </c>
      <c r="C253" s="437" t="s">
        <v>3491</v>
      </c>
      <c r="D253" s="436" t="s">
        <v>4336</v>
      </c>
      <c r="E253" s="437" t="s">
        <v>3749</v>
      </c>
      <c r="F253" s="436" t="s">
        <v>3494</v>
      </c>
      <c r="G253" s="436" t="s">
        <v>3495</v>
      </c>
      <c r="H253" s="437" t="s">
        <v>3496</v>
      </c>
      <c r="I253" s="436" t="s">
        <v>3497</v>
      </c>
      <c r="J253" s="437" t="s">
        <v>3498</v>
      </c>
      <c r="K253" s="437" t="s">
        <v>3499</v>
      </c>
      <c r="L253" s="436" t="s">
        <v>3500</v>
      </c>
      <c r="M253" s="436" t="s">
        <v>3524</v>
      </c>
      <c r="N253" s="436" t="s">
        <v>3502</v>
      </c>
      <c r="O253" s="438">
        <v>119000</v>
      </c>
      <c r="P253" s="438">
        <v>82110</v>
      </c>
      <c r="Q253" s="438">
        <v>1</v>
      </c>
      <c r="R253" s="438">
        <v>0</v>
      </c>
      <c r="S253" s="438">
        <v>0</v>
      </c>
      <c r="T253" s="438">
        <v>0</v>
      </c>
      <c r="U253" s="438">
        <v>0</v>
      </c>
      <c r="V253" s="438">
        <v>0</v>
      </c>
      <c r="W253" s="438">
        <v>31</v>
      </c>
      <c r="X253" s="438">
        <v>0</v>
      </c>
      <c r="Y253" s="438">
        <v>0</v>
      </c>
      <c r="Z253" s="438">
        <v>0</v>
      </c>
      <c r="AA253" s="438">
        <v>0</v>
      </c>
      <c r="AB253" s="438">
        <v>0</v>
      </c>
      <c r="AC253" s="438">
        <v>119000</v>
      </c>
      <c r="AD253" s="438">
        <v>82110</v>
      </c>
      <c r="AE253" s="438">
        <v>0</v>
      </c>
      <c r="AF253" s="438">
        <v>0</v>
      </c>
      <c r="AG253" s="438">
        <v>119000</v>
      </c>
      <c r="AH253" s="438">
        <v>82110</v>
      </c>
      <c r="AI253" s="438">
        <v>33536</v>
      </c>
      <c r="AJ253" s="438">
        <v>3354</v>
      </c>
      <c r="AK253" s="438">
        <v>36890</v>
      </c>
      <c r="AL253" s="414" t="str">
        <f t="shared" si="18"/>
        <v>워커힐 시그니처 양념 본갈비 300g, 8개</v>
      </c>
      <c r="AM253" s="395">
        <f t="shared" si="19"/>
        <v>46060</v>
      </c>
      <c r="AN253" s="396">
        <f t="shared" si="20"/>
        <v>1</v>
      </c>
      <c r="AO253" s="109">
        <f t="shared" si="21"/>
        <v>119000</v>
      </c>
      <c r="AP253" s="109">
        <f t="shared" si="22"/>
        <v>108181.81818181818</v>
      </c>
      <c r="AQ253" s="397">
        <f t="shared" si="23"/>
        <v>108181.81818181818</v>
      </c>
    </row>
    <row r="254" spans="1:43" ht="24">
      <c r="A254" s="436" t="s">
        <v>4185</v>
      </c>
      <c r="B254" s="436" t="s">
        <v>3490</v>
      </c>
      <c r="C254" s="437" t="s">
        <v>3491</v>
      </c>
      <c r="D254" s="436" t="s">
        <v>4202</v>
      </c>
      <c r="E254" s="437" t="s">
        <v>3760</v>
      </c>
      <c r="F254" s="436" t="s">
        <v>3494</v>
      </c>
      <c r="G254" s="436" t="s">
        <v>3495</v>
      </c>
      <c r="H254" s="437" t="s">
        <v>3496</v>
      </c>
      <c r="I254" s="436" t="s">
        <v>3497</v>
      </c>
      <c r="J254" s="437" t="s">
        <v>3498</v>
      </c>
      <c r="K254" s="437" t="s">
        <v>3499</v>
      </c>
      <c r="L254" s="436" t="s">
        <v>3500</v>
      </c>
      <c r="M254" s="436" t="s">
        <v>3524</v>
      </c>
      <c r="N254" s="436" t="s">
        <v>3502</v>
      </c>
      <c r="O254" s="438">
        <v>119000</v>
      </c>
      <c r="P254" s="438">
        <v>82110</v>
      </c>
      <c r="Q254" s="438">
        <v>1</v>
      </c>
      <c r="R254" s="438">
        <v>0</v>
      </c>
      <c r="S254" s="438">
        <v>0</v>
      </c>
      <c r="T254" s="438">
        <v>0</v>
      </c>
      <c r="U254" s="438">
        <v>0</v>
      </c>
      <c r="V254" s="438">
        <v>0</v>
      </c>
      <c r="W254" s="438">
        <v>31</v>
      </c>
      <c r="X254" s="438">
        <v>0</v>
      </c>
      <c r="Y254" s="438">
        <v>0</v>
      </c>
      <c r="Z254" s="438">
        <v>0</v>
      </c>
      <c r="AA254" s="438">
        <v>0</v>
      </c>
      <c r="AB254" s="438">
        <v>0</v>
      </c>
      <c r="AC254" s="438">
        <v>119000</v>
      </c>
      <c r="AD254" s="438">
        <v>82110</v>
      </c>
      <c r="AE254" s="438">
        <v>0</v>
      </c>
      <c r="AF254" s="438">
        <v>0</v>
      </c>
      <c r="AG254" s="438">
        <v>119000</v>
      </c>
      <c r="AH254" s="438">
        <v>82110</v>
      </c>
      <c r="AI254" s="438">
        <v>33536</v>
      </c>
      <c r="AJ254" s="438">
        <v>3354</v>
      </c>
      <c r="AK254" s="438">
        <v>36890</v>
      </c>
      <c r="AL254" s="414" t="str">
        <f t="shared" si="18"/>
        <v>워커힐 시그니처 양념 본갈비 300g, 8개</v>
      </c>
      <c r="AM254" s="395">
        <f t="shared" si="19"/>
        <v>46060</v>
      </c>
      <c r="AN254" s="396">
        <f t="shared" si="20"/>
        <v>1</v>
      </c>
      <c r="AO254" s="109">
        <f t="shared" si="21"/>
        <v>119000</v>
      </c>
      <c r="AP254" s="109">
        <f t="shared" si="22"/>
        <v>108181.81818181818</v>
      </c>
      <c r="AQ254" s="397">
        <f t="shared" si="23"/>
        <v>108181.81818181818</v>
      </c>
    </row>
    <row r="255" spans="1:43" ht="24">
      <c r="A255" s="436" t="s">
        <v>4187</v>
      </c>
      <c r="B255" s="436" t="s">
        <v>3490</v>
      </c>
      <c r="C255" s="437" t="s">
        <v>3491</v>
      </c>
      <c r="D255" s="436" t="s">
        <v>4204</v>
      </c>
      <c r="E255" s="437" t="s">
        <v>4205</v>
      </c>
      <c r="F255" s="436" t="s">
        <v>3494</v>
      </c>
      <c r="G255" s="436" t="s">
        <v>3495</v>
      </c>
      <c r="H255" s="437" t="s">
        <v>3496</v>
      </c>
      <c r="I255" s="436" t="s">
        <v>3497</v>
      </c>
      <c r="J255" s="437" t="s">
        <v>3498</v>
      </c>
      <c r="K255" s="437" t="s">
        <v>3499</v>
      </c>
      <c r="L255" s="436" t="s">
        <v>3500</v>
      </c>
      <c r="M255" s="436" t="s">
        <v>3524</v>
      </c>
      <c r="N255" s="436" t="s">
        <v>3502</v>
      </c>
      <c r="O255" s="438">
        <v>119000</v>
      </c>
      <c r="P255" s="438">
        <v>82110</v>
      </c>
      <c r="Q255" s="438">
        <v>1</v>
      </c>
      <c r="R255" s="438">
        <v>0</v>
      </c>
      <c r="S255" s="438">
        <v>0</v>
      </c>
      <c r="T255" s="438">
        <v>0</v>
      </c>
      <c r="U255" s="438">
        <v>0</v>
      </c>
      <c r="V255" s="438">
        <v>0</v>
      </c>
      <c r="W255" s="438">
        <v>31</v>
      </c>
      <c r="X255" s="438">
        <v>0</v>
      </c>
      <c r="Y255" s="438">
        <v>0</v>
      </c>
      <c r="Z255" s="438">
        <v>0</v>
      </c>
      <c r="AA255" s="438">
        <v>0</v>
      </c>
      <c r="AB255" s="438">
        <v>0</v>
      </c>
      <c r="AC255" s="438">
        <v>119000</v>
      </c>
      <c r="AD255" s="438">
        <v>82110</v>
      </c>
      <c r="AE255" s="438">
        <v>0</v>
      </c>
      <c r="AF255" s="438">
        <v>0</v>
      </c>
      <c r="AG255" s="438">
        <v>119000</v>
      </c>
      <c r="AH255" s="438">
        <v>82110</v>
      </c>
      <c r="AI255" s="438">
        <v>33536</v>
      </c>
      <c r="AJ255" s="438">
        <v>3354</v>
      </c>
      <c r="AK255" s="438">
        <v>36890</v>
      </c>
      <c r="AL255" s="414" t="str">
        <f t="shared" si="18"/>
        <v>워커힐 시그니처 양념 본갈비 300g, 8개</v>
      </c>
      <c r="AM255" s="395">
        <f t="shared" si="19"/>
        <v>46060</v>
      </c>
      <c r="AN255" s="396">
        <f t="shared" si="20"/>
        <v>1</v>
      </c>
      <c r="AO255" s="109">
        <f t="shared" si="21"/>
        <v>119000</v>
      </c>
      <c r="AP255" s="109">
        <f t="shared" si="22"/>
        <v>108181.81818181818</v>
      </c>
      <c r="AQ255" s="397">
        <f t="shared" si="23"/>
        <v>108181.81818181818</v>
      </c>
    </row>
    <row r="256" spans="1:43" ht="24">
      <c r="A256" s="436" t="s">
        <v>4190</v>
      </c>
      <c r="B256" s="436" t="s">
        <v>3490</v>
      </c>
      <c r="C256" s="437" t="s">
        <v>3491</v>
      </c>
      <c r="D256" s="436" t="s">
        <v>4045</v>
      </c>
      <c r="E256" s="437" t="s">
        <v>4046</v>
      </c>
      <c r="F256" s="436" t="s">
        <v>3494</v>
      </c>
      <c r="G256" s="436" t="s">
        <v>3495</v>
      </c>
      <c r="H256" s="437" t="s">
        <v>3496</v>
      </c>
      <c r="I256" s="436" t="s">
        <v>3497</v>
      </c>
      <c r="J256" s="437" t="s">
        <v>3498</v>
      </c>
      <c r="K256" s="437" t="s">
        <v>3499</v>
      </c>
      <c r="L256" s="436" t="s">
        <v>3500</v>
      </c>
      <c r="M256" s="436" t="s">
        <v>3524</v>
      </c>
      <c r="N256" s="436" t="s">
        <v>3502</v>
      </c>
      <c r="O256" s="438">
        <v>119000</v>
      </c>
      <c r="P256" s="438">
        <v>82110</v>
      </c>
      <c r="Q256" s="438">
        <v>1</v>
      </c>
      <c r="R256" s="438">
        <v>0</v>
      </c>
      <c r="S256" s="438">
        <v>0</v>
      </c>
      <c r="T256" s="438">
        <v>0</v>
      </c>
      <c r="U256" s="438">
        <v>0</v>
      </c>
      <c r="V256" s="438">
        <v>0</v>
      </c>
      <c r="W256" s="438">
        <v>31</v>
      </c>
      <c r="X256" s="438">
        <v>0</v>
      </c>
      <c r="Y256" s="438">
        <v>0</v>
      </c>
      <c r="Z256" s="438">
        <v>0</v>
      </c>
      <c r="AA256" s="438">
        <v>0</v>
      </c>
      <c r="AB256" s="438">
        <v>0</v>
      </c>
      <c r="AC256" s="438">
        <v>119000</v>
      </c>
      <c r="AD256" s="438">
        <v>82110</v>
      </c>
      <c r="AE256" s="438">
        <v>0</v>
      </c>
      <c r="AF256" s="438">
        <v>0</v>
      </c>
      <c r="AG256" s="438">
        <v>119000</v>
      </c>
      <c r="AH256" s="438">
        <v>82110</v>
      </c>
      <c r="AI256" s="438">
        <v>33536</v>
      </c>
      <c r="AJ256" s="438">
        <v>3354</v>
      </c>
      <c r="AK256" s="438">
        <v>36890</v>
      </c>
      <c r="AL256" s="414" t="str">
        <f t="shared" si="18"/>
        <v>워커힐 시그니처 양념 본갈비 300g, 8개</v>
      </c>
      <c r="AM256" s="395">
        <f t="shared" si="19"/>
        <v>46060</v>
      </c>
      <c r="AN256" s="396">
        <f t="shared" si="20"/>
        <v>1</v>
      </c>
      <c r="AO256" s="109">
        <f t="shared" si="21"/>
        <v>119000</v>
      </c>
      <c r="AP256" s="109">
        <f t="shared" si="22"/>
        <v>108181.81818181818</v>
      </c>
      <c r="AQ256" s="397">
        <f t="shared" si="23"/>
        <v>108181.81818181818</v>
      </c>
    </row>
    <row r="257" spans="1:43" ht="24">
      <c r="A257" s="436" t="s">
        <v>4193</v>
      </c>
      <c r="B257" s="436" t="s">
        <v>3490</v>
      </c>
      <c r="C257" s="437" t="s">
        <v>3491</v>
      </c>
      <c r="D257" s="436" t="s">
        <v>4349</v>
      </c>
      <c r="E257" s="437" t="s">
        <v>4350</v>
      </c>
      <c r="F257" s="436" t="s">
        <v>3494</v>
      </c>
      <c r="G257" s="436" t="s">
        <v>3495</v>
      </c>
      <c r="H257" s="437" t="s">
        <v>3496</v>
      </c>
      <c r="I257" s="436" t="s">
        <v>3497</v>
      </c>
      <c r="J257" s="437" t="s">
        <v>3498</v>
      </c>
      <c r="K257" s="437" t="s">
        <v>3499</v>
      </c>
      <c r="L257" s="436" t="s">
        <v>3500</v>
      </c>
      <c r="M257" s="436" t="s">
        <v>3524</v>
      </c>
      <c r="N257" s="436" t="s">
        <v>3502</v>
      </c>
      <c r="O257" s="438">
        <v>119000</v>
      </c>
      <c r="P257" s="438">
        <v>82110</v>
      </c>
      <c r="Q257" s="438">
        <v>1</v>
      </c>
      <c r="R257" s="438">
        <v>0</v>
      </c>
      <c r="S257" s="438">
        <v>0</v>
      </c>
      <c r="T257" s="438">
        <v>0</v>
      </c>
      <c r="U257" s="438">
        <v>0</v>
      </c>
      <c r="V257" s="438">
        <v>0</v>
      </c>
      <c r="W257" s="438">
        <v>31</v>
      </c>
      <c r="X257" s="438">
        <v>0</v>
      </c>
      <c r="Y257" s="438">
        <v>0</v>
      </c>
      <c r="Z257" s="438">
        <v>0</v>
      </c>
      <c r="AA257" s="438">
        <v>0</v>
      </c>
      <c r="AB257" s="438">
        <v>0</v>
      </c>
      <c r="AC257" s="438">
        <v>119000</v>
      </c>
      <c r="AD257" s="438">
        <v>82110</v>
      </c>
      <c r="AE257" s="438">
        <v>0</v>
      </c>
      <c r="AF257" s="438">
        <v>0</v>
      </c>
      <c r="AG257" s="438">
        <v>119000</v>
      </c>
      <c r="AH257" s="438">
        <v>82110</v>
      </c>
      <c r="AI257" s="438">
        <v>33536</v>
      </c>
      <c r="AJ257" s="438">
        <v>3354</v>
      </c>
      <c r="AK257" s="438">
        <v>36890</v>
      </c>
      <c r="AL257" s="414" t="str">
        <f t="shared" si="18"/>
        <v>워커힐 시그니처 양념 본갈비 300g, 8개</v>
      </c>
      <c r="AM257" s="395">
        <f t="shared" si="19"/>
        <v>46060</v>
      </c>
      <c r="AN257" s="396">
        <f t="shared" si="20"/>
        <v>1</v>
      </c>
      <c r="AO257" s="109">
        <f t="shared" si="21"/>
        <v>119000</v>
      </c>
      <c r="AP257" s="109">
        <f t="shared" si="22"/>
        <v>108181.81818181818</v>
      </c>
      <c r="AQ257" s="397">
        <f t="shared" si="23"/>
        <v>108181.81818181818</v>
      </c>
    </row>
    <row r="258" spans="1:43" ht="24">
      <c r="A258" s="436" t="s">
        <v>4196</v>
      </c>
      <c r="B258" s="436" t="s">
        <v>3490</v>
      </c>
      <c r="C258" s="437" t="s">
        <v>3491</v>
      </c>
      <c r="D258" s="436" t="s">
        <v>4352</v>
      </c>
      <c r="E258" s="437" t="s">
        <v>3533</v>
      </c>
      <c r="F258" s="436" t="s">
        <v>3494</v>
      </c>
      <c r="G258" s="436" t="s">
        <v>3495</v>
      </c>
      <c r="H258" s="437" t="s">
        <v>3496</v>
      </c>
      <c r="I258" s="436" t="s">
        <v>3497</v>
      </c>
      <c r="J258" s="437" t="s">
        <v>3498</v>
      </c>
      <c r="K258" s="437" t="s">
        <v>3499</v>
      </c>
      <c r="L258" s="436" t="s">
        <v>3500</v>
      </c>
      <c r="M258" s="436" t="s">
        <v>3524</v>
      </c>
      <c r="N258" s="436" t="s">
        <v>3502</v>
      </c>
      <c r="O258" s="438">
        <v>119000</v>
      </c>
      <c r="P258" s="438">
        <v>82110</v>
      </c>
      <c r="Q258" s="438">
        <v>1</v>
      </c>
      <c r="R258" s="438">
        <v>0</v>
      </c>
      <c r="S258" s="438">
        <v>0</v>
      </c>
      <c r="T258" s="438">
        <v>0</v>
      </c>
      <c r="U258" s="438">
        <v>0</v>
      </c>
      <c r="V258" s="438">
        <v>0</v>
      </c>
      <c r="W258" s="438">
        <v>31</v>
      </c>
      <c r="X258" s="438">
        <v>0</v>
      </c>
      <c r="Y258" s="438">
        <v>0</v>
      </c>
      <c r="Z258" s="438">
        <v>0</v>
      </c>
      <c r="AA258" s="438">
        <v>0</v>
      </c>
      <c r="AB258" s="438">
        <v>0</v>
      </c>
      <c r="AC258" s="438">
        <v>119000</v>
      </c>
      <c r="AD258" s="438">
        <v>82110</v>
      </c>
      <c r="AE258" s="438">
        <v>0</v>
      </c>
      <c r="AF258" s="438">
        <v>0</v>
      </c>
      <c r="AG258" s="438">
        <v>119000</v>
      </c>
      <c r="AH258" s="438">
        <v>82110</v>
      </c>
      <c r="AI258" s="438">
        <v>33536</v>
      </c>
      <c r="AJ258" s="438">
        <v>3354</v>
      </c>
      <c r="AK258" s="438">
        <v>36890</v>
      </c>
      <c r="AL258" s="414" t="str">
        <f t="shared" si="18"/>
        <v>워커힐 시그니처 양념 본갈비 300g, 8개</v>
      </c>
      <c r="AM258" s="395">
        <f t="shared" si="19"/>
        <v>46060</v>
      </c>
      <c r="AN258" s="396">
        <f t="shared" si="20"/>
        <v>1</v>
      </c>
      <c r="AO258" s="109">
        <f t="shared" si="21"/>
        <v>119000</v>
      </c>
      <c r="AP258" s="109">
        <f t="shared" si="22"/>
        <v>108181.81818181818</v>
      </c>
      <c r="AQ258" s="397">
        <f t="shared" si="23"/>
        <v>108181.81818181818</v>
      </c>
    </row>
    <row r="259" spans="1:43" ht="24">
      <c r="A259" s="436" t="s">
        <v>4199</v>
      </c>
      <c r="B259" s="436" t="s">
        <v>3490</v>
      </c>
      <c r="C259" s="437" t="s">
        <v>3491</v>
      </c>
      <c r="D259" s="436" t="s">
        <v>4210</v>
      </c>
      <c r="E259" s="437" t="s">
        <v>4211</v>
      </c>
      <c r="F259" s="436" t="s">
        <v>3494</v>
      </c>
      <c r="G259" s="436" t="s">
        <v>3495</v>
      </c>
      <c r="H259" s="437" t="s">
        <v>3496</v>
      </c>
      <c r="I259" s="436" t="s">
        <v>3497</v>
      </c>
      <c r="J259" s="437" t="s">
        <v>3498</v>
      </c>
      <c r="K259" s="437" t="s">
        <v>3499</v>
      </c>
      <c r="L259" s="436" t="s">
        <v>3500</v>
      </c>
      <c r="M259" s="436" t="s">
        <v>3524</v>
      </c>
      <c r="N259" s="436" t="s">
        <v>3502</v>
      </c>
      <c r="O259" s="438">
        <v>119000</v>
      </c>
      <c r="P259" s="438">
        <v>82110</v>
      </c>
      <c r="Q259" s="438">
        <v>1</v>
      </c>
      <c r="R259" s="438">
        <v>0</v>
      </c>
      <c r="S259" s="438">
        <v>0</v>
      </c>
      <c r="T259" s="438">
        <v>0</v>
      </c>
      <c r="U259" s="438">
        <v>0</v>
      </c>
      <c r="V259" s="438">
        <v>0</v>
      </c>
      <c r="W259" s="438">
        <v>31</v>
      </c>
      <c r="X259" s="438">
        <v>19040</v>
      </c>
      <c r="Y259" s="438">
        <v>0</v>
      </c>
      <c r="Z259" s="438">
        <v>0</v>
      </c>
      <c r="AA259" s="438">
        <v>0</v>
      </c>
      <c r="AB259" s="438">
        <v>0</v>
      </c>
      <c r="AC259" s="438">
        <v>119000</v>
      </c>
      <c r="AD259" s="438">
        <v>82110</v>
      </c>
      <c r="AE259" s="438">
        <v>0</v>
      </c>
      <c r="AF259" s="438">
        <v>19040</v>
      </c>
      <c r="AG259" s="438">
        <v>99960</v>
      </c>
      <c r="AH259" s="438">
        <v>82110</v>
      </c>
      <c r="AI259" s="438">
        <v>16227</v>
      </c>
      <c r="AJ259" s="438">
        <v>1623</v>
      </c>
      <c r="AK259" s="438">
        <v>17850</v>
      </c>
      <c r="AL259" s="414" t="str">
        <f t="shared" ref="AL259:AL322" si="24">SUBSTITUTE(SUBSTITUTE(H259,"[워커힐]워커힐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259" s="395">
        <f t="shared" ref="AM259:AM322" si="25">IF(N259="배송완료", DATE(LEFT(M259,4), MID(M259,6,2), MID(M259,9,2)), "")</f>
        <v>46060</v>
      </c>
      <c r="AN259" s="396">
        <f t="shared" ref="AN259:AN322" si="26">IF(OR(N259="배송완료", Q259&lt;0), Q259, 0)</f>
        <v>1</v>
      </c>
      <c r="AO259" s="109">
        <f t="shared" ref="AO259:AO322" si="27">IF(AL259="워커힐 시그니처 양념 본갈비 300g, 8개",119000,IF(AL259="워커힐 시그니처 양념 본갈비 300g, 4개",78000,""))</f>
        <v>119000</v>
      </c>
      <c r="AP259" s="109">
        <f t="shared" ref="AP259:AP322" si="28">AO259/1.1</f>
        <v>108181.81818181818</v>
      </c>
      <c r="AQ259" s="397">
        <f t="shared" ref="AQ259:AQ322" si="29">AN259*AP259</f>
        <v>108181.81818181818</v>
      </c>
    </row>
    <row r="260" spans="1:43" ht="24">
      <c r="A260" s="436" t="s">
        <v>4201</v>
      </c>
      <c r="B260" s="436" t="s">
        <v>3490</v>
      </c>
      <c r="C260" s="437" t="s">
        <v>3491</v>
      </c>
      <c r="D260" s="436" t="s">
        <v>4213</v>
      </c>
      <c r="E260" s="437" t="s">
        <v>4214</v>
      </c>
      <c r="F260" s="436" t="s">
        <v>3494</v>
      </c>
      <c r="G260" s="436" t="s">
        <v>3495</v>
      </c>
      <c r="H260" s="437" t="s">
        <v>3496</v>
      </c>
      <c r="I260" s="436" t="s">
        <v>3497</v>
      </c>
      <c r="J260" s="437" t="s">
        <v>3498</v>
      </c>
      <c r="K260" s="437" t="s">
        <v>3499</v>
      </c>
      <c r="L260" s="436" t="s">
        <v>3500</v>
      </c>
      <c r="M260" s="436" t="s">
        <v>3524</v>
      </c>
      <c r="N260" s="436" t="s">
        <v>3502</v>
      </c>
      <c r="O260" s="438">
        <v>119000</v>
      </c>
      <c r="P260" s="438">
        <v>82110</v>
      </c>
      <c r="Q260" s="438">
        <v>1</v>
      </c>
      <c r="R260" s="438">
        <v>0</v>
      </c>
      <c r="S260" s="438">
        <v>0</v>
      </c>
      <c r="T260" s="438">
        <v>0</v>
      </c>
      <c r="U260" s="438">
        <v>0</v>
      </c>
      <c r="V260" s="438">
        <v>0</v>
      </c>
      <c r="W260" s="438">
        <v>31</v>
      </c>
      <c r="X260" s="438">
        <v>22610</v>
      </c>
      <c r="Y260" s="438">
        <v>0</v>
      </c>
      <c r="Z260" s="438">
        <v>0</v>
      </c>
      <c r="AA260" s="438">
        <v>0</v>
      </c>
      <c r="AB260" s="438">
        <v>0</v>
      </c>
      <c r="AC260" s="438">
        <v>119000</v>
      </c>
      <c r="AD260" s="438">
        <v>82110</v>
      </c>
      <c r="AE260" s="438">
        <v>0</v>
      </c>
      <c r="AF260" s="438">
        <v>22610</v>
      </c>
      <c r="AG260" s="438">
        <v>96390</v>
      </c>
      <c r="AH260" s="438">
        <v>82110</v>
      </c>
      <c r="AI260" s="438">
        <v>12982</v>
      </c>
      <c r="AJ260" s="438">
        <v>1298</v>
      </c>
      <c r="AK260" s="438">
        <v>14280</v>
      </c>
      <c r="AL260" s="414" t="str">
        <f t="shared" si="24"/>
        <v>워커힐 시그니처 양념 본갈비 300g, 8개</v>
      </c>
      <c r="AM260" s="395">
        <f t="shared" si="25"/>
        <v>46060</v>
      </c>
      <c r="AN260" s="396">
        <f t="shared" si="26"/>
        <v>1</v>
      </c>
      <c r="AO260" s="109">
        <f t="shared" si="27"/>
        <v>119000</v>
      </c>
      <c r="AP260" s="109">
        <f t="shared" si="28"/>
        <v>108181.81818181818</v>
      </c>
      <c r="AQ260" s="397">
        <f t="shared" si="29"/>
        <v>108181.81818181818</v>
      </c>
    </row>
    <row r="261" spans="1:43" ht="24">
      <c r="A261" s="436" t="s">
        <v>4203</v>
      </c>
      <c r="B261" s="436" t="s">
        <v>3490</v>
      </c>
      <c r="C261" s="437" t="s">
        <v>3491</v>
      </c>
      <c r="D261" s="436" t="s">
        <v>4216</v>
      </c>
      <c r="E261" s="437" t="s">
        <v>3772</v>
      </c>
      <c r="F261" s="436" t="s">
        <v>3494</v>
      </c>
      <c r="G261" s="436" t="s">
        <v>3495</v>
      </c>
      <c r="H261" s="437" t="s">
        <v>3496</v>
      </c>
      <c r="I261" s="436" t="s">
        <v>3497</v>
      </c>
      <c r="J261" s="437" t="s">
        <v>3498</v>
      </c>
      <c r="K261" s="437" t="s">
        <v>3499</v>
      </c>
      <c r="L261" s="436" t="s">
        <v>3500</v>
      </c>
      <c r="M261" s="436" t="s">
        <v>3524</v>
      </c>
      <c r="N261" s="436" t="s">
        <v>3502</v>
      </c>
      <c r="O261" s="438">
        <v>119000</v>
      </c>
      <c r="P261" s="438">
        <v>82110</v>
      </c>
      <c r="Q261" s="438">
        <v>2</v>
      </c>
      <c r="R261" s="438">
        <v>0</v>
      </c>
      <c r="S261" s="438">
        <v>0</v>
      </c>
      <c r="T261" s="438">
        <v>0</v>
      </c>
      <c r="U261" s="438">
        <v>0</v>
      </c>
      <c r="V261" s="438">
        <v>0</v>
      </c>
      <c r="W261" s="438">
        <v>31</v>
      </c>
      <c r="X261" s="438">
        <v>0</v>
      </c>
      <c r="Y261" s="438">
        <v>0</v>
      </c>
      <c r="Z261" s="438">
        <v>0</v>
      </c>
      <c r="AA261" s="438">
        <v>0</v>
      </c>
      <c r="AB261" s="438">
        <v>0</v>
      </c>
      <c r="AC261" s="438">
        <v>238000</v>
      </c>
      <c r="AD261" s="438">
        <v>164220</v>
      </c>
      <c r="AE261" s="438">
        <v>0</v>
      </c>
      <c r="AF261" s="438">
        <v>0</v>
      </c>
      <c r="AG261" s="438">
        <v>238000</v>
      </c>
      <c r="AH261" s="438">
        <v>164220</v>
      </c>
      <c r="AI261" s="438">
        <v>67073</v>
      </c>
      <c r="AJ261" s="438">
        <v>6707</v>
      </c>
      <c r="AK261" s="438">
        <v>73780</v>
      </c>
      <c r="AL261" s="414" t="str">
        <f t="shared" si="24"/>
        <v>워커힐 시그니처 양념 본갈비 300g, 8개</v>
      </c>
      <c r="AM261" s="395">
        <f t="shared" si="25"/>
        <v>46060</v>
      </c>
      <c r="AN261" s="396">
        <f t="shared" si="26"/>
        <v>2</v>
      </c>
      <c r="AO261" s="109">
        <f t="shared" si="27"/>
        <v>119000</v>
      </c>
      <c r="AP261" s="109">
        <f t="shared" si="28"/>
        <v>108181.81818181818</v>
      </c>
      <c r="AQ261" s="397">
        <f t="shared" si="29"/>
        <v>216363.63636363635</v>
      </c>
    </row>
    <row r="262" spans="1:43" ht="24">
      <c r="A262" s="436" t="s">
        <v>4206</v>
      </c>
      <c r="B262" s="436" t="s">
        <v>3490</v>
      </c>
      <c r="C262" s="437" t="s">
        <v>3491</v>
      </c>
      <c r="D262" s="436" t="s">
        <v>4259</v>
      </c>
      <c r="E262" s="437" t="s">
        <v>3772</v>
      </c>
      <c r="F262" s="436" t="s">
        <v>3494</v>
      </c>
      <c r="G262" s="436" t="s">
        <v>3495</v>
      </c>
      <c r="H262" s="437" t="s">
        <v>3496</v>
      </c>
      <c r="I262" s="436" t="s">
        <v>3497</v>
      </c>
      <c r="J262" s="437" t="s">
        <v>3498</v>
      </c>
      <c r="K262" s="437" t="s">
        <v>3499</v>
      </c>
      <c r="L262" s="436" t="s">
        <v>3500</v>
      </c>
      <c r="M262" s="436" t="s">
        <v>3524</v>
      </c>
      <c r="N262" s="436" t="s">
        <v>3502</v>
      </c>
      <c r="O262" s="438">
        <v>119000</v>
      </c>
      <c r="P262" s="438">
        <v>82110</v>
      </c>
      <c r="Q262" s="438">
        <v>1</v>
      </c>
      <c r="R262" s="438">
        <v>0</v>
      </c>
      <c r="S262" s="438">
        <v>0</v>
      </c>
      <c r="T262" s="438">
        <v>0</v>
      </c>
      <c r="U262" s="438">
        <v>0</v>
      </c>
      <c r="V262" s="438">
        <v>0</v>
      </c>
      <c r="W262" s="438">
        <v>31</v>
      </c>
      <c r="X262" s="438">
        <v>0</v>
      </c>
      <c r="Y262" s="438">
        <v>10000</v>
      </c>
      <c r="Z262" s="438">
        <v>0</v>
      </c>
      <c r="AA262" s="438">
        <v>0</v>
      </c>
      <c r="AB262" s="438">
        <v>0</v>
      </c>
      <c r="AC262" s="438">
        <v>119000</v>
      </c>
      <c r="AD262" s="438">
        <v>82110</v>
      </c>
      <c r="AE262" s="438">
        <v>0</v>
      </c>
      <c r="AF262" s="438">
        <v>10000</v>
      </c>
      <c r="AG262" s="438">
        <v>109000</v>
      </c>
      <c r="AH262" s="438">
        <v>82110</v>
      </c>
      <c r="AI262" s="438">
        <v>24445</v>
      </c>
      <c r="AJ262" s="438">
        <v>2445</v>
      </c>
      <c r="AK262" s="438">
        <v>26890</v>
      </c>
      <c r="AL262" s="414" t="str">
        <f t="shared" si="24"/>
        <v>워커힐 시그니처 양념 본갈비 300g, 8개</v>
      </c>
      <c r="AM262" s="395">
        <f t="shared" si="25"/>
        <v>46060</v>
      </c>
      <c r="AN262" s="396">
        <f t="shared" si="26"/>
        <v>1</v>
      </c>
      <c r="AO262" s="109">
        <f t="shared" si="27"/>
        <v>119000</v>
      </c>
      <c r="AP262" s="109">
        <f t="shared" si="28"/>
        <v>108181.81818181818</v>
      </c>
      <c r="AQ262" s="397">
        <f t="shared" si="29"/>
        <v>108181.81818181818</v>
      </c>
    </row>
    <row r="263" spans="1:43" ht="24">
      <c r="A263" s="436" t="s">
        <v>4209</v>
      </c>
      <c r="B263" s="436" t="s">
        <v>3490</v>
      </c>
      <c r="C263" s="437" t="s">
        <v>3491</v>
      </c>
      <c r="D263" s="436" t="s">
        <v>4378</v>
      </c>
      <c r="E263" s="437" t="s">
        <v>3541</v>
      </c>
      <c r="F263" s="436" t="s">
        <v>3494</v>
      </c>
      <c r="G263" s="436" t="s">
        <v>3495</v>
      </c>
      <c r="H263" s="437" t="s">
        <v>3496</v>
      </c>
      <c r="I263" s="436" t="s">
        <v>3497</v>
      </c>
      <c r="J263" s="437" t="s">
        <v>3498</v>
      </c>
      <c r="K263" s="437" t="s">
        <v>3499</v>
      </c>
      <c r="L263" s="436" t="s">
        <v>3500</v>
      </c>
      <c r="M263" s="436" t="s">
        <v>3524</v>
      </c>
      <c r="N263" s="436" t="s">
        <v>3502</v>
      </c>
      <c r="O263" s="438">
        <v>119000</v>
      </c>
      <c r="P263" s="438">
        <v>82110</v>
      </c>
      <c r="Q263" s="438">
        <v>1</v>
      </c>
      <c r="R263" s="438">
        <v>0</v>
      </c>
      <c r="S263" s="438">
        <v>0</v>
      </c>
      <c r="T263" s="438">
        <v>0</v>
      </c>
      <c r="U263" s="438">
        <v>0</v>
      </c>
      <c r="V263" s="438">
        <v>0</v>
      </c>
      <c r="W263" s="438">
        <v>31</v>
      </c>
      <c r="X263" s="438">
        <v>0</v>
      </c>
      <c r="Y263" s="438">
        <v>0</v>
      </c>
      <c r="Z263" s="438">
        <v>0</v>
      </c>
      <c r="AA263" s="438">
        <v>0</v>
      </c>
      <c r="AB263" s="438">
        <v>0</v>
      </c>
      <c r="AC263" s="438">
        <v>119000</v>
      </c>
      <c r="AD263" s="438">
        <v>82110</v>
      </c>
      <c r="AE263" s="438">
        <v>0</v>
      </c>
      <c r="AF263" s="438">
        <v>0</v>
      </c>
      <c r="AG263" s="438">
        <v>119000</v>
      </c>
      <c r="AH263" s="438">
        <v>82110</v>
      </c>
      <c r="AI263" s="438">
        <v>33536</v>
      </c>
      <c r="AJ263" s="438">
        <v>3354</v>
      </c>
      <c r="AK263" s="438">
        <v>36890</v>
      </c>
      <c r="AL263" s="414" t="str">
        <f t="shared" si="24"/>
        <v>워커힐 시그니처 양념 본갈비 300g, 8개</v>
      </c>
      <c r="AM263" s="395">
        <f t="shared" si="25"/>
        <v>46060</v>
      </c>
      <c r="AN263" s="396">
        <f t="shared" si="26"/>
        <v>1</v>
      </c>
      <c r="AO263" s="109">
        <f t="shared" si="27"/>
        <v>119000</v>
      </c>
      <c r="AP263" s="109">
        <f t="shared" si="28"/>
        <v>108181.81818181818</v>
      </c>
      <c r="AQ263" s="397">
        <f t="shared" si="29"/>
        <v>108181.81818181818</v>
      </c>
    </row>
    <row r="264" spans="1:43" ht="24">
      <c r="A264" s="436" t="s">
        <v>4212</v>
      </c>
      <c r="B264" s="436" t="s">
        <v>3490</v>
      </c>
      <c r="C264" s="437" t="s">
        <v>3491</v>
      </c>
      <c r="D264" s="436" t="s">
        <v>4218</v>
      </c>
      <c r="E264" s="437" t="s">
        <v>4219</v>
      </c>
      <c r="F264" s="436" t="s">
        <v>3494</v>
      </c>
      <c r="G264" s="436" t="s">
        <v>3495</v>
      </c>
      <c r="H264" s="437" t="s">
        <v>3496</v>
      </c>
      <c r="I264" s="436" t="s">
        <v>3497</v>
      </c>
      <c r="J264" s="437" t="s">
        <v>3498</v>
      </c>
      <c r="K264" s="437" t="s">
        <v>3548</v>
      </c>
      <c r="L264" s="436" t="s">
        <v>3500</v>
      </c>
      <c r="M264" s="436" t="s">
        <v>3524</v>
      </c>
      <c r="N264" s="436" t="s">
        <v>3502</v>
      </c>
      <c r="O264" s="438">
        <v>119000</v>
      </c>
      <c r="P264" s="438">
        <v>82110</v>
      </c>
      <c r="Q264" s="438">
        <v>1</v>
      </c>
      <c r="R264" s="438">
        <v>0</v>
      </c>
      <c r="S264" s="438">
        <v>0</v>
      </c>
      <c r="T264" s="438">
        <v>0</v>
      </c>
      <c r="U264" s="438">
        <v>0</v>
      </c>
      <c r="V264" s="438">
        <v>0</v>
      </c>
      <c r="W264" s="438">
        <v>31</v>
      </c>
      <c r="X264" s="438">
        <v>0</v>
      </c>
      <c r="Y264" s="438">
        <v>0</v>
      </c>
      <c r="Z264" s="438">
        <v>0</v>
      </c>
      <c r="AA264" s="438">
        <v>0</v>
      </c>
      <c r="AB264" s="438">
        <v>0</v>
      </c>
      <c r="AC264" s="438">
        <v>119000</v>
      </c>
      <c r="AD264" s="438">
        <v>82110</v>
      </c>
      <c r="AE264" s="438">
        <v>0</v>
      </c>
      <c r="AF264" s="438">
        <v>0</v>
      </c>
      <c r="AG264" s="438">
        <v>119000</v>
      </c>
      <c r="AH264" s="438">
        <v>82110</v>
      </c>
      <c r="AI264" s="438">
        <v>33536</v>
      </c>
      <c r="AJ264" s="438">
        <v>3354</v>
      </c>
      <c r="AK264" s="438">
        <v>36890</v>
      </c>
      <c r="AL264" s="414" t="str">
        <f t="shared" si="24"/>
        <v>워커힐 시그니처 양념 본갈비 300g, 8개</v>
      </c>
      <c r="AM264" s="395">
        <f t="shared" si="25"/>
        <v>46060</v>
      </c>
      <c r="AN264" s="396">
        <f t="shared" si="26"/>
        <v>1</v>
      </c>
      <c r="AO264" s="109">
        <f t="shared" si="27"/>
        <v>119000</v>
      </c>
      <c r="AP264" s="109">
        <f t="shared" si="28"/>
        <v>108181.81818181818</v>
      </c>
      <c r="AQ264" s="397">
        <f t="shared" si="29"/>
        <v>108181.81818181818</v>
      </c>
    </row>
    <row r="265" spans="1:43" ht="24">
      <c r="A265" s="436" t="s">
        <v>4215</v>
      </c>
      <c r="B265" s="436" t="s">
        <v>3490</v>
      </c>
      <c r="C265" s="437" t="s">
        <v>3491</v>
      </c>
      <c r="D265" s="436" t="s">
        <v>4221</v>
      </c>
      <c r="E265" s="437" t="s">
        <v>4222</v>
      </c>
      <c r="F265" s="436" t="s">
        <v>3494</v>
      </c>
      <c r="G265" s="436" t="s">
        <v>3495</v>
      </c>
      <c r="H265" s="437" t="s">
        <v>3496</v>
      </c>
      <c r="I265" s="436" t="s">
        <v>3497</v>
      </c>
      <c r="J265" s="437" t="s">
        <v>3498</v>
      </c>
      <c r="K265" s="437" t="s">
        <v>3499</v>
      </c>
      <c r="L265" s="436" t="s">
        <v>3500</v>
      </c>
      <c r="M265" s="436" t="s">
        <v>3524</v>
      </c>
      <c r="N265" s="436" t="s">
        <v>3502</v>
      </c>
      <c r="O265" s="438">
        <v>119000</v>
      </c>
      <c r="P265" s="438">
        <v>82110</v>
      </c>
      <c r="Q265" s="438">
        <v>1</v>
      </c>
      <c r="R265" s="438">
        <v>0</v>
      </c>
      <c r="S265" s="438">
        <v>0</v>
      </c>
      <c r="T265" s="438">
        <v>0</v>
      </c>
      <c r="U265" s="438">
        <v>0</v>
      </c>
      <c r="V265" s="438">
        <v>0</v>
      </c>
      <c r="W265" s="438">
        <v>31</v>
      </c>
      <c r="X265" s="438">
        <v>0</v>
      </c>
      <c r="Y265" s="438">
        <v>0</v>
      </c>
      <c r="Z265" s="438">
        <v>0</v>
      </c>
      <c r="AA265" s="438">
        <v>0</v>
      </c>
      <c r="AB265" s="438">
        <v>0</v>
      </c>
      <c r="AC265" s="438">
        <v>119000</v>
      </c>
      <c r="AD265" s="438">
        <v>82110</v>
      </c>
      <c r="AE265" s="438">
        <v>0</v>
      </c>
      <c r="AF265" s="438">
        <v>0</v>
      </c>
      <c r="AG265" s="438">
        <v>119000</v>
      </c>
      <c r="AH265" s="438">
        <v>82110</v>
      </c>
      <c r="AI265" s="438">
        <v>33536</v>
      </c>
      <c r="AJ265" s="438">
        <v>3354</v>
      </c>
      <c r="AK265" s="438">
        <v>36890</v>
      </c>
      <c r="AL265" s="414" t="str">
        <f t="shared" si="24"/>
        <v>워커힐 시그니처 양념 본갈비 300g, 8개</v>
      </c>
      <c r="AM265" s="395">
        <f t="shared" si="25"/>
        <v>46060</v>
      </c>
      <c r="AN265" s="396">
        <f t="shared" si="26"/>
        <v>1</v>
      </c>
      <c r="AO265" s="109">
        <f t="shared" si="27"/>
        <v>119000</v>
      </c>
      <c r="AP265" s="109">
        <f t="shared" si="28"/>
        <v>108181.81818181818</v>
      </c>
      <c r="AQ265" s="397">
        <f t="shared" si="29"/>
        <v>108181.81818181818</v>
      </c>
    </row>
    <row r="266" spans="1:43" ht="24">
      <c r="A266" s="436" t="s">
        <v>4217</v>
      </c>
      <c r="B266" s="436" t="s">
        <v>3490</v>
      </c>
      <c r="C266" s="437" t="s">
        <v>3491</v>
      </c>
      <c r="D266" s="436" t="s">
        <v>4224</v>
      </c>
      <c r="E266" s="437" t="s">
        <v>4225</v>
      </c>
      <c r="F266" s="436" t="s">
        <v>3494</v>
      </c>
      <c r="G266" s="436" t="s">
        <v>3495</v>
      </c>
      <c r="H266" s="437" t="s">
        <v>3496</v>
      </c>
      <c r="I266" s="436" t="s">
        <v>3497</v>
      </c>
      <c r="J266" s="437" t="s">
        <v>3498</v>
      </c>
      <c r="K266" s="437" t="s">
        <v>3499</v>
      </c>
      <c r="L266" s="436" t="s">
        <v>3500</v>
      </c>
      <c r="M266" s="436" t="s">
        <v>3524</v>
      </c>
      <c r="N266" s="436" t="s">
        <v>3502</v>
      </c>
      <c r="O266" s="438">
        <v>119000</v>
      </c>
      <c r="P266" s="438">
        <v>82110</v>
      </c>
      <c r="Q266" s="438">
        <v>1</v>
      </c>
      <c r="R266" s="438">
        <v>0</v>
      </c>
      <c r="S266" s="438">
        <v>0</v>
      </c>
      <c r="T266" s="438">
        <v>0</v>
      </c>
      <c r="U266" s="438">
        <v>0</v>
      </c>
      <c r="V266" s="438">
        <v>0</v>
      </c>
      <c r="W266" s="438">
        <v>31</v>
      </c>
      <c r="X266" s="438">
        <v>0</v>
      </c>
      <c r="Y266" s="438">
        <v>0</v>
      </c>
      <c r="Z266" s="438">
        <v>0</v>
      </c>
      <c r="AA266" s="438">
        <v>0</v>
      </c>
      <c r="AB266" s="438">
        <v>0</v>
      </c>
      <c r="AC266" s="438">
        <v>119000</v>
      </c>
      <c r="AD266" s="438">
        <v>82110</v>
      </c>
      <c r="AE266" s="438">
        <v>0</v>
      </c>
      <c r="AF266" s="438">
        <v>0</v>
      </c>
      <c r="AG266" s="438">
        <v>119000</v>
      </c>
      <c r="AH266" s="438">
        <v>82110</v>
      </c>
      <c r="AI266" s="438">
        <v>33536</v>
      </c>
      <c r="AJ266" s="438">
        <v>3354</v>
      </c>
      <c r="AK266" s="438">
        <v>36890</v>
      </c>
      <c r="AL266" s="414" t="str">
        <f t="shared" si="24"/>
        <v>워커힐 시그니처 양념 본갈비 300g, 8개</v>
      </c>
      <c r="AM266" s="395">
        <f t="shared" si="25"/>
        <v>46060</v>
      </c>
      <c r="AN266" s="396">
        <f t="shared" si="26"/>
        <v>1</v>
      </c>
      <c r="AO266" s="109">
        <f t="shared" si="27"/>
        <v>119000</v>
      </c>
      <c r="AP266" s="109">
        <f t="shared" si="28"/>
        <v>108181.81818181818</v>
      </c>
      <c r="AQ266" s="397">
        <f t="shared" si="29"/>
        <v>108181.81818181818</v>
      </c>
    </row>
    <row r="267" spans="1:43" ht="24">
      <c r="A267" s="436" t="s">
        <v>4220</v>
      </c>
      <c r="B267" s="436" t="s">
        <v>3490</v>
      </c>
      <c r="C267" s="437" t="s">
        <v>3491</v>
      </c>
      <c r="D267" s="436" t="s">
        <v>4399</v>
      </c>
      <c r="E267" s="437" t="s">
        <v>4400</v>
      </c>
      <c r="F267" s="436" t="s">
        <v>3494</v>
      </c>
      <c r="G267" s="436" t="s">
        <v>3495</v>
      </c>
      <c r="H267" s="437" t="s">
        <v>3496</v>
      </c>
      <c r="I267" s="436" t="s">
        <v>3497</v>
      </c>
      <c r="J267" s="437" t="s">
        <v>3498</v>
      </c>
      <c r="K267" s="437" t="s">
        <v>3499</v>
      </c>
      <c r="L267" s="436" t="s">
        <v>3500</v>
      </c>
      <c r="M267" s="436" t="s">
        <v>3524</v>
      </c>
      <c r="N267" s="436" t="s">
        <v>3502</v>
      </c>
      <c r="O267" s="438">
        <v>119000</v>
      </c>
      <c r="P267" s="438">
        <v>82110</v>
      </c>
      <c r="Q267" s="438">
        <v>1</v>
      </c>
      <c r="R267" s="438">
        <v>0</v>
      </c>
      <c r="S267" s="438">
        <v>0</v>
      </c>
      <c r="T267" s="438">
        <v>0</v>
      </c>
      <c r="U267" s="438">
        <v>0</v>
      </c>
      <c r="V267" s="438">
        <v>0</v>
      </c>
      <c r="W267" s="438">
        <v>31</v>
      </c>
      <c r="X267" s="438">
        <v>0</v>
      </c>
      <c r="Y267" s="438">
        <v>0</v>
      </c>
      <c r="Z267" s="438">
        <v>0</v>
      </c>
      <c r="AA267" s="438">
        <v>0</v>
      </c>
      <c r="AB267" s="438">
        <v>5950</v>
      </c>
      <c r="AC267" s="438">
        <v>119000</v>
      </c>
      <c r="AD267" s="438">
        <v>82110</v>
      </c>
      <c r="AE267" s="438">
        <v>0</v>
      </c>
      <c r="AF267" s="438">
        <v>5950</v>
      </c>
      <c r="AG267" s="438">
        <v>113050</v>
      </c>
      <c r="AH267" s="438">
        <v>82110</v>
      </c>
      <c r="AI267" s="438">
        <v>28127</v>
      </c>
      <c r="AJ267" s="438">
        <v>2813</v>
      </c>
      <c r="AK267" s="438">
        <v>30940</v>
      </c>
      <c r="AL267" s="414" t="str">
        <f t="shared" si="24"/>
        <v>워커힐 시그니처 양념 본갈비 300g, 8개</v>
      </c>
      <c r="AM267" s="395">
        <f t="shared" si="25"/>
        <v>46060</v>
      </c>
      <c r="AN267" s="396">
        <f t="shared" si="26"/>
        <v>1</v>
      </c>
      <c r="AO267" s="109">
        <f t="shared" si="27"/>
        <v>119000</v>
      </c>
      <c r="AP267" s="109">
        <f t="shared" si="28"/>
        <v>108181.81818181818</v>
      </c>
      <c r="AQ267" s="397">
        <f t="shared" si="29"/>
        <v>108181.81818181818</v>
      </c>
    </row>
    <row r="268" spans="1:43" ht="24">
      <c r="A268" s="436" t="s">
        <v>4223</v>
      </c>
      <c r="B268" s="436" t="s">
        <v>3490</v>
      </c>
      <c r="C268" s="437" t="s">
        <v>3491</v>
      </c>
      <c r="D268" s="436" t="s">
        <v>4402</v>
      </c>
      <c r="E268" s="437" t="s">
        <v>4400</v>
      </c>
      <c r="F268" s="436" t="s">
        <v>3494</v>
      </c>
      <c r="G268" s="436" t="s">
        <v>3495</v>
      </c>
      <c r="H268" s="437" t="s">
        <v>3496</v>
      </c>
      <c r="I268" s="436" t="s">
        <v>3497</v>
      </c>
      <c r="J268" s="437" t="s">
        <v>3498</v>
      </c>
      <c r="K268" s="437" t="s">
        <v>3499</v>
      </c>
      <c r="L268" s="436" t="s">
        <v>3500</v>
      </c>
      <c r="M268" s="436" t="s">
        <v>3524</v>
      </c>
      <c r="N268" s="436" t="s">
        <v>3502</v>
      </c>
      <c r="O268" s="438">
        <v>119000</v>
      </c>
      <c r="P268" s="438">
        <v>82110</v>
      </c>
      <c r="Q268" s="438">
        <v>1</v>
      </c>
      <c r="R268" s="438">
        <v>0</v>
      </c>
      <c r="S268" s="438">
        <v>0</v>
      </c>
      <c r="T268" s="438">
        <v>0</v>
      </c>
      <c r="U268" s="438">
        <v>0</v>
      </c>
      <c r="V268" s="438">
        <v>0</v>
      </c>
      <c r="W268" s="438">
        <v>31</v>
      </c>
      <c r="X268" s="438">
        <v>0</v>
      </c>
      <c r="Y268" s="438">
        <v>0</v>
      </c>
      <c r="Z268" s="438">
        <v>0</v>
      </c>
      <c r="AA268" s="438">
        <v>0</v>
      </c>
      <c r="AB268" s="438">
        <v>5950</v>
      </c>
      <c r="AC268" s="438">
        <v>119000</v>
      </c>
      <c r="AD268" s="438">
        <v>82110</v>
      </c>
      <c r="AE268" s="438">
        <v>0</v>
      </c>
      <c r="AF268" s="438">
        <v>5950</v>
      </c>
      <c r="AG268" s="438">
        <v>113050</v>
      </c>
      <c r="AH268" s="438">
        <v>82110</v>
      </c>
      <c r="AI268" s="438">
        <v>28127</v>
      </c>
      <c r="AJ268" s="438">
        <v>2813</v>
      </c>
      <c r="AK268" s="438">
        <v>30940</v>
      </c>
      <c r="AL268" s="414" t="str">
        <f t="shared" si="24"/>
        <v>워커힐 시그니처 양념 본갈비 300g, 8개</v>
      </c>
      <c r="AM268" s="395">
        <f t="shared" si="25"/>
        <v>46060</v>
      </c>
      <c r="AN268" s="396">
        <f t="shared" si="26"/>
        <v>1</v>
      </c>
      <c r="AO268" s="109">
        <f t="shared" si="27"/>
        <v>119000</v>
      </c>
      <c r="AP268" s="109">
        <f t="shared" si="28"/>
        <v>108181.81818181818</v>
      </c>
      <c r="AQ268" s="397">
        <f t="shared" si="29"/>
        <v>108181.81818181818</v>
      </c>
    </row>
    <row r="269" spans="1:43" ht="24">
      <c r="A269" s="436" t="s">
        <v>4226</v>
      </c>
      <c r="B269" s="436" t="s">
        <v>3490</v>
      </c>
      <c r="C269" s="437" t="s">
        <v>3491</v>
      </c>
      <c r="D269" s="436" t="s">
        <v>4227</v>
      </c>
      <c r="E269" s="437" t="s">
        <v>4228</v>
      </c>
      <c r="F269" s="436" t="s">
        <v>3494</v>
      </c>
      <c r="G269" s="436" t="s">
        <v>3495</v>
      </c>
      <c r="H269" s="437" t="s">
        <v>3496</v>
      </c>
      <c r="I269" s="436" t="s">
        <v>3497</v>
      </c>
      <c r="J269" s="437" t="s">
        <v>3498</v>
      </c>
      <c r="K269" s="437" t="s">
        <v>3499</v>
      </c>
      <c r="L269" s="436" t="s">
        <v>3500</v>
      </c>
      <c r="M269" s="436" t="s">
        <v>3524</v>
      </c>
      <c r="N269" s="436" t="s">
        <v>3502</v>
      </c>
      <c r="O269" s="438">
        <v>119000</v>
      </c>
      <c r="P269" s="438">
        <v>82110</v>
      </c>
      <c r="Q269" s="438">
        <v>1</v>
      </c>
      <c r="R269" s="438">
        <v>0</v>
      </c>
      <c r="S269" s="438">
        <v>0</v>
      </c>
      <c r="T269" s="438">
        <v>0</v>
      </c>
      <c r="U269" s="438">
        <v>0</v>
      </c>
      <c r="V269" s="438">
        <v>0</v>
      </c>
      <c r="W269" s="438">
        <v>31</v>
      </c>
      <c r="X269" s="438">
        <v>0</v>
      </c>
      <c r="Y269" s="438">
        <v>0</v>
      </c>
      <c r="Z269" s="438">
        <v>0</v>
      </c>
      <c r="AA269" s="438">
        <v>0</v>
      </c>
      <c r="AB269" s="438">
        <v>0</v>
      </c>
      <c r="AC269" s="438">
        <v>119000</v>
      </c>
      <c r="AD269" s="438">
        <v>82110</v>
      </c>
      <c r="AE269" s="438">
        <v>0</v>
      </c>
      <c r="AF269" s="438">
        <v>0</v>
      </c>
      <c r="AG269" s="438">
        <v>119000</v>
      </c>
      <c r="AH269" s="438">
        <v>82110</v>
      </c>
      <c r="AI269" s="438">
        <v>33536</v>
      </c>
      <c r="AJ269" s="438">
        <v>3354</v>
      </c>
      <c r="AK269" s="438">
        <v>36890</v>
      </c>
      <c r="AL269" s="414" t="str">
        <f t="shared" si="24"/>
        <v>워커힐 시그니처 양념 본갈비 300g, 8개</v>
      </c>
      <c r="AM269" s="395">
        <f t="shared" si="25"/>
        <v>46060</v>
      </c>
      <c r="AN269" s="396">
        <f t="shared" si="26"/>
        <v>1</v>
      </c>
      <c r="AO269" s="109">
        <f t="shared" si="27"/>
        <v>119000</v>
      </c>
      <c r="AP269" s="109">
        <f t="shared" si="28"/>
        <v>108181.81818181818</v>
      </c>
      <c r="AQ269" s="397">
        <f t="shared" si="29"/>
        <v>108181.81818181818</v>
      </c>
    </row>
    <row r="270" spans="1:43" ht="24">
      <c r="A270" s="436" t="s">
        <v>4229</v>
      </c>
      <c r="B270" s="436" t="s">
        <v>3490</v>
      </c>
      <c r="C270" s="437" t="s">
        <v>3491</v>
      </c>
      <c r="D270" s="436" t="s">
        <v>4257</v>
      </c>
      <c r="E270" s="437" t="s">
        <v>4068</v>
      </c>
      <c r="F270" s="436" t="s">
        <v>3494</v>
      </c>
      <c r="G270" s="436" t="s">
        <v>3495</v>
      </c>
      <c r="H270" s="437" t="s">
        <v>3496</v>
      </c>
      <c r="I270" s="436" t="s">
        <v>3497</v>
      </c>
      <c r="J270" s="437" t="s">
        <v>3498</v>
      </c>
      <c r="K270" s="437" t="s">
        <v>3499</v>
      </c>
      <c r="L270" s="436" t="s">
        <v>3500</v>
      </c>
      <c r="M270" s="436" t="s">
        <v>3524</v>
      </c>
      <c r="N270" s="436" t="s">
        <v>3502</v>
      </c>
      <c r="O270" s="438">
        <v>119000</v>
      </c>
      <c r="P270" s="438">
        <v>82110</v>
      </c>
      <c r="Q270" s="438">
        <v>1</v>
      </c>
      <c r="R270" s="438">
        <v>0</v>
      </c>
      <c r="S270" s="438">
        <v>0</v>
      </c>
      <c r="T270" s="438">
        <v>0</v>
      </c>
      <c r="U270" s="438">
        <v>0</v>
      </c>
      <c r="V270" s="438">
        <v>0</v>
      </c>
      <c r="W270" s="438">
        <v>31</v>
      </c>
      <c r="X270" s="438">
        <v>0</v>
      </c>
      <c r="Y270" s="438">
        <v>0</v>
      </c>
      <c r="Z270" s="438">
        <v>0</v>
      </c>
      <c r="AA270" s="438">
        <v>0</v>
      </c>
      <c r="AB270" s="438">
        <v>0</v>
      </c>
      <c r="AC270" s="438">
        <v>119000</v>
      </c>
      <c r="AD270" s="438">
        <v>82110</v>
      </c>
      <c r="AE270" s="438">
        <v>0</v>
      </c>
      <c r="AF270" s="438">
        <v>0</v>
      </c>
      <c r="AG270" s="438">
        <v>119000</v>
      </c>
      <c r="AH270" s="438">
        <v>82110</v>
      </c>
      <c r="AI270" s="438">
        <v>33536</v>
      </c>
      <c r="AJ270" s="438">
        <v>3354</v>
      </c>
      <c r="AK270" s="438">
        <v>36890</v>
      </c>
      <c r="AL270" s="414" t="str">
        <f t="shared" si="24"/>
        <v>워커힐 시그니처 양념 본갈비 300g, 8개</v>
      </c>
      <c r="AM270" s="395">
        <f t="shared" si="25"/>
        <v>46060</v>
      </c>
      <c r="AN270" s="396">
        <f t="shared" si="26"/>
        <v>1</v>
      </c>
      <c r="AO270" s="109">
        <f t="shared" si="27"/>
        <v>119000</v>
      </c>
      <c r="AP270" s="109">
        <f t="shared" si="28"/>
        <v>108181.81818181818</v>
      </c>
      <c r="AQ270" s="397">
        <f t="shared" si="29"/>
        <v>108181.81818181818</v>
      </c>
    </row>
    <row r="271" spans="1:43" ht="24">
      <c r="A271" s="436" t="s">
        <v>4231</v>
      </c>
      <c r="B271" s="436" t="s">
        <v>3490</v>
      </c>
      <c r="C271" s="437" t="s">
        <v>3491</v>
      </c>
      <c r="D271" s="436" t="s">
        <v>4070</v>
      </c>
      <c r="E271" s="437" t="s">
        <v>4071</v>
      </c>
      <c r="F271" s="436" t="s">
        <v>3494</v>
      </c>
      <c r="G271" s="436" t="s">
        <v>3495</v>
      </c>
      <c r="H271" s="437" t="s">
        <v>3496</v>
      </c>
      <c r="I271" s="436" t="s">
        <v>3497</v>
      </c>
      <c r="J271" s="437" t="s">
        <v>3498</v>
      </c>
      <c r="K271" s="437" t="s">
        <v>3499</v>
      </c>
      <c r="L271" s="436" t="s">
        <v>3500</v>
      </c>
      <c r="M271" s="436" t="s">
        <v>3524</v>
      </c>
      <c r="N271" s="436" t="s">
        <v>3502</v>
      </c>
      <c r="O271" s="438">
        <v>119000</v>
      </c>
      <c r="P271" s="438">
        <v>82110</v>
      </c>
      <c r="Q271" s="438">
        <v>1</v>
      </c>
      <c r="R271" s="438">
        <v>0</v>
      </c>
      <c r="S271" s="438">
        <v>0</v>
      </c>
      <c r="T271" s="438">
        <v>0</v>
      </c>
      <c r="U271" s="438">
        <v>0</v>
      </c>
      <c r="V271" s="438">
        <v>0</v>
      </c>
      <c r="W271" s="438">
        <v>31</v>
      </c>
      <c r="X271" s="438">
        <v>0</v>
      </c>
      <c r="Y271" s="438">
        <v>10000</v>
      </c>
      <c r="Z271" s="438">
        <v>0</v>
      </c>
      <c r="AA271" s="438">
        <v>0</v>
      </c>
      <c r="AB271" s="438">
        <v>0</v>
      </c>
      <c r="AC271" s="438">
        <v>119000</v>
      </c>
      <c r="AD271" s="438">
        <v>82110</v>
      </c>
      <c r="AE271" s="438">
        <v>0</v>
      </c>
      <c r="AF271" s="438">
        <v>10000</v>
      </c>
      <c r="AG271" s="438">
        <v>109000</v>
      </c>
      <c r="AH271" s="438">
        <v>82110</v>
      </c>
      <c r="AI271" s="438">
        <v>24445</v>
      </c>
      <c r="AJ271" s="438">
        <v>2445</v>
      </c>
      <c r="AK271" s="438">
        <v>26890</v>
      </c>
      <c r="AL271" s="414" t="str">
        <f t="shared" si="24"/>
        <v>워커힐 시그니처 양념 본갈비 300g, 8개</v>
      </c>
      <c r="AM271" s="395">
        <f t="shared" si="25"/>
        <v>46060</v>
      </c>
      <c r="AN271" s="396">
        <f t="shared" si="26"/>
        <v>1</v>
      </c>
      <c r="AO271" s="109">
        <f t="shared" si="27"/>
        <v>119000</v>
      </c>
      <c r="AP271" s="109">
        <f t="shared" si="28"/>
        <v>108181.81818181818</v>
      </c>
      <c r="AQ271" s="397">
        <f t="shared" si="29"/>
        <v>108181.81818181818</v>
      </c>
    </row>
    <row r="272" spans="1:43" ht="24">
      <c r="A272" s="436" t="s">
        <v>4233</v>
      </c>
      <c r="B272" s="436" t="s">
        <v>3490</v>
      </c>
      <c r="C272" s="437" t="s">
        <v>3491</v>
      </c>
      <c r="D272" s="436" t="s">
        <v>4230</v>
      </c>
      <c r="E272" s="437" t="s">
        <v>3533</v>
      </c>
      <c r="F272" s="436" t="s">
        <v>3494</v>
      </c>
      <c r="G272" s="436" t="s">
        <v>3495</v>
      </c>
      <c r="H272" s="437" t="s">
        <v>3496</v>
      </c>
      <c r="I272" s="436" t="s">
        <v>3497</v>
      </c>
      <c r="J272" s="437" t="s">
        <v>3498</v>
      </c>
      <c r="K272" s="437" t="s">
        <v>3499</v>
      </c>
      <c r="L272" s="436" t="s">
        <v>3500</v>
      </c>
      <c r="M272" s="436" t="s">
        <v>3524</v>
      </c>
      <c r="N272" s="436" t="s">
        <v>3502</v>
      </c>
      <c r="O272" s="438">
        <v>119000</v>
      </c>
      <c r="P272" s="438">
        <v>82110</v>
      </c>
      <c r="Q272" s="438">
        <v>1</v>
      </c>
      <c r="R272" s="438">
        <v>0</v>
      </c>
      <c r="S272" s="438">
        <v>0</v>
      </c>
      <c r="T272" s="438">
        <v>0</v>
      </c>
      <c r="U272" s="438">
        <v>0</v>
      </c>
      <c r="V272" s="438">
        <v>0</v>
      </c>
      <c r="W272" s="438">
        <v>31</v>
      </c>
      <c r="X272" s="438">
        <v>0</v>
      </c>
      <c r="Y272" s="438">
        <v>0</v>
      </c>
      <c r="Z272" s="438">
        <v>0</v>
      </c>
      <c r="AA272" s="438">
        <v>0</v>
      </c>
      <c r="AB272" s="438">
        <v>0</v>
      </c>
      <c r="AC272" s="438">
        <v>119000</v>
      </c>
      <c r="AD272" s="438">
        <v>82110</v>
      </c>
      <c r="AE272" s="438">
        <v>0</v>
      </c>
      <c r="AF272" s="438">
        <v>0</v>
      </c>
      <c r="AG272" s="438">
        <v>119000</v>
      </c>
      <c r="AH272" s="438">
        <v>82110</v>
      </c>
      <c r="AI272" s="438">
        <v>33536</v>
      </c>
      <c r="AJ272" s="438">
        <v>3354</v>
      </c>
      <c r="AK272" s="438">
        <v>36890</v>
      </c>
      <c r="AL272" s="414" t="str">
        <f t="shared" si="24"/>
        <v>워커힐 시그니처 양념 본갈비 300g, 8개</v>
      </c>
      <c r="AM272" s="395">
        <f t="shared" si="25"/>
        <v>46060</v>
      </c>
      <c r="AN272" s="396">
        <f t="shared" si="26"/>
        <v>1</v>
      </c>
      <c r="AO272" s="109">
        <f t="shared" si="27"/>
        <v>119000</v>
      </c>
      <c r="AP272" s="109">
        <f t="shared" si="28"/>
        <v>108181.81818181818</v>
      </c>
      <c r="AQ272" s="397">
        <f t="shared" si="29"/>
        <v>108181.81818181818</v>
      </c>
    </row>
    <row r="273" spans="1:43" ht="24">
      <c r="A273" s="436" t="s">
        <v>4236</v>
      </c>
      <c r="B273" s="436" t="s">
        <v>3490</v>
      </c>
      <c r="C273" s="437" t="s">
        <v>3491</v>
      </c>
      <c r="D273" s="436" t="s">
        <v>4073</v>
      </c>
      <c r="E273" s="437" t="s">
        <v>3760</v>
      </c>
      <c r="F273" s="436" t="s">
        <v>3494</v>
      </c>
      <c r="G273" s="436" t="s">
        <v>3495</v>
      </c>
      <c r="H273" s="437" t="s">
        <v>3496</v>
      </c>
      <c r="I273" s="436" t="s">
        <v>3497</v>
      </c>
      <c r="J273" s="437" t="s">
        <v>3498</v>
      </c>
      <c r="K273" s="437" t="s">
        <v>3499</v>
      </c>
      <c r="L273" s="436" t="s">
        <v>3500</v>
      </c>
      <c r="M273" s="436" t="s">
        <v>3524</v>
      </c>
      <c r="N273" s="436" t="s">
        <v>3502</v>
      </c>
      <c r="O273" s="438">
        <v>119000</v>
      </c>
      <c r="P273" s="438">
        <v>82110</v>
      </c>
      <c r="Q273" s="438">
        <v>1</v>
      </c>
      <c r="R273" s="438">
        <v>0</v>
      </c>
      <c r="S273" s="438">
        <v>0</v>
      </c>
      <c r="T273" s="438">
        <v>0</v>
      </c>
      <c r="U273" s="438">
        <v>0</v>
      </c>
      <c r="V273" s="438">
        <v>0</v>
      </c>
      <c r="W273" s="438">
        <v>31</v>
      </c>
      <c r="X273" s="438">
        <v>0</v>
      </c>
      <c r="Y273" s="438">
        <v>0</v>
      </c>
      <c r="Z273" s="438">
        <v>0</v>
      </c>
      <c r="AA273" s="438">
        <v>0</v>
      </c>
      <c r="AB273" s="438">
        <v>0</v>
      </c>
      <c r="AC273" s="438">
        <v>119000</v>
      </c>
      <c r="AD273" s="438">
        <v>82110</v>
      </c>
      <c r="AE273" s="438">
        <v>0</v>
      </c>
      <c r="AF273" s="438">
        <v>0</v>
      </c>
      <c r="AG273" s="438">
        <v>119000</v>
      </c>
      <c r="AH273" s="438">
        <v>82110</v>
      </c>
      <c r="AI273" s="438">
        <v>33536</v>
      </c>
      <c r="AJ273" s="438">
        <v>3354</v>
      </c>
      <c r="AK273" s="438">
        <v>36890</v>
      </c>
      <c r="AL273" s="414" t="str">
        <f t="shared" si="24"/>
        <v>워커힐 시그니처 양념 본갈비 300g, 8개</v>
      </c>
      <c r="AM273" s="395">
        <f t="shared" si="25"/>
        <v>46060</v>
      </c>
      <c r="AN273" s="396">
        <f t="shared" si="26"/>
        <v>1</v>
      </c>
      <c r="AO273" s="109">
        <f t="shared" si="27"/>
        <v>119000</v>
      </c>
      <c r="AP273" s="109">
        <f t="shared" si="28"/>
        <v>108181.81818181818</v>
      </c>
      <c r="AQ273" s="397">
        <f t="shared" si="29"/>
        <v>108181.81818181818</v>
      </c>
    </row>
    <row r="274" spans="1:43" ht="24">
      <c r="A274" s="436" t="s">
        <v>4238</v>
      </c>
      <c r="B274" s="436" t="s">
        <v>3490</v>
      </c>
      <c r="C274" s="437" t="s">
        <v>3491</v>
      </c>
      <c r="D274" s="436" t="s">
        <v>4421</v>
      </c>
      <c r="E274" s="437" t="s">
        <v>4422</v>
      </c>
      <c r="F274" s="436" t="s">
        <v>3494</v>
      </c>
      <c r="G274" s="436" t="s">
        <v>3495</v>
      </c>
      <c r="H274" s="437" t="s">
        <v>3496</v>
      </c>
      <c r="I274" s="436" t="s">
        <v>3497</v>
      </c>
      <c r="J274" s="437" t="s">
        <v>3498</v>
      </c>
      <c r="K274" s="437" t="s">
        <v>3499</v>
      </c>
      <c r="L274" s="436" t="s">
        <v>3500</v>
      </c>
      <c r="M274" s="436" t="s">
        <v>3524</v>
      </c>
      <c r="N274" s="436" t="s">
        <v>3502</v>
      </c>
      <c r="O274" s="438">
        <v>119000</v>
      </c>
      <c r="P274" s="438">
        <v>82110</v>
      </c>
      <c r="Q274" s="438">
        <v>1</v>
      </c>
      <c r="R274" s="438">
        <v>0</v>
      </c>
      <c r="S274" s="438">
        <v>0</v>
      </c>
      <c r="T274" s="438">
        <v>0</v>
      </c>
      <c r="U274" s="438">
        <v>0</v>
      </c>
      <c r="V274" s="438">
        <v>0</v>
      </c>
      <c r="W274" s="438">
        <v>31</v>
      </c>
      <c r="X274" s="438">
        <v>0</v>
      </c>
      <c r="Y274" s="438">
        <v>0</v>
      </c>
      <c r="Z274" s="438">
        <v>0</v>
      </c>
      <c r="AA274" s="438">
        <v>0</v>
      </c>
      <c r="AB274" s="438">
        <v>0</v>
      </c>
      <c r="AC274" s="438">
        <v>119000</v>
      </c>
      <c r="AD274" s="438">
        <v>82110</v>
      </c>
      <c r="AE274" s="438">
        <v>0</v>
      </c>
      <c r="AF274" s="438">
        <v>0</v>
      </c>
      <c r="AG274" s="438">
        <v>119000</v>
      </c>
      <c r="AH274" s="438">
        <v>82110</v>
      </c>
      <c r="AI274" s="438">
        <v>33536</v>
      </c>
      <c r="AJ274" s="438">
        <v>3354</v>
      </c>
      <c r="AK274" s="438">
        <v>36890</v>
      </c>
      <c r="AL274" s="414" t="str">
        <f t="shared" si="24"/>
        <v>워커힐 시그니처 양념 본갈비 300g, 8개</v>
      </c>
      <c r="AM274" s="395">
        <f t="shared" si="25"/>
        <v>46060</v>
      </c>
      <c r="AN274" s="396">
        <f t="shared" si="26"/>
        <v>1</v>
      </c>
      <c r="AO274" s="109">
        <f t="shared" si="27"/>
        <v>119000</v>
      </c>
      <c r="AP274" s="109">
        <f t="shared" si="28"/>
        <v>108181.81818181818</v>
      </c>
      <c r="AQ274" s="397">
        <f t="shared" si="29"/>
        <v>108181.81818181818</v>
      </c>
    </row>
    <row r="275" spans="1:43" ht="24">
      <c r="A275" s="436" t="s">
        <v>4241</v>
      </c>
      <c r="B275" s="436" t="s">
        <v>3490</v>
      </c>
      <c r="C275" s="437" t="s">
        <v>3491</v>
      </c>
      <c r="D275" s="436" t="s">
        <v>4427</v>
      </c>
      <c r="E275" s="437" t="s">
        <v>4155</v>
      </c>
      <c r="F275" s="436" t="s">
        <v>3494</v>
      </c>
      <c r="G275" s="436" t="s">
        <v>3495</v>
      </c>
      <c r="H275" s="437" t="s">
        <v>3496</v>
      </c>
      <c r="I275" s="436" t="s">
        <v>3497</v>
      </c>
      <c r="J275" s="437" t="s">
        <v>3498</v>
      </c>
      <c r="K275" s="437" t="s">
        <v>3548</v>
      </c>
      <c r="L275" s="436" t="s">
        <v>3500</v>
      </c>
      <c r="M275" s="436" t="s">
        <v>3524</v>
      </c>
      <c r="N275" s="436" t="s">
        <v>3502</v>
      </c>
      <c r="O275" s="438">
        <v>119000</v>
      </c>
      <c r="P275" s="438">
        <v>82110</v>
      </c>
      <c r="Q275" s="438">
        <v>1</v>
      </c>
      <c r="R275" s="438">
        <v>0</v>
      </c>
      <c r="S275" s="438">
        <v>0</v>
      </c>
      <c r="T275" s="438">
        <v>0</v>
      </c>
      <c r="U275" s="438">
        <v>0</v>
      </c>
      <c r="V275" s="438">
        <v>0</v>
      </c>
      <c r="W275" s="438">
        <v>31</v>
      </c>
      <c r="X275" s="438">
        <v>0</v>
      </c>
      <c r="Y275" s="438">
        <v>0</v>
      </c>
      <c r="Z275" s="438">
        <v>0</v>
      </c>
      <c r="AA275" s="438">
        <v>0</v>
      </c>
      <c r="AB275" s="438">
        <v>0</v>
      </c>
      <c r="AC275" s="438">
        <v>119000</v>
      </c>
      <c r="AD275" s="438">
        <v>82110</v>
      </c>
      <c r="AE275" s="438">
        <v>0</v>
      </c>
      <c r="AF275" s="438">
        <v>0</v>
      </c>
      <c r="AG275" s="438">
        <v>119000</v>
      </c>
      <c r="AH275" s="438">
        <v>82110</v>
      </c>
      <c r="AI275" s="438">
        <v>33536</v>
      </c>
      <c r="AJ275" s="438">
        <v>3354</v>
      </c>
      <c r="AK275" s="438">
        <v>36890</v>
      </c>
      <c r="AL275" s="414" t="str">
        <f t="shared" si="24"/>
        <v>워커힐 시그니처 양념 본갈비 300g, 8개</v>
      </c>
      <c r="AM275" s="395">
        <f t="shared" si="25"/>
        <v>46060</v>
      </c>
      <c r="AN275" s="396">
        <f t="shared" si="26"/>
        <v>1</v>
      </c>
      <c r="AO275" s="109">
        <f t="shared" si="27"/>
        <v>119000</v>
      </c>
      <c r="AP275" s="109">
        <f t="shared" si="28"/>
        <v>108181.81818181818</v>
      </c>
      <c r="AQ275" s="397">
        <f t="shared" si="29"/>
        <v>108181.81818181818</v>
      </c>
    </row>
    <row r="276" spans="1:43" ht="24">
      <c r="A276" s="436" t="s">
        <v>4244</v>
      </c>
      <c r="B276" s="436" t="s">
        <v>3490</v>
      </c>
      <c r="C276" s="437" t="s">
        <v>3491</v>
      </c>
      <c r="D276" s="436" t="s">
        <v>4076</v>
      </c>
      <c r="E276" s="437" t="s">
        <v>4077</v>
      </c>
      <c r="F276" s="436" t="s">
        <v>3494</v>
      </c>
      <c r="G276" s="436" t="s">
        <v>3495</v>
      </c>
      <c r="H276" s="437" t="s">
        <v>3496</v>
      </c>
      <c r="I276" s="436" t="s">
        <v>3497</v>
      </c>
      <c r="J276" s="437" t="s">
        <v>3498</v>
      </c>
      <c r="K276" s="437" t="s">
        <v>3499</v>
      </c>
      <c r="L276" s="436" t="s">
        <v>3500</v>
      </c>
      <c r="M276" s="436" t="s">
        <v>3524</v>
      </c>
      <c r="N276" s="436" t="s">
        <v>3502</v>
      </c>
      <c r="O276" s="438">
        <v>119000</v>
      </c>
      <c r="P276" s="438">
        <v>82110</v>
      </c>
      <c r="Q276" s="438">
        <v>1</v>
      </c>
      <c r="R276" s="438">
        <v>0</v>
      </c>
      <c r="S276" s="438">
        <v>0</v>
      </c>
      <c r="T276" s="438">
        <v>0</v>
      </c>
      <c r="U276" s="438">
        <v>0</v>
      </c>
      <c r="V276" s="438">
        <v>0</v>
      </c>
      <c r="W276" s="438">
        <v>31</v>
      </c>
      <c r="X276" s="438">
        <v>0</v>
      </c>
      <c r="Y276" s="438">
        <v>5000</v>
      </c>
      <c r="Z276" s="438">
        <v>0</v>
      </c>
      <c r="AA276" s="438">
        <v>0</v>
      </c>
      <c r="AB276" s="438">
        <v>5700</v>
      </c>
      <c r="AC276" s="438">
        <v>119000</v>
      </c>
      <c r="AD276" s="438">
        <v>82110</v>
      </c>
      <c r="AE276" s="438">
        <v>0</v>
      </c>
      <c r="AF276" s="438">
        <v>10700</v>
      </c>
      <c r="AG276" s="438">
        <v>108300</v>
      </c>
      <c r="AH276" s="438">
        <v>82110</v>
      </c>
      <c r="AI276" s="438">
        <v>23809</v>
      </c>
      <c r="AJ276" s="438">
        <v>2381</v>
      </c>
      <c r="AK276" s="438">
        <v>26190</v>
      </c>
      <c r="AL276" s="414" t="str">
        <f t="shared" si="24"/>
        <v>워커힐 시그니처 양념 본갈비 300g, 8개</v>
      </c>
      <c r="AM276" s="395">
        <f t="shared" si="25"/>
        <v>46060</v>
      </c>
      <c r="AN276" s="396">
        <f t="shared" si="26"/>
        <v>1</v>
      </c>
      <c r="AO276" s="109">
        <f t="shared" si="27"/>
        <v>119000</v>
      </c>
      <c r="AP276" s="109">
        <f t="shared" si="28"/>
        <v>108181.81818181818</v>
      </c>
      <c r="AQ276" s="397">
        <f t="shared" si="29"/>
        <v>108181.81818181818</v>
      </c>
    </row>
    <row r="277" spans="1:43" s="415" customFormat="1" ht="24">
      <c r="A277" s="436" t="s">
        <v>4247</v>
      </c>
      <c r="B277" s="436" t="s">
        <v>3490</v>
      </c>
      <c r="C277" s="437" t="s">
        <v>3491</v>
      </c>
      <c r="D277" s="436" t="s">
        <v>4079</v>
      </c>
      <c r="E277" s="437" t="s">
        <v>4080</v>
      </c>
      <c r="F277" s="436" t="s">
        <v>3494</v>
      </c>
      <c r="G277" s="436" t="s">
        <v>3495</v>
      </c>
      <c r="H277" s="437" t="s">
        <v>3496</v>
      </c>
      <c r="I277" s="436" t="s">
        <v>3497</v>
      </c>
      <c r="J277" s="437" t="s">
        <v>3498</v>
      </c>
      <c r="K277" s="437" t="s">
        <v>3499</v>
      </c>
      <c r="L277" s="436" t="s">
        <v>3500</v>
      </c>
      <c r="M277" s="436" t="s">
        <v>3524</v>
      </c>
      <c r="N277" s="436" t="s">
        <v>3502</v>
      </c>
      <c r="O277" s="438">
        <v>119000</v>
      </c>
      <c r="P277" s="438">
        <v>82110</v>
      </c>
      <c r="Q277" s="438">
        <v>1</v>
      </c>
      <c r="R277" s="438">
        <v>0</v>
      </c>
      <c r="S277" s="438">
        <v>0</v>
      </c>
      <c r="T277" s="438">
        <v>0</v>
      </c>
      <c r="U277" s="438">
        <v>0</v>
      </c>
      <c r="V277" s="438">
        <v>0</v>
      </c>
      <c r="W277" s="438">
        <v>31</v>
      </c>
      <c r="X277" s="438">
        <v>0</v>
      </c>
      <c r="Y277" s="438">
        <v>0</v>
      </c>
      <c r="Z277" s="438">
        <v>0</v>
      </c>
      <c r="AA277" s="438">
        <v>0</v>
      </c>
      <c r="AB277" s="438">
        <v>0</v>
      </c>
      <c r="AC277" s="438">
        <v>119000</v>
      </c>
      <c r="AD277" s="438">
        <v>82110</v>
      </c>
      <c r="AE277" s="438">
        <v>0</v>
      </c>
      <c r="AF277" s="438">
        <v>0</v>
      </c>
      <c r="AG277" s="438">
        <v>119000</v>
      </c>
      <c r="AH277" s="438">
        <v>82110</v>
      </c>
      <c r="AI277" s="438">
        <v>33536</v>
      </c>
      <c r="AJ277" s="438">
        <v>3354</v>
      </c>
      <c r="AK277" s="438">
        <v>36890</v>
      </c>
      <c r="AL277" s="414" t="str">
        <f t="shared" si="24"/>
        <v>워커힐 시그니처 양념 본갈비 300g, 8개</v>
      </c>
      <c r="AM277" s="395">
        <f t="shared" si="25"/>
        <v>46060</v>
      </c>
      <c r="AN277" s="396">
        <f t="shared" si="26"/>
        <v>1</v>
      </c>
      <c r="AO277" s="109">
        <f t="shared" si="27"/>
        <v>119000</v>
      </c>
      <c r="AP277" s="349">
        <f t="shared" si="28"/>
        <v>108181.81818181818</v>
      </c>
      <c r="AQ277" s="397">
        <f t="shared" si="29"/>
        <v>108181.81818181818</v>
      </c>
    </row>
    <row r="278" spans="1:43" ht="24">
      <c r="A278" s="436" t="s">
        <v>4250</v>
      </c>
      <c r="B278" s="436" t="s">
        <v>3490</v>
      </c>
      <c r="C278" s="437" t="s">
        <v>3491</v>
      </c>
      <c r="D278" s="436" t="s">
        <v>4435</v>
      </c>
      <c r="E278" s="437" t="s">
        <v>3752</v>
      </c>
      <c r="F278" s="436" t="s">
        <v>3494</v>
      </c>
      <c r="G278" s="436" t="s">
        <v>3495</v>
      </c>
      <c r="H278" s="437" t="s">
        <v>3496</v>
      </c>
      <c r="I278" s="436" t="s">
        <v>3497</v>
      </c>
      <c r="J278" s="437" t="s">
        <v>3498</v>
      </c>
      <c r="K278" s="437" t="s">
        <v>3499</v>
      </c>
      <c r="L278" s="436" t="s">
        <v>3500</v>
      </c>
      <c r="M278" s="436" t="s">
        <v>3524</v>
      </c>
      <c r="N278" s="436" t="s">
        <v>3502</v>
      </c>
      <c r="O278" s="438">
        <v>119000</v>
      </c>
      <c r="P278" s="438">
        <v>82110</v>
      </c>
      <c r="Q278" s="438">
        <v>1</v>
      </c>
      <c r="R278" s="438">
        <v>0</v>
      </c>
      <c r="S278" s="438">
        <v>0</v>
      </c>
      <c r="T278" s="438">
        <v>0</v>
      </c>
      <c r="U278" s="438">
        <v>0</v>
      </c>
      <c r="V278" s="438">
        <v>0</v>
      </c>
      <c r="W278" s="438">
        <v>31</v>
      </c>
      <c r="X278" s="438">
        <v>0</v>
      </c>
      <c r="Y278" s="438">
        <v>0</v>
      </c>
      <c r="Z278" s="438">
        <v>0</v>
      </c>
      <c r="AA278" s="438">
        <v>0</v>
      </c>
      <c r="AB278" s="438">
        <v>0</v>
      </c>
      <c r="AC278" s="438">
        <v>119000</v>
      </c>
      <c r="AD278" s="438">
        <v>82110</v>
      </c>
      <c r="AE278" s="438">
        <v>0</v>
      </c>
      <c r="AF278" s="438">
        <v>0</v>
      </c>
      <c r="AG278" s="438">
        <v>119000</v>
      </c>
      <c r="AH278" s="438">
        <v>82110</v>
      </c>
      <c r="AI278" s="438">
        <v>33536</v>
      </c>
      <c r="AJ278" s="438">
        <v>3354</v>
      </c>
      <c r="AK278" s="438">
        <v>36890</v>
      </c>
      <c r="AL278" s="414" t="str">
        <f t="shared" si="24"/>
        <v>워커힐 시그니처 양념 본갈비 300g, 8개</v>
      </c>
      <c r="AM278" s="395">
        <f t="shared" si="25"/>
        <v>46060</v>
      </c>
      <c r="AN278" s="396">
        <f t="shared" si="26"/>
        <v>1</v>
      </c>
      <c r="AO278" s="109">
        <f t="shared" si="27"/>
        <v>119000</v>
      </c>
      <c r="AP278" s="109">
        <f t="shared" si="28"/>
        <v>108181.81818181818</v>
      </c>
      <c r="AQ278" s="397">
        <f t="shared" si="29"/>
        <v>108181.81818181818</v>
      </c>
    </row>
    <row r="279" spans="1:43" ht="24">
      <c r="A279" s="436" t="s">
        <v>4253</v>
      </c>
      <c r="B279" s="436" t="s">
        <v>3490</v>
      </c>
      <c r="C279" s="437" t="s">
        <v>3491</v>
      </c>
      <c r="D279" s="436" t="s">
        <v>4437</v>
      </c>
      <c r="E279" s="437" t="s">
        <v>4438</v>
      </c>
      <c r="F279" s="436" t="s">
        <v>3494</v>
      </c>
      <c r="G279" s="436" t="s">
        <v>3495</v>
      </c>
      <c r="H279" s="437" t="s">
        <v>3496</v>
      </c>
      <c r="I279" s="436" t="s">
        <v>3497</v>
      </c>
      <c r="J279" s="437" t="s">
        <v>3498</v>
      </c>
      <c r="K279" s="437" t="s">
        <v>3499</v>
      </c>
      <c r="L279" s="436" t="s">
        <v>3500</v>
      </c>
      <c r="M279" s="436" t="s">
        <v>3524</v>
      </c>
      <c r="N279" s="436" t="s">
        <v>3502</v>
      </c>
      <c r="O279" s="438">
        <v>119000</v>
      </c>
      <c r="P279" s="438">
        <v>82110</v>
      </c>
      <c r="Q279" s="438">
        <v>1</v>
      </c>
      <c r="R279" s="438">
        <v>0</v>
      </c>
      <c r="S279" s="438">
        <v>0</v>
      </c>
      <c r="T279" s="438">
        <v>0</v>
      </c>
      <c r="U279" s="438">
        <v>0</v>
      </c>
      <c r="V279" s="438">
        <v>0</v>
      </c>
      <c r="W279" s="438">
        <v>31</v>
      </c>
      <c r="X279" s="438">
        <v>0</v>
      </c>
      <c r="Y279" s="438">
        <v>0</v>
      </c>
      <c r="Z279" s="438">
        <v>0</v>
      </c>
      <c r="AA279" s="438">
        <v>0</v>
      </c>
      <c r="AB279" s="438">
        <v>0</v>
      </c>
      <c r="AC279" s="438">
        <v>119000</v>
      </c>
      <c r="AD279" s="438">
        <v>82110</v>
      </c>
      <c r="AE279" s="438">
        <v>0</v>
      </c>
      <c r="AF279" s="438">
        <v>0</v>
      </c>
      <c r="AG279" s="438">
        <v>119000</v>
      </c>
      <c r="AH279" s="438">
        <v>82110</v>
      </c>
      <c r="AI279" s="438">
        <v>33536</v>
      </c>
      <c r="AJ279" s="438">
        <v>3354</v>
      </c>
      <c r="AK279" s="438">
        <v>36890</v>
      </c>
      <c r="AL279" s="414" t="str">
        <f t="shared" si="24"/>
        <v>워커힐 시그니처 양념 본갈비 300g, 8개</v>
      </c>
      <c r="AM279" s="395">
        <f t="shared" si="25"/>
        <v>46060</v>
      </c>
      <c r="AN279" s="396">
        <f t="shared" si="26"/>
        <v>1</v>
      </c>
      <c r="AO279" s="109">
        <f t="shared" si="27"/>
        <v>119000</v>
      </c>
      <c r="AP279" s="109">
        <f t="shared" si="28"/>
        <v>108181.81818181818</v>
      </c>
      <c r="AQ279" s="397">
        <f t="shared" si="29"/>
        <v>108181.81818181818</v>
      </c>
    </row>
    <row r="280" spans="1:43" ht="24">
      <c r="A280" s="436" t="s">
        <v>4256</v>
      </c>
      <c r="B280" s="436" t="s">
        <v>3490</v>
      </c>
      <c r="C280" s="437" t="s">
        <v>3491</v>
      </c>
      <c r="D280" s="436" t="s">
        <v>4440</v>
      </c>
      <c r="E280" s="437" t="s">
        <v>4111</v>
      </c>
      <c r="F280" s="436" t="s">
        <v>3494</v>
      </c>
      <c r="G280" s="436" t="s">
        <v>3495</v>
      </c>
      <c r="H280" s="437" t="s">
        <v>3496</v>
      </c>
      <c r="I280" s="436" t="s">
        <v>3497</v>
      </c>
      <c r="J280" s="437" t="s">
        <v>3498</v>
      </c>
      <c r="K280" s="437" t="s">
        <v>3499</v>
      </c>
      <c r="L280" s="436" t="s">
        <v>3500</v>
      </c>
      <c r="M280" s="436" t="s">
        <v>3524</v>
      </c>
      <c r="N280" s="436" t="s">
        <v>3502</v>
      </c>
      <c r="O280" s="438">
        <v>119000</v>
      </c>
      <c r="P280" s="438">
        <v>82110</v>
      </c>
      <c r="Q280" s="438">
        <v>1</v>
      </c>
      <c r="R280" s="438">
        <v>0</v>
      </c>
      <c r="S280" s="438">
        <v>0</v>
      </c>
      <c r="T280" s="438">
        <v>0</v>
      </c>
      <c r="U280" s="438">
        <v>0</v>
      </c>
      <c r="V280" s="438">
        <v>0</v>
      </c>
      <c r="W280" s="438">
        <v>31</v>
      </c>
      <c r="X280" s="438">
        <v>0</v>
      </c>
      <c r="Y280" s="438">
        <v>10000</v>
      </c>
      <c r="Z280" s="438">
        <v>0</v>
      </c>
      <c r="AA280" s="438">
        <v>0</v>
      </c>
      <c r="AB280" s="438">
        <v>0</v>
      </c>
      <c r="AC280" s="438">
        <v>119000</v>
      </c>
      <c r="AD280" s="438">
        <v>82110</v>
      </c>
      <c r="AE280" s="438">
        <v>0</v>
      </c>
      <c r="AF280" s="438">
        <v>10000</v>
      </c>
      <c r="AG280" s="438">
        <v>109000</v>
      </c>
      <c r="AH280" s="438">
        <v>82110</v>
      </c>
      <c r="AI280" s="438">
        <v>24445</v>
      </c>
      <c r="AJ280" s="438">
        <v>2445</v>
      </c>
      <c r="AK280" s="438">
        <v>26890</v>
      </c>
      <c r="AL280" s="414" t="str">
        <f t="shared" si="24"/>
        <v>워커힐 시그니처 양념 본갈비 300g, 8개</v>
      </c>
      <c r="AM280" s="395">
        <f t="shared" si="25"/>
        <v>46060</v>
      </c>
      <c r="AN280" s="396">
        <f t="shared" si="26"/>
        <v>1</v>
      </c>
      <c r="AO280" s="109">
        <f t="shared" si="27"/>
        <v>119000</v>
      </c>
      <c r="AP280" s="109">
        <f t="shared" si="28"/>
        <v>108181.81818181818</v>
      </c>
      <c r="AQ280" s="397">
        <f t="shared" si="29"/>
        <v>108181.81818181818</v>
      </c>
    </row>
    <row r="281" spans="1:43" ht="24">
      <c r="A281" s="436" t="s">
        <v>4258</v>
      </c>
      <c r="B281" s="436" t="s">
        <v>3490</v>
      </c>
      <c r="C281" s="437" t="s">
        <v>3491</v>
      </c>
      <c r="D281" s="436" t="s">
        <v>4449</v>
      </c>
      <c r="E281" s="437" t="s">
        <v>4450</v>
      </c>
      <c r="F281" s="436" t="s">
        <v>3494</v>
      </c>
      <c r="G281" s="436" t="s">
        <v>3495</v>
      </c>
      <c r="H281" s="437" t="s">
        <v>3496</v>
      </c>
      <c r="I281" s="436" t="s">
        <v>3497</v>
      </c>
      <c r="J281" s="437" t="s">
        <v>3498</v>
      </c>
      <c r="K281" s="437" t="s">
        <v>3548</v>
      </c>
      <c r="L281" s="436" t="s">
        <v>3500</v>
      </c>
      <c r="M281" s="436" t="s">
        <v>3524</v>
      </c>
      <c r="N281" s="436" t="s">
        <v>3502</v>
      </c>
      <c r="O281" s="438">
        <v>119000</v>
      </c>
      <c r="P281" s="438">
        <v>82110</v>
      </c>
      <c r="Q281" s="438">
        <v>2</v>
      </c>
      <c r="R281" s="438">
        <v>0</v>
      </c>
      <c r="S281" s="438">
        <v>0</v>
      </c>
      <c r="T281" s="438">
        <v>0</v>
      </c>
      <c r="U281" s="438">
        <v>0</v>
      </c>
      <c r="V281" s="438">
        <v>0</v>
      </c>
      <c r="W281" s="438">
        <v>31</v>
      </c>
      <c r="X281" s="438">
        <v>0</v>
      </c>
      <c r="Y281" s="438">
        <v>0</v>
      </c>
      <c r="Z281" s="438">
        <v>0</v>
      </c>
      <c r="AA281" s="438">
        <v>0</v>
      </c>
      <c r="AB281" s="438">
        <v>0</v>
      </c>
      <c r="AC281" s="438">
        <v>238000</v>
      </c>
      <c r="AD281" s="438">
        <v>164220</v>
      </c>
      <c r="AE281" s="438">
        <v>0</v>
      </c>
      <c r="AF281" s="438">
        <v>0</v>
      </c>
      <c r="AG281" s="438">
        <v>238000</v>
      </c>
      <c r="AH281" s="438">
        <v>164220</v>
      </c>
      <c r="AI281" s="438">
        <v>67073</v>
      </c>
      <c r="AJ281" s="438">
        <v>6707</v>
      </c>
      <c r="AK281" s="438">
        <v>73780</v>
      </c>
      <c r="AL281" s="414" t="str">
        <f t="shared" si="24"/>
        <v>워커힐 시그니처 양념 본갈비 300g, 8개</v>
      </c>
      <c r="AM281" s="395">
        <f t="shared" si="25"/>
        <v>46060</v>
      </c>
      <c r="AN281" s="396">
        <f t="shared" si="26"/>
        <v>2</v>
      </c>
      <c r="AO281" s="109">
        <f t="shared" si="27"/>
        <v>119000</v>
      </c>
      <c r="AP281" s="109">
        <f t="shared" si="28"/>
        <v>108181.81818181818</v>
      </c>
      <c r="AQ281" s="397">
        <f t="shared" si="29"/>
        <v>216363.63636363635</v>
      </c>
    </row>
    <row r="282" spans="1:43" ht="24">
      <c r="A282" s="436" t="s">
        <v>4260</v>
      </c>
      <c r="B282" s="436" t="s">
        <v>3490</v>
      </c>
      <c r="C282" s="437" t="s">
        <v>3491</v>
      </c>
      <c r="D282" s="436" t="s">
        <v>4510</v>
      </c>
      <c r="E282" s="437" t="s">
        <v>4511</v>
      </c>
      <c r="F282" s="436" t="s">
        <v>3494</v>
      </c>
      <c r="G282" s="436" t="s">
        <v>3495</v>
      </c>
      <c r="H282" s="437" t="s">
        <v>3496</v>
      </c>
      <c r="I282" s="436" t="s">
        <v>3497</v>
      </c>
      <c r="J282" s="437" t="s">
        <v>3498</v>
      </c>
      <c r="K282" s="437" t="s">
        <v>3499</v>
      </c>
      <c r="L282" s="436" t="s">
        <v>3500</v>
      </c>
      <c r="M282" s="436" t="s">
        <v>3524</v>
      </c>
      <c r="N282" s="436" t="s">
        <v>3502</v>
      </c>
      <c r="O282" s="438">
        <v>119000</v>
      </c>
      <c r="P282" s="438">
        <v>82110</v>
      </c>
      <c r="Q282" s="438">
        <v>1</v>
      </c>
      <c r="R282" s="438">
        <v>0</v>
      </c>
      <c r="S282" s="438">
        <v>0</v>
      </c>
      <c r="T282" s="438">
        <v>0</v>
      </c>
      <c r="U282" s="438">
        <v>0</v>
      </c>
      <c r="V282" s="438">
        <v>0</v>
      </c>
      <c r="W282" s="438">
        <v>31</v>
      </c>
      <c r="X282" s="438">
        <v>22610</v>
      </c>
      <c r="Y282" s="438">
        <v>0</v>
      </c>
      <c r="Z282" s="438">
        <v>0</v>
      </c>
      <c r="AA282" s="438">
        <v>0</v>
      </c>
      <c r="AB282" s="438">
        <v>0</v>
      </c>
      <c r="AC282" s="438">
        <v>119000</v>
      </c>
      <c r="AD282" s="438">
        <v>82110</v>
      </c>
      <c r="AE282" s="438">
        <v>0</v>
      </c>
      <c r="AF282" s="438">
        <v>22610</v>
      </c>
      <c r="AG282" s="438">
        <v>96390</v>
      </c>
      <c r="AH282" s="438">
        <v>82110</v>
      </c>
      <c r="AI282" s="438">
        <v>12982</v>
      </c>
      <c r="AJ282" s="438">
        <v>1298</v>
      </c>
      <c r="AK282" s="438">
        <v>14280</v>
      </c>
      <c r="AL282" s="414" t="str">
        <f t="shared" si="24"/>
        <v>워커힐 시그니처 양념 본갈비 300g, 8개</v>
      </c>
      <c r="AM282" s="395">
        <f t="shared" si="25"/>
        <v>46060</v>
      </c>
      <c r="AN282" s="396">
        <f t="shared" si="26"/>
        <v>1</v>
      </c>
      <c r="AO282" s="109">
        <f t="shared" si="27"/>
        <v>119000</v>
      </c>
      <c r="AP282" s="109">
        <f t="shared" si="28"/>
        <v>108181.81818181818</v>
      </c>
      <c r="AQ282" s="397">
        <f t="shared" si="29"/>
        <v>108181.81818181818</v>
      </c>
    </row>
    <row r="283" spans="1:43" ht="24">
      <c r="A283" s="436" t="s">
        <v>4262</v>
      </c>
      <c r="B283" s="436" t="s">
        <v>3490</v>
      </c>
      <c r="C283" s="437" t="s">
        <v>3491</v>
      </c>
      <c r="D283" s="436" t="s">
        <v>4513</v>
      </c>
      <c r="E283" s="437" t="s">
        <v>3848</v>
      </c>
      <c r="F283" s="436" t="s">
        <v>3494</v>
      </c>
      <c r="G283" s="436" t="s">
        <v>3495</v>
      </c>
      <c r="H283" s="437" t="s">
        <v>3496</v>
      </c>
      <c r="I283" s="436" t="s">
        <v>3497</v>
      </c>
      <c r="J283" s="437" t="s">
        <v>3498</v>
      </c>
      <c r="K283" s="437" t="s">
        <v>3499</v>
      </c>
      <c r="L283" s="436" t="s">
        <v>3500</v>
      </c>
      <c r="M283" s="436" t="s">
        <v>3524</v>
      </c>
      <c r="N283" s="436" t="s">
        <v>3502</v>
      </c>
      <c r="O283" s="438">
        <v>119000</v>
      </c>
      <c r="P283" s="438">
        <v>82110</v>
      </c>
      <c r="Q283" s="438">
        <v>1</v>
      </c>
      <c r="R283" s="438">
        <v>0</v>
      </c>
      <c r="S283" s="438">
        <v>0</v>
      </c>
      <c r="T283" s="438">
        <v>0</v>
      </c>
      <c r="U283" s="438">
        <v>0</v>
      </c>
      <c r="V283" s="438">
        <v>0</v>
      </c>
      <c r="W283" s="438">
        <v>31</v>
      </c>
      <c r="X283" s="438">
        <v>0</v>
      </c>
      <c r="Y283" s="438">
        <v>0</v>
      </c>
      <c r="Z283" s="438">
        <v>0</v>
      </c>
      <c r="AA283" s="438">
        <v>0</v>
      </c>
      <c r="AB283" s="438">
        <v>0</v>
      </c>
      <c r="AC283" s="438">
        <v>119000</v>
      </c>
      <c r="AD283" s="438">
        <v>82110</v>
      </c>
      <c r="AE283" s="438">
        <v>0</v>
      </c>
      <c r="AF283" s="438">
        <v>0</v>
      </c>
      <c r="AG283" s="438">
        <v>119000</v>
      </c>
      <c r="AH283" s="438">
        <v>82110</v>
      </c>
      <c r="AI283" s="438">
        <v>33536</v>
      </c>
      <c r="AJ283" s="438">
        <v>3354</v>
      </c>
      <c r="AK283" s="438">
        <v>36890</v>
      </c>
      <c r="AL283" s="414" t="str">
        <f t="shared" si="24"/>
        <v>워커힐 시그니처 양념 본갈비 300g, 8개</v>
      </c>
      <c r="AM283" s="395">
        <f t="shared" si="25"/>
        <v>46060</v>
      </c>
      <c r="AN283" s="396">
        <f t="shared" si="26"/>
        <v>1</v>
      </c>
      <c r="AO283" s="109">
        <f t="shared" si="27"/>
        <v>119000</v>
      </c>
      <c r="AP283" s="109">
        <f t="shared" si="28"/>
        <v>108181.81818181818</v>
      </c>
      <c r="AQ283" s="397">
        <f t="shared" si="29"/>
        <v>108181.81818181818</v>
      </c>
    </row>
    <row r="284" spans="1:43" ht="24">
      <c r="A284" s="436" t="s">
        <v>4263</v>
      </c>
      <c r="B284" s="436" t="s">
        <v>3490</v>
      </c>
      <c r="C284" s="437" t="s">
        <v>3491</v>
      </c>
      <c r="D284" s="436" t="s">
        <v>4024</v>
      </c>
      <c r="E284" s="437" t="s">
        <v>4025</v>
      </c>
      <c r="F284" s="436" t="s">
        <v>3494</v>
      </c>
      <c r="G284" s="436" t="s">
        <v>3495</v>
      </c>
      <c r="H284" s="437" t="s">
        <v>3496</v>
      </c>
      <c r="I284" s="436" t="s">
        <v>3497</v>
      </c>
      <c r="J284" s="437" t="s">
        <v>3498</v>
      </c>
      <c r="K284" s="437" t="s">
        <v>3499</v>
      </c>
      <c r="L284" s="436" t="s">
        <v>3500</v>
      </c>
      <c r="M284" s="436" t="s">
        <v>3524</v>
      </c>
      <c r="N284" s="436" t="s">
        <v>3502</v>
      </c>
      <c r="O284" s="438">
        <v>119000</v>
      </c>
      <c r="P284" s="438">
        <v>82110</v>
      </c>
      <c r="Q284" s="438">
        <v>1</v>
      </c>
      <c r="R284" s="438">
        <v>0</v>
      </c>
      <c r="S284" s="438">
        <v>0</v>
      </c>
      <c r="T284" s="438">
        <v>0</v>
      </c>
      <c r="U284" s="438">
        <v>0</v>
      </c>
      <c r="V284" s="438">
        <v>0</v>
      </c>
      <c r="W284" s="438">
        <v>31</v>
      </c>
      <c r="X284" s="438">
        <v>0</v>
      </c>
      <c r="Y284" s="438">
        <v>0</v>
      </c>
      <c r="Z284" s="438">
        <v>0</v>
      </c>
      <c r="AA284" s="438">
        <v>0</v>
      </c>
      <c r="AB284" s="438">
        <v>0</v>
      </c>
      <c r="AC284" s="438">
        <v>119000</v>
      </c>
      <c r="AD284" s="438">
        <v>82110</v>
      </c>
      <c r="AE284" s="438">
        <v>0</v>
      </c>
      <c r="AF284" s="438">
        <v>0</v>
      </c>
      <c r="AG284" s="438">
        <v>119000</v>
      </c>
      <c r="AH284" s="438">
        <v>82110</v>
      </c>
      <c r="AI284" s="438">
        <v>33536</v>
      </c>
      <c r="AJ284" s="438">
        <v>3354</v>
      </c>
      <c r="AK284" s="438">
        <v>36890</v>
      </c>
      <c r="AL284" s="414" t="str">
        <f t="shared" si="24"/>
        <v>워커힐 시그니처 양념 본갈비 300g, 8개</v>
      </c>
      <c r="AM284" s="395">
        <f t="shared" si="25"/>
        <v>46060</v>
      </c>
      <c r="AN284" s="396">
        <f t="shared" si="26"/>
        <v>1</v>
      </c>
      <c r="AO284" s="109">
        <f t="shared" si="27"/>
        <v>119000</v>
      </c>
      <c r="AP284" s="109">
        <f t="shared" si="28"/>
        <v>108181.81818181818</v>
      </c>
      <c r="AQ284" s="397">
        <f t="shared" si="29"/>
        <v>108181.81818181818</v>
      </c>
    </row>
    <row r="285" spans="1:43" ht="24">
      <c r="A285" s="436" t="s">
        <v>4265</v>
      </c>
      <c r="B285" s="436" t="s">
        <v>3490</v>
      </c>
      <c r="C285" s="437" t="s">
        <v>3491</v>
      </c>
      <c r="D285" s="436" t="s">
        <v>4038</v>
      </c>
      <c r="E285" s="437" t="s">
        <v>4025</v>
      </c>
      <c r="F285" s="436" t="s">
        <v>3494</v>
      </c>
      <c r="G285" s="436" t="s">
        <v>3495</v>
      </c>
      <c r="H285" s="437" t="s">
        <v>3496</v>
      </c>
      <c r="I285" s="436" t="s">
        <v>3497</v>
      </c>
      <c r="J285" s="437" t="s">
        <v>3498</v>
      </c>
      <c r="K285" s="437" t="s">
        <v>3499</v>
      </c>
      <c r="L285" s="436" t="s">
        <v>3500</v>
      </c>
      <c r="M285" s="436" t="s">
        <v>3524</v>
      </c>
      <c r="N285" s="436" t="s">
        <v>3502</v>
      </c>
      <c r="O285" s="438">
        <v>119000</v>
      </c>
      <c r="P285" s="438">
        <v>82110</v>
      </c>
      <c r="Q285" s="438">
        <v>1</v>
      </c>
      <c r="R285" s="438">
        <v>0</v>
      </c>
      <c r="S285" s="438">
        <v>0</v>
      </c>
      <c r="T285" s="438">
        <v>0</v>
      </c>
      <c r="U285" s="438">
        <v>0</v>
      </c>
      <c r="V285" s="438">
        <v>0</v>
      </c>
      <c r="W285" s="438">
        <v>31</v>
      </c>
      <c r="X285" s="438">
        <v>0</v>
      </c>
      <c r="Y285" s="438">
        <v>5000</v>
      </c>
      <c r="Z285" s="438">
        <v>0</v>
      </c>
      <c r="AA285" s="438">
        <v>0</v>
      </c>
      <c r="AB285" s="438">
        <v>0</v>
      </c>
      <c r="AC285" s="438">
        <v>119000</v>
      </c>
      <c r="AD285" s="438">
        <v>82110</v>
      </c>
      <c r="AE285" s="438">
        <v>0</v>
      </c>
      <c r="AF285" s="438">
        <v>5000</v>
      </c>
      <c r="AG285" s="438">
        <v>114000</v>
      </c>
      <c r="AH285" s="438">
        <v>82110</v>
      </c>
      <c r="AI285" s="438">
        <v>28991</v>
      </c>
      <c r="AJ285" s="438">
        <v>2899</v>
      </c>
      <c r="AK285" s="438">
        <v>31890</v>
      </c>
      <c r="AL285" s="414" t="str">
        <f t="shared" si="24"/>
        <v>워커힐 시그니처 양념 본갈비 300g, 8개</v>
      </c>
      <c r="AM285" s="395">
        <f t="shared" si="25"/>
        <v>46060</v>
      </c>
      <c r="AN285" s="396">
        <f t="shared" si="26"/>
        <v>1</v>
      </c>
      <c r="AO285" s="109">
        <f t="shared" si="27"/>
        <v>119000</v>
      </c>
      <c r="AP285" s="109">
        <f t="shared" si="28"/>
        <v>108181.81818181818</v>
      </c>
      <c r="AQ285" s="397">
        <f t="shared" si="29"/>
        <v>108181.81818181818</v>
      </c>
    </row>
    <row r="286" spans="1:43" ht="24">
      <c r="A286" s="436" t="s">
        <v>4266</v>
      </c>
      <c r="B286" s="436" t="s">
        <v>3490</v>
      </c>
      <c r="C286" s="437" t="s">
        <v>3491</v>
      </c>
      <c r="D286" s="436" t="s">
        <v>4033</v>
      </c>
      <c r="E286" s="437" t="s">
        <v>3996</v>
      </c>
      <c r="F286" s="436" t="s">
        <v>3494</v>
      </c>
      <c r="G286" s="436" t="s">
        <v>3495</v>
      </c>
      <c r="H286" s="437" t="s">
        <v>3496</v>
      </c>
      <c r="I286" s="436" t="s">
        <v>3497</v>
      </c>
      <c r="J286" s="437" t="s">
        <v>3498</v>
      </c>
      <c r="K286" s="437" t="s">
        <v>3499</v>
      </c>
      <c r="L286" s="436" t="s">
        <v>3500</v>
      </c>
      <c r="M286" s="436" t="s">
        <v>3524</v>
      </c>
      <c r="N286" s="436" t="s">
        <v>3502</v>
      </c>
      <c r="O286" s="438">
        <v>119000</v>
      </c>
      <c r="P286" s="438">
        <v>82110</v>
      </c>
      <c r="Q286" s="438">
        <v>1</v>
      </c>
      <c r="R286" s="438">
        <v>0</v>
      </c>
      <c r="S286" s="438">
        <v>0</v>
      </c>
      <c r="T286" s="438">
        <v>0</v>
      </c>
      <c r="U286" s="438">
        <v>0</v>
      </c>
      <c r="V286" s="438">
        <v>0</v>
      </c>
      <c r="W286" s="438">
        <v>31</v>
      </c>
      <c r="X286" s="438">
        <v>0</v>
      </c>
      <c r="Y286" s="438">
        <v>0</v>
      </c>
      <c r="Z286" s="438">
        <v>0</v>
      </c>
      <c r="AA286" s="438">
        <v>0</v>
      </c>
      <c r="AB286" s="438">
        <v>0</v>
      </c>
      <c r="AC286" s="438">
        <v>119000</v>
      </c>
      <c r="AD286" s="438">
        <v>82110</v>
      </c>
      <c r="AE286" s="438">
        <v>0</v>
      </c>
      <c r="AF286" s="438">
        <v>0</v>
      </c>
      <c r="AG286" s="438">
        <v>119000</v>
      </c>
      <c r="AH286" s="438">
        <v>82110</v>
      </c>
      <c r="AI286" s="438">
        <v>33536</v>
      </c>
      <c r="AJ286" s="438">
        <v>3354</v>
      </c>
      <c r="AK286" s="438">
        <v>36890</v>
      </c>
      <c r="AL286" s="414" t="str">
        <f t="shared" si="24"/>
        <v>워커힐 시그니처 양념 본갈비 300g, 8개</v>
      </c>
      <c r="AM286" s="395">
        <f t="shared" si="25"/>
        <v>46060</v>
      </c>
      <c r="AN286" s="396">
        <f t="shared" si="26"/>
        <v>1</v>
      </c>
      <c r="AO286" s="109">
        <f t="shared" si="27"/>
        <v>119000</v>
      </c>
      <c r="AP286" s="109">
        <f t="shared" si="28"/>
        <v>108181.81818181818</v>
      </c>
      <c r="AQ286" s="397">
        <f t="shared" si="29"/>
        <v>108181.81818181818</v>
      </c>
    </row>
    <row r="287" spans="1:43" ht="24">
      <c r="A287" s="436" t="s">
        <v>4268</v>
      </c>
      <c r="B287" s="436" t="s">
        <v>3490</v>
      </c>
      <c r="C287" s="437" t="s">
        <v>3491</v>
      </c>
      <c r="D287" s="436" t="s">
        <v>4412</v>
      </c>
      <c r="E287" s="437" t="s">
        <v>4413</v>
      </c>
      <c r="F287" s="436" t="s">
        <v>3494</v>
      </c>
      <c r="G287" s="436" t="s">
        <v>3495</v>
      </c>
      <c r="H287" s="437" t="s">
        <v>3496</v>
      </c>
      <c r="I287" s="436" t="s">
        <v>3497</v>
      </c>
      <c r="J287" s="437" t="s">
        <v>3498</v>
      </c>
      <c r="K287" s="437" t="s">
        <v>3499</v>
      </c>
      <c r="L287" s="436" t="s">
        <v>3500</v>
      </c>
      <c r="M287" s="436" t="s">
        <v>3524</v>
      </c>
      <c r="N287" s="436" t="s">
        <v>3502</v>
      </c>
      <c r="O287" s="438">
        <v>119000</v>
      </c>
      <c r="P287" s="438">
        <v>82110</v>
      </c>
      <c r="Q287" s="438">
        <v>1</v>
      </c>
      <c r="R287" s="438">
        <v>0</v>
      </c>
      <c r="S287" s="438">
        <v>0</v>
      </c>
      <c r="T287" s="438">
        <v>0</v>
      </c>
      <c r="U287" s="438">
        <v>0</v>
      </c>
      <c r="V287" s="438">
        <v>0</v>
      </c>
      <c r="W287" s="438">
        <v>31</v>
      </c>
      <c r="X287" s="438">
        <v>0</v>
      </c>
      <c r="Y287" s="438">
        <v>0</v>
      </c>
      <c r="Z287" s="438">
        <v>0</v>
      </c>
      <c r="AA287" s="438">
        <v>0</v>
      </c>
      <c r="AB287" s="438">
        <v>0</v>
      </c>
      <c r="AC287" s="438">
        <v>119000</v>
      </c>
      <c r="AD287" s="438">
        <v>82110</v>
      </c>
      <c r="AE287" s="438">
        <v>0</v>
      </c>
      <c r="AF287" s="438">
        <v>0</v>
      </c>
      <c r="AG287" s="438">
        <v>119000</v>
      </c>
      <c r="AH287" s="438">
        <v>82110</v>
      </c>
      <c r="AI287" s="438">
        <v>33536</v>
      </c>
      <c r="AJ287" s="438">
        <v>3354</v>
      </c>
      <c r="AK287" s="438">
        <v>36890</v>
      </c>
      <c r="AL287" s="414" t="str">
        <f t="shared" si="24"/>
        <v>워커힐 시그니처 양념 본갈비 300g, 8개</v>
      </c>
      <c r="AM287" s="395">
        <f t="shared" si="25"/>
        <v>46060</v>
      </c>
      <c r="AN287" s="396">
        <f t="shared" si="26"/>
        <v>1</v>
      </c>
      <c r="AO287" s="109">
        <f t="shared" si="27"/>
        <v>119000</v>
      </c>
      <c r="AP287" s="109">
        <f t="shared" si="28"/>
        <v>108181.81818181818</v>
      </c>
      <c r="AQ287" s="397">
        <f t="shared" si="29"/>
        <v>108181.81818181818</v>
      </c>
    </row>
    <row r="288" spans="1:43" ht="24">
      <c r="A288" s="436" t="s">
        <v>4271</v>
      </c>
      <c r="B288" s="436" t="s">
        <v>3490</v>
      </c>
      <c r="C288" s="437" t="s">
        <v>3491</v>
      </c>
      <c r="D288" s="436" t="s">
        <v>4466</v>
      </c>
      <c r="E288" s="437" t="s">
        <v>4467</v>
      </c>
      <c r="F288" s="436" t="s">
        <v>3494</v>
      </c>
      <c r="G288" s="436" t="s">
        <v>3495</v>
      </c>
      <c r="H288" s="437" t="s">
        <v>3496</v>
      </c>
      <c r="I288" s="436" t="s">
        <v>3497</v>
      </c>
      <c r="J288" s="437" t="s">
        <v>3498</v>
      </c>
      <c r="K288" s="437" t="s">
        <v>3548</v>
      </c>
      <c r="L288" s="436" t="s">
        <v>3500</v>
      </c>
      <c r="M288" s="436" t="s">
        <v>3524</v>
      </c>
      <c r="N288" s="436" t="s">
        <v>3502</v>
      </c>
      <c r="O288" s="438">
        <v>119000</v>
      </c>
      <c r="P288" s="438">
        <v>82110</v>
      </c>
      <c r="Q288" s="438">
        <v>1</v>
      </c>
      <c r="R288" s="438">
        <v>0</v>
      </c>
      <c r="S288" s="438">
        <v>0</v>
      </c>
      <c r="T288" s="438">
        <v>0</v>
      </c>
      <c r="U288" s="438">
        <v>0</v>
      </c>
      <c r="V288" s="438">
        <v>0</v>
      </c>
      <c r="W288" s="438">
        <v>31</v>
      </c>
      <c r="X288" s="438">
        <v>0</v>
      </c>
      <c r="Y288" s="438">
        <v>0</v>
      </c>
      <c r="Z288" s="438">
        <v>0</v>
      </c>
      <c r="AA288" s="438">
        <v>0</v>
      </c>
      <c r="AB288" s="438">
        <v>0</v>
      </c>
      <c r="AC288" s="438">
        <v>119000</v>
      </c>
      <c r="AD288" s="438">
        <v>82110</v>
      </c>
      <c r="AE288" s="438">
        <v>0</v>
      </c>
      <c r="AF288" s="438">
        <v>0</v>
      </c>
      <c r="AG288" s="438">
        <v>119000</v>
      </c>
      <c r="AH288" s="438">
        <v>82110</v>
      </c>
      <c r="AI288" s="438">
        <v>33536</v>
      </c>
      <c r="AJ288" s="438">
        <v>3354</v>
      </c>
      <c r="AK288" s="438">
        <v>36890</v>
      </c>
      <c r="AL288" s="414" t="str">
        <f t="shared" si="24"/>
        <v>워커힐 시그니처 양념 본갈비 300g, 8개</v>
      </c>
      <c r="AM288" s="395">
        <f t="shared" si="25"/>
        <v>46060</v>
      </c>
      <c r="AN288" s="396">
        <f t="shared" si="26"/>
        <v>1</v>
      </c>
      <c r="AO288" s="109">
        <f t="shared" si="27"/>
        <v>119000</v>
      </c>
      <c r="AP288" s="109">
        <f t="shared" si="28"/>
        <v>108181.81818181818</v>
      </c>
      <c r="AQ288" s="397">
        <f t="shared" si="29"/>
        <v>108181.81818181818</v>
      </c>
    </row>
    <row r="289" spans="1:43" ht="24">
      <c r="A289" s="436" t="s">
        <v>4273</v>
      </c>
      <c r="B289" s="436" t="s">
        <v>3490</v>
      </c>
      <c r="C289" s="437" t="s">
        <v>3491</v>
      </c>
      <c r="D289" s="436" t="s">
        <v>4107</v>
      </c>
      <c r="E289" s="437" t="s">
        <v>3697</v>
      </c>
      <c r="F289" s="436" t="s">
        <v>3494</v>
      </c>
      <c r="G289" s="436" t="s">
        <v>3495</v>
      </c>
      <c r="H289" s="437" t="s">
        <v>3496</v>
      </c>
      <c r="I289" s="436" t="s">
        <v>3497</v>
      </c>
      <c r="J289" s="437" t="s">
        <v>3498</v>
      </c>
      <c r="K289" s="437" t="s">
        <v>3499</v>
      </c>
      <c r="L289" s="436" t="s">
        <v>3500</v>
      </c>
      <c r="M289" s="436" t="s">
        <v>3524</v>
      </c>
      <c r="N289" s="436" t="s">
        <v>3502</v>
      </c>
      <c r="O289" s="438">
        <v>119000</v>
      </c>
      <c r="P289" s="438">
        <v>82110</v>
      </c>
      <c r="Q289" s="438">
        <v>1</v>
      </c>
      <c r="R289" s="438">
        <v>0</v>
      </c>
      <c r="S289" s="438">
        <v>0</v>
      </c>
      <c r="T289" s="438">
        <v>0</v>
      </c>
      <c r="U289" s="438">
        <v>0</v>
      </c>
      <c r="V289" s="438">
        <v>0</v>
      </c>
      <c r="W289" s="438">
        <v>31</v>
      </c>
      <c r="X289" s="438">
        <v>0</v>
      </c>
      <c r="Y289" s="438">
        <v>0</v>
      </c>
      <c r="Z289" s="438">
        <v>0</v>
      </c>
      <c r="AA289" s="438">
        <v>0</v>
      </c>
      <c r="AB289" s="438">
        <v>0</v>
      </c>
      <c r="AC289" s="438">
        <v>119000</v>
      </c>
      <c r="AD289" s="438">
        <v>82110</v>
      </c>
      <c r="AE289" s="438">
        <v>0</v>
      </c>
      <c r="AF289" s="438">
        <v>0</v>
      </c>
      <c r="AG289" s="438">
        <v>119000</v>
      </c>
      <c r="AH289" s="438">
        <v>82110</v>
      </c>
      <c r="AI289" s="438">
        <v>33536</v>
      </c>
      <c r="AJ289" s="438">
        <v>3354</v>
      </c>
      <c r="AK289" s="438">
        <v>36890</v>
      </c>
      <c r="AL289" s="414" t="str">
        <f t="shared" si="24"/>
        <v>워커힐 시그니처 양념 본갈비 300g, 8개</v>
      </c>
      <c r="AM289" s="395">
        <f t="shared" si="25"/>
        <v>46060</v>
      </c>
      <c r="AN289" s="396">
        <f t="shared" si="26"/>
        <v>1</v>
      </c>
      <c r="AO289" s="109">
        <f t="shared" si="27"/>
        <v>119000</v>
      </c>
      <c r="AP289" s="109">
        <f t="shared" si="28"/>
        <v>108181.81818181818</v>
      </c>
      <c r="AQ289" s="397">
        <f t="shared" si="29"/>
        <v>108181.81818181818</v>
      </c>
    </row>
    <row r="290" spans="1:43" ht="24">
      <c r="A290" s="436" t="s">
        <v>4275</v>
      </c>
      <c r="B290" s="436" t="s">
        <v>3490</v>
      </c>
      <c r="C290" s="437" t="s">
        <v>3491</v>
      </c>
      <c r="D290" s="436" t="s">
        <v>4472</v>
      </c>
      <c r="E290" s="437" t="s">
        <v>4473</v>
      </c>
      <c r="F290" s="436" t="s">
        <v>3494</v>
      </c>
      <c r="G290" s="436" t="s">
        <v>3495</v>
      </c>
      <c r="H290" s="437" t="s">
        <v>3496</v>
      </c>
      <c r="I290" s="436" t="s">
        <v>3497</v>
      </c>
      <c r="J290" s="437" t="s">
        <v>3498</v>
      </c>
      <c r="K290" s="437" t="s">
        <v>3499</v>
      </c>
      <c r="L290" s="436" t="s">
        <v>3500</v>
      </c>
      <c r="M290" s="436" t="s">
        <v>3524</v>
      </c>
      <c r="N290" s="436" t="s">
        <v>3502</v>
      </c>
      <c r="O290" s="438">
        <v>119000</v>
      </c>
      <c r="P290" s="438">
        <v>82110</v>
      </c>
      <c r="Q290" s="438">
        <v>1</v>
      </c>
      <c r="R290" s="438">
        <v>0</v>
      </c>
      <c r="S290" s="438">
        <v>0</v>
      </c>
      <c r="T290" s="438">
        <v>0</v>
      </c>
      <c r="U290" s="438">
        <v>0</v>
      </c>
      <c r="V290" s="438">
        <v>0</v>
      </c>
      <c r="W290" s="438">
        <v>31</v>
      </c>
      <c r="X290" s="438">
        <v>0</v>
      </c>
      <c r="Y290" s="438">
        <v>0</v>
      </c>
      <c r="Z290" s="438">
        <v>0</v>
      </c>
      <c r="AA290" s="438">
        <v>0</v>
      </c>
      <c r="AB290" s="438">
        <v>0</v>
      </c>
      <c r="AC290" s="438">
        <v>119000</v>
      </c>
      <c r="AD290" s="438">
        <v>82110</v>
      </c>
      <c r="AE290" s="438">
        <v>0</v>
      </c>
      <c r="AF290" s="438">
        <v>0</v>
      </c>
      <c r="AG290" s="438">
        <v>119000</v>
      </c>
      <c r="AH290" s="438">
        <v>82110</v>
      </c>
      <c r="AI290" s="438">
        <v>33536</v>
      </c>
      <c r="AJ290" s="438">
        <v>3354</v>
      </c>
      <c r="AK290" s="438">
        <v>36890</v>
      </c>
      <c r="AL290" s="414" t="str">
        <f t="shared" si="24"/>
        <v>워커힐 시그니처 양념 본갈비 300g, 8개</v>
      </c>
      <c r="AM290" s="395">
        <f t="shared" si="25"/>
        <v>46060</v>
      </c>
      <c r="AN290" s="396">
        <f t="shared" si="26"/>
        <v>1</v>
      </c>
      <c r="AO290" s="109">
        <f t="shared" si="27"/>
        <v>119000</v>
      </c>
      <c r="AP290" s="109">
        <f t="shared" si="28"/>
        <v>108181.81818181818</v>
      </c>
      <c r="AQ290" s="397">
        <f t="shared" si="29"/>
        <v>108181.81818181818</v>
      </c>
    </row>
    <row r="291" spans="1:43" ht="24">
      <c r="A291" s="436" t="s">
        <v>4278</v>
      </c>
      <c r="B291" s="436" t="s">
        <v>3490</v>
      </c>
      <c r="C291" s="437" t="s">
        <v>3491</v>
      </c>
      <c r="D291" s="436" t="s">
        <v>4475</v>
      </c>
      <c r="E291" s="437" t="s">
        <v>3851</v>
      </c>
      <c r="F291" s="436" t="s">
        <v>3494</v>
      </c>
      <c r="G291" s="436" t="s">
        <v>3495</v>
      </c>
      <c r="H291" s="437" t="s">
        <v>3496</v>
      </c>
      <c r="I291" s="436" t="s">
        <v>3497</v>
      </c>
      <c r="J291" s="437" t="s">
        <v>3498</v>
      </c>
      <c r="K291" s="437" t="s">
        <v>3499</v>
      </c>
      <c r="L291" s="436" t="s">
        <v>3500</v>
      </c>
      <c r="M291" s="436" t="s">
        <v>3524</v>
      </c>
      <c r="N291" s="436" t="s">
        <v>3502</v>
      </c>
      <c r="O291" s="438">
        <v>119000</v>
      </c>
      <c r="P291" s="438">
        <v>82110</v>
      </c>
      <c r="Q291" s="438">
        <v>1</v>
      </c>
      <c r="R291" s="438">
        <v>0</v>
      </c>
      <c r="S291" s="438">
        <v>0</v>
      </c>
      <c r="T291" s="438">
        <v>0</v>
      </c>
      <c r="U291" s="438">
        <v>0</v>
      </c>
      <c r="V291" s="438">
        <v>0</v>
      </c>
      <c r="W291" s="438">
        <v>31</v>
      </c>
      <c r="X291" s="438">
        <v>0</v>
      </c>
      <c r="Y291" s="438">
        <v>0</v>
      </c>
      <c r="Z291" s="438">
        <v>0</v>
      </c>
      <c r="AA291" s="438">
        <v>0</v>
      </c>
      <c r="AB291" s="438">
        <v>5950</v>
      </c>
      <c r="AC291" s="438">
        <v>119000</v>
      </c>
      <c r="AD291" s="438">
        <v>82110</v>
      </c>
      <c r="AE291" s="438">
        <v>0</v>
      </c>
      <c r="AF291" s="438">
        <v>5950</v>
      </c>
      <c r="AG291" s="438">
        <v>113050</v>
      </c>
      <c r="AH291" s="438">
        <v>82110</v>
      </c>
      <c r="AI291" s="438">
        <v>28127</v>
      </c>
      <c r="AJ291" s="438">
        <v>2813</v>
      </c>
      <c r="AK291" s="438">
        <v>30940</v>
      </c>
      <c r="AL291" s="414" t="str">
        <f t="shared" si="24"/>
        <v>워커힐 시그니처 양념 본갈비 300g, 8개</v>
      </c>
      <c r="AM291" s="395">
        <f t="shared" si="25"/>
        <v>46060</v>
      </c>
      <c r="AN291" s="396">
        <f t="shared" si="26"/>
        <v>1</v>
      </c>
      <c r="AO291" s="109">
        <f t="shared" si="27"/>
        <v>119000</v>
      </c>
      <c r="AP291" s="109">
        <f t="shared" si="28"/>
        <v>108181.81818181818</v>
      </c>
      <c r="AQ291" s="397">
        <f t="shared" si="29"/>
        <v>108181.81818181818</v>
      </c>
    </row>
    <row r="292" spans="1:43" ht="24">
      <c r="A292" s="436" t="s">
        <v>4279</v>
      </c>
      <c r="B292" s="436" t="s">
        <v>3490</v>
      </c>
      <c r="C292" s="437" t="s">
        <v>3491</v>
      </c>
      <c r="D292" s="436" t="s">
        <v>4553</v>
      </c>
      <c r="E292" s="437" t="s">
        <v>4554</v>
      </c>
      <c r="F292" s="436" t="s">
        <v>3494</v>
      </c>
      <c r="G292" s="436" t="s">
        <v>3495</v>
      </c>
      <c r="H292" s="437" t="s">
        <v>3496</v>
      </c>
      <c r="I292" s="436" t="s">
        <v>3497</v>
      </c>
      <c r="J292" s="437" t="s">
        <v>3498</v>
      </c>
      <c r="K292" s="437" t="s">
        <v>3499</v>
      </c>
      <c r="L292" s="436" t="s">
        <v>3500</v>
      </c>
      <c r="M292" s="436" t="s">
        <v>3524</v>
      </c>
      <c r="N292" s="436" t="s">
        <v>3502</v>
      </c>
      <c r="O292" s="438">
        <v>119000</v>
      </c>
      <c r="P292" s="438">
        <v>82110</v>
      </c>
      <c r="Q292" s="438">
        <v>1</v>
      </c>
      <c r="R292" s="438">
        <v>0</v>
      </c>
      <c r="S292" s="438">
        <v>0</v>
      </c>
      <c r="T292" s="438">
        <v>0</v>
      </c>
      <c r="U292" s="438">
        <v>0</v>
      </c>
      <c r="V292" s="438">
        <v>0</v>
      </c>
      <c r="W292" s="438">
        <v>31</v>
      </c>
      <c r="X292" s="438">
        <v>0</v>
      </c>
      <c r="Y292" s="438">
        <v>0</v>
      </c>
      <c r="Z292" s="438">
        <v>0</v>
      </c>
      <c r="AA292" s="438">
        <v>0</v>
      </c>
      <c r="AB292" s="438">
        <v>0</v>
      </c>
      <c r="AC292" s="438">
        <v>119000</v>
      </c>
      <c r="AD292" s="438">
        <v>82110</v>
      </c>
      <c r="AE292" s="438">
        <v>0</v>
      </c>
      <c r="AF292" s="438">
        <v>0</v>
      </c>
      <c r="AG292" s="438">
        <v>119000</v>
      </c>
      <c r="AH292" s="438">
        <v>82110</v>
      </c>
      <c r="AI292" s="438">
        <v>33536</v>
      </c>
      <c r="AJ292" s="438">
        <v>3354</v>
      </c>
      <c r="AK292" s="438">
        <v>36890</v>
      </c>
      <c r="AL292" s="414" t="str">
        <f t="shared" si="24"/>
        <v>워커힐 시그니처 양념 본갈비 300g, 8개</v>
      </c>
      <c r="AM292" s="395">
        <f t="shared" si="25"/>
        <v>46060</v>
      </c>
      <c r="AN292" s="396">
        <f t="shared" si="26"/>
        <v>1</v>
      </c>
      <c r="AO292" s="109">
        <f t="shared" si="27"/>
        <v>119000</v>
      </c>
      <c r="AP292" s="109">
        <f t="shared" si="28"/>
        <v>108181.81818181818</v>
      </c>
      <c r="AQ292" s="397">
        <f t="shared" si="29"/>
        <v>108181.81818181818</v>
      </c>
    </row>
    <row r="293" spans="1:43" ht="24">
      <c r="A293" s="436" t="s">
        <v>4282</v>
      </c>
      <c r="B293" s="436" t="s">
        <v>3490</v>
      </c>
      <c r="C293" s="437" t="s">
        <v>3491</v>
      </c>
      <c r="D293" s="436" t="s">
        <v>3803</v>
      </c>
      <c r="E293" s="437" t="s">
        <v>3804</v>
      </c>
      <c r="F293" s="436" t="s">
        <v>3494</v>
      </c>
      <c r="G293" s="436" t="s">
        <v>3495</v>
      </c>
      <c r="H293" s="437" t="s">
        <v>3496</v>
      </c>
      <c r="I293" s="436" t="s">
        <v>3497</v>
      </c>
      <c r="J293" s="437" t="s">
        <v>3498</v>
      </c>
      <c r="K293" s="437" t="s">
        <v>3499</v>
      </c>
      <c r="L293" s="436" t="s">
        <v>3500</v>
      </c>
      <c r="M293" s="436" t="s">
        <v>3524</v>
      </c>
      <c r="N293" s="436" t="s">
        <v>3502</v>
      </c>
      <c r="O293" s="438">
        <v>119000</v>
      </c>
      <c r="P293" s="438">
        <v>82110</v>
      </c>
      <c r="Q293" s="438">
        <v>1</v>
      </c>
      <c r="R293" s="438">
        <v>0</v>
      </c>
      <c r="S293" s="438">
        <v>0</v>
      </c>
      <c r="T293" s="438">
        <v>0</v>
      </c>
      <c r="U293" s="438">
        <v>0</v>
      </c>
      <c r="V293" s="438">
        <v>0</v>
      </c>
      <c r="W293" s="438">
        <v>31</v>
      </c>
      <c r="X293" s="438">
        <v>0</v>
      </c>
      <c r="Y293" s="438">
        <v>0</v>
      </c>
      <c r="Z293" s="438">
        <v>0</v>
      </c>
      <c r="AA293" s="438">
        <v>0</v>
      </c>
      <c r="AB293" s="438">
        <v>0</v>
      </c>
      <c r="AC293" s="438">
        <v>119000</v>
      </c>
      <c r="AD293" s="438">
        <v>82110</v>
      </c>
      <c r="AE293" s="438">
        <v>0</v>
      </c>
      <c r="AF293" s="438">
        <v>0</v>
      </c>
      <c r="AG293" s="438">
        <v>119000</v>
      </c>
      <c r="AH293" s="438">
        <v>82110</v>
      </c>
      <c r="AI293" s="438">
        <v>33536</v>
      </c>
      <c r="AJ293" s="438">
        <v>3354</v>
      </c>
      <c r="AK293" s="438">
        <v>36890</v>
      </c>
      <c r="AL293" s="414" t="str">
        <f t="shared" si="24"/>
        <v>워커힐 시그니처 양념 본갈비 300g, 8개</v>
      </c>
      <c r="AM293" s="395">
        <f t="shared" si="25"/>
        <v>46060</v>
      </c>
      <c r="AN293" s="396">
        <f t="shared" si="26"/>
        <v>1</v>
      </c>
      <c r="AO293" s="109">
        <f t="shared" si="27"/>
        <v>119000</v>
      </c>
      <c r="AP293" s="109">
        <f t="shared" si="28"/>
        <v>108181.81818181818</v>
      </c>
      <c r="AQ293" s="397">
        <f t="shared" si="29"/>
        <v>108181.81818181818</v>
      </c>
    </row>
    <row r="294" spans="1:43" ht="24">
      <c r="A294" s="436" t="s">
        <v>4284</v>
      </c>
      <c r="B294" s="436" t="s">
        <v>3490</v>
      </c>
      <c r="C294" s="437" t="s">
        <v>3491</v>
      </c>
      <c r="D294" s="436" t="s">
        <v>4267</v>
      </c>
      <c r="E294" s="437" t="s">
        <v>3530</v>
      </c>
      <c r="F294" s="436" t="s">
        <v>3494</v>
      </c>
      <c r="G294" s="436" t="s">
        <v>3495</v>
      </c>
      <c r="H294" s="437" t="s">
        <v>3496</v>
      </c>
      <c r="I294" s="436" t="s">
        <v>3497</v>
      </c>
      <c r="J294" s="437" t="s">
        <v>3498</v>
      </c>
      <c r="K294" s="437" t="s">
        <v>163</v>
      </c>
      <c r="L294" s="436" t="s">
        <v>3500</v>
      </c>
      <c r="M294" s="436" t="s">
        <v>3524</v>
      </c>
      <c r="N294" s="436" t="s">
        <v>3502</v>
      </c>
      <c r="O294" s="438">
        <v>119000</v>
      </c>
      <c r="P294" s="438">
        <v>82110</v>
      </c>
      <c r="Q294" s="438">
        <v>1</v>
      </c>
      <c r="R294" s="438">
        <v>0</v>
      </c>
      <c r="S294" s="438">
        <v>0</v>
      </c>
      <c r="T294" s="438">
        <v>0</v>
      </c>
      <c r="U294" s="438">
        <v>0</v>
      </c>
      <c r="V294" s="438">
        <v>0</v>
      </c>
      <c r="W294" s="438">
        <v>31</v>
      </c>
      <c r="X294" s="438">
        <v>0</v>
      </c>
      <c r="Y294" s="438">
        <v>0</v>
      </c>
      <c r="Z294" s="438">
        <v>0</v>
      </c>
      <c r="AA294" s="438">
        <v>0</v>
      </c>
      <c r="AB294" s="438">
        <v>0</v>
      </c>
      <c r="AC294" s="438">
        <v>119000</v>
      </c>
      <c r="AD294" s="438">
        <v>82110</v>
      </c>
      <c r="AE294" s="438">
        <v>0</v>
      </c>
      <c r="AF294" s="438">
        <v>0</v>
      </c>
      <c r="AG294" s="438">
        <v>119000</v>
      </c>
      <c r="AH294" s="438">
        <v>82110</v>
      </c>
      <c r="AI294" s="438">
        <v>33536</v>
      </c>
      <c r="AJ294" s="438">
        <v>3354</v>
      </c>
      <c r="AK294" s="438">
        <v>36890</v>
      </c>
      <c r="AL294" s="414" t="str">
        <f t="shared" si="24"/>
        <v>워커힐 시그니처 양념 본갈비 300g, 8개</v>
      </c>
      <c r="AM294" s="395">
        <f t="shared" si="25"/>
        <v>46060</v>
      </c>
      <c r="AN294" s="396">
        <f t="shared" si="26"/>
        <v>1</v>
      </c>
      <c r="AO294" s="109">
        <f t="shared" si="27"/>
        <v>119000</v>
      </c>
      <c r="AP294" s="109">
        <f t="shared" si="28"/>
        <v>108181.81818181818</v>
      </c>
      <c r="AQ294" s="397">
        <f t="shared" si="29"/>
        <v>108181.81818181818</v>
      </c>
    </row>
    <row r="295" spans="1:43" ht="24">
      <c r="A295" s="436" t="s">
        <v>4287</v>
      </c>
      <c r="B295" s="436" t="s">
        <v>3490</v>
      </c>
      <c r="C295" s="437" t="s">
        <v>3491</v>
      </c>
      <c r="D295" s="436" t="s">
        <v>4269</v>
      </c>
      <c r="E295" s="437" t="s">
        <v>4270</v>
      </c>
      <c r="F295" s="436" t="s">
        <v>3494</v>
      </c>
      <c r="G295" s="436" t="s">
        <v>3495</v>
      </c>
      <c r="H295" s="437" t="s">
        <v>3496</v>
      </c>
      <c r="I295" s="436" t="s">
        <v>3497</v>
      </c>
      <c r="J295" s="437" t="s">
        <v>3498</v>
      </c>
      <c r="K295" s="437" t="s">
        <v>3499</v>
      </c>
      <c r="L295" s="436" t="s">
        <v>3500</v>
      </c>
      <c r="M295" s="436" t="s">
        <v>3524</v>
      </c>
      <c r="N295" s="436" t="s">
        <v>3502</v>
      </c>
      <c r="O295" s="438">
        <v>119000</v>
      </c>
      <c r="P295" s="438">
        <v>82110</v>
      </c>
      <c r="Q295" s="438">
        <v>1</v>
      </c>
      <c r="R295" s="438">
        <v>0</v>
      </c>
      <c r="S295" s="438">
        <v>0</v>
      </c>
      <c r="T295" s="438">
        <v>0</v>
      </c>
      <c r="U295" s="438">
        <v>0</v>
      </c>
      <c r="V295" s="438">
        <v>0</v>
      </c>
      <c r="W295" s="438">
        <v>31</v>
      </c>
      <c r="X295" s="438">
        <v>0</v>
      </c>
      <c r="Y295" s="438">
        <v>10000</v>
      </c>
      <c r="Z295" s="438">
        <v>0</v>
      </c>
      <c r="AA295" s="438">
        <v>0</v>
      </c>
      <c r="AB295" s="438">
        <v>0</v>
      </c>
      <c r="AC295" s="438">
        <v>119000</v>
      </c>
      <c r="AD295" s="438">
        <v>82110</v>
      </c>
      <c r="AE295" s="438">
        <v>0</v>
      </c>
      <c r="AF295" s="438">
        <v>10000</v>
      </c>
      <c r="AG295" s="438">
        <v>109000</v>
      </c>
      <c r="AH295" s="438">
        <v>82110</v>
      </c>
      <c r="AI295" s="438">
        <v>24445</v>
      </c>
      <c r="AJ295" s="438">
        <v>2445</v>
      </c>
      <c r="AK295" s="438">
        <v>26890</v>
      </c>
      <c r="AL295" s="414" t="str">
        <f t="shared" si="24"/>
        <v>워커힐 시그니처 양념 본갈비 300g, 8개</v>
      </c>
      <c r="AM295" s="395">
        <f t="shared" si="25"/>
        <v>46060</v>
      </c>
      <c r="AN295" s="396">
        <f t="shared" si="26"/>
        <v>1</v>
      </c>
      <c r="AO295" s="109">
        <f t="shared" si="27"/>
        <v>119000</v>
      </c>
      <c r="AP295" s="109">
        <f t="shared" si="28"/>
        <v>108181.81818181818</v>
      </c>
      <c r="AQ295" s="397">
        <f t="shared" si="29"/>
        <v>108181.81818181818</v>
      </c>
    </row>
    <row r="296" spans="1:43" ht="24">
      <c r="A296" s="436" t="s">
        <v>4290</v>
      </c>
      <c r="B296" s="436" t="s">
        <v>3490</v>
      </c>
      <c r="C296" s="437" t="s">
        <v>3491</v>
      </c>
      <c r="D296" s="436" t="s">
        <v>4485</v>
      </c>
      <c r="E296" s="437" t="s">
        <v>4486</v>
      </c>
      <c r="F296" s="436" t="s">
        <v>3494</v>
      </c>
      <c r="G296" s="436" t="s">
        <v>3495</v>
      </c>
      <c r="H296" s="437" t="s">
        <v>3496</v>
      </c>
      <c r="I296" s="436" t="s">
        <v>3497</v>
      </c>
      <c r="J296" s="437" t="s">
        <v>3498</v>
      </c>
      <c r="K296" s="437" t="s">
        <v>3499</v>
      </c>
      <c r="L296" s="436" t="s">
        <v>3500</v>
      </c>
      <c r="M296" s="436" t="s">
        <v>3524</v>
      </c>
      <c r="N296" s="436" t="s">
        <v>3502</v>
      </c>
      <c r="O296" s="438">
        <v>119000</v>
      </c>
      <c r="P296" s="438">
        <v>82110</v>
      </c>
      <c r="Q296" s="438">
        <v>1</v>
      </c>
      <c r="R296" s="438">
        <v>0</v>
      </c>
      <c r="S296" s="438">
        <v>0</v>
      </c>
      <c r="T296" s="438">
        <v>0</v>
      </c>
      <c r="U296" s="438">
        <v>0</v>
      </c>
      <c r="V296" s="438">
        <v>0</v>
      </c>
      <c r="W296" s="438">
        <v>31</v>
      </c>
      <c r="X296" s="438">
        <v>0</v>
      </c>
      <c r="Y296" s="438">
        <v>0</v>
      </c>
      <c r="Z296" s="438">
        <v>0</v>
      </c>
      <c r="AA296" s="438">
        <v>0</v>
      </c>
      <c r="AB296" s="438">
        <v>0</v>
      </c>
      <c r="AC296" s="438">
        <v>119000</v>
      </c>
      <c r="AD296" s="438">
        <v>82110</v>
      </c>
      <c r="AE296" s="438">
        <v>0</v>
      </c>
      <c r="AF296" s="438">
        <v>0</v>
      </c>
      <c r="AG296" s="438">
        <v>119000</v>
      </c>
      <c r="AH296" s="438">
        <v>82110</v>
      </c>
      <c r="AI296" s="438">
        <v>33536</v>
      </c>
      <c r="AJ296" s="438">
        <v>3354</v>
      </c>
      <c r="AK296" s="438">
        <v>36890</v>
      </c>
      <c r="AL296" s="414" t="str">
        <f t="shared" si="24"/>
        <v>워커힐 시그니처 양념 본갈비 300g, 8개</v>
      </c>
      <c r="AM296" s="395">
        <f t="shared" si="25"/>
        <v>46060</v>
      </c>
      <c r="AN296" s="396">
        <f t="shared" si="26"/>
        <v>1</v>
      </c>
      <c r="AO296" s="109">
        <f t="shared" si="27"/>
        <v>119000</v>
      </c>
      <c r="AP296" s="109">
        <f t="shared" si="28"/>
        <v>108181.81818181818</v>
      </c>
      <c r="AQ296" s="397">
        <f t="shared" si="29"/>
        <v>108181.81818181818</v>
      </c>
    </row>
    <row r="297" spans="1:43" ht="24">
      <c r="A297" s="436" t="s">
        <v>4292</v>
      </c>
      <c r="B297" s="436" t="s">
        <v>3490</v>
      </c>
      <c r="C297" s="437" t="s">
        <v>3491</v>
      </c>
      <c r="D297" s="436" t="s">
        <v>4272</v>
      </c>
      <c r="E297" s="437" t="s">
        <v>3508</v>
      </c>
      <c r="F297" s="436" t="s">
        <v>3494</v>
      </c>
      <c r="G297" s="436" t="s">
        <v>3495</v>
      </c>
      <c r="H297" s="437" t="s">
        <v>3496</v>
      </c>
      <c r="I297" s="436" t="s">
        <v>3497</v>
      </c>
      <c r="J297" s="437" t="s">
        <v>3498</v>
      </c>
      <c r="K297" s="437" t="s">
        <v>3499</v>
      </c>
      <c r="L297" s="436" t="s">
        <v>3500</v>
      </c>
      <c r="M297" s="436" t="s">
        <v>3524</v>
      </c>
      <c r="N297" s="436" t="s">
        <v>3502</v>
      </c>
      <c r="O297" s="438">
        <v>119000</v>
      </c>
      <c r="P297" s="438">
        <v>82110</v>
      </c>
      <c r="Q297" s="438">
        <v>1</v>
      </c>
      <c r="R297" s="438">
        <v>0</v>
      </c>
      <c r="S297" s="438">
        <v>0</v>
      </c>
      <c r="T297" s="438">
        <v>0</v>
      </c>
      <c r="U297" s="438">
        <v>0</v>
      </c>
      <c r="V297" s="438">
        <v>0</v>
      </c>
      <c r="W297" s="438">
        <v>31</v>
      </c>
      <c r="X297" s="438">
        <v>0</v>
      </c>
      <c r="Y297" s="438">
        <v>0</v>
      </c>
      <c r="Z297" s="438">
        <v>0</v>
      </c>
      <c r="AA297" s="438">
        <v>0</v>
      </c>
      <c r="AB297" s="438">
        <v>5950</v>
      </c>
      <c r="AC297" s="438">
        <v>119000</v>
      </c>
      <c r="AD297" s="438">
        <v>82110</v>
      </c>
      <c r="AE297" s="438">
        <v>0</v>
      </c>
      <c r="AF297" s="438">
        <v>5950</v>
      </c>
      <c r="AG297" s="438">
        <v>113050</v>
      </c>
      <c r="AH297" s="438">
        <v>82110</v>
      </c>
      <c r="AI297" s="438">
        <v>28127</v>
      </c>
      <c r="AJ297" s="438">
        <v>2813</v>
      </c>
      <c r="AK297" s="438">
        <v>30940</v>
      </c>
      <c r="AL297" s="414" t="str">
        <f t="shared" si="24"/>
        <v>워커힐 시그니처 양념 본갈비 300g, 8개</v>
      </c>
      <c r="AM297" s="395">
        <f t="shared" si="25"/>
        <v>46060</v>
      </c>
      <c r="AN297" s="396">
        <f t="shared" si="26"/>
        <v>1</v>
      </c>
      <c r="AO297" s="109">
        <f t="shared" si="27"/>
        <v>119000</v>
      </c>
      <c r="AP297" s="109">
        <f t="shared" si="28"/>
        <v>108181.81818181818</v>
      </c>
      <c r="AQ297" s="397">
        <f t="shared" si="29"/>
        <v>108181.81818181818</v>
      </c>
    </row>
    <row r="298" spans="1:43" ht="24">
      <c r="A298" s="436" t="s">
        <v>4295</v>
      </c>
      <c r="B298" s="436" t="s">
        <v>3490</v>
      </c>
      <c r="C298" s="437" t="s">
        <v>3491</v>
      </c>
      <c r="D298" s="436" t="s">
        <v>4274</v>
      </c>
      <c r="E298" s="437" t="s">
        <v>4090</v>
      </c>
      <c r="F298" s="436" t="s">
        <v>3494</v>
      </c>
      <c r="G298" s="436" t="s">
        <v>3495</v>
      </c>
      <c r="H298" s="437" t="s">
        <v>3496</v>
      </c>
      <c r="I298" s="436" t="s">
        <v>3497</v>
      </c>
      <c r="J298" s="437" t="s">
        <v>3498</v>
      </c>
      <c r="K298" s="437" t="s">
        <v>3499</v>
      </c>
      <c r="L298" s="436" t="s">
        <v>3500</v>
      </c>
      <c r="M298" s="436" t="s">
        <v>3524</v>
      </c>
      <c r="N298" s="436" t="s">
        <v>3502</v>
      </c>
      <c r="O298" s="438">
        <v>119000</v>
      </c>
      <c r="P298" s="438">
        <v>82110</v>
      </c>
      <c r="Q298" s="438">
        <v>1</v>
      </c>
      <c r="R298" s="438">
        <v>0</v>
      </c>
      <c r="S298" s="438">
        <v>0</v>
      </c>
      <c r="T298" s="438">
        <v>0</v>
      </c>
      <c r="U298" s="438">
        <v>0</v>
      </c>
      <c r="V298" s="438">
        <v>0</v>
      </c>
      <c r="W298" s="438">
        <v>31</v>
      </c>
      <c r="X298" s="438">
        <v>0</v>
      </c>
      <c r="Y298" s="438">
        <v>0</v>
      </c>
      <c r="Z298" s="438">
        <v>0</v>
      </c>
      <c r="AA298" s="438">
        <v>0</v>
      </c>
      <c r="AB298" s="438">
        <v>0</v>
      </c>
      <c r="AC298" s="438">
        <v>119000</v>
      </c>
      <c r="AD298" s="438">
        <v>82110</v>
      </c>
      <c r="AE298" s="438">
        <v>0</v>
      </c>
      <c r="AF298" s="438">
        <v>0</v>
      </c>
      <c r="AG298" s="438">
        <v>119000</v>
      </c>
      <c r="AH298" s="438">
        <v>82110</v>
      </c>
      <c r="AI298" s="438">
        <v>33536</v>
      </c>
      <c r="AJ298" s="438">
        <v>3354</v>
      </c>
      <c r="AK298" s="438">
        <v>36890</v>
      </c>
      <c r="AL298" s="414" t="str">
        <f t="shared" si="24"/>
        <v>워커힐 시그니처 양념 본갈비 300g, 8개</v>
      </c>
      <c r="AM298" s="395">
        <f t="shared" si="25"/>
        <v>46060</v>
      </c>
      <c r="AN298" s="396">
        <f t="shared" si="26"/>
        <v>1</v>
      </c>
      <c r="AO298" s="109">
        <f t="shared" si="27"/>
        <v>119000</v>
      </c>
      <c r="AP298" s="109">
        <f t="shared" si="28"/>
        <v>108181.81818181818</v>
      </c>
      <c r="AQ298" s="397">
        <f t="shared" si="29"/>
        <v>108181.81818181818</v>
      </c>
    </row>
    <row r="299" spans="1:43" ht="24">
      <c r="A299" s="436" t="s">
        <v>4297</v>
      </c>
      <c r="B299" s="436" t="s">
        <v>3490</v>
      </c>
      <c r="C299" s="437" t="s">
        <v>3491</v>
      </c>
      <c r="D299" s="436" t="s">
        <v>4276</v>
      </c>
      <c r="E299" s="437" t="s">
        <v>4277</v>
      </c>
      <c r="F299" s="436" t="s">
        <v>3494</v>
      </c>
      <c r="G299" s="436" t="s">
        <v>3495</v>
      </c>
      <c r="H299" s="437" t="s">
        <v>3496</v>
      </c>
      <c r="I299" s="436" t="s">
        <v>3497</v>
      </c>
      <c r="J299" s="437" t="s">
        <v>3498</v>
      </c>
      <c r="K299" s="437" t="s">
        <v>3499</v>
      </c>
      <c r="L299" s="436" t="s">
        <v>3500</v>
      </c>
      <c r="M299" s="436" t="s">
        <v>3524</v>
      </c>
      <c r="N299" s="436" t="s">
        <v>3502</v>
      </c>
      <c r="O299" s="438">
        <v>119000</v>
      </c>
      <c r="P299" s="438">
        <v>82110</v>
      </c>
      <c r="Q299" s="438">
        <v>1</v>
      </c>
      <c r="R299" s="438">
        <v>0</v>
      </c>
      <c r="S299" s="438">
        <v>0</v>
      </c>
      <c r="T299" s="438">
        <v>0</v>
      </c>
      <c r="U299" s="438">
        <v>0</v>
      </c>
      <c r="V299" s="438">
        <v>0</v>
      </c>
      <c r="W299" s="438">
        <v>31</v>
      </c>
      <c r="X299" s="438">
        <v>19040</v>
      </c>
      <c r="Y299" s="438">
        <v>0</v>
      </c>
      <c r="Z299" s="438">
        <v>0</v>
      </c>
      <c r="AA299" s="438">
        <v>0</v>
      </c>
      <c r="AB299" s="438">
        <v>0</v>
      </c>
      <c r="AC299" s="438">
        <v>119000</v>
      </c>
      <c r="AD299" s="438">
        <v>82110</v>
      </c>
      <c r="AE299" s="438">
        <v>0</v>
      </c>
      <c r="AF299" s="438">
        <v>19040</v>
      </c>
      <c r="AG299" s="438">
        <v>99960</v>
      </c>
      <c r="AH299" s="438">
        <v>82110</v>
      </c>
      <c r="AI299" s="438">
        <v>16227</v>
      </c>
      <c r="AJ299" s="438">
        <v>1623</v>
      </c>
      <c r="AK299" s="438">
        <v>17850</v>
      </c>
      <c r="AL299" s="414" t="str">
        <f t="shared" si="24"/>
        <v>워커힐 시그니처 양념 본갈비 300g, 8개</v>
      </c>
      <c r="AM299" s="395">
        <f t="shared" si="25"/>
        <v>46060</v>
      </c>
      <c r="AN299" s="396">
        <f t="shared" si="26"/>
        <v>1</v>
      </c>
      <c r="AO299" s="109">
        <f t="shared" si="27"/>
        <v>119000</v>
      </c>
      <c r="AP299" s="109">
        <f t="shared" si="28"/>
        <v>108181.81818181818</v>
      </c>
      <c r="AQ299" s="397">
        <f t="shared" si="29"/>
        <v>108181.81818181818</v>
      </c>
    </row>
    <row r="300" spans="1:43" ht="24">
      <c r="A300" s="436" t="s">
        <v>4299</v>
      </c>
      <c r="B300" s="436" t="s">
        <v>3490</v>
      </c>
      <c r="C300" s="437" t="s">
        <v>3491</v>
      </c>
      <c r="D300" s="436" t="s">
        <v>4107</v>
      </c>
      <c r="E300" s="437" t="s">
        <v>3697</v>
      </c>
      <c r="F300" s="436" t="s">
        <v>3494</v>
      </c>
      <c r="G300" s="436" t="s">
        <v>3495</v>
      </c>
      <c r="H300" s="437" t="s">
        <v>3496</v>
      </c>
      <c r="I300" s="436" t="s">
        <v>3497</v>
      </c>
      <c r="J300" s="437" t="s">
        <v>3498</v>
      </c>
      <c r="K300" s="437" t="s">
        <v>3499</v>
      </c>
      <c r="L300" s="436" t="s">
        <v>3500</v>
      </c>
      <c r="M300" s="436" t="s">
        <v>3524</v>
      </c>
      <c r="N300" s="436" t="s">
        <v>3502</v>
      </c>
      <c r="O300" s="438">
        <v>119000</v>
      </c>
      <c r="P300" s="438">
        <v>82110</v>
      </c>
      <c r="Q300" s="438">
        <v>1</v>
      </c>
      <c r="R300" s="438">
        <v>0</v>
      </c>
      <c r="S300" s="438">
        <v>0</v>
      </c>
      <c r="T300" s="438">
        <v>0</v>
      </c>
      <c r="U300" s="438">
        <v>0</v>
      </c>
      <c r="V300" s="438">
        <v>0</v>
      </c>
      <c r="W300" s="438">
        <v>31</v>
      </c>
      <c r="X300" s="438">
        <v>0</v>
      </c>
      <c r="Y300" s="438">
        <v>0</v>
      </c>
      <c r="Z300" s="438">
        <v>0</v>
      </c>
      <c r="AA300" s="438">
        <v>0</v>
      </c>
      <c r="AB300" s="438">
        <v>0</v>
      </c>
      <c r="AC300" s="438">
        <v>119000</v>
      </c>
      <c r="AD300" s="438">
        <v>82110</v>
      </c>
      <c r="AE300" s="438">
        <v>0</v>
      </c>
      <c r="AF300" s="438">
        <v>0</v>
      </c>
      <c r="AG300" s="438">
        <v>119000</v>
      </c>
      <c r="AH300" s="438">
        <v>82110</v>
      </c>
      <c r="AI300" s="438">
        <v>33536</v>
      </c>
      <c r="AJ300" s="438">
        <v>3354</v>
      </c>
      <c r="AK300" s="438">
        <v>36890</v>
      </c>
      <c r="AL300" s="414" t="str">
        <f t="shared" si="24"/>
        <v>워커힐 시그니처 양념 본갈비 300g, 8개</v>
      </c>
      <c r="AM300" s="395">
        <f t="shared" si="25"/>
        <v>46060</v>
      </c>
      <c r="AN300" s="396">
        <f t="shared" si="26"/>
        <v>1</v>
      </c>
      <c r="AO300" s="109">
        <f t="shared" si="27"/>
        <v>119000</v>
      </c>
      <c r="AP300" s="109">
        <f t="shared" si="28"/>
        <v>108181.81818181818</v>
      </c>
      <c r="AQ300" s="397">
        <f t="shared" si="29"/>
        <v>108181.81818181818</v>
      </c>
    </row>
    <row r="301" spans="1:43" ht="24">
      <c r="A301" s="436" t="s">
        <v>4301</v>
      </c>
      <c r="B301" s="436" t="s">
        <v>3490</v>
      </c>
      <c r="C301" s="437" t="s">
        <v>3491</v>
      </c>
      <c r="D301" s="436" t="s">
        <v>4612</v>
      </c>
      <c r="E301" s="437" t="s">
        <v>4613</v>
      </c>
      <c r="F301" s="436" t="s">
        <v>3494</v>
      </c>
      <c r="G301" s="436" t="s">
        <v>3495</v>
      </c>
      <c r="H301" s="437" t="s">
        <v>3496</v>
      </c>
      <c r="I301" s="436" t="s">
        <v>3497</v>
      </c>
      <c r="J301" s="437" t="s">
        <v>3498</v>
      </c>
      <c r="K301" s="437" t="s">
        <v>3499</v>
      </c>
      <c r="L301" s="436" t="s">
        <v>3500</v>
      </c>
      <c r="M301" s="436" t="s">
        <v>3524</v>
      </c>
      <c r="N301" s="436" t="s">
        <v>3502</v>
      </c>
      <c r="O301" s="438">
        <v>119000</v>
      </c>
      <c r="P301" s="438">
        <v>82110</v>
      </c>
      <c r="Q301" s="438">
        <v>1</v>
      </c>
      <c r="R301" s="438">
        <v>0</v>
      </c>
      <c r="S301" s="438">
        <v>0</v>
      </c>
      <c r="T301" s="438">
        <v>0</v>
      </c>
      <c r="U301" s="438">
        <v>0</v>
      </c>
      <c r="V301" s="438">
        <v>0</v>
      </c>
      <c r="W301" s="438">
        <v>31</v>
      </c>
      <c r="X301" s="438">
        <v>0</v>
      </c>
      <c r="Y301" s="438">
        <v>0</v>
      </c>
      <c r="Z301" s="438">
        <v>0</v>
      </c>
      <c r="AA301" s="438">
        <v>0</v>
      </c>
      <c r="AB301" s="438">
        <v>5950</v>
      </c>
      <c r="AC301" s="438">
        <v>119000</v>
      </c>
      <c r="AD301" s="438">
        <v>82110</v>
      </c>
      <c r="AE301" s="438">
        <v>0</v>
      </c>
      <c r="AF301" s="438">
        <v>5950</v>
      </c>
      <c r="AG301" s="438">
        <v>113050</v>
      </c>
      <c r="AH301" s="438">
        <v>82110</v>
      </c>
      <c r="AI301" s="438">
        <v>28127</v>
      </c>
      <c r="AJ301" s="438">
        <v>2813</v>
      </c>
      <c r="AK301" s="438">
        <v>30940</v>
      </c>
      <c r="AL301" s="414" t="str">
        <f t="shared" si="24"/>
        <v>워커힐 시그니처 양념 본갈비 300g, 8개</v>
      </c>
      <c r="AM301" s="395">
        <f t="shared" si="25"/>
        <v>46060</v>
      </c>
      <c r="AN301" s="396">
        <f t="shared" si="26"/>
        <v>1</v>
      </c>
      <c r="AO301" s="109">
        <f t="shared" si="27"/>
        <v>119000</v>
      </c>
      <c r="AP301" s="109">
        <f t="shared" si="28"/>
        <v>108181.81818181818</v>
      </c>
      <c r="AQ301" s="397">
        <f t="shared" si="29"/>
        <v>108181.81818181818</v>
      </c>
    </row>
    <row r="302" spans="1:43" ht="24">
      <c r="A302" s="436" t="s">
        <v>4304</v>
      </c>
      <c r="B302" s="436" t="s">
        <v>3490</v>
      </c>
      <c r="C302" s="437" t="s">
        <v>3491</v>
      </c>
      <c r="D302" s="436" t="s">
        <v>4283</v>
      </c>
      <c r="E302" s="437" t="s">
        <v>3734</v>
      </c>
      <c r="F302" s="436" t="s">
        <v>3494</v>
      </c>
      <c r="G302" s="436" t="s">
        <v>3495</v>
      </c>
      <c r="H302" s="437" t="s">
        <v>3496</v>
      </c>
      <c r="I302" s="436" t="s">
        <v>3497</v>
      </c>
      <c r="J302" s="437" t="s">
        <v>3498</v>
      </c>
      <c r="K302" s="437" t="s">
        <v>3499</v>
      </c>
      <c r="L302" s="436" t="s">
        <v>3500</v>
      </c>
      <c r="M302" s="436" t="s">
        <v>3524</v>
      </c>
      <c r="N302" s="436" t="s">
        <v>3502</v>
      </c>
      <c r="O302" s="438">
        <v>119000</v>
      </c>
      <c r="P302" s="438">
        <v>82110</v>
      </c>
      <c r="Q302" s="438">
        <v>1</v>
      </c>
      <c r="R302" s="438">
        <v>0</v>
      </c>
      <c r="S302" s="438">
        <v>0</v>
      </c>
      <c r="T302" s="438">
        <v>0</v>
      </c>
      <c r="U302" s="438">
        <v>0</v>
      </c>
      <c r="V302" s="438">
        <v>0</v>
      </c>
      <c r="W302" s="438">
        <v>31</v>
      </c>
      <c r="X302" s="438">
        <v>0</v>
      </c>
      <c r="Y302" s="438">
        <v>0</v>
      </c>
      <c r="Z302" s="438">
        <v>0</v>
      </c>
      <c r="AA302" s="438">
        <v>0</v>
      </c>
      <c r="AB302" s="438">
        <v>0</v>
      </c>
      <c r="AC302" s="438">
        <v>119000</v>
      </c>
      <c r="AD302" s="438">
        <v>82110</v>
      </c>
      <c r="AE302" s="438">
        <v>0</v>
      </c>
      <c r="AF302" s="438">
        <v>0</v>
      </c>
      <c r="AG302" s="438">
        <v>119000</v>
      </c>
      <c r="AH302" s="438">
        <v>82110</v>
      </c>
      <c r="AI302" s="438">
        <v>33536</v>
      </c>
      <c r="AJ302" s="438">
        <v>3354</v>
      </c>
      <c r="AK302" s="438">
        <v>36890</v>
      </c>
      <c r="AL302" s="414" t="str">
        <f t="shared" si="24"/>
        <v>워커힐 시그니처 양념 본갈비 300g, 8개</v>
      </c>
      <c r="AM302" s="395">
        <f t="shared" si="25"/>
        <v>46060</v>
      </c>
      <c r="AN302" s="396">
        <f t="shared" si="26"/>
        <v>1</v>
      </c>
      <c r="AO302" s="109">
        <f t="shared" si="27"/>
        <v>119000</v>
      </c>
      <c r="AP302" s="109">
        <f t="shared" si="28"/>
        <v>108181.81818181818</v>
      </c>
      <c r="AQ302" s="397">
        <f t="shared" si="29"/>
        <v>108181.81818181818</v>
      </c>
    </row>
    <row r="303" spans="1:43" ht="24">
      <c r="A303" s="436" t="s">
        <v>4306</v>
      </c>
      <c r="B303" s="436" t="s">
        <v>3490</v>
      </c>
      <c r="C303" s="437" t="s">
        <v>3491</v>
      </c>
      <c r="D303" s="436" t="s">
        <v>4496</v>
      </c>
      <c r="E303" s="437" t="s">
        <v>4497</v>
      </c>
      <c r="F303" s="436" t="s">
        <v>3494</v>
      </c>
      <c r="G303" s="436" t="s">
        <v>3495</v>
      </c>
      <c r="H303" s="437" t="s">
        <v>3496</v>
      </c>
      <c r="I303" s="436" t="s">
        <v>3497</v>
      </c>
      <c r="J303" s="437" t="s">
        <v>3498</v>
      </c>
      <c r="K303" s="437" t="s">
        <v>3499</v>
      </c>
      <c r="L303" s="436" t="s">
        <v>3500</v>
      </c>
      <c r="M303" s="436" t="s">
        <v>3524</v>
      </c>
      <c r="N303" s="436" t="s">
        <v>3502</v>
      </c>
      <c r="O303" s="438">
        <v>119000</v>
      </c>
      <c r="P303" s="438">
        <v>82110</v>
      </c>
      <c r="Q303" s="438">
        <v>1</v>
      </c>
      <c r="R303" s="438">
        <v>0</v>
      </c>
      <c r="S303" s="438">
        <v>0</v>
      </c>
      <c r="T303" s="438">
        <v>0</v>
      </c>
      <c r="U303" s="438">
        <v>0</v>
      </c>
      <c r="V303" s="438">
        <v>0</v>
      </c>
      <c r="W303" s="438">
        <v>31</v>
      </c>
      <c r="X303" s="438">
        <v>0</v>
      </c>
      <c r="Y303" s="438">
        <v>0</v>
      </c>
      <c r="Z303" s="438">
        <v>0</v>
      </c>
      <c r="AA303" s="438">
        <v>0</v>
      </c>
      <c r="AB303" s="438">
        <v>0</v>
      </c>
      <c r="AC303" s="438">
        <v>119000</v>
      </c>
      <c r="AD303" s="438">
        <v>82110</v>
      </c>
      <c r="AE303" s="438">
        <v>0</v>
      </c>
      <c r="AF303" s="438">
        <v>0</v>
      </c>
      <c r="AG303" s="438">
        <v>119000</v>
      </c>
      <c r="AH303" s="438">
        <v>82110</v>
      </c>
      <c r="AI303" s="438">
        <v>33536</v>
      </c>
      <c r="AJ303" s="438">
        <v>3354</v>
      </c>
      <c r="AK303" s="438">
        <v>36890</v>
      </c>
      <c r="AL303" s="414" t="str">
        <f t="shared" si="24"/>
        <v>워커힐 시그니처 양념 본갈비 300g, 8개</v>
      </c>
      <c r="AM303" s="395">
        <f t="shared" si="25"/>
        <v>46060</v>
      </c>
      <c r="AN303" s="396">
        <f t="shared" si="26"/>
        <v>1</v>
      </c>
      <c r="AO303" s="109">
        <f t="shared" si="27"/>
        <v>119000</v>
      </c>
      <c r="AP303" s="109">
        <f t="shared" si="28"/>
        <v>108181.81818181818</v>
      </c>
      <c r="AQ303" s="397">
        <f t="shared" si="29"/>
        <v>108181.81818181818</v>
      </c>
    </row>
    <row r="304" spans="1:43" ht="24">
      <c r="A304" s="436" t="s">
        <v>4308</v>
      </c>
      <c r="B304" s="436" t="s">
        <v>3490</v>
      </c>
      <c r="C304" s="437" t="s">
        <v>3491</v>
      </c>
      <c r="D304" s="436" t="s">
        <v>4623</v>
      </c>
      <c r="E304" s="437" t="s">
        <v>4624</v>
      </c>
      <c r="F304" s="436" t="s">
        <v>3494</v>
      </c>
      <c r="G304" s="436" t="s">
        <v>3495</v>
      </c>
      <c r="H304" s="437" t="s">
        <v>3496</v>
      </c>
      <c r="I304" s="436" t="s">
        <v>3497</v>
      </c>
      <c r="J304" s="437" t="s">
        <v>3498</v>
      </c>
      <c r="K304" s="437" t="s">
        <v>3499</v>
      </c>
      <c r="L304" s="436" t="s">
        <v>3500</v>
      </c>
      <c r="M304" s="436" t="s">
        <v>3524</v>
      </c>
      <c r="N304" s="436" t="s">
        <v>3502</v>
      </c>
      <c r="O304" s="438">
        <v>119000</v>
      </c>
      <c r="P304" s="438">
        <v>82110</v>
      </c>
      <c r="Q304" s="438">
        <v>1</v>
      </c>
      <c r="R304" s="438">
        <v>0</v>
      </c>
      <c r="S304" s="438">
        <v>0</v>
      </c>
      <c r="T304" s="438">
        <v>0</v>
      </c>
      <c r="U304" s="438">
        <v>0</v>
      </c>
      <c r="V304" s="438">
        <v>0</v>
      </c>
      <c r="W304" s="438">
        <v>31</v>
      </c>
      <c r="X304" s="438">
        <v>0</v>
      </c>
      <c r="Y304" s="438">
        <v>0</v>
      </c>
      <c r="Z304" s="438">
        <v>0</v>
      </c>
      <c r="AA304" s="438">
        <v>0</v>
      </c>
      <c r="AB304" s="438">
        <v>0</v>
      </c>
      <c r="AC304" s="438">
        <v>119000</v>
      </c>
      <c r="AD304" s="438">
        <v>82110</v>
      </c>
      <c r="AE304" s="438">
        <v>0</v>
      </c>
      <c r="AF304" s="438">
        <v>0</v>
      </c>
      <c r="AG304" s="438">
        <v>119000</v>
      </c>
      <c r="AH304" s="438">
        <v>82110</v>
      </c>
      <c r="AI304" s="438">
        <v>33536</v>
      </c>
      <c r="AJ304" s="438">
        <v>3354</v>
      </c>
      <c r="AK304" s="438">
        <v>36890</v>
      </c>
      <c r="AL304" s="414" t="str">
        <f t="shared" si="24"/>
        <v>워커힐 시그니처 양념 본갈비 300g, 8개</v>
      </c>
      <c r="AM304" s="395">
        <f t="shared" si="25"/>
        <v>46060</v>
      </c>
      <c r="AN304" s="396">
        <f t="shared" si="26"/>
        <v>1</v>
      </c>
      <c r="AO304" s="109">
        <f t="shared" si="27"/>
        <v>119000</v>
      </c>
      <c r="AP304" s="109">
        <f t="shared" si="28"/>
        <v>108181.81818181818</v>
      </c>
      <c r="AQ304" s="397">
        <f t="shared" si="29"/>
        <v>108181.81818181818</v>
      </c>
    </row>
    <row r="305" spans="1:43" ht="24">
      <c r="A305" s="436" t="s">
        <v>4311</v>
      </c>
      <c r="B305" s="436" t="s">
        <v>3490</v>
      </c>
      <c r="C305" s="437" t="s">
        <v>3491</v>
      </c>
      <c r="D305" s="436" t="s">
        <v>4502</v>
      </c>
      <c r="E305" s="437" t="s">
        <v>4503</v>
      </c>
      <c r="F305" s="436" t="s">
        <v>3494</v>
      </c>
      <c r="G305" s="436" t="s">
        <v>3495</v>
      </c>
      <c r="H305" s="437" t="s">
        <v>3496</v>
      </c>
      <c r="I305" s="436" t="s">
        <v>3497</v>
      </c>
      <c r="J305" s="437" t="s">
        <v>3498</v>
      </c>
      <c r="K305" s="437" t="s">
        <v>163</v>
      </c>
      <c r="L305" s="436" t="s">
        <v>3500</v>
      </c>
      <c r="M305" s="436" t="s">
        <v>3524</v>
      </c>
      <c r="N305" s="436" t="s">
        <v>3502</v>
      </c>
      <c r="O305" s="438">
        <v>119000</v>
      </c>
      <c r="P305" s="438">
        <v>82110</v>
      </c>
      <c r="Q305" s="438">
        <v>1</v>
      </c>
      <c r="R305" s="438">
        <v>0</v>
      </c>
      <c r="S305" s="438">
        <v>0</v>
      </c>
      <c r="T305" s="438">
        <v>0</v>
      </c>
      <c r="U305" s="438">
        <v>0</v>
      </c>
      <c r="V305" s="438">
        <v>0</v>
      </c>
      <c r="W305" s="438">
        <v>31</v>
      </c>
      <c r="X305" s="438">
        <v>0</v>
      </c>
      <c r="Y305" s="438">
        <v>5950</v>
      </c>
      <c r="Z305" s="438">
        <v>0</v>
      </c>
      <c r="AA305" s="438">
        <v>0</v>
      </c>
      <c r="AB305" s="438">
        <v>0</v>
      </c>
      <c r="AC305" s="438">
        <v>119000</v>
      </c>
      <c r="AD305" s="438">
        <v>82110</v>
      </c>
      <c r="AE305" s="438">
        <v>0</v>
      </c>
      <c r="AF305" s="438">
        <v>5950</v>
      </c>
      <c r="AG305" s="438">
        <v>113050</v>
      </c>
      <c r="AH305" s="438">
        <v>82110</v>
      </c>
      <c r="AI305" s="438">
        <v>28127</v>
      </c>
      <c r="AJ305" s="438">
        <v>2813</v>
      </c>
      <c r="AK305" s="438">
        <v>30940</v>
      </c>
      <c r="AL305" s="414" t="str">
        <f t="shared" si="24"/>
        <v>워커힐 시그니처 양념 본갈비 300g, 8개</v>
      </c>
      <c r="AM305" s="395">
        <f t="shared" si="25"/>
        <v>46060</v>
      </c>
      <c r="AN305" s="396">
        <f t="shared" si="26"/>
        <v>1</v>
      </c>
      <c r="AO305" s="109">
        <f t="shared" si="27"/>
        <v>119000</v>
      </c>
      <c r="AP305" s="109">
        <f t="shared" si="28"/>
        <v>108181.81818181818</v>
      </c>
      <c r="AQ305" s="397">
        <f t="shared" si="29"/>
        <v>108181.81818181818</v>
      </c>
    </row>
    <row r="306" spans="1:43" ht="24">
      <c r="A306" s="436" t="s">
        <v>4314</v>
      </c>
      <c r="B306" s="436" t="s">
        <v>3490</v>
      </c>
      <c r="C306" s="437" t="s">
        <v>3491</v>
      </c>
      <c r="D306" s="436" t="s">
        <v>4505</v>
      </c>
      <c r="E306" s="437" t="s">
        <v>3772</v>
      </c>
      <c r="F306" s="436" t="s">
        <v>3494</v>
      </c>
      <c r="G306" s="436" t="s">
        <v>3495</v>
      </c>
      <c r="H306" s="437" t="s">
        <v>3496</v>
      </c>
      <c r="I306" s="436" t="s">
        <v>3497</v>
      </c>
      <c r="J306" s="437" t="s">
        <v>3498</v>
      </c>
      <c r="K306" s="437" t="s">
        <v>3499</v>
      </c>
      <c r="L306" s="436" t="s">
        <v>3500</v>
      </c>
      <c r="M306" s="436" t="s">
        <v>3524</v>
      </c>
      <c r="N306" s="436" t="s">
        <v>3502</v>
      </c>
      <c r="O306" s="438">
        <v>119000</v>
      </c>
      <c r="P306" s="438">
        <v>82110</v>
      </c>
      <c r="Q306" s="438">
        <v>1</v>
      </c>
      <c r="R306" s="438">
        <v>0</v>
      </c>
      <c r="S306" s="438">
        <v>0</v>
      </c>
      <c r="T306" s="438">
        <v>0</v>
      </c>
      <c r="U306" s="438">
        <v>0</v>
      </c>
      <c r="V306" s="438">
        <v>0</v>
      </c>
      <c r="W306" s="438">
        <v>31</v>
      </c>
      <c r="X306" s="438">
        <v>0</v>
      </c>
      <c r="Y306" s="438">
        <v>10000</v>
      </c>
      <c r="Z306" s="438">
        <v>0</v>
      </c>
      <c r="AA306" s="438">
        <v>0</v>
      </c>
      <c r="AB306" s="438">
        <v>0</v>
      </c>
      <c r="AC306" s="438">
        <v>119000</v>
      </c>
      <c r="AD306" s="438">
        <v>82110</v>
      </c>
      <c r="AE306" s="438">
        <v>0</v>
      </c>
      <c r="AF306" s="438">
        <v>10000</v>
      </c>
      <c r="AG306" s="438">
        <v>109000</v>
      </c>
      <c r="AH306" s="438">
        <v>82110</v>
      </c>
      <c r="AI306" s="438">
        <v>24445</v>
      </c>
      <c r="AJ306" s="438">
        <v>2445</v>
      </c>
      <c r="AK306" s="438">
        <v>26890</v>
      </c>
      <c r="AL306" s="414" t="str">
        <f t="shared" si="24"/>
        <v>워커힐 시그니처 양념 본갈비 300g, 8개</v>
      </c>
      <c r="AM306" s="395">
        <f t="shared" si="25"/>
        <v>46060</v>
      </c>
      <c r="AN306" s="396">
        <f t="shared" si="26"/>
        <v>1</v>
      </c>
      <c r="AO306" s="109">
        <f t="shared" si="27"/>
        <v>119000</v>
      </c>
      <c r="AP306" s="109">
        <f t="shared" si="28"/>
        <v>108181.81818181818</v>
      </c>
      <c r="AQ306" s="397">
        <f t="shared" si="29"/>
        <v>108181.81818181818</v>
      </c>
    </row>
    <row r="307" spans="1:43" ht="24">
      <c r="A307" s="436" t="s">
        <v>4316</v>
      </c>
      <c r="B307" s="436" t="s">
        <v>3490</v>
      </c>
      <c r="C307" s="437" t="s">
        <v>3491</v>
      </c>
      <c r="D307" s="436" t="s">
        <v>4648</v>
      </c>
      <c r="E307" s="437" t="s">
        <v>4649</v>
      </c>
      <c r="F307" s="436" t="s">
        <v>3494</v>
      </c>
      <c r="G307" s="436" t="s">
        <v>3495</v>
      </c>
      <c r="H307" s="437" t="s">
        <v>3496</v>
      </c>
      <c r="I307" s="436" t="s">
        <v>3497</v>
      </c>
      <c r="J307" s="437" t="s">
        <v>3498</v>
      </c>
      <c r="K307" s="437" t="s">
        <v>3499</v>
      </c>
      <c r="L307" s="436" t="s">
        <v>3500</v>
      </c>
      <c r="M307" s="436" t="s">
        <v>3524</v>
      </c>
      <c r="N307" s="436" t="s">
        <v>3502</v>
      </c>
      <c r="O307" s="438">
        <v>119000</v>
      </c>
      <c r="P307" s="438">
        <v>82110</v>
      </c>
      <c r="Q307" s="438">
        <v>1</v>
      </c>
      <c r="R307" s="438">
        <v>0</v>
      </c>
      <c r="S307" s="438">
        <v>0</v>
      </c>
      <c r="T307" s="438">
        <v>0</v>
      </c>
      <c r="U307" s="438">
        <v>0</v>
      </c>
      <c r="V307" s="438">
        <v>0</v>
      </c>
      <c r="W307" s="438">
        <v>31</v>
      </c>
      <c r="X307" s="438">
        <v>0</v>
      </c>
      <c r="Y307" s="438">
        <v>0</v>
      </c>
      <c r="Z307" s="438">
        <v>0</v>
      </c>
      <c r="AA307" s="438">
        <v>0</v>
      </c>
      <c r="AB307" s="438">
        <v>0</v>
      </c>
      <c r="AC307" s="438">
        <v>119000</v>
      </c>
      <c r="AD307" s="438">
        <v>82110</v>
      </c>
      <c r="AE307" s="438">
        <v>0</v>
      </c>
      <c r="AF307" s="438">
        <v>0</v>
      </c>
      <c r="AG307" s="438">
        <v>119000</v>
      </c>
      <c r="AH307" s="438">
        <v>82110</v>
      </c>
      <c r="AI307" s="438">
        <v>33536</v>
      </c>
      <c r="AJ307" s="438">
        <v>3354</v>
      </c>
      <c r="AK307" s="438">
        <v>36890</v>
      </c>
      <c r="AL307" s="414" t="str">
        <f t="shared" si="24"/>
        <v>워커힐 시그니처 양념 본갈비 300g, 8개</v>
      </c>
      <c r="AM307" s="395">
        <f t="shared" si="25"/>
        <v>46060</v>
      </c>
      <c r="AN307" s="396">
        <f t="shared" si="26"/>
        <v>1</v>
      </c>
      <c r="AO307" s="109">
        <f t="shared" si="27"/>
        <v>119000</v>
      </c>
      <c r="AP307" s="109">
        <f t="shared" si="28"/>
        <v>108181.81818181818</v>
      </c>
      <c r="AQ307" s="397">
        <f t="shared" si="29"/>
        <v>108181.81818181818</v>
      </c>
    </row>
    <row r="308" spans="1:43" ht="24">
      <c r="A308" s="436" t="s">
        <v>4318</v>
      </c>
      <c r="B308" s="436" t="s">
        <v>3490</v>
      </c>
      <c r="C308" s="437" t="s">
        <v>3491</v>
      </c>
      <c r="D308" s="436" t="s">
        <v>4291</v>
      </c>
      <c r="E308" s="437" t="s">
        <v>4065</v>
      </c>
      <c r="F308" s="436" t="s">
        <v>3494</v>
      </c>
      <c r="G308" s="436" t="s">
        <v>3495</v>
      </c>
      <c r="H308" s="437" t="s">
        <v>3496</v>
      </c>
      <c r="I308" s="436" t="s">
        <v>3497</v>
      </c>
      <c r="J308" s="437" t="s">
        <v>3498</v>
      </c>
      <c r="K308" s="437" t="s">
        <v>3499</v>
      </c>
      <c r="L308" s="436" t="s">
        <v>3500</v>
      </c>
      <c r="M308" s="436" t="s">
        <v>3524</v>
      </c>
      <c r="N308" s="436" t="s">
        <v>3502</v>
      </c>
      <c r="O308" s="438">
        <v>119000</v>
      </c>
      <c r="P308" s="438">
        <v>82110</v>
      </c>
      <c r="Q308" s="438">
        <v>1</v>
      </c>
      <c r="R308" s="438">
        <v>0</v>
      </c>
      <c r="S308" s="438">
        <v>0</v>
      </c>
      <c r="T308" s="438">
        <v>0</v>
      </c>
      <c r="U308" s="438">
        <v>0</v>
      </c>
      <c r="V308" s="438">
        <v>0</v>
      </c>
      <c r="W308" s="438">
        <v>31</v>
      </c>
      <c r="X308" s="438">
        <v>0</v>
      </c>
      <c r="Y308" s="438">
        <v>0</v>
      </c>
      <c r="Z308" s="438">
        <v>0</v>
      </c>
      <c r="AA308" s="438">
        <v>0</v>
      </c>
      <c r="AB308" s="438">
        <v>0</v>
      </c>
      <c r="AC308" s="438">
        <v>119000</v>
      </c>
      <c r="AD308" s="438">
        <v>82110</v>
      </c>
      <c r="AE308" s="438">
        <v>0</v>
      </c>
      <c r="AF308" s="438">
        <v>0</v>
      </c>
      <c r="AG308" s="438">
        <v>119000</v>
      </c>
      <c r="AH308" s="438">
        <v>82110</v>
      </c>
      <c r="AI308" s="438">
        <v>33536</v>
      </c>
      <c r="AJ308" s="438">
        <v>3354</v>
      </c>
      <c r="AK308" s="438">
        <v>36890</v>
      </c>
      <c r="AL308" s="414" t="str">
        <f t="shared" si="24"/>
        <v>워커힐 시그니처 양념 본갈비 300g, 8개</v>
      </c>
      <c r="AM308" s="395">
        <f t="shared" si="25"/>
        <v>46060</v>
      </c>
      <c r="AN308" s="396">
        <f t="shared" si="26"/>
        <v>1</v>
      </c>
      <c r="AO308" s="109">
        <f t="shared" si="27"/>
        <v>119000</v>
      </c>
      <c r="AP308" s="109">
        <f t="shared" si="28"/>
        <v>108181.81818181818</v>
      </c>
      <c r="AQ308" s="397">
        <f t="shared" si="29"/>
        <v>108181.81818181818</v>
      </c>
    </row>
    <row r="309" spans="1:43" s="416" customFormat="1" ht="24">
      <c r="A309" s="436" t="s">
        <v>4321</v>
      </c>
      <c r="B309" s="436" t="s">
        <v>3490</v>
      </c>
      <c r="C309" s="437" t="s">
        <v>3491</v>
      </c>
      <c r="D309" s="436" t="s">
        <v>4293</v>
      </c>
      <c r="E309" s="437" t="s">
        <v>4294</v>
      </c>
      <c r="F309" s="436" t="s">
        <v>3494</v>
      </c>
      <c r="G309" s="436" t="s">
        <v>3495</v>
      </c>
      <c r="H309" s="437" t="s">
        <v>3496</v>
      </c>
      <c r="I309" s="436" t="s">
        <v>3497</v>
      </c>
      <c r="J309" s="437" t="s">
        <v>3498</v>
      </c>
      <c r="K309" s="437" t="s">
        <v>3499</v>
      </c>
      <c r="L309" s="436" t="s">
        <v>3500</v>
      </c>
      <c r="M309" s="436" t="s">
        <v>3524</v>
      </c>
      <c r="N309" s="436" t="s">
        <v>3502</v>
      </c>
      <c r="O309" s="438">
        <v>119000</v>
      </c>
      <c r="P309" s="438">
        <v>82110</v>
      </c>
      <c r="Q309" s="438">
        <v>2</v>
      </c>
      <c r="R309" s="438">
        <v>0</v>
      </c>
      <c r="S309" s="438">
        <v>0</v>
      </c>
      <c r="T309" s="438">
        <v>0</v>
      </c>
      <c r="U309" s="438">
        <v>0</v>
      </c>
      <c r="V309" s="438">
        <v>0</v>
      </c>
      <c r="W309" s="438">
        <v>31</v>
      </c>
      <c r="X309" s="438">
        <v>0</v>
      </c>
      <c r="Y309" s="438">
        <v>0</v>
      </c>
      <c r="Z309" s="438">
        <v>0</v>
      </c>
      <c r="AA309" s="438">
        <v>0</v>
      </c>
      <c r="AB309" s="438">
        <v>0</v>
      </c>
      <c r="AC309" s="438">
        <v>238000</v>
      </c>
      <c r="AD309" s="438">
        <v>164220</v>
      </c>
      <c r="AE309" s="438">
        <v>0</v>
      </c>
      <c r="AF309" s="438">
        <v>0</v>
      </c>
      <c r="AG309" s="438">
        <v>238000</v>
      </c>
      <c r="AH309" s="438">
        <v>164220</v>
      </c>
      <c r="AI309" s="438">
        <v>67073</v>
      </c>
      <c r="AJ309" s="438">
        <v>6707</v>
      </c>
      <c r="AK309" s="438">
        <v>73780</v>
      </c>
      <c r="AL309" s="414" t="str">
        <f t="shared" si="24"/>
        <v>워커힐 시그니처 양념 본갈비 300g, 8개</v>
      </c>
      <c r="AM309" s="395">
        <f t="shared" si="25"/>
        <v>46060</v>
      </c>
      <c r="AN309" s="396">
        <f t="shared" si="26"/>
        <v>2</v>
      </c>
      <c r="AO309" s="109">
        <f t="shared" si="27"/>
        <v>119000</v>
      </c>
      <c r="AP309" s="369">
        <f t="shared" si="28"/>
        <v>108181.81818181818</v>
      </c>
      <c r="AQ309" s="397">
        <f t="shared" si="29"/>
        <v>216363.63636363635</v>
      </c>
    </row>
    <row r="310" spans="1:43" ht="24">
      <c r="A310" s="436" t="s">
        <v>4324</v>
      </c>
      <c r="B310" s="436" t="s">
        <v>3490</v>
      </c>
      <c r="C310" s="437" t="s">
        <v>3491</v>
      </c>
      <c r="D310" s="436" t="s">
        <v>4296</v>
      </c>
      <c r="E310" s="437" t="s">
        <v>3709</v>
      </c>
      <c r="F310" s="436" t="s">
        <v>3494</v>
      </c>
      <c r="G310" s="436" t="s">
        <v>3495</v>
      </c>
      <c r="H310" s="437" t="s">
        <v>3496</v>
      </c>
      <c r="I310" s="436" t="s">
        <v>3497</v>
      </c>
      <c r="J310" s="437" t="s">
        <v>3498</v>
      </c>
      <c r="K310" s="437" t="s">
        <v>3499</v>
      </c>
      <c r="L310" s="436" t="s">
        <v>3500</v>
      </c>
      <c r="M310" s="436" t="s">
        <v>3524</v>
      </c>
      <c r="N310" s="436" t="s">
        <v>3502</v>
      </c>
      <c r="O310" s="438">
        <v>119000</v>
      </c>
      <c r="P310" s="438">
        <v>82110</v>
      </c>
      <c r="Q310" s="438">
        <v>1</v>
      </c>
      <c r="R310" s="438">
        <v>0</v>
      </c>
      <c r="S310" s="438">
        <v>0</v>
      </c>
      <c r="T310" s="438">
        <v>0</v>
      </c>
      <c r="U310" s="438">
        <v>0</v>
      </c>
      <c r="V310" s="438">
        <v>0</v>
      </c>
      <c r="W310" s="438">
        <v>31</v>
      </c>
      <c r="X310" s="438">
        <v>0</v>
      </c>
      <c r="Y310" s="438">
        <v>0</v>
      </c>
      <c r="Z310" s="438">
        <v>0</v>
      </c>
      <c r="AA310" s="438">
        <v>0</v>
      </c>
      <c r="AB310" s="438">
        <v>0</v>
      </c>
      <c r="AC310" s="438">
        <v>119000</v>
      </c>
      <c r="AD310" s="438">
        <v>82110</v>
      </c>
      <c r="AE310" s="438">
        <v>0</v>
      </c>
      <c r="AF310" s="438">
        <v>0</v>
      </c>
      <c r="AG310" s="438">
        <v>119000</v>
      </c>
      <c r="AH310" s="438">
        <v>82110</v>
      </c>
      <c r="AI310" s="438">
        <v>33536</v>
      </c>
      <c r="AJ310" s="438">
        <v>3354</v>
      </c>
      <c r="AK310" s="438">
        <v>36890</v>
      </c>
      <c r="AL310" s="414" t="str">
        <f t="shared" si="24"/>
        <v>워커힐 시그니처 양념 본갈비 300g, 8개</v>
      </c>
      <c r="AM310" s="395">
        <f t="shared" si="25"/>
        <v>46060</v>
      </c>
      <c r="AN310" s="396">
        <f t="shared" si="26"/>
        <v>1</v>
      </c>
      <c r="AO310" s="109">
        <f t="shared" si="27"/>
        <v>119000</v>
      </c>
      <c r="AP310" s="109">
        <f t="shared" si="28"/>
        <v>108181.81818181818</v>
      </c>
      <c r="AQ310" s="397">
        <f t="shared" si="29"/>
        <v>108181.81818181818</v>
      </c>
    </row>
    <row r="311" spans="1:43" ht="24">
      <c r="A311" s="436" t="s">
        <v>4327</v>
      </c>
      <c r="B311" s="436" t="s">
        <v>3490</v>
      </c>
      <c r="C311" s="437" t="s">
        <v>3491</v>
      </c>
      <c r="D311" s="436" t="s">
        <v>4298</v>
      </c>
      <c r="E311" s="437" t="s">
        <v>4211</v>
      </c>
      <c r="F311" s="436" t="s">
        <v>3494</v>
      </c>
      <c r="G311" s="436" t="s">
        <v>3495</v>
      </c>
      <c r="H311" s="437" t="s">
        <v>3496</v>
      </c>
      <c r="I311" s="436" t="s">
        <v>3497</v>
      </c>
      <c r="J311" s="437" t="s">
        <v>3498</v>
      </c>
      <c r="K311" s="437" t="s">
        <v>3499</v>
      </c>
      <c r="L311" s="436" t="s">
        <v>3500</v>
      </c>
      <c r="M311" s="436" t="s">
        <v>3524</v>
      </c>
      <c r="N311" s="436" t="s">
        <v>3502</v>
      </c>
      <c r="O311" s="438">
        <v>119000</v>
      </c>
      <c r="P311" s="438">
        <v>82110</v>
      </c>
      <c r="Q311" s="438">
        <v>1</v>
      </c>
      <c r="R311" s="438">
        <v>0</v>
      </c>
      <c r="S311" s="438">
        <v>0</v>
      </c>
      <c r="T311" s="438">
        <v>0</v>
      </c>
      <c r="U311" s="438">
        <v>0</v>
      </c>
      <c r="V311" s="438">
        <v>0</v>
      </c>
      <c r="W311" s="438">
        <v>31</v>
      </c>
      <c r="X311" s="438">
        <v>19040</v>
      </c>
      <c r="Y311" s="438">
        <v>0</v>
      </c>
      <c r="Z311" s="438">
        <v>0</v>
      </c>
      <c r="AA311" s="438">
        <v>0</v>
      </c>
      <c r="AB311" s="438">
        <v>0</v>
      </c>
      <c r="AC311" s="438">
        <v>119000</v>
      </c>
      <c r="AD311" s="438">
        <v>82110</v>
      </c>
      <c r="AE311" s="438">
        <v>0</v>
      </c>
      <c r="AF311" s="438">
        <v>19040</v>
      </c>
      <c r="AG311" s="438">
        <v>99960</v>
      </c>
      <c r="AH311" s="438">
        <v>82110</v>
      </c>
      <c r="AI311" s="438">
        <v>16227</v>
      </c>
      <c r="AJ311" s="438">
        <v>1623</v>
      </c>
      <c r="AK311" s="438">
        <v>17850</v>
      </c>
      <c r="AL311" s="414" t="str">
        <f t="shared" si="24"/>
        <v>워커힐 시그니처 양념 본갈비 300g, 8개</v>
      </c>
      <c r="AM311" s="395">
        <f t="shared" si="25"/>
        <v>46060</v>
      </c>
      <c r="AN311" s="396">
        <f t="shared" si="26"/>
        <v>1</v>
      </c>
      <c r="AO311" s="109">
        <f t="shared" si="27"/>
        <v>119000</v>
      </c>
      <c r="AP311" s="109">
        <f t="shared" si="28"/>
        <v>108181.81818181818</v>
      </c>
      <c r="AQ311" s="397">
        <f t="shared" si="29"/>
        <v>108181.81818181818</v>
      </c>
    </row>
    <row r="312" spans="1:43" ht="24">
      <c r="A312" s="436" t="s">
        <v>4330</v>
      </c>
      <c r="B312" s="436" t="s">
        <v>3490</v>
      </c>
      <c r="C312" s="437" t="s">
        <v>3491</v>
      </c>
      <c r="D312" s="436" t="s">
        <v>4300</v>
      </c>
      <c r="E312" s="437" t="s">
        <v>3807</v>
      </c>
      <c r="F312" s="436" t="s">
        <v>3494</v>
      </c>
      <c r="G312" s="436" t="s">
        <v>3495</v>
      </c>
      <c r="H312" s="437" t="s">
        <v>3496</v>
      </c>
      <c r="I312" s="436" t="s">
        <v>3497</v>
      </c>
      <c r="J312" s="437" t="s">
        <v>3498</v>
      </c>
      <c r="K312" s="437" t="s">
        <v>3499</v>
      </c>
      <c r="L312" s="436" t="s">
        <v>3500</v>
      </c>
      <c r="M312" s="436" t="s">
        <v>3524</v>
      </c>
      <c r="N312" s="436" t="s">
        <v>3502</v>
      </c>
      <c r="O312" s="438">
        <v>119000</v>
      </c>
      <c r="P312" s="438">
        <v>82110</v>
      </c>
      <c r="Q312" s="438">
        <v>1</v>
      </c>
      <c r="R312" s="438">
        <v>0</v>
      </c>
      <c r="S312" s="438">
        <v>0</v>
      </c>
      <c r="T312" s="438">
        <v>0</v>
      </c>
      <c r="U312" s="438">
        <v>0</v>
      </c>
      <c r="V312" s="438">
        <v>0</v>
      </c>
      <c r="W312" s="438">
        <v>31</v>
      </c>
      <c r="X312" s="438">
        <v>0</v>
      </c>
      <c r="Y312" s="438">
        <v>10000</v>
      </c>
      <c r="Z312" s="438">
        <v>0</v>
      </c>
      <c r="AA312" s="438">
        <v>0</v>
      </c>
      <c r="AB312" s="438">
        <v>0</v>
      </c>
      <c r="AC312" s="438">
        <v>119000</v>
      </c>
      <c r="AD312" s="438">
        <v>82110</v>
      </c>
      <c r="AE312" s="438">
        <v>0</v>
      </c>
      <c r="AF312" s="438">
        <v>10000</v>
      </c>
      <c r="AG312" s="438">
        <v>109000</v>
      </c>
      <c r="AH312" s="438">
        <v>82110</v>
      </c>
      <c r="AI312" s="438">
        <v>24445</v>
      </c>
      <c r="AJ312" s="438">
        <v>2445</v>
      </c>
      <c r="AK312" s="438">
        <v>26890</v>
      </c>
      <c r="AL312" s="414" t="str">
        <f t="shared" si="24"/>
        <v>워커힐 시그니처 양념 본갈비 300g, 8개</v>
      </c>
      <c r="AM312" s="395">
        <f t="shared" si="25"/>
        <v>46060</v>
      </c>
      <c r="AN312" s="396">
        <f t="shared" si="26"/>
        <v>1</v>
      </c>
      <c r="AO312" s="109">
        <f t="shared" si="27"/>
        <v>119000</v>
      </c>
      <c r="AP312" s="109">
        <f t="shared" si="28"/>
        <v>108181.81818181818</v>
      </c>
      <c r="AQ312" s="397">
        <f t="shared" si="29"/>
        <v>108181.81818181818</v>
      </c>
    </row>
    <row r="313" spans="1:43" ht="24">
      <c r="A313" s="436" t="s">
        <v>4333</v>
      </c>
      <c r="B313" s="436" t="s">
        <v>3490</v>
      </c>
      <c r="C313" s="437" t="s">
        <v>3491</v>
      </c>
      <c r="D313" s="436" t="s">
        <v>4239</v>
      </c>
      <c r="E313" s="437" t="s">
        <v>4240</v>
      </c>
      <c r="F313" s="436" t="s">
        <v>3494</v>
      </c>
      <c r="G313" s="436" t="s">
        <v>3495</v>
      </c>
      <c r="H313" s="437" t="s">
        <v>3496</v>
      </c>
      <c r="I313" s="436" t="s">
        <v>3497</v>
      </c>
      <c r="J313" s="437" t="s">
        <v>3498</v>
      </c>
      <c r="K313" s="437" t="s">
        <v>3499</v>
      </c>
      <c r="L313" s="436" t="s">
        <v>3500</v>
      </c>
      <c r="M313" s="436" t="s">
        <v>3524</v>
      </c>
      <c r="N313" s="436" t="s">
        <v>3502</v>
      </c>
      <c r="O313" s="438">
        <v>119000</v>
      </c>
      <c r="P313" s="438">
        <v>82110</v>
      </c>
      <c r="Q313" s="438">
        <v>1</v>
      </c>
      <c r="R313" s="438">
        <v>0</v>
      </c>
      <c r="S313" s="438">
        <v>0</v>
      </c>
      <c r="T313" s="438">
        <v>0</v>
      </c>
      <c r="U313" s="438">
        <v>0</v>
      </c>
      <c r="V313" s="438">
        <v>0</v>
      </c>
      <c r="W313" s="438">
        <v>31</v>
      </c>
      <c r="X313" s="438">
        <v>0</v>
      </c>
      <c r="Y313" s="438">
        <v>0</v>
      </c>
      <c r="Z313" s="438">
        <v>0</v>
      </c>
      <c r="AA313" s="438">
        <v>0</v>
      </c>
      <c r="AB313" s="438">
        <v>0</v>
      </c>
      <c r="AC313" s="438">
        <v>119000</v>
      </c>
      <c r="AD313" s="438">
        <v>82110</v>
      </c>
      <c r="AE313" s="438">
        <v>0</v>
      </c>
      <c r="AF313" s="438">
        <v>0</v>
      </c>
      <c r="AG313" s="438">
        <v>119000</v>
      </c>
      <c r="AH313" s="438">
        <v>82110</v>
      </c>
      <c r="AI313" s="438">
        <v>33536</v>
      </c>
      <c r="AJ313" s="438">
        <v>3354</v>
      </c>
      <c r="AK313" s="438">
        <v>36890</v>
      </c>
      <c r="AL313" s="414" t="str">
        <f t="shared" si="24"/>
        <v>워커힐 시그니처 양념 본갈비 300g, 8개</v>
      </c>
      <c r="AM313" s="395">
        <f t="shared" si="25"/>
        <v>46060</v>
      </c>
      <c r="AN313" s="396">
        <f t="shared" si="26"/>
        <v>1</v>
      </c>
      <c r="AO313" s="109">
        <f t="shared" si="27"/>
        <v>119000</v>
      </c>
      <c r="AP313" s="109">
        <f t="shared" si="28"/>
        <v>108181.81818181818</v>
      </c>
      <c r="AQ313" s="397">
        <f t="shared" si="29"/>
        <v>108181.81818181818</v>
      </c>
    </row>
    <row r="314" spans="1:43" ht="24">
      <c r="A314" s="436" t="s">
        <v>4335</v>
      </c>
      <c r="B314" s="436" t="s">
        <v>3490</v>
      </c>
      <c r="C314" s="437" t="s">
        <v>3491</v>
      </c>
      <c r="D314" s="436" t="s">
        <v>4302</v>
      </c>
      <c r="E314" s="437" t="s">
        <v>4303</v>
      </c>
      <c r="F314" s="436" t="s">
        <v>3494</v>
      </c>
      <c r="G314" s="436" t="s">
        <v>3495</v>
      </c>
      <c r="H314" s="437" t="s">
        <v>3496</v>
      </c>
      <c r="I314" s="436" t="s">
        <v>3497</v>
      </c>
      <c r="J314" s="437" t="s">
        <v>3498</v>
      </c>
      <c r="K314" s="437" t="s">
        <v>3499</v>
      </c>
      <c r="L314" s="436" t="s">
        <v>3500</v>
      </c>
      <c r="M314" s="436" t="s">
        <v>3524</v>
      </c>
      <c r="N314" s="436" t="s">
        <v>3502</v>
      </c>
      <c r="O314" s="438">
        <v>119000</v>
      </c>
      <c r="P314" s="438">
        <v>82110</v>
      </c>
      <c r="Q314" s="438">
        <v>1</v>
      </c>
      <c r="R314" s="438">
        <v>0</v>
      </c>
      <c r="S314" s="438">
        <v>0</v>
      </c>
      <c r="T314" s="438">
        <v>0</v>
      </c>
      <c r="U314" s="438">
        <v>0</v>
      </c>
      <c r="V314" s="438">
        <v>0</v>
      </c>
      <c r="W314" s="438">
        <v>31</v>
      </c>
      <c r="X314" s="438">
        <v>0</v>
      </c>
      <c r="Y314" s="438">
        <v>0</v>
      </c>
      <c r="Z314" s="438">
        <v>0</v>
      </c>
      <c r="AA314" s="438">
        <v>0</v>
      </c>
      <c r="AB314" s="438">
        <v>0</v>
      </c>
      <c r="AC314" s="438">
        <v>119000</v>
      </c>
      <c r="AD314" s="438">
        <v>82110</v>
      </c>
      <c r="AE314" s="438">
        <v>0</v>
      </c>
      <c r="AF314" s="438">
        <v>0</v>
      </c>
      <c r="AG314" s="438">
        <v>119000</v>
      </c>
      <c r="AH314" s="438">
        <v>82110</v>
      </c>
      <c r="AI314" s="438">
        <v>33536</v>
      </c>
      <c r="AJ314" s="438">
        <v>3354</v>
      </c>
      <c r="AK314" s="438">
        <v>36890</v>
      </c>
      <c r="AL314" s="414" t="str">
        <f t="shared" si="24"/>
        <v>워커힐 시그니처 양념 본갈비 300g, 8개</v>
      </c>
      <c r="AM314" s="395">
        <f t="shared" si="25"/>
        <v>46060</v>
      </c>
      <c r="AN314" s="396">
        <f t="shared" si="26"/>
        <v>1</v>
      </c>
      <c r="AO314" s="109">
        <f t="shared" si="27"/>
        <v>119000</v>
      </c>
      <c r="AP314" s="109">
        <f t="shared" si="28"/>
        <v>108181.81818181818</v>
      </c>
      <c r="AQ314" s="397">
        <f t="shared" si="29"/>
        <v>108181.81818181818</v>
      </c>
    </row>
    <row r="315" spans="1:43" ht="24">
      <c r="A315" s="436" t="s">
        <v>4337</v>
      </c>
      <c r="B315" s="436" t="s">
        <v>3490</v>
      </c>
      <c r="C315" s="437" t="s">
        <v>3491</v>
      </c>
      <c r="D315" s="436" t="s">
        <v>4242</v>
      </c>
      <c r="E315" s="437" t="s">
        <v>4243</v>
      </c>
      <c r="F315" s="436" t="s">
        <v>3494</v>
      </c>
      <c r="G315" s="436" t="s">
        <v>3495</v>
      </c>
      <c r="H315" s="437" t="s">
        <v>3496</v>
      </c>
      <c r="I315" s="436" t="s">
        <v>3497</v>
      </c>
      <c r="J315" s="437" t="s">
        <v>3498</v>
      </c>
      <c r="K315" s="437" t="s">
        <v>3499</v>
      </c>
      <c r="L315" s="436" t="s">
        <v>3500</v>
      </c>
      <c r="M315" s="436" t="s">
        <v>3524</v>
      </c>
      <c r="N315" s="436" t="s">
        <v>3502</v>
      </c>
      <c r="O315" s="438">
        <v>119000</v>
      </c>
      <c r="P315" s="438">
        <v>82110</v>
      </c>
      <c r="Q315" s="438">
        <v>1</v>
      </c>
      <c r="R315" s="438">
        <v>0</v>
      </c>
      <c r="S315" s="438">
        <v>0</v>
      </c>
      <c r="T315" s="438">
        <v>0</v>
      </c>
      <c r="U315" s="438">
        <v>0</v>
      </c>
      <c r="V315" s="438">
        <v>0</v>
      </c>
      <c r="W315" s="438">
        <v>31</v>
      </c>
      <c r="X315" s="438">
        <v>0</v>
      </c>
      <c r="Y315" s="438">
        <v>0</v>
      </c>
      <c r="Z315" s="438">
        <v>0</v>
      </c>
      <c r="AA315" s="438">
        <v>0</v>
      </c>
      <c r="AB315" s="438">
        <v>0</v>
      </c>
      <c r="AC315" s="438">
        <v>119000</v>
      </c>
      <c r="AD315" s="438">
        <v>82110</v>
      </c>
      <c r="AE315" s="438">
        <v>0</v>
      </c>
      <c r="AF315" s="438">
        <v>0</v>
      </c>
      <c r="AG315" s="438">
        <v>119000</v>
      </c>
      <c r="AH315" s="438">
        <v>82110</v>
      </c>
      <c r="AI315" s="438">
        <v>33536</v>
      </c>
      <c r="AJ315" s="438">
        <v>3354</v>
      </c>
      <c r="AK315" s="438">
        <v>36890</v>
      </c>
      <c r="AL315" s="414" t="str">
        <f t="shared" si="24"/>
        <v>워커힐 시그니처 양념 본갈비 300g, 8개</v>
      </c>
      <c r="AM315" s="395">
        <f t="shared" si="25"/>
        <v>46060</v>
      </c>
      <c r="AN315" s="396">
        <f t="shared" si="26"/>
        <v>1</v>
      </c>
      <c r="AO315" s="109">
        <f t="shared" si="27"/>
        <v>119000</v>
      </c>
      <c r="AP315" s="109">
        <f t="shared" si="28"/>
        <v>108181.81818181818</v>
      </c>
      <c r="AQ315" s="397">
        <f t="shared" si="29"/>
        <v>108181.81818181818</v>
      </c>
    </row>
    <row r="316" spans="1:43" ht="24">
      <c r="A316" s="436" t="s">
        <v>4340</v>
      </c>
      <c r="B316" s="436" t="s">
        <v>3490</v>
      </c>
      <c r="C316" s="437" t="s">
        <v>3491</v>
      </c>
      <c r="D316" s="436" t="s">
        <v>4305</v>
      </c>
      <c r="E316" s="437" t="s">
        <v>3523</v>
      </c>
      <c r="F316" s="436" t="s">
        <v>3494</v>
      </c>
      <c r="G316" s="436" t="s">
        <v>3495</v>
      </c>
      <c r="H316" s="437" t="s">
        <v>3496</v>
      </c>
      <c r="I316" s="436" t="s">
        <v>3497</v>
      </c>
      <c r="J316" s="437" t="s">
        <v>3498</v>
      </c>
      <c r="K316" s="437" t="s">
        <v>3499</v>
      </c>
      <c r="L316" s="436" t="s">
        <v>3500</v>
      </c>
      <c r="M316" s="436" t="s">
        <v>3524</v>
      </c>
      <c r="N316" s="436" t="s">
        <v>3502</v>
      </c>
      <c r="O316" s="438">
        <v>119000</v>
      </c>
      <c r="P316" s="438">
        <v>82110</v>
      </c>
      <c r="Q316" s="438">
        <v>1</v>
      </c>
      <c r="R316" s="438">
        <v>0</v>
      </c>
      <c r="S316" s="438">
        <v>0</v>
      </c>
      <c r="T316" s="438">
        <v>0</v>
      </c>
      <c r="U316" s="438">
        <v>0</v>
      </c>
      <c r="V316" s="438">
        <v>0</v>
      </c>
      <c r="W316" s="438">
        <v>31</v>
      </c>
      <c r="X316" s="438">
        <v>0</v>
      </c>
      <c r="Y316" s="438">
        <v>0</v>
      </c>
      <c r="Z316" s="438">
        <v>0</v>
      </c>
      <c r="AA316" s="438">
        <v>0</v>
      </c>
      <c r="AB316" s="438">
        <v>0</v>
      </c>
      <c r="AC316" s="438">
        <v>119000</v>
      </c>
      <c r="AD316" s="438">
        <v>82110</v>
      </c>
      <c r="AE316" s="438">
        <v>0</v>
      </c>
      <c r="AF316" s="438">
        <v>0</v>
      </c>
      <c r="AG316" s="438">
        <v>119000</v>
      </c>
      <c r="AH316" s="438">
        <v>82110</v>
      </c>
      <c r="AI316" s="438">
        <v>33536</v>
      </c>
      <c r="AJ316" s="438">
        <v>3354</v>
      </c>
      <c r="AK316" s="438">
        <v>36890</v>
      </c>
      <c r="AL316" s="414" t="str">
        <f t="shared" si="24"/>
        <v>워커힐 시그니처 양념 본갈비 300g, 8개</v>
      </c>
      <c r="AM316" s="395">
        <f t="shared" si="25"/>
        <v>46060</v>
      </c>
      <c r="AN316" s="396">
        <f t="shared" si="26"/>
        <v>1</v>
      </c>
      <c r="AO316" s="109">
        <f t="shared" si="27"/>
        <v>119000</v>
      </c>
      <c r="AP316" s="109">
        <f t="shared" si="28"/>
        <v>108181.81818181818</v>
      </c>
      <c r="AQ316" s="397">
        <f t="shared" si="29"/>
        <v>108181.81818181818</v>
      </c>
    </row>
    <row r="317" spans="1:43" ht="24">
      <c r="A317" s="436" t="s">
        <v>4342</v>
      </c>
      <c r="B317" s="436" t="s">
        <v>3490</v>
      </c>
      <c r="C317" s="437" t="s">
        <v>3491</v>
      </c>
      <c r="D317" s="436" t="s">
        <v>4307</v>
      </c>
      <c r="E317" s="437" t="s">
        <v>4031</v>
      </c>
      <c r="F317" s="436" t="s">
        <v>3494</v>
      </c>
      <c r="G317" s="436" t="s">
        <v>3495</v>
      </c>
      <c r="H317" s="437" t="s">
        <v>3496</v>
      </c>
      <c r="I317" s="436" t="s">
        <v>3497</v>
      </c>
      <c r="J317" s="437" t="s">
        <v>3498</v>
      </c>
      <c r="K317" s="437" t="s">
        <v>3499</v>
      </c>
      <c r="L317" s="436" t="s">
        <v>3500</v>
      </c>
      <c r="M317" s="436" t="s">
        <v>3524</v>
      </c>
      <c r="N317" s="436" t="s">
        <v>3502</v>
      </c>
      <c r="O317" s="438">
        <v>119000</v>
      </c>
      <c r="P317" s="438">
        <v>82110</v>
      </c>
      <c r="Q317" s="438">
        <v>1</v>
      </c>
      <c r="R317" s="438">
        <v>0</v>
      </c>
      <c r="S317" s="438">
        <v>0</v>
      </c>
      <c r="T317" s="438">
        <v>0</v>
      </c>
      <c r="U317" s="438">
        <v>0</v>
      </c>
      <c r="V317" s="438">
        <v>0</v>
      </c>
      <c r="W317" s="438">
        <v>31</v>
      </c>
      <c r="X317" s="438">
        <v>0</v>
      </c>
      <c r="Y317" s="438">
        <v>0</v>
      </c>
      <c r="Z317" s="438">
        <v>0</v>
      </c>
      <c r="AA317" s="438">
        <v>0</v>
      </c>
      <c r="AB317" s="438">
        <v>0</v>
      </c>
      <c r="AC317" s="438">
        <v>119000</v>
      </c>
      <c r="AD317" s="438">
        <v>82110</v>
      </c>
      <c r="AE317" s="438">
        <v>0</v>
      </c>
      <c r="AF317" s="438">
        <v>0</v>
      </c>
      <c r="AG317" s="438">
        <v>119000</v>
      </c>
      <c r="AH317" s="438">
        <v>82110</v>
      </c>
      <c r="AI317" s="438">
        <v>33536</v>
      </c>
      <c r="AJ317" s="438">
        <v>3354</v>
      </c>
      <c r="AK317" s="438">
        <v>36890</v>
      </c>
      <c r="AL317" s="414" t="str">
        <f t="shared" si="24"/>
        <v>워커힐 시그니처 양념 본갈비 300g, 8개</v>
      </c>
      <c r="AM317" s="395">
        <f t="shared" si="25"/>
        <v>46060</v>
      </c>
      <c r="AN317" s="396">
        <f t="shared" si="26"/>
        <v>1</v>
      </c>
      <c r="AO317" s="109">
        <f t="shared" si="27"/>
        <v>119000</v>
      </c>
      <c r="AP317" s="109">
        <f t="shared" si="28"/>
        <v>108181.81818181818</v>
      </c>
      <c r="AQ317" s="397">
        <f t="shared" si="29"/>
        <v>108181.81818181818</v>
      </c>
    </row>
    <row r="318" spans="1:43" ht="24">
      <c r="A318" s="436" t="s">
        <v>4345</v>
      </c>
      <c r="B318" s="436" t="s">
        <v>3490</v>
      </c>
      <c r="C318" s="437" t="s">
        <v>3491</v>
      </c>
      <c r="D318" s="436" t="s">
        <v>4021</v>
      </c>
      <c r="E318" s="437" t="s">
        <v>4022</v>
      </c>
      <c r="F318" s="436" t="s">
        <v>3494</v>
      </c>
      <c r="G318" s="436" t="s">
        <v>3495</v>
      </c>
      <c r="H318" s="437" t="s">
        <v>3496</v>
      </c>
      <c r="I318" s="436" t="s">
        <v>3497</v>
      </c>
      <c r="J318" s="437" t="s">
        <v>3498</v>
      </c>
      <c r="K318" s="437" t="s">
        <v>3499</v>
      </c>
      <c r="L318" s="436" t="s">
        <v>3500</v>
      </c>
      <c r="M318" s="436" t="s">
        <v>3524</v>
      </c>
      <c r="N318" s="436" t="s">
        <v>3502</v>
      </c>
      <c r="O318" s="438">
        <v>119000</v>
      </c>
      <c r="P318" s="438">
        <v>82110</v>
      </c>
      <c r="Q318" s="438">
        <v>1</v>
      </c>
      <c r="R318" s="438">
        <v>0</v>
      </c>
      <c r="S318" s="438">
        <v>0</v>
      </c>
      <c r="T318" s="438">
        <v>0</v>
      </c>
      <c r="U318" s="438">
        <v>0</v>
      </c>
      <c r="V318" s="438">
        <v>0</v>
      </c>
      <c r="W318" s="438">
        <v>31</v>
      </c>
      <c r="X318" s="438">
        <v>0</v>
      </c>
      <c r="Y318" s="438">
        <v>0</v>
      </c>
      <c r="Z318" s="438">
        <v>0</v>
      </c>
      <c r="AA318" s="438">
        <v>0</v>
      </c>
      <c r="AB318" s="438">
        <v>0</v>
      </c>
      <c r="AC318" s="438">
        <v>119000</v>
      </c>
      <c r="AD318" s="438">
        <v>82110</v>
      </c>
      <c r="AE318" s="438">
        <v>0</v>
      </c>
      <c r="AF318" s="438">
        <v>0</v>
      </c>
      <c r="AG318" s="438">
        <v>119000</v>
      </c>
      <c r="AH318" s="438">
        <v>82110</v>
      </c>
      <c r="AI318" s="438">
        <v>33536</v>
      </c>
      <c r="AJ318" s="438">
        <v>3354</v>
      </c>
      <c r="AK318" s="438">
        <v>36890</v>
      </c>
      <c r="AL318" s="414" t="str">
        <f t="shared" si="24"/>
        <v>워커힐 시그니처 양념 본갈비 300g, 8개</v>
      </c>
      <c r="AM318" s="395">
        <f t="shared" si="25"/>
        <v>46060</v>
      </c>
      <c r="AN318" s="396">
        <f t="shared" si="26"/>
        <v>1</v>
      </c>
      <c r="AO318" s="109">
        <f t="shared" si="27"/>
        <v>119000</v>
      </c>
      <c r="AP318" s="109">
        <f t="shared" si="28"/>
        <v>108181.81818181818</v>
      </c>
      <c r="AQ318" s="397">
        <f t="shared" si="29"/>
        <v>108181.81818181818</v>
      </c>
    </row>
    <row r="319" spans="1:43" ht="24">
      <c r="A319" s="436" t="s">
        <v>4348</v>
      </c>
      <c r="B319" s="436" t="s">
        <v>3490</v>
      </c>
      <c r="C319" s="437" t="s">
        <v>3491</v>
      </c>
      <c r="D319" s="436" t="s">
        <v>4085</v>
      </c>
      <c r="E319" s="437" t="s">
        <v>4022</v>
      </c>
      <c r="F319" s="436" t="s">
        <v>3494</v>
      </c>
      <c r="G319" s="436" t="s">
        <v>3495</v>
      </c>
      <c r="H319" s="437" t="s">
        <v>3496</v>
      </c>
      <c r="I319" s="436" t="s">
        <v>3497</v>
      </c>
      <c r="J319" s="437" t="s">
        <v>3498</v>
      </c>
      <c r="K319" s="437" t="s">
        <v>3499</v>
      </c>
      <c r="L319" s="436" t="s">
        <v>3500</v>
      </c>
      <c r="M319" s="436" t="s">
        <v>3524</v>
      </c>
      <c r="N319" s="436" t="s">
        <v>3502</v>
      </c>
      <c r="O319" s="438">
        <v>119000</v>
      </c>
      <c r="P319" s="438">
        <v>82110</v>
      </c>
      <c r="Q319" s="438">
        <v>1</v>
      </c>
      <c r="R319" s="438">
        <v>0</v>
      </c>
      <c r="S319" s="438">
        <v>0</v>
      </c>
      <c r="T319" s="438">
        <v>0</v>
      </c>
      <c r="U319" s="438">
        <v>0</v>
      </c>
      <c r="V319" s="438">
        <v>0</v>
      </c>
      <c r="W319" s="438">
        <v>31</v>
      </c>
      <c r="X319" s="438">
        <v>0</v>
      </c>
      <c r="Y319" s="438">
        <v>0</v>
      </c>
      <c r="Z319" s="438">
        <v>0</v>
      </c>
      <c r="AA319" s="438">
        <v>0</v>
      </c>
      <c r="AB319" s="438">
        <v>0</v>
      </c>
      <c r="AC319" s="438">
        <v>119000</v>
      </c>
      <c r="AD319" s="438">
        <v>82110</v>
      </c>
      <c r="AE319" s="438">
        <v>0</v>
      </c>
      <c r="AF319" s="438">
        <v>0</v>
      </c>
      <c r="AG319" s="438">
        <v>119000</v>
      </c>
      <c r="AH319" s="438">
        <v>82110</v>
      </c>
      <c r="AI319" s="438">
        <v>33536</v>
      </c>
      <c r="AJ319" s="438">
        <v>3354</v>
      </c>
      <c r="AK319" s="438">
        <v>36890</v>
      </c>
      <c r="AL319" s="414" t="str">
        <f t="shared" si="24"/>
        <v>워커힐 시그니처 양념 본갈비 300g, 8개</v>
      </c>
      <c r="AM319" s="395">
        <f t="shared" si="25"/>
        <v>46060</v>
      </c>
      <c r="AN319" s="396">
        <f t="shared" si="26"/>
        <v>1</v>
      </c>
      <c r="AO319" s="109">
        <f t="shared" si="27"/>
        <v>119000</v>
      </c>
      <c r="AP319" s="109">
        <f t="shared" si="28"/>
        <v>108181.81818181818</v>
      </c>
      <c r="AQ319" s="397">
        <f t="shared" si="29"/>
        <v>108181.81818181818</v>
      </c>
    </row>
    <row r="320" spans="1:43" ht="24">
      <c r="A320" s="436" t="s">
        <v>4351</v>
      </c>
      <c r="B320" s="436" t="s">
        <v>3490</v>
      </c>
      <c r="C320" s="437" t="s">
        <v>3491</v>
      </c>
      <c r="D320" s="436" t="s">
        <v>4261</v>
      </c>
      <c r="E320" s="437" t="s">
        <v>4022</v>
      </c>
      <c r="F320" s="436" t="s">
        <v>3494</v>
      </c>
      <c r="G320" s="436" t="s">
        <v>3495</v>
      </c>
      <c r="H320" s="437" t="s">
        <v>3496</v>
      </c>
      <c r="I320" s="436" t="s">
        <v>3497</v>
      </c>
      <c r="J320" s="437" t="s">
        <v>3498</v>
      </c>
      <c r="K320" s="437" t="s">
        <v>3499</v>
      </c>
      <c r="L320" s="436" t="s">
        <v>3500</v>
      </c>
      <c r="M320" s="436" t="s">
        <v>3524</v>
      </c>
      <c r="N320" s="436" t="s">
        <v>3502</v>
      </c>
      <c r="O320" s="438">
        <v>119000</v>
      </c>
      <c r="P320" s="438">
        <v>82110</v>
      </c>
      <c r="Q320" s="438">
        <v>1</v>
      </c>
      <c r="R320" s="438">
        <v>0</v>
      </c>
      <c r="S320" s="438">
        <v>0</v>
      </c>
      <c r="T320" s="438">
        <v>0</v>
      </c>
      <c r="U320" s="438">
        <v>0</v>
      </c>
      <c r="V320" s="438">
        <v>0</v>
      </c>
      <c r="W320" s="438">
        <v>31</v>
      </c>
      <c r="X320" s="438">
        <v>0</v>
      </c>
      <c r="Y320" s="438">
        <v>0</v>
      </c>
      <c r="Z320" s="438">
        <v>0</v>
      </c>
      <c r="AA320" s="438">
        <v>0</v>
      </c>
      <c r="AB320" s="438">
        <v>0</v>
      </c>
      <c r="AC320" s="438">
        <v>119000</v>
      </c>
      <c r="AD320" s="438">
        <v>82110</v>
      </c>
      <c r="AE320" s="438">
        <v>0</v>
      </c>
      <c r="AF320" s="438">
        <v>0</v>
      </c>
      <c r="AG320" s="438">
        <v>119000</v>
      </c>
      <c r="AH320" s="438">
        <v>82110</v>
      </c>
      <c r="AI320" s="438">
        <v>33536</v>
      </c>
      <c r="AJ320" s="438">
        <v>3354</v>
      </c>
      <c r="AK320" s="438">
        <v>36890</v>
      </c>
      <c r="AL320" s="414" t="str">
        <f t="shared" si="24"/>
        <v>워커힐 시그니처 양념 본갈비 300g, 8개</v>
      </c>
      <c r="AM320" s="395">
        <f t="shared" si="25"/>
        <v>46060</v>
      </c>
      <c r="AN320" s="396">
        <f t="shared" si="26"/>
        <v>1</v>
      </c>
      <c r="AO320" s="109">
        <f t="shared" si="27"/>
        <v>119000</v>
      </c>
      <c r="AP320" s="109">
        <f t="shared" si="28"/>
        <v>108181.81818181818</v>
      </c>
      <c r="AQ320" s="397">
        <f t="shared" si="29"/>
        <v>108181.81818181818</v>
      </c>
    </row>
    <row r="321" spans="1:43" ht="24">
      <c r="A321" s="436" t="s">
        <v>4353</v>
      </c>
      <c r="B321" s="436" t="s">
        <v>3490</v>
      </c>
      <c r="C321" s="437" t="s">
        <v>3491</v>
      </c>
      <c r="D321" s="436" t="s">
        <v>4309</v>
      </c>
      <c r="E321" s="437" t="s">
        <v>4310</v>
      </c>
      <c r="F321" s="436" t="s">
        <v>3494</v>
      </c>
      <c r="G321" s="436" t="s">
        <v>3495</v>
      </c>
      <c r="H321" s="437" t="s">
        <v>3496</v>
      </c>
      <c r="I321" s="436" t="s">
        <v>3497</v>
      </c>
      <c r="J321" s="437" t="s">
        <v>3498</v>
      </c>
      <c r="K321" s="437" t="s">
        <v>3548</v>
      </c>
      <c r="L321" s="436" t="s">
        <v>3500</v>
      </c>
      <c r="M321" s="436" t="s">
        <v>3524</v>
      </c>
      <c r="N321" s="436" t="s">
        <v>3502</v>
      </c>
      <c r="O321" s="438">
        <v>119000</v>
      </c>
      <c r="P321" s="438">
        <v>82110</v>
      </c>
      <c r="Q321" s="438">
        <v>1</v>
      </c>
      <c r="R321" s="438">
        <v>0</v>
      </c>
      <c r="S321" s="438">
        <v>0</v>
      </c>
      <c r="T321" s="438">
        <v>0</v>
      </c>
      <c r="U321" s="438">
        <v>0</v>
      </c>
      <c r="V321" s="438">
        <v>0</v>
      </c>
      <c r="W321" s="438">
        <v>31</v>
      </c>
      <c r="X321" s="438">
        <v>0</v>
      </c>
      <c r="Y321" s="438">
        <v>0</v>
      </c>
      <c r="Z321" s="438">
        <v>0</v>
      </c>
      <c r="AA321" s="438">
        <v>0</v>
      </c>
      <c r="AB321" s="438">
        <v>0</v>
      </c>
      <c r="AC321" s="438">
        <v>119000</v>
      </c>
      <c r="AD321" s="438">
        <v>82110</v>
      </c>
      <c r="AE321" s="438">
        <v>0</v>
      </c>
      <c r="AF321" s="438">
        <v>0</v>
      </c>
      <c r="AG321" s="438">
        <v>119000</v>
      </c>
      <c r="AH321" s="438">
        <v>82110</v>
      </c>
      <c r="AI321" s="438">
        <v>33536</v>
      </c>
      <c r="AJ321" s="438">
        <v>3354</v>
      </c>
      <c r="AK321" s="438">
        <v>36890</v>
      </c>
      <c r="AL321" s="414" t="str">
        <f t="shared" si="24"/>
        <v>워커힐 시그니처 양념 본갈비 300g, 8개</v>
      </c>
      <c r="AM321" s="395">
        <f t="shared" si="25"/>
        <v>46060</v>
      </c>
      <c r="AN321" s="396">
        <f t="shared" si="26"/>
        <v>1</v>
      </c>
      <c r="AO321" s="109">
        <f t="shared" si="27"/>
        <v>119000</v>
      </c>
      <c r="AP321" s="109">
        <f t="shared" si="28"/>
        <v>108181.81818181818</v>
      </c>
      <c r="AQ321" s="397">
        <f t="shared" si="29"/>
        <v>108181.81818181818</v>
      </c>
    </row>
    <row r="322" spans="1:43" ht="24">
      <c r="A322" s="436" t="s">
        <v>4355</v>
      </c>
      <c r="B322" s="436" t="s">
        <v>3490</v>
      </c>
      <c r="C322" s="437" t="s">
        <v>3491</v>
      </c>
      <c r="D322" s="436" t="s">
        <v>4186</v>
      </c>
      <c r="E322" s="437" t="s">
        <v>3836</v>
      </c>
      <c r="F322" s="436" t="s">
        <v>3494</v>
      </c>
      <c r="G322" s="436" t="s">
        <v>3495</v>
      </c>
      <c r="H322" s="437" t="s">
        <v>3496</v>
      </c>
      <c r="I322" s="436" t="s">
        <v>3497</v>
      </c>
      <c r="J322" s="437" t="s">
        <v>3498</v>
      </c>
      <c r="K322" s="437" t="s">
        <v>3499</v>
      </c>
      <c r="L322" s="436" t="s">
        <v>3500</v>
      </c>
      <c r="M322" s="436" t="s">
        <v>3524</v>
      </c>
      <c r="N322" s="436" t="s">
        <v>3502</v>
      </c>
      <c r="O322" s="438">
        <v>119000</v>
      </c>
      <c r="P322" s="438">
        <v>82110</v>
      </c>
      <c r="Q322" s="438">
        <v>1</v>
      </c>
      <c r="R322" s="438">
        <v>0</v>
      </c>
      <c r="S322" s="438">
        <v>0</v>
      </c>
      <c r="T322" s="438">
        <v>0</v>
      </c>
      <c r="U322" s="438">
        <v>0</v>
      </c>
      <c r="V322" s="438">
        <v>0</v>
      </c>
      <c r="W322" s="438">
        <v>31</v>
      </c>
      <c r="X322" s="438">
        <v>0</v>
      </c>
      <c r="Y322" s="438">
        <v>0</v>
      </c>
      <c r="Z322" s="438">
        <v>0</v>
      </c>
      <c r="AA322" s="438">
        <v>0</v>
      </c>
      <c r="AB322" s="438">
        <v>0</v>
      </c>
      <c r="AC322" s="438">
        <v>119000</v>
      </c>
      <c r="AD322" s="438">
        <v>82110</v>
      </c>
      <c r="AE322" s="438">
        <v>0</v>
      </c>
      <c r="AF322" s="438">
        <v>0</v>
      </c>
      <c r="AG322" s="438">
        <v>119000</v>
      </c>
      <c r="AH322" s="438">
        <v>82110</v>
      </c>
      <c r="AI322" s="438">
        <v>33536</v>
      </c>
      <c r="AJ322" s="438">
        <v>3354</v>
      </c>
      <c r="AK322" s="438">
        <v>36890</v>
      </c>
      <c r="AL322" s="414" t="str">
        <f t="shared" si="24"/>
        <v>워커힐 시그니처 양념 본갈비 300g, 8개</v>
      </c>
      <c r="AM322" s="395">
        <f t="shared" si="25"/>
        <v>46060</v>
      </c>
      <c r="AN322" s="396">
        <f t="shared" si="26"/>
        <v>1</v>
      </c>
      <c r="AO322" s="109">
        <f t="shared" si="27"/>
        <v>119000</v>
      </c>
      <c r="AP322" s="109">
        <f t="shared" si="28"/>
        <v>108181.81818181818</v>
      </c>
      <c r="AQ322" s="397">
        <f t="shared" si="29"/>
        <v>108181.81818181818</v>
      </c>
    </row>
    <row r="323" spans="1:43" ht="24">
      <c r="A323" s="436" t="s">
        <v>4358</v>
      </c>
      <c r="B323" s="436" t="s">
        <v>3490</v>
      </c>
      <c r="C323" s="437" t="s">
        <v>3491</v>
      </c>
      <c r="D323" s="436" t="s">
        <v>4315</v>
      </c>
      <c r="E323" s="437" t="s">
        <v>4052</v>
      </c>
      <c r="F323" s="436" t="s">
        <v>3494</v>
      </c>
      <c r="G323" s="436" t="s">
        <v>3495</v>
      </c>
      <c r="H323" s="437" t="s">
        <v>3496</v>
      </c>
      <c r="I323" s="436" t="s">
        <v>3497</v>
      </c>
      <c r="J323" s="437" t="s">
        <v>3498</v>
      </c>
      <c r="K323" s="437" t="s">
        <v>3499</v>
      </c>
      <c r="L323" s="436" t="s">
        <v>3500</v>
      </c>
      <c r="M323" s="436" t="s">
        <v>3524</v>
      </c>
      <c r="N323" s="436" t="s">
        <v>3502</v>
      </c>
      <c r="O323" s="438">
        <v>119000</v>
      </c>
      <c r="P323" s="438">
        <v>82110</v>
      </c>
      <c r="Q323" s="438">
        <v>1</v>
      </c>
      <c r="R323" s="438">
        <v>0</v>
      </c>
      <c r="S323" s="438">
        <v>0</v>
      </c>
      <c r="T323" s="438">
        <v>0</v>
      </c>
      <c r="U323" s="438">
        <v>0</v>
      </c>
      <c r="V323" s="438">
        <v>0</v>
      </c>
      <c r="W323" s="438">
        <v>31</v>
      </c>
      <c r="X323" s="438">
        <v>0</v>
      </c>
      <c r="Y323" s="438">
        <v>0</v>
      </c>
      <c r="Z323" s="438">
        <v>0</v>
      </c>
      <c r="AA323" s="438">
        <v>0</v>
      </c>
      <c r="AB323" s="438">
        <v>0</v>
      </c>
      <c r="AC323" s="438">
        <v>119000</v>
      </c>
      <c r="AD323" s="438">
        <v>82110</v>
      </c>
      <c r="AE323" s="438">
        <v>0</v>
      </c>
      <c r="AF323" s="438">
        <v>0</v>
      </c>
      <c r="AG323" s="438">
        <v>119000</v>
      </c>
      <c r="AH323" s="438">
        <v>82110</v>
      </c>
      <c r="AI323" s="438">
        <v>33536</v>
      </c>
      <c r="AJ323" s="438">
        <v>3354</v>
      </c>
      <c r="AK323" s="438">
        <v>36890</v>
      </c>
      <c r="AL323" s="414" t="str">
        <f t="shared" ref="AL323:AL386" si="30">SUBSTITUTE(SUBSTITUTE(H323,"[워커힐]워커힐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323" s="395">
        <f t="shared" ref="AM323:AM386" si="31">IF(N323="배송완료", DATE(LEFT(M323,4), MID(M323,6,2), MID(M323,9,2)), "")</f>
        <v>46060</v>
      </c>
      <c r="AN323" s="396">
        <f t="shared" ref="AN323:AN386" si="32">IF(OR(N323="배송완료", Q323&lt;0), Q323, 0)</f>
        <v>1</v>
      </c>
      <c r="AO323" s="109">
        <f t="shared" ref="AO323:AO386" si="33">IF(AL323="워커힐 시그니처 양념 본갈비 300g, 8개",119000,IF(AL323="워커힐 시그니처 양념 본갈비 300g, 4개",78000,""))</f>
        <v>119000</v>
      </c>
      <c r="AP323" s="109">
        <f t="shared" ref="AP323:AP386" si="34">AO323/1.1</f>
        <v>108181.81818181818</v>
      </c>
      <c r="AQ323" s="397">
        <f t="shared" ref="AQ323:AQ386" si="35">AN323*AP323</f>
        <v>108181.81818181818</v>
      </c>
    </row>
    <row r="324" spans="1:43" ht="24">
      <c r="A324" s="436" t="s">
        <v>4361</v>
      </c>
      <c r="B324" s="436" t="s">
        <v>3490</v>
      </c>
      <c r="C324" s="437" t="s">
        <v>3491</v>
      </c>
      <c r="D324" s="436" t="s">
        <v>4317</v>
      </c>
      <c r="E324" s="437" t="s">
        <v>3848</v>
      </c>
      <c r="F324" s="436" t="s">
        <v>3494</v>
      </c>
      <c r="G324" s="436" t="s">
        <v>3495</v>
      </c>
      <c r="H324" s="437" t="s">
        <v>3496</v>
      </c>
      <c r="I324" s="436" t="s">
        <v>3497</v>
      </c>
      <c r="J324" s="437" t="s">
        <v>3498</v>
      </c>
      <c r="K324" s="437" t="s">
        <v>3499</v>
      </c>
      <c r="L324" s="436" t="s">
        <v>3500</v>
      </c>
      <c r="M324" s="436" t="s">
        <v>3524</v>
      </c>
      <c r="N324" s="436" t="s">
        <v>3502</v>
      </c>
      <c r="O324" s="438">
        <v>119000</v>
      </c>
      <c r="P324" s="438">
        <v>82110</v>
      </c>
      <c r="Q324" s="438">
        <v>1</v>
      </c>
      <c r="R324" s="438">
        <v>0</v>
      </c>
      <c r="S324" s="438">
        <v>0</v>
      </c>
      <c r="T324" s="438">
        <v>0</v>
      </c>
      <c r="U324" s="438">
        <v>0</v>
      </c>
      <c r="V324" s="438">
        <v>0</v>
      </c>
      <c r="W324" s="438">
        <v>31</v>
      </c>
      <c r="X324" s="438">
        <v>0</v>
      </c>
      <c r="Y324" s="438">
        <v>0</v>
      </c>
      <c r="Z324" s="438">
        <v>0</v>
      </c>
      <c r="AA324" s="438">
        <v>0</v>
      </c>
      <c r="AB324" s="438">
        <v>0</v>
      </c>
      <c r="AC324" s="438">
        <v>119000</v>
      </c>
      <c r="AD324" s="438">
        <v>82110</v>
      </c>
      <c r="AE324" s="438">
        <v>0</v>
      </c>
      <c r="AF324" s="438">
        <v>0</v>
      </c>
      <c r="AG324" s="438">
        <v>119000</v>
      </c>
      <c r="AH324" s="438">
        <v>82110</v>
      </c>
      <c r="AI324" s="438">
        <v>33536</v>
      </c>
      <c r="AJ324" s="438">
        <v>3354</v>
      </c>
      <c r="AK324" s="438">
        <v>36890</v>
      </c>
      <c r="AL324" s="414" t="str">
        <f t="shared" si="30"/>
        <v>워커힐 시그니처 양념 본갈비 300g, 8개</v>
      </c>
      <c r="AM324" s="395">
        <f t="shared" si="31"/>
        <v>46060</v>
      </c>
      <c r="AN324" s="396">
        <f t="shared" si="32"/>
        <v>1</v>
      </c>
      <c r="AO324" s="109">
        <f t="shared" si="33"/>
        <v>119000</v>
      </c>
      <c r="AP324" s="109">
        <f t="shared" si="34"/>
        <v>108181.81818181818</v>
      </c>
      <c r="AQ324" s="397">
        <f t="shared" si="35"/>
        <v>108181.81818181818</v>
      </c>
    </row>
    <row r="325" spans="1:43" ht="24">
      <c r="A325" s="436" t="s">
        <v>4364</v>
      </c>
      <c r="B325" s="436" t="s">
        <v>3490</v>
      </c>
      <c r="C325" s="437" t="s">
        <v>3491</v>
      </c>
      <c r="D325" s="436" t="s">
        <v>4319</v>
      </c>
      <c r="E325" s="437" t="s">
        <v>4320</v>
      </c>
      <c r="F325" s="436" t="s">
        <v>3494</v>
      </c>
      <c r="G325" s="436" t="s">
        <v>3495</v>
      </c>
      <c r="H325" s="437" t="s">
        <v>3496</v>
      </c>
      <c r="I325" s="436" t="s">
        <v>3497</v>
      </c>
      <c r="J325" s="437" t="s">
        <v>3498</v>
      </c>
      <c r="K325" s="437" t="s">
        <v>3499</v>
      </c>
      <c r="L325" s="436" t="s">
        <v>3500</v>
      </c>
      <c r="M325" s="436" t="s">
        <v>3524</v>
      </c>
      <c r="N325" s="436" t="s">
        <v>3502</v>
      </c>
      <c r="O325" s="438">
        <v>119000</v>
      </c>
      <c r="P325" s="438">
        <v>82110</v>
      </c>
      <c r="Q325" s="438">
        <v>1</v>
      </c>
      <c r="R325" s="438">
        <v>0</v>
      </c>
      <c r="S325" s="438">
        <v>0</v>
      </c>
      <c r="T325" s="438">
        <v>0</v>
      </c>
      <c r="U325" s="438">
        <v>0</v>
      </c>
      <c r="V325" s="438">
        <v>0</v>
      </c>
      <c r="W325" s="438">
        <v>31</v>
      </c>
      <c r="X325" s="438">
        <v>0</v>
      </c>
      <c r="Y325" s="438">
        <v>0</v>
      </c>
      <c r="Z325" s="438">
        <v>0</v>
      </c>
      <c r="AA325" s="438">
        <v>0</v>
      </c>
      <c r="AB325" s="438">
        <v>0</v>
      </c>
      <c r="AC325" s="438">
        <v>119000</v>
      </c>
      <c r="AD325" s="438">
        <v>82110</v>
      </c>
      <c r="AE325" s="438">
        <v>0</v>
      </c>
      <c r="AF325" s="438">
        <v>0</v>
      </c>
      <c r="AG325" s="438">
        <v>119000</v>
      </c>
      <c r="AH325" s="438">
        <v>82110</v>
      </c>
      <c r="AI325" s="438">
        <v>33536</v>
      </c>
      <c r="AJ325" s="438">
        <v>3354</v>
      </c>
      <c r="AK325" s="438">
        <v>36890</v>
      </c>
      <c r="AL325" s="414" t="str">
        <f t="shared" si="30"/>
        <v>워커힐 시그니처 양념 본갈비 300g, 8개</v>
      </c>
      <c r="AM325" s="395">
        <f t="shared" si="31"/>
        <v>46060</v>
      </c>
      <c r="AN325" s="396">
        <f t="shared" si="32"/>
        <v>1</v>
      </c>
      <c r="AO325" s="109">
        <f t="shared" si="33"/>
        <v>119000</v>
      </c>
      <c r="AP325" s="109">
        <f t="shared" si="34"/>
        <v>108181.81818181818</v>
      </c>
      <c r="AQ325" s="397">
        <f t="shared" si="35"/>
        <v>108181.81818181818</v>
      </c>
    </row>
    <row r="326" spans="1:43" ht="24">
      <c r="A326" s="436" t="s">
        <v>4367</v>
      </c>
      <c r="B326" s="436" t="s">
        <v>3490</v>
      </c>
      <c r="C326" s="437" t="s">
        <v>3491</v>
      </c>
      <c r="D326" s="436" t="s">
        <v>4322</v>
      </c>
      <c r="E326" s="437" t="s">
        <v>4323</v>
      </c>
      <c r="F326" s="436" t="s">
        <v>3494</v>
      </c>
      <c r="G326" s="436" t="s">
        <v>3495</v>
      </c>
      <c r="H326" s="437" t="s">
        <v>3496</v>
      </c>
      <c r="I326" s="436" t="s">
        <v>3497</v>
      </c>
      <c r="J326" s="437" t="s">
        <v>3498</v>
      </c>
      <c r="K326" s="437" t="s">
        <v>3499</v>
      </c>
      <c r="L326" s="436" t="s">
        <v>3500</v>
      </c>
      <c r="M326" s="436" t="s">
        <v>3524</v>
      </c>
      <c r="N326" s="436" t="s">
        <v>3502</v>
      </c>
      <c r="O326" s="438">
        <v>119000</v>
      </c>
      <c r="P326" s="438">
        <v>82110</v>
      </c>
      <c r="Q326" s="438">
        <v>1</v>
      </c>
      <c r="R326" s="438">
        <v>0</v>
      </c>
      <c r="S326" s="438">
        <v>0</v>
      </c>
      <c r="T326" s="438">
        <v>0</v>
      </c>
      <c r="U326" s="438">
        <v>0</v>
      </c>
      <c r="V326" s="438">
        <v>0</v>
      </c>
      <c r="W326" s="438">
        <v>31</v>
      </c>
      <c r="X326" s="438">
        <v>0</v>
      </c>
      <c r="Y326" s="438">
        <v>0</v>
      </c>
      <c r="Z326" s="438">
        <v>0</v>
      </c>
      <c r="AA326" s="438">
        <v>0</v>
      </c>
      <c r="AB326" s="438">
        <v>0</v>
      </c>
      <c r="AC326" s="438">
        <v>119000</v>
      </c>
      <c r="AD326" s="438">
        <v>82110</v>
      </c>
      <c r="AE326" s="438">
        <v>0</v>
      </c>
      <c r="AF326" s="438">
        <v>0</v>
      </c>
      <c r="AG326" s="438">
        <v>119000</v>
      </c>
      <c r="AH326" s="438">
        <v>82110</v>
      </c>
      <c r="AI326" s="438">
        <v>33536</v>
      </c>
      <c r="AJ326" s="438">
        <v>3354</v>
      </c>
      <c r="AK326" s="438">
        <v>36890</v>
      </c>
      <c r="AL326" s="414" t="str">
        <f t="shared" si="30"/>
        <v>워커힐 시그니처 양념 본갈비 300g, 8개</v>
      </c>
      <c r="AM326" s="395">
        <f t="shared" si="31"/>
        <v>46060</v>
      </c>
      <c r="AN326" s="396">
        <f t="shared" si="32"/>
        <v>1</v>
      </c>
      <c r="AO326" s="109">
        <f t="shared" si="33"/>
        <v>119000</v>
      </c>
      <c r="AP326" s="109">
        <f t="shared" si="34"/>
        <v>108181.81818181818</v>
      </c>
      <c r="AQ326" s="397">
        <f t="shared" si="35"/>
        <v>108181.81818181818</v>
      </c>
    </row>
    <row r="327" spans="1:43" ht="24">
      <c r="A327" s="436" t="s">
        <v>4370</v>
      </c>
      <c r="B327" s="436" t="s">
        <v>3490</v>
      </c>
      <c r="C327" s="437" t="s">
        <v>3491</v>
      </c>
      <c r="D327" s="436" t="s">
        <v>4030</v>
      </c>
      <c r="E327" s="437" t="s">
        <v>4031</v>
      </c>
      <c r="F327" s="436" t="s">
        <v>3494</v>
      </c>
      <c r="G327" s="436" t="s">
        <v>3495</v>
      </c>
      <c r="H327" s="437" t="s">
        <v>3496</v>
      </c>
      <c r="I327" s="436" t="s">
        <v>3497</v>
      </c>
      <c r="J327" s="437" t="s">
        <v>3498</v>
      </c>
      <c r="K327" s="437" t="s">
        <v>3499</v>
      </c>
      <c r="L327" s="436" t="s">
        <v>3500</v>
      </c>
      <c r="M327" s="436" t="s">
        <v>3524</v>
      </c>
      <c r="N327" s="436" t="s">
        <v>3502</v>
      </c>
      <c r="O327" s="438">
        <v>119000</v>
      </c>
      <c r="P327" s="438">
        <v>82110</v>
      </c>
      <c r="Q327" s="438">
        <v>1</v>
      </c>
      <c r="R327" s="438">
        <v>0</v>
      </c>
      <c r="S327" s="438">
        <v>0</v>
      </c>
      <c r="T327" s="438">
        <v>0</v>
      </c>
      <c r="U327" s="438">
        <v>0</v>
      </c>
      <c r="V327" s="438">
        <v>0</v>
      </c>
      <c r="W327" s="438">
        <v>31</v>
      </c>
      <c r="X327" s="438">
        <v>0</v>
      </c>
      <c r="Y327" s="438">
        <v>0</v>
      </c>
      <c r="Z327" s="438">
        <v>0</v>
      </c>
      <c r="AA327" s="438">
        <v>0</v>
      </c>
      <c r="AB327" s="438">
        <v>0</v>
      </c>
      <c r="AC327" s="438">
        <v>119000</v>
      </c>
      <c r="AD327" s="438">
        <v>82110</v>
      </c>
      <c r="AE327" s="438">
        <v>0</v>
      </c>
      <c r="AF327" s="438">
        <v>0</v>
      </c>
      <c r="AG327" s="438">
        <v>119000</v>
      </c>
      <c r="AH327" s="438">
        <v>82110</v>
      </c>
      <c r="AI327" s="438">
        <v>33536</v>
      </c>
      <c r="AJ327" s="438">
        <v>3354</v>
      </c>
      <c r="AK327" s="438">
        <v>36890</v>
      </c>
      <c r="AL327" s="414" t="str">
        <f t="shared" si="30"/>
        <v>워커힐 시그니처 양념 본갈비 300g, 8개</v>
      </c>
      <c r="AM327" s="395">
        <f t="shared" si="31"/>
        <v>46060</v>
      </c>
      <c r="AN327" s="396">
        <f t="shared" si="32"/>
        <v>1</v>
      </c>
      <c r="AO327" s="109">
        <f t="shared" si="33"/>
        <v>119000</v>
      </c>
      <c r="AP327" s="109">
        <f t="shared" si="34"/>
        <v>108181.81818181818</v>
      </c>
      <c r="AQ327" s="397">
        <f t="shared" si="35"/>
        <v>108181.81818181818</v>
      </c>
    </row>
    <row r="328" spans="1:43" ht="24">
      <c r="A328" s="436" t="s">
        <v>4372</v>
      </c>
      <c r="B328" s="436" t="s">
        <v>3490</v>
      </c>
      <c r="C328" s="437" t="s">
        <v>3491</v>
      </c>
      <c r="D328" s="436" t="s">
        <v>4325</v>
      </c>
      <c r="E328" s="437" t="s">
        <v>4326</v>
      </c>
      <c r="F328" s="436" t="s">
        <v>3494</v>
      </c>
      <c r="G328" s="436" t="s">
        <v>3495</v>
      </c>
      <c r="H328" s="437" t="s">
        <v>3496</v>
      </c>
      <c r="I328" s="436" t="s">
        <v>3497</v>
      </c>
      <c r="J328" s="437" t="s">
        <v>3498</v>
      </c>
      <c r="K328" s="437" t="s">
        <v>3499</v>
      </c>
      <c r="L328" s="436" t="s">
        <v>3500</v>
      </c>
      <c r="M328" s="436" t="s">
        <v>3524</v>
      </c>
      <c r="N328" s="436" t="s">
        <v>3502</v>
      </c>
      <c r="O328" s="438">
        <v>119000</v>
      </c>
      <c r="P328" s="438">
        <v>82110</v>
      </c>
      <c r="Q328" s="438">
        <v>1</v>
      </c>
      <c r="R328" s="438">
        <v>0</v>
      </c>
      <c r="S328" s="438">
        <v>0</v>
      </c>
      <c r="T328" s="438">
        <v>0</v>
      </c>
      <c r="U328" s="438">
        <v>0</v>
      </c>
      <c r="V328" s="438">
        <v>0</v>
      </c>
      <c r="W328" s="438">
        <v>31</v>
      </c>
      <c r="X328" s="438">
        <v>0</v>
      </c>
      <c r="Y328" s="438">
        <v>0</v>
      </c>
      <c r="Z328" s="438">
        <v>0</v>
      </c>
      <c r="AA328" s="438">
        <v>0</v>
      </c>
      <c r="AB328" s="438">
        <v>0</v>
      </c>
      <c r="AC328" s="438">
        <v>119000</v>
      </c>
      <c r="AD328" s="438">
        <v>82110</v>
      </c>
      <c r="AE328" s="438">
        <v>0</v>
      </c>
      <c r="AF328" s="438">
        <v>0</v>
      </c>
      <c r="AG328" s="438">
        <v>119000</v>
      </c>
      <c r="AH328" s="438">
        <v>82110</v>
      </c>
      <c r="AI328" s="438">
        <v>33536</v>
      </c>
      <c r="AJ328" s="438">
        <v>3354</v>
      </c>
      <c r="AK328" s="438">
        <v>36890</v>
      </c>
      <c r="AL328" s="414" t="str">
        <f t="shared" si="30"/>
        <v>워커힐 시그니처 양념 본갈비 300g, 8개</v>
      </c>
      <c r="AM328" s="395">
        <f t="shared" si="31"/>
        <v>46060</v>
      </c>
      <c r="AN328" s="396">
        <f t="shared" si="32"/>
        <v>1</v>
      </c>
      <c r="AO328" s="109">
        <f t="shared" si="33"/>
        <v>119000</v>
      </c>
      <c r="AP328" s="109">
        <f t="shared" si="34"/>
        <v>108181.81818181818</v>
      </c>
      <c r="AQ328" s="397">
        <f t="shared" si="35"/>
        <v>108181.81818181818</v>
      </c>
    </row>
    <row r="329" spans="1:43" ht="24">
      <c r="A329" s="436" t="s">
        <v>4375</v>
      </c>
      <c r="B329" s="436" t="s">
        <v>3490</v>
      </c>
      <c r="C329" s="437" t="s">
        <v>3491</v>
      </c>
      <c r="D329" s="436" t="s">
        <v>4191</v>
      </c>
      <c r="E329" s="437" t="s">
        <v>4192</v>
      </c>
      <c r="F329" s="436" t="s">
        <v>3494</v>
      </c>
      <c r="G329" s="436" t="s">
        <v>3495</v>
      </c>
      <c r="H329" s="437" t="s">
        <v>3496</v>
      </c>
      <c r="I329" s="436" t="s">
        <v>3497</v>
      </c>
      <c r="J329" s="437" t="s">
        <v>3498</v>
      </c>
      <c r="K329" s="437" t="s">
        <v>3499</v>
      </c>
      <c r="L329" s="436" t="s">
        <v>3500</v>
      </c>
      <c r="M329" s="436" t="s">
        <v>3524</v>
      </c>
      <c r="N329" s="436" t="s">
        <v>3502</v>
      </c>
      <c r="O329" s="438">
        <v>119000</v>
      </c>
      <c r="P329" s="438">
        <v>82110</v>
      </c>
      <c r="Q329" s="438">
        <v>1</v>
      </c>
      <c r="R329" s="438">
        <v>0</v>
      </c>
      <c r="S329" s="438">
        <v>0</v>
      </c>
      <c r="T329" s="438">
        <v>0</v>
      </c>
      <c r="U329" s="438">
        <v>0</v>
      </c>
      <c r="V329" s="438">
        <v>0</v>
      </c>
      <c r="W329" s="438">
        <v>31</v>
      </c>
      <c r="X329" s="438">
        <v>0</v>
      </c>
      <c r="Y329" s="438">
        <v>0</v>
      </c>
      <c r="Z329" s="438">
        <v>0</v>
      </c>
      <c r="AA329" s="438">
        <v>0</v>
      </c>
      <c r="AB329" s="438">
        <v>0</v>
      </c>
      <c r="AC329" s="438">
        <v>119000</v>
      </c>
      <c r="AD329" s="438">
        <v>82110</v>
      </c>
      <c r="AE329" s="438">
        <v>0</v>
      </c>
      <c r="AF329" s="438">
        <v>0</v>
      </c>
      <c r="AG329" s="438">
        <v>119000</v>
      </c>
      <c r="AH329" s="438">
        <v>82110</v>
      </c>
      <c r="AI329" s="438">
        <v>33536</v>
      </c>
      <c r="AJ329" s="438">
        <v>3354</v>
      </c>
      <c r="AK329" s="438">
        <v>36890</v>
      </c>
      <c r="AL329" s="414" t="str">
        <f t="shared" si="30"/>
        <v>워커힐 시그니처 양념 본갈비 300g, 8개</v>
      </c>
      <c r="AM329" s="395">
        <f t="shared" si="31"/>
        <v>46060</v>
      </c>
      <c r="AN329" s="396">
        <f t="shared" si="32"/>
        <v>1</v>
      </c>
      <c r="AO329" s="109">
        <f t="shared" si="33"/>
        <v>119000</v>
      </c>
      <c r="AP329" s="109">
        <f t="shared" si="34"/>
        <v>108181.81818181818</v>
      </c>
      <c r="AQ329" s="397">
        <f t="shared" si="35"/>
        <v>108181.81818181818</v>
      </c>
    </row>
    <row r="330" spans="1:43" ht="24">
      <c r="A330" s="436" t="s">
        <v>4377</v>
      </c>
      <c r="B330" s="436" t="s">
        <v>3490</v>
      </c>
      <c r="C330" s="437" t="s">
        <v>3491</v>
      </c>
      <c r="D330" s="436" t="s">
        <v>4331</v>
      </c>
      <c r="E330" s="437" t="s">
        <v>4332</v>
      </c>
      <c r="F330" s="436" t="s">
        <v>3494</v>
      </c>
      <c r="G330" s="436" t="s">
        <v>3495</v>
      </c>
      <c r="H330" s="437" t="s">
        <v>3496</v>
      </c>
      <c r="I330" s="436" t="s">
        <v>3497</v>
      </c>
      <c r="J330" s="437" t="s">
        <v>3498</v>
      </c>
      <c r="K330" s="437" t="s">
        <v>3499</v>
      </c>
      <c r="L330" s="436" t="s">
        <v>3500</v>
      </c>
      <c r="M330" s="436" t="s">
        <v>3524</v>
      </c>
      <c r="N330" s="436" t="s">
        <v>3502</v>
      </c>
      <c r="O330" s="438">
        <v>119000</v>
      </c>
      <c r="P330" s="438">
        <v>82110</v>
      </c>
      <c r="Q330" s="438">
        <v>1</v>
      </c>
      <c r="R330" s="438">
        <v>0</v>
      </c>
      <c r="S330" s="438">
        <v>0</v>
      </c>
      <c r="T330" s="438">
        <v>0</v>
      </c>
      <c r="U330" s="438">
        <v>0</v>
      </c>
      <c r="V330" s="438">
        <v>0</v>
      </c>
      <c r="W330" s="438">
        <v>31</v>
      </c>
      <c r="X330" s="438">
        <v>0</v>
      </c>
      <c r="Y330" s="438">
        <v>0</v>
      </c>
      <c r="Z330" s="438">
        <v>0</v>
      </c>
      <c r="AA330" s="438">
        <v>0</v>
      </c>
      <c r="AB330" s="438">
        <v>0</v>
      </c>
      <c r="AC330" s="438">
        <v>119000</v>
      </c>
      <c r="AD330" s="438">
        <v>82110</v>
      </c>
      <c r="AE330" s="438">
        <v>0</v>
      </c>
      <c r="AF330" s="438">
        <v>0</v>
      </c>
      <c r="AG330" s="438">
        <v>119000</v>
      </c>
      <c r="AH330" s="438">
        <v>82110</v>
      </c>
      <c r="AI330" s="438">
        <v>33536</v>
      </c>
      <c r="AJ330" s="438">
        <v>3354</v>
      </c>
      <c r="AK330" s="438">
        <v>36890</v>
      </c>
      <c r="AL330" s="414" t="str">
        <f t="shared" si="30"/>
        <v>워커힐 시그니처 양념 본갈비 300g, 8개</v>
      </c>
      <c r="AM330" s="395">
        <f t="shared" si="31"/>
        <v>46060</v>
      </c>
      <c r="AN330" s="396">
        <f t="shared" si="32"/>
        <v>1</v>
      </c>
      <c r="AO330" s="109">
        <f t="shared" si="33"/>
        <v>119000</v>
      </c>
      <c r="AP330" s="109">
        <f t="shared" si="34"/>
        <v>108181.81818181818</v>
      </c>
      <c r="AQ330" s="397">
        <f t="shared" si="35"/>
        <v>108181.81818181818</v>
      </c>
    </row>
    <row r="331" spans="1:43" ht="24">
      <c r="A331" s="436" t="s">
        <v>4379</v>
      </c>
      <c r="B331" s="436" t="s">
        <v>3490</v>
      </c>
      <c r="C331" s="437" t="s">
        <v>3491</v>
      </c>
      <c r="D331" s="436" t="s">
        <v>4197</v>
      </c>
      <c r="E331" s="437" t="s">
        <v>4198</v>
      </c>
      <c r="F331" s="436" t="s">
        <v>3494</v>
      </c>
      <c r="G331" s="436" t="s">
        <v>3495</v>
      </c>
      <c r="H331" s="437" t="s">
        <v>3496</v>
      </c>
      <c r="I331" s="436" t="s">
        <v>3497</v>
      </c>
      <c r="J331" s="437" t="s">
        <v>3498</v>
      </c>
      <c r="K331" s="437" t="s">
        <v>3499</v>
      </c>
      <c r="L331" s="436" t="s">
        <v>3500</v>
      </c>
      <c r="M331" s="436" t="s">
        <v>3524</v>
      </c>
      <c r="N331" s="436" t="s">
        <v>3502</v>
      </c>
      <c r="O331" s="438">
        <v>119000</v>
      </c>
      <c r="P331" s="438">
        <v>82110</v>
      </c>
      <c r="Q331" s="438">
        <v>1</v>
      </c>
      <c r="R331" s="438">
        <v>0</v>
      </c>
      <c r="S331" s="438">
        <v>0</v>
      </c>
      <c r="T331" s="438">
        <v>0</v>
      </c>
      <c r="U331" s="438">
        <v>0</v>
      </c>
      <c r="V331" s="438">
        <v>0</v>
      </c>
      <c r="W331" s="438">
        <v>31</v>
      </c>
      <c r="X331" s="438">
        <v>0</v>
      </c>
      <c r="Y331" s="438">
        <v>0</v>
      </c>
      <c r="Z331" s="438">
        <v>0</v>
      </c>
      <c r="AA331" s="438">
        <v>0</v>
      </c>
      <c r="AB331" s="438">
        <v>0</v>
      </c>
      <c r="AC331" s="438">
        <v>119000</v>
      </c>
      <c r="AD331" s="438">
        <v>82110</v>
      </c>
      <c r="AE331" s="438">
        <v>0</v>
      </c>
      <c r="AF331" s="438">
        <v>0</v>
      </c>
      <c r="AG331" s="438">
        <v>119000</v>
      </c>
      <c r="AH331" s="438">
        <v>82110</v>
      </c>
      <c r="AI331" s="438">
        <v>33536</v>
      </c>
      <c r="AJ331" s="438">
        <v>3354</v>
      </c>
      <c r="AK331" s="438">
        <v>36890</v>
      </c>
      <c r="AL331" s="414" t="str">
        <f t="shared" si="30"/>
        <v>워커힐 시그니처 양념 본갈비 300g, 8개</v>
      </c>
      <c r="AM331" s="395">
        <f t="shared" si="31"/>
        <v>46060</v>
      </c>
      <c r="AN331" s="396">
        <f t="shared" si="32"/>
        <v>1</v>
      </c>
      <c r="AO331" s="109">
        <f t="shared" si="33"/>
        <v>119000</v>
      </c>
      <c r="AP331" s="109">
        <f t="shared" si="34"/>
        <v>108181.81818181818</v>
      </c>
      <c r="AQ331" s="397">
        <f t="shared" si="35"/>
        <v>108181.81818181818</v>
      </c>
    </row>
    <row r="332" spans="1:43" ht="24">
      <c r="A332" s="436" t="s">
        <v>4381</v>
      </c>
      <c r="B332" s="436" t="s">
        <v>3490</v>
      </c>
      <c r="C332" s="437" t="s">
        <v>3491</v>
      </c>
      <c r="D332" s="436" t="s">
        <v>4334</v>
      </c>
      <c r="E332" s="437" t="s">
        <v>3829</v>
      </c>
      <c r="F332" s="436" t="s">
        <v>3494</v>
      </c>
      <c r="G332" s="436" t="s">
        <v>3495</v>
      </c>
      <c r="H332" s="437" t="s">
        <v>3496</v>
      </c>
      <c r="I332" s="436" t="s">
        <v>3497</v>
      </c>
      <c r="J332" s="437" t="s">
        <v>3498</v>
      </c>
      <c r="K332" s="437" t="s">
        <v>3548</v>
      </c>
      <c r="L332" s="436" t="s">
        <v>3500</v>
      </c>
      <c r="M332" s="436" t="s">
        <v>3524</v>
      </c>
      <c r="N332" s="436" t="s">
        <v>3502</v>
      </c>
      <c r="O332" s="438">
        <v>119000</v>
      </c>
      <c r="P332" s="438">
        <v>82110</v>
      </c>
      <c r="Q332" s="438">
        <v>1</v>
      </c>
      <c r="R332" s="438">
        <v>0</v>
      </c>
      <c r="S332" s="438">
        <v>0</v>
      </c>
      <c r="T332" s="438">
        <v>0</v>
      </c>
      <c r="U332" s="438">
        <v>0</v>
      </c>
      <c r="V332" s="438">
        <v>0</v>
      </c>
      <c r="W332" s="438">
        <v>31</v>
      </c>
      <c r="X332" s="438">
        <v>0</v>
      </c>
      <c r="Y332" s="438">
        <v>0</v>
      </c>
      <c r="Z332" s="438">
        <v>0</v>
      </c>
      <c r="AA332" s="438">
        <v>0</v>
      </c>
      <c r="AB332" s="438">
        <v>0</v>
      </c>
      <c r="AC332" s="438">
        <v>119000</v>
      </c>
      <c r="AD332" s="438">
        <v>82110</v>
      </c>
      <c r="AE332" s="438">
        <v>0</v>
      </c>
      <c r="AF332" s="438">
        <v>0</v>
      </c>
      <c r="AG332" s="438">
        <v>119000</v>
      </c>
      <c r="AH332" s="438">
        <v>82110</v>
      </c>
      <c r="AI332" s="438">
        <v>33536</v>
      </c>
      <c r="AJ332" s="438">
        <v>3354</v>
      </c>
      <c r="AK332" s="438">
        <v>36890</v>
      </c>
      <c r="AL332" s="414" t="str">
        <f t="shared" si="30"/>
        <v>워커힐 시그니처 양념 본갈비 300g, 8개</v>
      </c>
      <c r="AM332" s="395">
        <f t="shared" si="31"/>
        <v>46060</v>
      </c>
      <c r="AN332" s="396">
        <f t="shared" si="32"/>
        <v>1</v>
      </c>
      <c r="AO332" s="109">
        <f t="shared" si="33"/>
        <v>119000</v>
      </c>
      <c r="AP332" s="109">
        <f t="shared" si="34"/>
        <v>108181.81818181818</v>
      </c>
      <c r="AQ332" s="397">
        <f t="shared" si="35"/>
        <v>108181.81818181818</v>
      </c>
    </row>
    <row r="333" spans="1:43" ht="24">
      <c r="A333" s="436" t="s">
        <v>4384</v>
      </c>
      <c r="B333" s="436" t="s">
        <v>3490</v>
      </c>
      <c r="C333" s="437" t="s">
        <v>3491</v>
      </c>
      <c r="D333" s="436" t="s">
        <v>4338</v>
      </c>
      <c r="E333" s="437" t="s">
        <v>4339</v>
      </c>
      <c r="F333" s="436" t="s">
        <v>3494</v>
      </c>
      <c r="G333" s="436" t="s">
        <v>3495</v>
      </c>
      <c r="H333" s="437" t="s">
        <v>3496</v>
      </c>
      <c r="I333" s="436" t="s">
        <v>3497</v>
      </c>
      <c r="J333" s="437" t="s">
        <v>3498</v>
      </c>
      <c r="K333" s="437" t="s">
        <v>3499</v>
      </c>
      <c r="L333" s="436" t="s">
        <v>3500</v>
      </c>
      <c r="M333" s="436" t="s">
        <v>3524</v>
      </c>
      <c r="N333" s="436" t="s">
        <v>3502</v>
      </c>
      <c r="O333" s="438">
        <v>119000</v>
      </c>
      <c r="P333" s="438">
        <v>82110</v>
      </c>
      <c r="Q333" s="438">
        <v>1</v>
      </c>
      <c r="R333" s="438">
        <v>0</v>
      </c>
      <c r="S333" s="438">
        <v>0</v>
      </c>
      <c r="T333" s="438">
        <v>0</v>
      </c>
      <c r="U333" s="438">
        <v>0</v>
      </c>
      <c r="V333" s="438">
        <v>0</v>
      </c>
      <c r="W333" s="438">
        <v>31</v>
      </c>
      <c r="X333" s="438">
        <v>0</v>
      </c>
      <c r="Y333" s="438">
        <v>0</v>
      </c>
      <c r="Z333" s="438">
        <v>0</v>
      </c>
      <c r="AA333" s="438">
        <v>0</v>
      </c>
      <c r="AB333" s="438">
        <v>0</v>
      </c>
      <c r="AC333" s="438">
        <v>119000</v>
      </c>
      <c r="AD333" s="438">
        <v>82110</v>
      </c>
      <c r="AE333" s="438">
        <v>0</v>
      </c>
      <c r="AF333" s="438">
        <v>0</v>
      </c>
      <c r="AG333" s="438">
        <v>119000</v>
      </c>
      <c r="AH333" s="438">
        <v>82110</v>
      </c>
      <c r="AI333" s="438">
        <v>33536</v>
      </c>
      <c r="AJ333" s="438">
        <v>3354</v>
      </c>
      <c r="AK333" s="438">
        <v>36890</v>
      </c>
      <c r="AL333" s="414" t="str">
        <f t="shared" si="30"/>
        <v>워커힐 시그니처 양념 본갈비 300g, 8개</v>
      </c>
      <c r="AM333" s="395">
        <f t="shared" si="31"/>
        <v>46060</v>
      </c>
      <c r="AN333" s="396">
        <f t="shared" si="32"/>
        <v>1</v>
      </c>
      <c r="AO333" s="109">
        <f t="shared" si="33"/>
        <v>119000</v>
      </c>
      <c r="AP333" s="109">
        <f t="shared" si="34"/>
        <v>108181.81818181818</v>
      </c>
      <c r="AQ333" s="397">
        <f t="shared" si="35"/>
        <v>108181.81818181818</v>
      </c>
    </row>
    <row r="334" spans="1:43" ht="24">
      <c r="A334" s="436" t="s">
        <v>4387</v>
      </c>
      <c r="B334" s="436" t="s">
        <v>3490</v>
      </c>
      <c r="C334" s="437" t="s">
        <v>3491</v>
      </c>
      <c r="D334" s="436" t="s">
        <v>4200</v>
      </c>
      <c r="E334" s="437" t="s">
        <v>3523</v>
      </c>
      <c r="F334" s="436" t="s">
        <v>3494</v>
      </c>
      <c r="G334" s="436" t="s">
        <v>3495</v>
      </c>
      <c r="H334" s="437" t="s">
        <v>3496</v>
      </c>
      <c r="I334" s="436" t="s">
        <v>3497</v>
      </c>
      <c r="J334" s="437" t="s">
        <v>3498</v>
      </c>
      <c r="K334" s="437" t="s">
        <v>3499</v>
      </c>
      <c r="L334" s="436" t="s">
        <v>3500</v>
      </c>
      <c r="M334" s="436" t="s">
        <v>3524</v>
      </c>
      <c r="N334" s="436" t="s">
        <v>3502</v>
      </c>
      <c r="O334" s="438">
        <v>119000</v>
      </c>
      <c r="P334" s="438">
        <v>82110</v>
      </c>
      <c r="Q334" s="438">
        <v>1</v>
      </c>
      <c r="R334" s="438">
        <v>0</v>
      </c>
      <c r="S334" s="438">
        <v>0</v>
      </c>
      <c r="T334" s="438">
        <v>0</v>
      </c>
      <c r="U334" s="438">
        <v>0</v>
      </c>
      <c r="V334" s="438">
        <v>0</v>
      </c>
      <c r="W334" s="438">
        <v>31</v>
      </c>
      <c r="X334" s="438">
        <v>19040</v>
      </c>
      <c r="Y334" s="438">
        <v>0</v>
      </c>
      <c r="Z334" s="438">
        <v>0</v>
      </c>
      <c r="AA334" s="438">
        <v>0</v>
      </c>
      <c r="AB334" s="438">
        <v>0</v>
      </c>
      <c r="AC334" s="438">
        <v>119000</v>
      </c>
      <c r="AD334" s="438">
        <v>82110</v>
      </c>
      <c r="AE334" s="438">
        <v>0</v>
      </c>
      <c r="AF334" s="438">
        <v>19040</v>
      </c>
      <c r="AG334" s="438">
        <v>99960</v>
      </c>
      <c r="AH334" s="438">
        <v>82110</v>
      </c>
      <c r="AI334" s="438">
        <v>16227</v>
      </c>
      <c r="AJ334" s="438">
        <v>1623</v>
      </c>
      <c r="AK334" s="438">
        <v>17850</v>
      </c>
      <c r="AL334" s="414" t="str">
        <f t="shared" si="30"/>
        <v>워커힐 시그니처 양념 본갈비 300g, 8개</v>
      </c>
      <c r="AM334" s="395">
        <f t="shared" si="31"/>
        <v>46060</v>
      </c>
      <c r="AN334" s="396">
        <f t="shared" si="32"/>
        <v>1</v>
      </c>
      <c r="AO334" s="109">
        <f t="shared" si="33"/>
        <v>119000</v>
      </c>
      <c r="AP334" s="109">
        <f t="shared" si="34"/>
        <v>108181.81818181818</v>
      </c>
      <c r="AQ334" s="397">
        <f t="shared" si="35"/>
        <v>108181.81818181818</v>
      </c>
    </row>
    <row r="335" spans="1:43" ht="24">
      <c r="A335" s="436" t="s">
        <v>4390</v>
      </c>
      <c r="B335" s="436" t="s">
        <v>3490</v>
      </c>
      <c r="C335" s="437" t="s">
        <v>3491</v>
      </c>
      <c r="D335" s="436" t="s">
        <v>4341</v>
      </c>
      <c r="E335" s="437" t="s">
        <v>3541</v>
      </c>
      <c r="F335" s="436" t="s">
        <v>3494</v>
      </c>
      <c r="G335" s="436" t="s">
        <v>3495</v>
      </c>
      <c r="H335" s="437" t="s">
        <v>3496</v>
      </c>
      <c r="I335" s="436" t="s">
        <v>3497</v>
      </c>
      <c r="J335" s="437" t="s">
        <v>3498</v>
      </c>
      <c r="K335" s="437" t="s">
        <v>3499</v>
      </c>
      <c r="L335" s="436" t="s">
        <v>3500</v>
      </c>
      <c r="M335" s="436" t="s">
        <v>3524</v>
      </c>
      <c r="N335" s="436" t="s">
        <v>3502</v>
      </c>
      <c r="O335" s="438">
        <v>119000</v>
      </c>
      <c r="P335" s="438">
        <v>82110</v>
      </c>
      <c r="Q335" s="438">
        <v>1</v>
      </c>
      <c r="R335" s="438">
        <v>0</v>
      </c>
      <c r="S335" s="438">
        <v>0</v>
      </c>
      <c r="T335" s="438">
        <v>0</v>
      </c>
      <c r="U335" s="438">
        <v>0</v>
      </c>
      <c r="V335" s="438">
        <v>0</v>
      </c>
      <c r="W335" s="438">
        <v>31</v>
      </c>
      <c r="X335" s="438">
        <v>0</v>
      </c>
      <c r="Y335" s="438">
        <v>0</v>
      </c>
      <c r="Z335" s="438">
        <v>0</v>
      </c>
      <c r="AA335" s="438">
        <v>0</v>
      </c>
      <c r="AB335" s="438">
        <v>0</v>
      </c>
      <c r="AC335" s="438">
        <v>119000</v>
      </c>
      <c r="AD335" s="438">
        <v>82110</v>
      </c>
      <c r="AE335" s="438">
        <v>0</v>
      </c>
      <c r="AF335" s="438">
        <v>0</v>
      </c>
      <c r="AG335" s="438">
        <v>119000</v>
      </c>
      <c r="AH335" s="438">
        <v>82110</v>
      </c>
      <c r="AI335" s="438">
        <v>33536</v>
      </c>
      <c r="AJ335" s="438">
        <v>3354</v>
      </c>
      <c r="AK335" s="438">
        <v>36890</v>
      </c>
      <c r="AL335" s="414" t="str">
        <f t="shared" si="30"/>
        <v>워커힐 시그니처 양념 본갈비 300g, 8개</v>
      </c>
      <c r="AM335" s="395">
        <f t="shared" si="31"/>
        <v>46060</v>
      </c>
      <c r="AN335" s="396">
        <f t="shared" si="32"/>
        <v>1</v>
      </c>
      <c r="AO335" s="109">
        <f t="shared" si="33"/>
        <v>119000</v>
      </c>
      <c r="AP335" s="109">
        <f t="shared" si="34"/>
        <v>108181.81818181818</v>
      </c>
      <c r="AQ335" s="397">
        <f t="shared" si="35"/>
        <v>108181.81818181818</v>
      </c>
    </row>
    <row r="336" spans="1:43" ht="24">
      <c r="A336" s="436" t="s">
        <v>4392</v>
      </c>
      <c r="B336" s="436" t="s">
        <v>3490</v>
      </c>
      <c r="C336" s="437" t="s">
        <v>3491</v>
      </c>
      <c r="D336" s="436" t="s">
        <v>4245</v>
      </c>
      <c r="E336" s="437" t="s">
        <v>4246</v>
      </c>
      <c r="F336" s="436" t="s">
        <v>3494</v>
      </c>
      <c r="G336" s="436" t="s">
        <v>3495</v>
      </c>
      <c r="H336" s="437" t="s">
        <v>3496</v>
      </c>
      <c r="I336" s="436" t="s">
        <v>3497</v>
      </c>
      <c r="J336" s="437" t="s">
        <v>3498</v>
      </c>
      <c r="K336" s="437" t="s">
        <v>3499</v>
      </c>
      <c r="L336" s="436" t="s">
        <v>3500</v>
      </c>
      <c r="M336" s="436" t="s">
        <v>3524</v>
      </c>
      <c r="N336" s="436" t="s">
        <v>3502</v>
      </c>
      <c r="O336" s="438">
        <v>119000</v>
      </c>
      <c r="P336" s="438">
        <v>82110</v>
      </c>
      <c r="Q336" s="438">
        <v>1</v>
      </c>
      <c r="R336" s="438">
        <v>0</v>
      </c>
      <c r="S336" s="438">
        <v>0</v>
      </c>
      <c r="T336" s="438">
        <v>0</v>
      </c>
      <c r="U336" s="438">
        <v>0</v>
      </c>
      <c r="V336" s="438">
        <v>0</v>
      </c>
      <c r="W336" s="438">
        <v>31</v>
      </c>
      <c r="X336" s="438">
        <v>0</v>
      </c>
      <c r="Y336" s="438">
        <v>0</v>
      </c>
      <c r="Z336" s="438">
        <v>0</v>
      </c>
      <c r="AA336" s="438">
        <v>0</v>
      </c>
      <c r="AB336" s="438">
        <v>0</v>
      </c>
      <c r="AC336" s="438">
        <v>119000</v>
      </c>
      <c r="AD336" s="438">
        <v>82110</v>
      </c>
      <c r="AE336" s="438">
        <v>0</v>
      </c>
      <c r="AF336" s="438">
        <v>0</v>
      </c>
      <c r="AG336" s="438">
        <v>119000</v>
      </c>
      <c r="AH336" s="438">
        <v>82110</v>
      </c>
      <c r="AI336" s="438">
        <v>33536</v>
      </c>
      <c r="AJ336" s="438">
        <v>3354</v>
      </c>
      <c r="AK336" s="438">
        <v>36890</v>
      </c>
      <c r="AL336" s="414" t="str">
        <f t="shared" si="30"/>
        <v>워커힐 시그니처 양념 본갈비 300g, 8개</v>
      </c>
      <c r="AM336" s="395">
        <f t="shared" si="31"/>
        <v>46060</v>
      </c>
      <c r="AN336" s="396">
        <f t="shared" si="32"/>
        <v>1</v>
      </c>
      <c r="AO336" s="109">
        <f t="shared" si="33"/>
        <v>119000</v>
      </c>
      <c r="AP336" s="109">
        <f t="shared" si="34"/>
        <v>108181.81818181818</v>
      </c>
      <c r="AQ336" s="397">
        <f t="shared" si="35"/>
        <v>108181.81818181818</v>
      </c>
    </row>
    <row r="337" spans="1:43" ht="24">
      <c r="A337" s="436" t="s">
        <v>4395</v>
      </c>
      <c r="B337" s="436" t="s">
        <v>3490</v>
      </c>
      <c r="C337" s="437" t="s">
        <v>3491</v>
      </c>
      <c r="D337" s="436" t="s">
        <v>4343</v>
      </c>
      <c r="E337" s="437" t="s">
        <v>4344</v>
      </c>
      <c r="F337" s="436" t="s">
        <v>3494</v>
      </c>
      <c r="G337" s="436" t="s">
        <v>3495</v>
      </c>
      <c r="H337" s="437" t="s">
        <v>3496</v>
      </c>
      <c r="I337" s="436" t="s">
        <v>3497</v>
      </c>
      <c r="J337" s="437" t="s">
        <v>3498</v>
      </c>
      <c r="K337" s="437" t="s">
        <v>3499</v>
      </c>
      <c r="L337" s="436" t="s">
        <v>3500</v>
      </c>
      <c r="M337" s="436" t="s">
        <v>3524</v>
      </c>
      <c r="N337" s="436" t="s">
        <v>3502</v>
      </c>
      <c r="O337" s="438">
        <v>119000</v>
      </c>
      <c r="P337" s="438">
        <v>82110</v>
      </c>
      <c r="Q337" s="438">
        <v>1</v>
      </c>
      <c r="R337" s="438">
        <v>0</v>
      </c>
      <c r="S337" s="438">
        <v>0</v>
      </c>
      <c r="T337" s="438">
        <v>0</v>
      </c>
      <c r="U337" s="438">
        <v>0</v>
      </c>
      <c r="V337" s="438">
        <v>0</v>
      </c>
      <c r="W337" s="438">
        <v>31</v>
      </c>
      <c r="X337" s="438">
        <v>0</v>
      </c>
      <c r="Y337" s="438">
        <v>0</v>
      </c>
      <c r="Z337" s="438">
        <v>0</v>
      </c>
      <c r="AA337" s="438">
        <v>0</v>
      </c>
      <c r="AB337" s="438">
        <v>0</v>
      </c>
      <c r="AC337" s="438">
        <v>119000</v>
      </c>
      <c r="AD337" s="438">
        <v>82110</v>
      </c>
      <c r="AE337" s="438">
        <v>0</v>
      </c>
      <c r="AF337" s="438">
        <v>0</v>
      </c>
      <c r="AG337" s="438">
        <v>119000</v>
      </c>
      <c r="AH337" s="438">
        <v>82110</v>
      </c>
      <c r="AI337" s="438">
        <v>33536</v>
      </c>
      <c r="AJ337" s="438">
        <v>3354</v>
      </c>
      <c r="AK337" s="438">
        <v>36890</v>
      </c>
      <c r="AL337" s="414" t="str">
        <f t="shared" si="30"/>
        <v>워커힐 시그니처 양념 본갈비 300g, 8개</v>
      </c>
      <c r="AM337" s="395">
        <f t="shared" si="31"/>
        <v>46060</v>
      </c>
      <c r="AN337" s="396">
        <f t="shared" si="32"/>
        <v>1</v>
      </c>
      <c r="AO337" s="109">
        <f t="shared" si="33"/>
        <v>119000</v>
      </c>
      <c r="AP337" s="109">
        <f t="shared" si="34"/>
        <v>108181.81818181818</v>
      </c>
      <c r="AQ337" s="397">
        <f t="shared" si="35"/>
        <v>108181.81818181818</v>
      </c>
    </row>
    <row r="338" spans="1:43" ht="24">
      <c r="A338" s="436" t="s">
        <v>4398</v>
      </c>
      <c r="B338" s="436" t="s">
        <v>3490</v>
      </c>
      <c r="C338" s="437" t="s">
        <v>3491</v>
      </c>
      <c r="D338" s="436" t="s">
        <v>4346</v>
      </c>
      <c r="E338" s="437" t="s">
        <v>4347</v>
      </c>
      <c r="F338" s="436" t="s">
        <v>3494</v>
      </c>
      <c r="G338" s="436" t="s">
        <v>3495</v>
      </c>
      <c r="H338" s="437" t="s">
        <v>3496</v>
      </c>
      <c r="I338" s="436" t="s">
        <v>3497</v>
      </c>
      <c r="J338" s="437" t="s">
        <v>3498</v>
      </c>
      <c r="K338" s="437" t="s">
        <v>3499</v>
      </c>
      <c r="L338" s="436" t="s">
        <v>3500</v>
      </c>
      <c r="M338" s="436" t="s">
        <v>3524</v>
      </c>
      <c r="N338" s="436" t="s">
        <v>3502</v>
      </c>
      <c r="O338" s="438">
        <v>119000</v>
      </c>
      <c r="P338" s="438">
        <v>82110</v>
      </c>
      <c r="Q338" s="438">
        <v>1</v>
      </c>
      <c r="R338" s="438">
        <v>0</v>
      </c>
      <c r="S338" s="438">
        <v>0</v>
      </c>
      <c r="T338" s="438">
        <v>0</v>
      </c>
      <c r="U338" s="438">
        <v>0</v>
      </c>
      <c r="V338" s="438">
        <v>0</v>
      </c>
      <c r="W338" s="438">
        <v>31</v>
      </c>
      <c r="X338" s="438">
        <v>0</v>
      </c>
      <c r="Y338" s="438">
        <v>10000</v>
      </c>
      <c r="Z338" s="438">
        <v>0</v>
      </c>
      <c r="AA338" s="438">
        <v>0</v>
      </c>
      <c r="AB338" s="438">
        <v>5450</v>
      </c>
      <c r="AC338" s="438">
        <v>119000</v>
      </c>
      <c r="AD338" s="438">
        <v>82110</v>
      </c>
      <c r="AE338" s="438">
        <v>0</v>
      </c>
      <c r="AF338" s="438">
        <v>15450</v>
      </c>
      <c r="AG338" s="438">
        <v>103550</v>
      </c>
      <c r="AH338" s="438">
        <v>82110</v>
      </c>
      <c r="AI338" s="438">
        <v>19491</v>
      </c>
      <c r="AJ338" s="438">
        <v>1949</v>
      </c>
      <c r="AK338" s="438">
        <v>21440</v>
      </c>
      <c r="AL338" s="414" t="str">
        <f t="shared" si="30"/>
        <v>워커힐 시그니처 양념 본갈비 300g, 8개</v>
      </c>
      <c r="AM338" s="395">
        <f t="shared" si="31"/>
        <v>46060</v>
      </c>
      <c r="AN338" s="396">
        <f t="shared" si="32"/>
        <v>1</v>
      </c>
      <c r="AO338" s="109">
        <f t="shared" si="33"/>
        <v>119000</v>
      </c>
      <c r="AP338" s="109">
        <f t="shared" si="34"/>
        <v>108181.81818181818</v>
      </c>
      <c r="AQ338" s="397">
        <f t="shared" si="35"/>
        <v>108181.81818181818</v>
      </c>
    </row>
    <row r="339" spans="1:43" ht="24">
      <c r="A339" s="436" t="s">
        <v>4401</v>
      </c>
      <c r="B339" s="436" t="s">
        <v>3490</v>
      </c>
      <c r="C339" s="437" t="s">
        <v>3491</v>
      </c>
      <c r="D339" s="436" t="s">
        <v>4248</v>
      </c>
      <c r="E339" s="437" t="s">
        <v>4249</v>
      </c>
      <c r="F339" s="436" t="s">
        <v>3494</v>
      </c>
      <c r="G339" s="436" t="s">
        <v>3495</v>
      </c>
      <c r="H339" s="437" t="s">
        <v>3496</v>
      </c>
      <c r="I339" s="436" t="s">
        <v>3497</v>
      </c>
      <c r="J339" s="437" t="s">
        <v>3498</v>
      </c>
      <c r="K339" s="437" t="s">
        <v>3499</v>
      </c>
      <c r="L339" s="436" t="s">
        <v>3500</v>
      </c>
      <c r="M339" s="436" t="s">
        <v>3524</v>
      </c>
      <c r="N339" s="436" t="s">
        <v>3502</v>
      </c>
      <c r="O339" s="438">
        <v>119000</v>
      </c>
      <c r="P339" s="438">
        <v>82110</v>
      </c>
      <c r="Q339" s="438">
        <v>1</v>
      </c>
      <c r="R339" s="438">
        <v>0</v>
      </c>
      <c r="S339" s="438">
        <v>0</v>
      </c>
      <c r="T339" s="438">
        <v>0</v>
      </c>
      <c r="U339" s="438">
        <v>0</v>
      </c>
      <c r="V339" s="438">
        <v>0</v>
      </c>
      <c r="W339" s="438">
        <v>31</v>
      </c>
      <c r="X339" s="438">
        <v>0</v>
      </c>
      <c r="Y339" s="438">
        <v>0</v>
      </c>
      <c r="Z339" s="438">
        <v>0</v>
      </c>
      <c r="AA339" s="438">
        <v>0</v>
      </c>
      <c r="AB339" s="438">
        <v>0</v>
      </c>
      <c r="AC339" s="438">
        <v>119000</v>
      </c>
      <c r="AD339" s="438">
        <v>82110</v>
      </c>
      <c r="AE339" s="438">
        <v>0</v>
      </c>
      <c r="AF339" s="438">
        <v>0</v>
      </c>
      <c r="AG339" s="438">
        <v>119000</v>
      </c>
      <c r="AH339" s="438">
        <v>82110</v>
      </c>
      <c r="AI339" s="438">
        <v>33536</v>
      </c>
      <c r="AJ339" s="438">
        <v>3354</v>
      </c>
      <c r="AK339" s="438">
        <v>36890</v>
      </c>
      <c r="AL339" s="414" t="str">
        <f t="shared" si="30"/>
        <v>워커힐 시그니처 양념 본갈비 300g, 8개</v>
      </c>
      <c r="AM339" s="395">
        <f t="shared" si="31"/>
        <v>46060</v>
      </c>
      <c r="AN339" s="396">
        <f t="shared" si="32"/>
        <v>1</v>
      </c>
      <c r="AO339" s="109">
        <f t="shared" si="33"/>
        <v>119000</v>
      </c>
      <c r="AP339" s="109">
        <f t="shared" si="34"/>
        <v>108181.81818181818</v>
      </c>
      <c r="AQ339" s="397">
        <f t="shared" si="35"/>
        <v>108181.81818181818</v>
      </c>
    </row>
    <row r="340" spans="1:43" ht="24">
      <c r="A340" s="436" t="s">
        <v>4403</v>
      </c>
      <c r="B340" s="436" t="s">
        <v>3490</v>
      </c>
      <c r="C340" s="437" t="s">
        <v>3491</v>
      </c>
      <c r="D340" s="436" t="s">
        <v>4354</v>
      </c>
      <c r="E340" s="437" t="s">
        <v>3813</v>
      </c>
      <c r="F340" s="436" t="s">
        <v>3494</v>
      </c>
      <c r="G340" s="436" t="s">
        <v>3495</v>
      </c>
      <c r="H340" s="437" t="s">
        <v>3496</v>
      </c>
      <c r="I340" s="436" t="s">
        <v>3497</v>
      </c>
      <c r="J340" s="437" t="s">
        <v>3498</v>
      </c>
      <c r="K340" s="437" t="s">
        <v>3499</v>
      </c>
      <c r="L340" s="436" t="s">
        <v>3500</v>
      </c>
      <c r="M340" s="436" t="s">
        <v>3524</v>
      </c>
      <c r="N340" s="436" t="s">
        <v>3502</v>
      </c>
      <c r="O340" s="438">
        <v>119000</v>
      </c>
      <c r="P340" s="438">
        <v>82110</v>
      </c>
      <c r="Q340" s="438">
        <v>1</v>
      </c>
      <c r="R340" s="438">
        <v>0</v>
      </c>
      <c r="S340" s="438">
        <v>0</v>
      </c>
      <c r="T340" s="438">
        <v>0</v>
      </c>
      <c r="U340" s="438">
        <v>0</v>
      </c>
      <c r="V340" s="438">
        <v>0</v>
      </c>
      <c r="W340" s="438">
        <v>31</v>
      </c>
      <c r="X340" s="438">
        <v>0</v>
      </c>
      <c r="Y340" s="438">
        <v>0</v>
      </c>
      <c r="Z340" s="438">
        <v>0</v>
      </c>
      <c r="AA340" s="438">
        <v>0</v>
      </c>
      <c r="AB340" s="438">
        <v>0</v>
      </c>
      <c r="AC340" s="438">
        <v>119000</v>
      </c>
      <c r="AD340" s="438">
        <v>82110</v>
      </c>
      <c r="AE340" s="438">
        <v>0</v>
      </c>
      <c r="AF340" s="438">
        <v>0</v>
      </c>
      <c r="AG340" s="438">
        <v>119000</v>
      </c>
      <c r="AH340" s="438">
        <v>82110</v>
      </c>
      <c r="AI340" s="438">
        <v>33536</v>
      </c>
      <c r="AJ340" s="438">
        <v>3354</v>
      </c>
      <c r="AK340" s="438">
        <v>36890</v>
      </c>
      <c r="AL340" s="414" t="str">
        <f t="shared" si="30"/>
        <v>워커힐 시그니처 양념 본갈비 300g, 8개</v>
      </c>
      <c r="AM340" s="395">
        <f t="shared" si="31"/>
        <v>46060</v>
      </c>
      <c r="AN340" s="396">
        <f t="shared" si="32"/>
        <v>1</v>
      </c>
      <c r="AO340" s="109">
        <f t="shared" si="33"/>
        <v>119000</v>
      </c>
      <c r="AP340" s="109">
        <f t="shared" si="34"/>
        <v>108181.81818181818</v>
      </c>
      <c r="AQ340" s="397">
        <f t="shared" si="35"/>
        <v>108181.81818181818</v>
      </c>
    </row>
    <row r="341" spans="1:43" ht="24">
      <c r="A341" s="436" t="s">
        <v>4405</v>
      </c>
      <c r="B341" s="436" t="s">
        <v>3490</v>
      </c>
      <c r="C341" s="437" t="s">
        <v>3491</v>
      </c>
      <c r="D341" s="436" t="s">
        <v>4048</v>
      </c>
      <c r="E341" s="437" t="s">
        <v>4049</v>
      </c>
      <c r="F341" s="436" t="s">
        <v>3494</v>
      </c>
      <c r="G341" s="436" t="s">
        <v>3495</v>
      </c>
      <c r="H341" s="437" t="s">
        <v>3496</v>
      </c>
      <c r="I341" s="436" t="s">
        <v>3497</v>
      </c>
      <c r="J341" s="437" t="s">
        <v>3498</v>
      </c>
      <c r="K341" s="437" t="s">
        <v>3548</v>
      </c>
      <c r="L341" s="436" t="s">
        <v>3500</v>
      </c>
      <c r="M341" s="436" t="s">
        <v>3524</v>
      </c>
      <c r="N341" s="436" t="s">
        <v>3502</v>
      </c>
      <c r="O341" s="438">
        <v>119000</v>
      </c>
      <c r="P341" s="438">
        <v>82110</v>
      </c>
      <c r="Q341" s="438">
        <v>1</v>
      </c>
      <c r="R341" s="438">
        <v>0</v>
      </c>
      <c r="S341" s="438">
        <v>0</v>
      </c>
      <c r="T341" s="438">
        <v>0</v>
      </c>
      <c r="U341" s="438">
        <v>0</v>
      </c>
      <c r="V341" s="438">
        <v>0</v>
      </c>
      <c r="W341" s="438">
        <v>31</v>
      </c>
      <c r="X341" s="438">
        <v>13090</v>
      </c>
      <c r="Y341" s="438">
        <v>0</v>
      </c>
      <c r="Z341" s="438">
        <v>0</v>
      </c>
      <c r="AA341" s="438">
        <v>0</v>
      </c>
      <c r="AB341" s="438">
        <v>0</v>
      </c>
      <c r="AC341" s="438">
        <v>119000</v>
      </c>
      <c r="AD341" s="438">
        <v>82110</v>
      </c>
      <c r="AE341" s="438">
        <v>0</v>
      </c>
      <c r="AF341" s="438">
        <v>13090</v>
      </c>
      <c r="AG341" s="438">
        <v>105910</v>
      </c>
      <c r="AH341" s="438">
        <v>82110</v>
      </c>
      <c r="AI341" s="438">
        <v>21636</v>
      </c>
      <c r="AJ341" s="438">
        <v>2164</v>
      </c>
      <c r="AK341" s="438">
        <v>23800</v>
      </c>
      <c r="AL341" s="414" t="str">
        <f t="shared" si="30"/>
        <v>워커힐 시그니처 양념 본갈비 300g, 8개</v>
      </c>
      <c r="AM341" s="395">
        <f t="shared" si="31"/>
        <v>46060</v>
      </c>
      <c r="AN341" s="396">
        <f t="shared" si="32"/>
        <v>1</v>
      </c>
      <c r="AO341" s="109">
        <f t="shared" si="33"/>
        <v>119000</v>
      </c>
      <c r="AP341" s="109">
        <f t="shared" si="34"/>
        <v>108181.81818181818</v>
      </c>
      <c r="AQ341" s="397">
        <f t="shared" si="35"/>
        <v>108181.81818181818</v>
      </c>
    </row>
    <row r="342" spans="1:43" ht="24">
      <c r="A342" s="436" t="s">
        <v>4408</v>
      </c>
      <c r="B342" s="436" t="s">
        <v>3490</v>
      </c>
      <c r="C342" s="437" t="s">
        <v>3491</v>
      </c>
      <c r="D342" s="436" t="s">
        <v>4359</v>
      </c>
      <c r="E342" s="437" t="s">
        <v>4360</v>
      </c>
      <c r="F342" s="436" t="s">
        <v>3494</v>
      </c>
      <c r="G342" s="436" t="s">
        <v>3495</v>
      </c>
      <c r="H342" s="437" t="s">
        <v>3496</v>
      </c>
      <c r="I342" s="436" t="s">
        <v>3497</v>
      </c>
      <c r="J342" s="437" t="s">
        <v>3498</v>
      </c>
      <c r="K342" s="437" t="s">
        <v>3499</v>
      </c>
      <c r="L342" s="436" t="s">
        <v>3500</v>
      </c>
      <c r="M342" s="436" t="s">
        <v>3524</v>
      </c>
      <c r="N342" s="436" t="s">
        <v>3502</v>
      </c>
      <c r="O342" s="438">
        <v>119000</v>
      </c>
      <c r="P342" s="438">
        <v>82110</v>
      </c>
      <c r="Q342" s="438">
        <v>1</v>
      </c>
      <c r="R342" s="438">
        <v>0</v>
      </c>
      <c r="S342" s="438">
        <v>0</v>
      </c>
      <c r="T342" s="438">
        <v>0</v>
      </c>
      <c r="U342" s="438">
        <v>0</v>
      </c>
      <c r="V342" s="438">
        <v>0</v>
      </c>
      <c r="W342" s="438">
        <v>31</v>
      </c>
      <c r="X342" s="438">
        <v>0</v>
      </c>
      <c r="Y342" s="438">
        <v>0</v>
      </c>
      <c r="Z342" s="438">
        <v>0</v>
      </c>
      <c r="AA342" s="438">
        <v>0</v>
      </c>
      <c r="AB342" s="438">
        <v>0</v>
      </c>
      <c r="AC342" s="438">
        <v>119000</v>
      </c>
      <c r="AD342" s="438">
        <v>82110</v>
      </c>
      <c r="AE342" s="438">
        <v>0</v>
      </c>
      <c r="AF342" s="438">
        <v>0</v>
      </c>
      <c r="AG342" s="438">
        <v>119000</v>
      </c>
      <c r="AH342" s="438">
        <v>82110</v>
      </c>
      <c r="AI342" s="438">
        <v>33536</v>
      </c>
      <c r="AJ342" s="438">
        <v>3354</v>
      </c>
      <c r="AK342" s="438">
        <v>36890</v>
      </c>
      <c r="AL342" s="414" t="str">
        <f t="shared" si="30"/>
        <v>워커힐 시그니처 양념 본갈비 300g, 8개</v>
      </c>
      <c r="AM342" s="395">
        <f t="shared" si="31"/>
        <v>46060</v>
      </c>
      <c r="AN342" s="396">
        <f t="shared" si="32"/>
        <v>1</v>
      </c>
      <c r="AO342" s="109">
        <f t="shared" si="33"/>
        <v>119000</v>
      </c>
      <c r="AP342" s="109">
        <f t="shared" si="34"/>
        <v>108181.81818181818</v>
      </c>
      <c r="AQ342" s="397">
        <f t="shared" si="35"/>
        <v>108181.81818181818</v>
      </c>
    </row>
    <row r="343" spans="1:43" ht="24">
      <c r="A343" s="436" t="s">
        <v>4411</v>
      </c>
      <c r="B343" s="436" t="s">
        <v>3490</v>
      </c>
      <c r="C343" s="437" t="s">
        <v>3491</v>
      </c>
      <c r="D343" s="436" t="s">
        <v>4362</v>
      </c>
      <c r="E343" s="437" t="s">
        <v>4363</v>
      </c>
      <c r="F343" s="436" t="s">
        <v>3494</v>
      </c>
      <c r="G343" s="436" t="s">
        <v>3495</v>
      </c>
      <c r="H343" s="437" t="s">
        <v>3496</v>
      </c>
      <c r="I343" s="436" t="s">
        <v>3497</v>
      </c>
      <c r="J343" s="437" t="s">
        <v>3498</v>
      </c>
      <c r="K343" s="437" t="s">
        <v>3499</v>
      </c>
      <c r="L343" s="436" t="s">
        <v>3500</v>
      </c>
      <c r="M343" s="436" t="s">
        <v>3524</v>
      </c>
      <c r="N343" s="436" t="s">
        <v>3502</v>
      </c>
      <c r="O343" s="438">
        <v>119000</v>
      </c>
      <c r="P343" s="438">
        <v>82110</v>
      </c>
      <c r="Q343" s="438">
        <v>1</v>
      </c>
      <c r="R343" s="438">
        <v>0</v>
      </c>
      <c r="S343" s="438">
        <v>0</v>
      </c>
      <c r="T343" s="438">
        <v>0</v>
      </c>
      <c r="U343" s="438">
        <v>0</v>
      </c>
      <c r="V343" s="438">
        <v>0</v>
      </c>
      <c r="W343" s="438">
        <v>31</v>
      </c>
      <c r="X343" s="438">
        <v>0</v>
      </c>
      <c r="Y343" s="438">
        <v>0</v>
      </c>
      <c r="Z343" s="438">
        <v>0</v>
      </c>
      <c r="AA343" s="438">
        <v>0</v>
      </c>
      <c r="AB343" s="438">
        <v>0</v>
      </c>
      <c r="AC343" s="438">
        <v>119000</v>
      </c>
      <c r="AD343" s="438">
        <v>82110</v>
      </c>
      <c r="AE343" s="438">
        <v>0</v>
      </c>
      <c r="AF343" s="438">
        <v>0</v>
      </c>
      <c r="AG343" s="438">
        <v>119000</v>
      </c>
      <c r="AH343" s="438">
        <v>82110</v>
      </c>
      <c r="AI343" s="438">
        <v>33536</v>
      </c>
      <c r="AJ343" s="438">
        <v>3354</v>
      </c>
      <c r="AK343" s="438">
        <v>36890</v>
      </c>
      <c r="AL343" s="414" t="str">
        <f t="shared" si="30"/>
        <v>워커힐 시그니처 양념 본갈비 300g, 8개</v>
      </c>
      <c r="AM343" s="395">
        <f t="shared" si="31"/>
        <v>46060</v>
      </c>
      <c r="AN343" s="396">
        <f t="shared" si="32"/>
        <v>1</v>
      </c>
      <c r="AO343" s="109">
        <f t="shared" si="33"/>
        <v>119000</v>
      </c>
      <c r="AP343" s="109">
        <f t="shared" si="34"/>
        <v>108181.81818181818</v>
      </c>
      <c r="AQ343" s="397">
        <f t="shared" si="35"/>
        <v>108181.81818181818</v>
      </c>
    </row>
    <row r="344" spans="1:43" ht="24">
      <c r="A344" s="436" t="s">
        <v>4414</v>
      </c>
      <c r="B344" s="436" t="s">
        <v>3490</v>
      </c>
      <c r="C344" s="437" t="s">
        <v>3491</v>
      </c>
      <c r="D344" s="436" t="s">
        <v>4365</v>
      </c>
      <c r="E344" s="437" t="s">
        <v>4366</v>
      </c>
      <c r="F344" s="436" t="s">
        <v>3494</v>
      </c>
      <c r="G344" s="436" t="s">
        <v>3495</v>
      </c>
      <c r="H344" s="437" t="s">
        <v>3496</v>
      </c>
      <c r="I344" s="436" t="s">
        <v>3497</v>
      </c>
      <c r="J344" s="437" t="s">
        <v>3498</v>
      </c>
      <c r="K344" s="437" t="s">
        <v>3499</v>
      </c>
      <c r="L344" s="436" t="s">
        <v>3500</v>
      </c>
      <c r="M344" s="436" t="s">
        <v>3524</v>
      </c>
      <c r="N344" s="436" t="s">
        <v>3502</v>
      </c>
      <c r="O344" s="438">
        <v>119000</v>
      </c>
      <c r="P344" s="438">
        <v>82110</v>
      </c>
      <c r="Q344" s="438">
        <v>1</v>
      </c>
      <c r="R344" s="438">
        <v>0</v>
      </c>
      <c r="S344" s="438">
        <v>0</v>
      </c>
      <c r="T344" s="438">
        <v>0</v>
      </c>
      <c r="U344" s="438">
        <v>0</v>
      </c>
      <c r="V344" s="438">
        <v>0</v>
      </c>
      <c r="W344" s="438">
        <v>31</v>
      </c>
      <c r="X344" s="438">
        <v>0</v>
      </c>
      <c r="Y344" s="438">
        <v>0</v>
      </c>
      <c r="Z344" s="438">
        <v>0</v>
      </c>
      <c r="AA344" s="438">
        <v>0</v>
      </c>
      <c r="AB344" s="438">
        <v>0</v>
      </c>
      <c r="AC344" s="438">
        <v>119000</v>
      </c>
      <c r="AD344" s="438">
        <v>82110</v>
      </c>
      <c r="AE344" s="438">
        <v>0</v>
      </c>
      <c r="AF344" s="438">
        <v>0</v>
      </c>
      <c r="AG344" s="438">
        <v>119000</v>
      </c>
      <c r="AH344" s="438">
        <v>82110</v>
      </c>
      <c r="AI344" s="438">
        <v>33536</v>
      </c>
      <c r="AJ344" s="438">
        <v>3354</v>
      </c>
      <c r="AK344" s="438">
        <v>36890</v>
      </c>
      <c r="AL344" s="414" t="str">
        <f t="shared" si="30"/>
        <v>워커힐 시그니처 양념 본갈비 300g, 8개</v>
      </c>
      <c r="AM344" s="395">
        <f t="shared" si="31"/>
        <v>46060</v>
      </c>
      <c r="AN344" s="396">
        <f t="shared" si="32"/>
        <v>1</v>
      </c>
      <c r="AO344" s="109">
        <f t="shared" si="33"/>
        <v>119000</v>
      </c>
      <c r="AP344" s="109">
        <f t="shared" si="34"/>
        <v>108181.81818181818</v>
      </c>
      <c r="AQ344" s="397">
        <f t="shared" si="35"/>
        <v>108181.81818181818</v>
      </c>
    </row>
    <row r="345" spans="1:43" ht="24">
      <c r="A345" s="436" t="s">
        <v>4417</v>
      </c>
      <c r="B345" s="436" t="s">
        <v>3490</v>
      </c>
      <c r="C345" s="437" t="s">
        <v>3491</v>
      </c>
      <c r="D345" s="436" t="s">
        <v>4251</v>
      </c>
      <c r="E345" s="437" t="s">
        <v>4252</v>
      </c>
      <c r="F345" s="436" t="s">
        <v>3494</v>
      </c>
      <c r="G345" s="436" t="s">
        <v>3495</v>
      </c>
      <c r="H345" s="437" t="s">
        <v>3496</v>
      </c>
      <c r="I345" s="436" t="s">
        <v>3497</v>
      </c>
      <c r="J345" s="437" t="s">
        <v>3498</v>
      </c>
      <c r="K345" s="437" t="s">
        <v>3499</v>
      </c>
      <c r="L345" s="436" t="s">
        <v>3500</v>
      </c>
      <c r="M345" s="436" t="s">
        <v>3524</v>
      </c>
      <c r="N345" s="436" t="s">
        <v>3502</v>
      </c>
      <c r="O345" s="438">
        <v>119000</v>
      </c>
      <c r="P345" s="438">
        <v>82110</v>
      </c>
      <c r="Q345" s="438">
        <v>1</v>
      </c>
      <c r="R345" s="438">
        <v>0</v>
      </c>
      <c r="S345" s="438">
        <v>0</v>
      </c>
      <c r="T345" s="438">
        <v>0</v>
      </c>
      <c r="U345" s="438">
        <v>0</v>
      </c>
      <c r="V345" s="438">
        <v>0</v>
      </c>
      <c r="W345" s="438">
        <v>31</v>
      </c>
      <c r="X345" s="438">
        <v>0</v>
      </c>
      <c r="Y345" s="438">
        <v>0</v>
      </c>
      <c r="Z345" s="438">
        <v>0</v>
      </c>
      <c r="AA345" s="438">
        <v>0</v>
      </c>
      <c r="AB345" s="438">
        <v>0</v>
      </c>
      <c r="AC345" s="438">
        <v>119000</v>
      </c>
      <c r="AD345" s="438">
        <v>82110</v>
      </c>
      <c r="AE345" s="438">
        <v>0</v>
      </c>
      <c r="AF345" s="438">
        <v>0</v>
      </c>
      <c r="AG345" s="438">
        <v>119000</v>
      </c>
      <c r="AH345" s="438">
        <v>82110</v>
      </c>
      <c r="AI345" s="438">
        <v>33536</v>
      </c>
      <c r="AJ345" s="438">
        <v>3354</v>
      </c>
      <c r="AK345" s="438">
        <v>36890</v>
      </c>
      <c r="AL345" s="414" t="str">
        <f t="shared" si="30"/>
        <v>워커힐 시그니처 양념 본갈비 300g, 8개</v>
      </c>
      <c r="AM345" s="395">
        <f t="shared" si="31"/>
        <v>46060</v>
      </c>
      <c r="AN345" s="396">
        <f t="shared" si="32"/>
        <v>1</v>
      </c>
      <c r="AO345" s="109">
        <f t="shared" si="33"/>
        <v>119000</v>
      </c>
      <c r="AP345" s="109">
        <f t="shared" si="34"/>
        <v>108181.81818181818</v>
      </c>
      <c r="AQ345" s="397">
        <f t="shared" si="35"/>
        <v>108181.81818181818</v>
      </c>
    </row>
    <row r="346" spans="1:43" ht="24">
      <c r="A346" s="436" t="s">
        <v>4420</v>
      </c>
      <c r="B346" s="436" t="s">
        <v>3490</v>
      </c>
      <c r="C346" s="437" t="s">
        <v>3491</v>
      </c>
      <c r="D346" s="436" t="s">
        <v>4371</v>
      </c>
      <c r="E346" s="437" t="s">
        <v>3813</v>
      </c>
      <c r="F346" s="436" t="s">
        <v>3494</v>
      </c>
      <c r="G346" s="436" t="s">
        <v>3495</v>
      </c>
      <c r="H346" s="437" t="s">
        <v>3496</v>
      </c>
      <c r="I346" s="436" t="s">
        <v>3497</v>
      </c>
      <c r="J346" s="437" t="s">
        <v>3498</v>
      </c>
      <c r="K346" s="437" t="s">
        <v>3499</v>
      </c>
      <c r="L346" s="436" t="s">
        <v>3500</v>
      </c>
      <c r="M346" s="436" t="s">
        <v>3524</v>
      </c>
      <c r="N346" s="436" t="s">
        <v>3502</v>
      </c>
      <c r="O346" s="438">
        <v>119000</v>
      </c>
      <c r="P346" s="438">
        <v>82110</v>
      </c>
      <c r="Q346" s="438">
        <v>1</v>
      </c>
      <c r="R346" s="438">
        <v>0</v>
      </c>
      <c r="S346" s="438">
        <v>0</v>
      </c>
      <c r="T346" s="438">
        <v>0</v>
      </c>
      <c r="U346" s="438">
        <v>0</v>
      </c>
      <c r="V346" s="438">
        <v>0</v>
      </c>
      <c r="W346" s="438">
        <v>31</v>
      </c>
      <c r="X346" s="438">
        <v>0</v>
      </c>
      <c r="Y346" s="438">
        <v>0</v>
      </c>
      <c r="Z346" s="438">
        <v>0</v>
      </c>
      <c r="AA346" s="438">
        <v>0</v>
      </c>
      <c r="AB346" s="438">
        <v>5950</v>
      </c>
      <c r="AC346" s="438">
        <v>119000</v>
      </c>
      <c r="AD346" s="438">
        <v>82110</v>
      </c>
      <c r="AE346" s="438">
        <v>0</v>
      </c>
      <c r="AF346" s="438">
        <v>5950</v>
      </c>
      <c r="AG346" s="438">
        <v>113050</v>
      </c>
      <c r="AH346" s="438">
        <v>82110</v>
      </c>
      <c r="AI346" s="438">
        <v>28127</v>
      </c>
      <c r="AJ346" s="438">
        <v>2813</v>
      </c>
      <c r="AK346" s="438">
        <v>30940</v>
      </c>
      <c r="AL346" s="414" t="str">
        <f t="shared" si="30"/>
        <v>워커힐 시그니처 양념 본갈비 300g, 8개</v>
      </c>
      <c r="AM346" s="395">
        <f t="shared" si="31"/>
        <v>46060</v>
      </c>
      <c r="AN346" s="396">
        <f t="shared" si="32"/>
        <v>1</v>
      </c>
      <c r="AO346" s="109">
        <f t="shared" si="33"/>
        <v>119000</v>
      </c>
      <c r="AP346" s="109">
        <f t="shared" si="34"/>
        <v>108181.81818181818</v>
      </c>
      <c r="AQ346" s="397">
        <f t="shared" si="35"/>
        <v>108181.81818181818</v>
      </c>
    </row>
    <row r="347" spans="1:43" ht="24">
      <c r="A347" s="436" t="s">
        <v>4423</v>
      </c>
      <c r="B347" s="436" t="s">
        <v>3490</v>
      </c>
      <c r="C347" s="437" t="s">
        <v>3491</v>
      </c>
      <c r="D347" s="436" t="s">
        <v>4373</v>
      </c>
      <c r="E347" s="437" t="s">
        <v>4374</v>
      </c>
      <c r="F347" s="436" t="s">
        <v>3494</v>
      </c>
      <c r="G347" s="436" t="s">
        <v>3495</v>
      </c>
      <c r="H347" s="437" t="s">
        <v>3496</v>
      </c>
      <c r="I347" s="436" t="s">
        <v>3497</v>
      </c>
      <c r="J347" s="437" t="s">
        <v>3498</v>
      </c>
      <c r="K347" s="437" t="s">
        <v>3499</v>
      </c>
      <c r="L347" s="436" t="s">
        <v>3500</v>
      </c>
      <c r="M347" s="436" t="s">
        <v>3524</v>
      </c>
      <c r="N347" s="436" t="s">
        <v>3502</v>
      </c>
      <c r="O347" s="438">
        <v>119000</v>
      </c>
      <c r="P347" s="438">
        <v>82110</v>
      </c>
      <c r="Q347" s="438">
        <v>1</v>
      </c>
      <c r="R347" s="438">
        <v>0</v>
      </c>
      <c r="S347" s="438">
        <v>0</v>
      </c>
      <c r="T347" s="438">
        <v>0</v>
      </c>
      <c r="U347" s="438">
        <v>0</v>
      </c>
      <c r="V347" s="438">
        <v>0</v>
      </c>
      <c r="W347" s="438">
        <v>31</v>
      </c>
      <c r="X347" s="438">
        <v>0</v>
      </c>
      <c r="Y347" s="438">
        <v>0</v>
      </c>
      <c r="Z347" s="438">
        <v>0</v>
      </c>
      <c r="AA347" s="438">
        <v>0</v>
      </c>
      <c r="AB347" s="438">
        <v>0</v>
      </c>
      <c r="AC347" s="438">
        <v>119000</v>
      </c>
      <c r="AD347" s="438">
        <v>82110</v>
      </c>
      <c r="AE347" s="438">
        <v>0</v>
      </c>
      <c r="AF347" s="438">
        <v>0</v>
      </c>
      <c r="AG347" s="438">
        <v>119000</v>
      </c>
      <c r="AH347" s="438">
        <v>82110</v>
      </c>
      <c r="AI347" s="438">
        <v>33536</v>
      </c>
      <c r="AJ347" s="438">
        <v>3354</v>
      </c>
      <c r="AK347" s="438">
        <v>36890</v>
      </c>
      <c r="AL347" s="414" t="str">
        <f t="shared" si="30"/>
        <v>워커힐 시그니처 양념 본갈비 300g, 8개</v>
      </c>
      <c r="AM347" s="395">
        <f t="shared" si="31"/>
        <v>46060</v>
      </c>
      <c r="AN347" s="396">
        <f t="shared" si="32"/>
        <v>1</v>
      </c>
      <c r="AO347" s="109">
        <f t="shared" si="33"/>
        <v>119000</v>
      </c>
      <c r="AP347" s="109">
        <f t="shared" si="34"/>
        <v>108181.81818181818</v>
      </c>
      <c r="AQ347" s="397">
        <f t="shared" si="35"/>
        <v>108181.81818181818</v>
      </c>
    </row>
    <row r="348" spans="1:43" ht="24">
      <c r="A348" s="436" t="s">
        <v>4426</v>
      </c>
      <c r="B348" s="436" t="s">
        <v>3490</v>
      </c>
      <c r="C348" s="437" t="s">
        <v>3491</v>
      </c>
      <c r="D348" s="436" t="s">
        <v>4376</v>
      </c>
      <c r="E348" s="437" t="s">
        <v>3493</v>
      </c>
      <c r="F348" s="436" t="s">
        <v>3494</v>
      </c>
      <c r="G348" s="436" t="s">
        <v>3495</v>
      </c>
      <c r="H348" s="437" t="s">
        <v>3496</v>
      </c>
      <c r="I348" s="436" t="s">
        <v>3497</v>
      </c>
      <c r="J348" s="437" t="s">
        <v>3498</v>
      </c>
      <c r="K348" s="437" t="s">
        <v>3499</v>
      </c>
      <c r="L348" s="436" t="s">
        <v>3500</v>
      </c>
      <c r="M348" s="436" t="s">
        <v>3524</v>
      </c>
      <c r="N348" s="436" t="s">
        <v>3502</v>
      </c>
      <c r="O348" s="438">
        <v>119000</v>
      </c>
      <c r="P348" s="438">
        <v>82110</v>
      </c>
      <c r="Q348" s="438">
        <v>1</v>
      </c>
      <c r="R348" s="438">
        <v>0</v>
      </c>
      <c r="S348" s="438">
        <v>0</v>
      </c>
      <c r="T348" s="438">
        <v>0</v>
      </c>
      <c r="U348" s="438">
        <v>0</v>
      </c>
      <c r="V348" s="438">
        <v>0</v>
      </c>
      <c r="W348" s="438">
        <v>31</v>
      </c>
      <c r="X348" s="438">
        <v>0</v>
      </c>
      <c r="Y348" s="438">
        <v>0</v>
      </c>
      <c r="Z348" s="438">
        <v>0</v>
      </c>
      <c r="AA348" s="438">
        <v>0</v>
      </c>
      <c r="AB348" s="438">
        <v>0</v>
      </c>
      <c r="AC348" s="438">
        <v>119000</v>
      </c>
      <c r="AD348" s="438">
        <v>82110</v>
      </c>
      <c r="AE348" s="438">
        <v>0</v>
      </c>
      <c r="AF348" s="438">
        <v>0</v>
      </c>
      <c r="AG348" s="438">
        <v>119000</v>
      </c>
      <c r="AH348" s="438">
        <v>82110</v>
      </c>
      <c r="AI348" s="438">
        <v>33536</v>
      </c>
      <c r="AJ348" s="438">
        <v>3354</v>
      </c>
      <c r="AK348" s="438">
        <v>36890</v>
      </c>
      <c r="AL348" s="414" t="str">
        <f t="shared" si="30"/>
        <v>워커힐 시그니처 양념 본갈비 300g, 8개</v>
      </c>
      <c r="AM348" s="395">
        <f t="shared" si="31"/>
        <v>46060</v>
      </c>
      <c r="AN348" s="396">
        <f t="shared" si="32"/>
        <v>1</v>
      </c>
      <c r="AO348" s="109">
        <f t="shared" si="33"/>
        <v>119000</v>
      </c>
      <c r="AP348" s="109">
        <f t="shared" si="34"/>
        <v>108181.81818181818</v>
      </c>
      <c r="AQ348" s="397">
        <f t="shared" si="35"/>
        <v>108181.81818181818</v>
      </c>
    </row>
    <row r="349" spans="1:43" ht="24">
      <c r="A349" s="436" t="s">
        <v>4428</v>
      </c>
      <c r="B349" s="436" t="s">
        <v>3490</v>
      </c>
      <c r="C349" s="437" t="s">
        <v>3491</v>
      </c>
      <c r="D349" s="436" t="s">
        <v>4380</v>
      </c>
      <c r="E349" s="437" t="s">
        <v>3592</v>
      </c>
      <c r="F349" s="436" t="s">
        <v>3494</v>
      </c>
      <c r="G349" s="436" t="s">
        <v>3495</v>
      </c>
      <c r="H349" s="437" t="s">
        <v>3496</v>
      </c>
      <c r="I349" s="436" t="s">
        <v>3497</v>
      </c>
      <c r="J349" s="437" t="s">
        <v>3498</v>
      </c>
      <c r="K349" s="437" t="s">
        <v>3499</v>
      </c>
      <c r="L349" s="436" t="s">
        <v>3500</v>
      </c>
      <c r="M349" s="436" t="s">
        <v>3524</v>
      </c>
      <c r="N349" s="436" t="s">
        <v>3502</v>
      </c>
      <c r="O349" s="438">
        <v>119000</v>
      </c>
      <c r="P349" s="438">
        <v>82110</v>
      </c>
      <c r="Q349" s="438">
        <v>1</v>
      </c>
      <c r="R349" s="438">
        <v>0</v>
      </c>
      <c r="S349" s="438">
        <v>0</v>
      </c>
      <c r="T349" s="438">
        <v>0</v>
      </c>
      <c r="U349" s="438">
        <v>0</v>
      </c>
      <c r="V349" s="438">
        <v>0</v>
      </c>
      <c r="W349" s="438">
        <v>31</v>
      </c>
      <c r="X349" s="438">
        <v>0</v>
      </c>
      <c r="Y349" s="438">
        <v>0</v>
      </c>
      <c r="Z349" s="438">
        <v>0</v>
      </c>
      <c r="AA349" s="438">
        <v>0</v>
      </c>
      <c r="AB349" s="438">
        <v>0</v>
      </c>
      <c r="AC349" s="438">
        <v>119000</v>
      </c>
      <c r="AD349" s="438">
        <v>82110</v>
      </c>
      <c r="AE349" s="438">
        <v>0</v>
      </c>
      <c r="AF349" s="438">
        <v>0</v>
      </c>
      <c r="AG349" s="438">
        <v>119000</v>
      </c>
      <c r="AH349" s="438">
        <v>82110</v>
      </c>
      <c r="AI349" s="438">
        <v>33536</v>
      </c>
      <c r="AJ349" s="438">
        <v>3354</v>
      </c>
      <c r="AK349" s="438">
        <v>36890</v>
      </c>
      <c r="AL349" s="414" t="str">
        <f t="shared" si="30"/>
        <v>워커힐 시그니처 양념 본갈비 300g, 8개</v>
      </c>
      <c r="AM349" s="395">
        <f t="shared" si="31"/>
        <v>46060</v>
      </c>
      <c r="AN349" s="396">
        <f t="shared" si="32"/>
        <v>1</v>
      </c>
      <c r="AO349" s="109">
        <f t="shared" si="33"/>
        <v>119000</v>
      </c>
      <c r="AP349" s="109">
        <f t="shared" si="34"/>
        <v>108181.81818181818</v>
      </c>
      <c r="AQ349" s="397">
        <f t="shared" si="35"/>
        <v>108181.81818181818</v>
      </c>
    </row>
    <row r="350" spans="1:43" ht="24">
      <c r="A350" s="436" t="s">
        <v>4431</v>
      </c>
      <c r="B350" s="436" t="s">
        <v>3490</v>
      </c>
      <c r="C350" s="437" t="s">
        <v>3491</v>
      </c>
      <c r="D350" s="436" t="s">
        <v>4382</v>
      </c>
      <c r="E350" s="437" t="s">
        <v>4383</v>
      </c>
      <c r="F350" s="436" t="s">
        <v>3494</v>
      </c>
      <c r="G350" s="436" t="s">
        <v>3495</v>
      </c>
      <c r="H350" s="437" t="s">
        <v>3496</v>
      </c>
      <c r="I350" s="436" t="s">
        <v>3497</v>
      </c>
      <c r="J350" s="437" t="s">
        <v>3498</v>
      </c>
      <c r="K350" s="437" t="s">
        <v>3499</v>
      </c>
      <c r="L350" s="436" t="s">
        <v>3500</v>
      </c>
      <c r="M350" s="436" t="s">
        <v>3524</v>
      </c>
      <c r="N350" s="436" t="s">
        <v>3502</v>
      </c>
      <c r="O350" s="438">
        <v>119000</v>
      </c>
      <c r="P350" s="438">
        <v>82110</v>
      </c>
      <c r="Q350" s="438">
        <v>1</v>
      </c>
      <c r="R350" s="438">
        <v>0</v>
      </c>
      <c r="S350" s="438">
        <v>0</v>
      </c>
      <c r="T350" s="438">
        <v>0</v>
      </c>
      <c r="U350" s="438">
        <v>0</v>
      </c>
      <c r="V350" s="438">
        <v>0</v>
      </c>
      <c r="W350" s="438">
        <v>31</v>
      </c>
      <c r="X350" s="438">
        <v>0</v>
      </c>
      <c r="Y350" s="438">
        <v>0</v>
      </c>
      <c r="Z350" s="438">
        <v>0</v>
      </c>
      <c r="AA350" s="438">
        <v>0</v>
      </c>
      <c r="AB350" s="438">
        <v>0</v>
      </c>
      <c r="AC350" s="438">
        <v>119000</v>
      </c>
      <c r="AD350" s="438">
        <v>82110</v>
      </c>
      <c r="AE350" s="438">
        <v>0</v>
      </c>
      <c r="AF350" s="438">
        <v>0</v>
      </c>
      <c r="AG350" s="438">
        <v>119000</v>
      </c>
      <c r="AH350" s="438">
        <v>82110</v>
      </c>
      <c r="AI350" s="438">
        <v>33536</v>
      </c>
      <c r="AJ350" s="438">
        <v>3354</v>
      </c>
      <c r="AK350" s="438">
        <v>36890</v>
      </c>
      <c r="AL350" s="414" t="str">
        <f t="shared" si="30"/>
        <v>워커힐 시그니처 양념 본갈비 300g, 8개</v>
      </c>
      <c r="AM350" s="395">
        <f t="shared" si="31"/>
        <v>46060</v>
      </c>
      <c r="AN350" s="396">
        <f t="shared" si="32"/>
        <v>1</v>
      </c>
      <c r="AO350" s="109">
        <f t="shared" si="33"/>
        <v>119000</v>
      </c>
      <c r="AP350" s="109">
        <f t="shared" si="34"/>
        <v>108181.81818181818</v>
      </c>
      <c r="AQ350" s="397">
        <f t="shared" si="35"/>
        <v>108181.81818181818</v>
      </c>
    </row>
    <row r="351" spans="1:43" ht="24">
      <c r="A351" s="436" t="s">
        <v>4434</v>
      </c>
      <c r="B351" s="436" t="s">
        <v>3490</v>
      </c>
      <c r="C351" s="437" t="s">
        <v>3491</v>
      </c>
      <c r="D351" s="436" t="s">
        <v>4385</v>
      </c>
      <c r="E351" s="437" t="s">
        <v>4386</v>
      </c>
      <c r="F351" s="436" t="s">
        <v>3494</v>
      </c>
      <c r="G351" s="436" t="s">
        <v>3495</v>
      </c>
      <c r="H351" s="437" t="s">
        <v>3496</v>
      </c>
      <c r="I351" s="436" t="s">
        <v>3497</v>
      </c>
      <c r="J351" s="437" t="s">
        <v>3498</v>
      </c>
      <c r="K351" s="437" t="s">
        <v>3499</v>
      </c>
      <c r="L351" s="436" t="s">
        <v>3500</v>
      </c>
      <c r="M351" s="436" t="s">
        <v>3524</v>
      </c>
      <c r="N351" s="436" t="s">
        <v>3502</v>
      </c>
      <c r="O351" s="438">
        <v>119000</v>
      </c>
      <c r="P351" s="438">
        <v>82110</v>
      </c>
      <c r="Q351" s="438">
        <v>1</v>
      </c>
      <c r="R351" s="438">
        <v>0</v>
      </c>
      <c r="S351" s="438">
        <v>0</v>
      </c>
      <c r="T351" s="438">
        <v>0</v>
      </c>
      <c r="U351" s="438">
        <v>0</v>
      </c>
      <c r="V351" s="438">
        <v>0</v>
      </c>
      <c r="W351" s="438">
        <v>31</v>
      </c>
      <c r="X351" s="438">
        <v>0</v>
      </c>
      <c r="Y351" s="438">
        <v>0</v>
      </c>
      <c r="Z351" s="438">
        <v>0</v>
      </c>
      <c r="AA351" s="438">
        <v>0</v>
      </c>
      <c r="AB351" s="438">
        <v>0</v>
      </c>
      <c r="AC351" s="438">
        <v>119000</v>
      </c>
      <c r="AD351" s="438">
        <v>82110</v>
      </c>
      <c r="AE351" s="438">
        <v>0</v>
      </c>
      <c r="AF351" s="438">
        <v>0</v>
      </c>
      <c r="AG351" s="438">
        <v>119000</v>
      </c>
      <c r="AH351" s="438">
        <v>82110</v>
      </c>
      <c r="AI351" s="438">
        <v>33536</v>
      </c>
      <c r="AJ351" s="438">
        <v>3354</v>
      </c>
      <c r="AK351" s="438">
        <v>36890</v>
      </c>
      <c r="AL351" s="414" t="str">
        <f t="shared" si="30"/>
        <v>워커힐 시그니처 양념 본갈비 300g, 8개</v>
      </c>
      <c r="AM351" s="395">
        <f t="shared" si="31"/>
        <v>46060</v>
      </c>
      <c r="AN351" s="396">
        <f t="shared" si="32"/>
        <v>1</v>
      </c>
      <c r="AO351" s="109">
        <f t="shared" si="33"/>
        <v>119000</v>
      </c>
      <c r="AP351" s="109">
        <f t="shared" si="34"/>
        <v>108181.81818181818</v>
      </c>
      <c r="AQ351" s="397">
        <f t="shared" si="35"/>
        <v>108181.81818181818</v>
      </c>
    </row>
    <row r="352" spans="1:43" ht="24">
      <c r="A352" s="436" t="s">
        <v>4436</v>
      </c>
      <c r="B352" s="436" t="s">
        <v>3490</v>
      </c>
      <c r="C352" s="437" t="s">
        <v>3491</v>
      </c>
      <c r="D352" s="436" t="s">
        <v>4254</v>
      </c>
      <c r="E352" s="437" t="s">
        <v>4255</v>
      </c>
      <c r="F352" s="436" t="s">
        <v>3494</v>
      </c>
      <c r="G352" s="436" t="s">
        <v>3495</v>
      </c>
      <c r="H352" s="437" t="s">
        <v>3496</v>
      </c>
      <c r="I352" s="436" t="s">
        <v>3497</v>
      </c>
      <c r="J352" s="437" t="s">
        <v>3498</v>
      </c>
      <c r="K352" s="437" t="s">
        <v>3499</v>
      </c>
      <c r="L352" s="436" t="s">
        <v>3500</v>
      </c>
      <c r="M352" s="436" t="s">
        <v>3524</v>
      </c>
      <c r="N352" s="436" t="s">
        <v>3502</v>
      </c>
      <c r="O352" s="438">
        <v>119000</v>
      </c>
      <c r="P352" s="438">
        <v>82110</v>
      </c>
      <c r="Q352" s="438">
        <v>1</v>
      </c>
      <c r="R352" s="438">
        <v>0</v>
      </c>
      <c r="S352" s="438">
        <v>0</v>
      </c>
      <c r="T352" s="438">
        <v>0</v>
      </c>
      <c r="U352" s="438">
        <v>0</v>
      </c>
      <c r="V352" s="438">
        <v>0</v>
      </c>
      <c r="W352" s="438">
        <v>31</v>
      </c>
      <c r="X352" s="438">
        <v>19040</v>
      </c>
      <c r="Y352" s="438">
        <v>0</v>
      </c>
      <c r="Z352" s="438">
        <v>0</v>
      </c>
      <c r="AA352" s="438">
        <v>0</v>
      </c>
      <c r="AB352" s="438">
        <v>0</v>
      </c>
      <c r="AC352" s="438">
        <v>119000</v>
      </c>
      <c r="AD352" s="438">
        <v>82110</v>
      </c>
      <c r="AE352" s="438">
        <v>0</v>
      </c>
      <c r="AF352" s="438">
        <v>19040</v>
      </c>
      <c r="AG352" s="438">
        <v>99960</v>
      </c>
      <c r="AH352" s="438">
        <v>82110</v>
      </c>
      <c r="AI352" s="438">
        <v>16227</v>
      </c>
      <c r="AJ352" s="438">
        <v>1623</v>
      </c>
      <c r="AK352" s="438">
        <v>17850</v>
      </c>
      <c r="AL352" s="414" t="str">
        <f t="shared" si="30"/>
        <v>워커힐 시그니처 양념 본갈비 300g, 8개</v>
      </c>
      <c r="AM352" s="395">
        <f t="shared" si="31"/>
        <v>46060</v>
      </c>
      <c r="AN352" s="396">
        <f t="shared" si="32"/>
        <v>1</v>
      </c>
      <c r="AO352" s="109">
        <f t="shared" si="33"/>
        <v>119000</v>
      </c>
      <c r="AP352" s="109">
        <f t="shared" si="34"/>
        <v>108181.81818181818</v>
      </c>
      <c r="AQ352" s="397">
        <f t="shared" si="35"/>
        <v>108181.81818181818</v>
      </c>
    </row>
    <row r="353" spans="1:43" ht="24">
      <c r="A353" s="436" t="s">
        <v>4439</v>
      </c>
      <c r="B353" s="436" t="s">
        <v>3490</v>
      </c>
      <c r="C353" s="437" t="s">
        <v>3491</v>
      </c>
      <c r="D353" s="436" t="s">
        <v>4388</v>
      </c>
      <c r="E353" s="437" t="s">
        <v>4389</v>
      </c>
      <c r="F353" s="436" t="s">
        <v>3494</v>
      </c>
      <c r="G353" s="436" t="s">
        <v>3495</v>
      </c>
      <c r="H353" s="437" t="s">
        <v>3496</v>
      </c>
      <c r="I353" s="436" t="s">
        <v>3497</v>
      </c>
      <c r="J353" s="437" t="s">
        <v>3498</v>
      </c>
      <c r="K353" s="437" t="s">
        <v>3499</v>
      </c>
      <c r="L353" s="436" t="s">
        <v>3500</v>
      </c>
      <c r="M353" s="436" t="s">
        <v>3524</v>
      </c>
      <c r="N353" s="436" t="s">
        <v>3502</v>
      </c>
      <c r="O353" s="438">
        <v>119000</v>
      </c>
      <c r="P353" s="438">
        <v>82110</v>
      </c>
      <c r="Q353" s="438">
        <v>1</v>
      </c>
      <c r="R353" s="438">
        <v>0</v>
      </c>
      <c r="S353" s="438">
        <v>0</v>
      </c>
      <c r="T353" s="438">
        <v>0</v>
      </c>
      <c r="U353" s="438">
        <v>0</v>
      </c>
      <c r="V353" s="438">
        <v>0</v>
      </c>
      <c r="W353" s="438">
        <v>31</v>
      </c>
      <c r="X353" s="438">
        <v>0</v>
      </c>
      <c r="Y353" s="438">
        <v>0</v>
      </c>
      <c r="Z353" s="438">
        <v>0</v>
      </c>
      <c r="AA353" s="438">
        <v>0</v>
      </c>
      <c r="AB353" s="438">
        <v>0</v>
      </c>
      <c r="AC353" s="438">
        <v>119000</v>
      </c>
      <c r="AD353" s="438">
        <v>82110</v>
      </c>
      <c r="AE353" s="438">
        <v>0</v>
      </c>
      <c r="AF353" s="438">
        <v>0</v>
      </c>
      <c r="AG353" s="438">
        <v>119000</v>
      </c>
      <c r="AH353" s="438">
        <v>82110</v>
      </c>
      <c r="AI353" s="438">
        <v>33536</v>
      </c>
      <c r="AJ353" s="438">
        <v>3354</v>
      </c>
      <c r="AK353" s="438">
        <v>36890</v>
      </c>
      <c r="AL353" s="414" t="str">
        <f t="shared" si="30"/>
        <v>워커힐 시그니처 양념 본갈비 300g, 8개</v>
      </c>
      <c r="AM353" s="395">
        <f t="shared" si="31"/>
        <v>46060</v>
      </c>
      <c r="AN353" s="396">
        <f t="shared" si="32"/>
        <v>1</v>
      </c>
      <c r="AO353" s="109">
        <f t="shared" si="33"/>
        <v>119000</v>
      </c>
      <c r="AP353" s="109">
        <f t="shared" si="34"/>
        <v>108181.81818181818</v>
      </c>
      <c r="AQ353" s="397">
        <f t="shared" si="35"/>
        <v>108181.81818181818</v>
      </c>
    </row>
    <row r="354" spans="1:43" ht="24">
      <c r="A354" s="436" t="s">
        <v>4441</v>
      </c>
      <c r="B354" s="436" t="s">
        <v>3490</v>
      </c>
      <c r="C354" s="437" t="s">
        <v>3491</v>
      </c>
      <c r="D354" s="436" t="s">
        <v>4391</v>
      </c>
      <c r="E354" s="437" t="s">
        <v>3734</v>
      </c>
      <c r="F354" s="436" t="s">
        <v>3494</v>
      </c>
      <c r="G354" s="436" t="s">
        <v>3495</v>
      </c>
      <c r="H354" s="437" t="s">
        <v>3496</v>
      </c>
      <c r="I354" s="436" t="s">
        <v>3497</v>
      </c>
      <c r="J354" s="437" t="s">
        <v>3498</v>
      </c>
      <c r="K354" s="437" t="s">
        <v>3499</v>
      </c>
      <c r="L354" s="436" t="s">
        <v>3500</v>
      </c>
      <c r="M354" s="436" t="s">
        <v>3524</v>
      </c>
      <c r="N354" s="436" t="s">
        <v>3502</v>
      </c>
      <c r="O354" s="438">
        <v>119000</v>
      </c>
      <c r="P354" s="438">
        <v>82110</v>
      </c>
      <c r="Q354" s="438">
        <v>1</v>
      </c>
      <c r="R354" s="438">
        <v>0</v>
      </c>
      <c r="S354" s="438">
        <v>0</v>
      </c>
      <c r="T354" s="438">
        <v>0</v>
      </c>
      <c r="U354" s="438">
        <v>0</v>
      </c>
      <c r="V354" s="438">
        <v>0</v>
      </c>
      <c r="W354" s="438">
        <v>31</v>
      </c>
      <c r="X354" s="438">
        <v>0</v>
      </c>
      <c r="Y354" s="438">
        <v>0</v>
      </c>
      <c r="Z354" s="438">
        <v>0</v>
      </c>
      <c r="AA354" s="438">
        <v>0</v>
      </c>
      <c r="AB354" s="438">
        <v>0</v>
      </c>
      <c r="AC354" s="438">
        <v>119000</v>
      </c>
      <c r="AD354" s="438">
        <v>82110</v>
      </c>
      <c r="AE354" s="438">
        <v>0</v>
      </c>
      <c r="AF354" s="438">
        <v>0</v>
      </c>
      <c r="AG354" s="438">
        <v>119000</v>
      </c>
      <c r="AH354" s="438">
        <v>82110</v>
      </c>
      <c r="AI354" s="438">
        <v>33536</v>
      </c>
      <c r="AJ354" s="438">
        <v>3354</v>
      </c>
      <c r="AK354" s="438">
        <v>36890</v>
      </c>
      <c r="AL354" s="414" t="str">
        <f t="shared" si="30"/>
        <v>워커힐 시그니처 양념 본갈비 300g, 8개</v>
      </c>
      <c r="AM354" s="395">
        <f t="shared" si="31"/>
        <v>46060</v>
      </c>
      <c r="AN354" s="396">
        <f t="shared" si="32"/>
        <v>1</v>
      </c>
      <c r="AO354" s="109">
        <f t="shared" si="33"/>
        <v>119000</v>
      </c>
      <c r="AP354" s="109">
        <f t="shared" si="34"/>
        <v>108181.81818181818</v>
      </c>
      <c r="AQ354" s="397">
        <f t="shared" si="35"/>
        <v>108181.81818181818</v>
      </c>
    </row>
    <row r="355" spans="1:43" ht="24">
      <c r="A355" s="436" t="s">
        <v>4443</v>
      </c>
      <c r="B355" s="436" t="s">
        <v>3490</v>
      </c>
      <c r="C355" s="437" t="s">
        <v>3491</v>
      </c>
      <c r="D355" s="436" t="s">
        <v>4393</v>
      </c>
      <c r="E355" s="437" t="s">
        <v>4394</v>
      </c>
      <c r="F355" s="436" t="s">
        <v>3494</v>
      </c>
      <c r="G355" s="436" t="s">
        <v>3495</v>
      </c>
      <c r="H355" s="437" t="s">
        <v>3496</v>
      </c>
      <c r="I355" s="436" t="s">
        <v>3497</v>
      </c>
      <c r="J355" s="437" t="s">
        <v>3498</v>
      </c>
      <c r="K355" s="437" t="s">
        <v>3499</v>
      </c>
      <c r="L355" s="436" t="s">
        <v>3500</v>
      </c>
      <c r="M355" s="436" t="s">
        <v>3524</v>
      </c>
      <c r="N355" s="436" t="s">
        <v>3502</v>
      </c>
      <c r="O355" s="438">
        <v>119000</v>
      </c>
      <c r="P355" s="438">
        <v>82110</v>
      </c>
      <c r="Q355" s="438">
        <v>1</v>
      </c>
      <c r="R355" s="438">
        <v>0</v>
      </c>
      <c r="S355" s="438">
        <v>0</v>
      </c>
      <c r="T355" s="438">
        <v>0</v>
      </c>
      <c r="U355" s="438">
        <v>0</v>
      </c>
      <c r="V355" s="438">
        <v>0</v>
      </c>
      <c r="W355" s="438">
        <v>31</v>
      </c>
      <c r="X355" s="438">
        <v>0</v>
      </c>
      <c r="Y355" s="438">
        <v>0</v>
      </c>
      <c r="Z355" s="438">
        <v>0</v>
      </c>
      <c r="AA355" s="438">
        <v>0</v>
      </c>
      <c r="AB355" s="438">
        <v>0</v>
      </c>
      <c r="AC355" s="438">
        <v>119000</v>
      </c>
      <c r="AD355" s="438">
        <v>82110</v>
      </c>
      <c r="AE355" s="438">
        <v>0</v>
      </c>
      <c r="AF355" s="438">
        <v>0</v>
      </c>
      <c r="AG355" s="438">
        <v>119000</v>
      </c>
      <c r="AH355" s="438">
        <v>82110</v>
      </c>
      <c r="AI355" s="438">
        <v>33536</v>
      </c>
      <c r="AJ355" s="438">
        <v>3354</v>
      </c>
      <c r="AK355" s="438">
        <v>36890</v>
      </c>
      <c r="AL355" s="414" t="str">
        <f t="shared" si="30"/>
        <v>워커힐 시그니처 양념 본갈비 300g, 8개</v>
      </c>
      <c r="AM355" s="395">
        <f t="shared" si="31"/>
        <v>46060</v>
      </c>
      <c r="AN355" s="396">
        <f t="shared" si="32"/>
        <v>1</v>
      </c>
      <c r="AO355" s="109">
        <f t="shared" si="33"/>
        <v>119000</v>
      </c>
      <c r="AP355" s="109">
        <f t="shared" si="34"/>
        <v>108181.81818181818</v>
      </c>
      <c r="AQ355" s="397">
        <f t="shared" si="35"/>
        <v>108181.81818181818</v>
      </c>
    </row>
    <row r="356" spans="1:43" ht="24">
      <c r="A356" s="436" t="s">
        <v>4446</v>
      </c>
      <c r="B356" s="436" t="s">
        <v>3490</v>
      </c>
      <c r="C356" s="437" t="s">
        <v>3491</v>
      </c>
      <c r="D356" s="436" t="s">
        <v>4396</v>
      </c>
      <c r="E356" s="437" t="s">
        <v>4397</v>
      </c>
      <c r="F356" s="436" t="s">
        <v>3494</v>
      </c>
      <c r="G356" s="436" t="s">
        <v>3495</v>
      </c>
      <c r="H356" s="437" t="s">
        <v>3496</v>
      </c>
      <c r="I356" s="436" t="s">
        <v>3497</v>
      </c>
      <c r="J356" s="437" t="s">
        <v>3498</v>
      </c>
      <c r="K356" s="437" t="s">
        <v>3499</v>
      </c>
      <c r="L356" s="436" t="s">
        <v>3500</v>
      </c>
      <c r="M356" s="436" t="s">
        <v>3524</v>
      </c>
      <c r="N356" s="436" t="s">
        <v>3502</v>
      </c>
      <c r="O356" s="438">
        <v>119000</v>
      </c>
      <c r="P356" s="438">
        <v>82110</v>
      </c>
      <c r="Q356" s="438">
        <v>1</v>
      </c>
      <c r="R356" s="438">
        <v>0</v>
      </c>
      <c r="S356" s="438">
        <v>0</v>
      </c>
      <c r="T356" s="438">
        <v>0</v>
      </c>
      <c r="U356" s="438">
        <v>0</v>
      </c>
      <c r="V356" s="438">
        <v>0</v>
      </c>
      <c r="W356" s="438">
        <v>31</v>
      </c>
      <c r="X356" s="438">
        <v>19040</v>
      </c>
      <c r="Y356" s="438">
        <v>0</v>
      </c>
      <c r="Z356" s="438">
        <v>0</v>
      </c>
      <c r="AA356" s="438">
        <v>0</v>
      </c>
      <c r="AB356" s="438">
        <v>0</v>
      </c>
      <c r="AC356" s="438">
        <v>119000</v>
      </c>
      <c r="AD356" s="438">
        <v>82110</v>
      </c>
      <c r="AE356" s="438">
        <v>0</v>
      </c>
      <c r="AF356" s="438">
        <v>19040</v>
      </c>
      <c r="AG356" s="438">
        <v>99960</v>
      </c>
      <c r="AH356" s="438">
        <v>82110</v>
      </c>
      <c r="AI356" s="438">
        <v>16227</v>
      </c>
      <c r="AJ356" s="438">
        <v>1623</v>
      </c>
      <c r="AK356" s="438">
        <v>17850</v>
      </c>
      <c r="AL356" s="414" t="str">
        <f t="shared" si="30"/>
        <v>워커힐 시그니처 양념 본갈비 300g, 8개</v>
      </c>
      <c r="AM356" s="395">
        <f t="shared" si="31"/>
        <v>46060</v>
      </c>
      <c r="AN356" s="396">
        <f t="shared" si="32"/>
        <v>1</v>
      </c>
      <c r="AO356" s="109">
        <f t="shared" si="33"/>
        <v>119000</v>
      </c>
      <c r="AP356" s="109">
        <f t="shared" si="34"/>
        <v>108181.81818181818</v>
      </c>
      <c r="AQ356" s="397">
        <f t="shared" si="35"/>
        <v>108181.81818181818</v>
      </c>
    </row>
    <row r="357" spans="1:43" ht="24">
      <c r="A357" s="436" t="s">
        <v>4448</v>
      </c>
      <c r="B357" s="436" t="s">
        <v>3490</v>
      </c>
      <c r="C357" s="437" t="s">
        <v>3491</v>
      </c>
      <c r="D357" s="436" t="s">
        <v>4409</v>
      </c>
      <c r="E357" s="437" t="s">
        <v>4410</v>
      </c>
      <c r="F357" s="436" t="s">
        <v>3494</v>
      </c>
      <c r="G357" s="436" t="s">
        <v>3495</v>
      </c>
      <c r="H357" s="437" t="s">
        <v>3496</v>
      </c>
      <c r="I357" s="436" t="s">
        <v>3497</v>
      </c>
      <c r="J357" s="437" t="s">
        <v>3498</v>
      </c>
      <c r="K357" s="437" t="s">
        <v>3499</v>
      </c>
      <c r="L357" s="436" t="s">
        <v>3500</v>
      </c>
      <c r="M357" s="436" t="s">
        <v>3524</v>
      </c>
      <c r="N357" s="436" t="s">
        <v>3502</v>
      </c>
      <c r="O357" s="438">
        <v>119000</v>
      </c>
      <c r="P357" s="438">
        <v>82110</v>
      </c>
      <c r="Q357" s="438">
        <v>1</v>
      </c>
      <c r="R357" s="438">
        <v>0</v>
      </c>
      <c r="S357" s="438">
        <v>0</v>
      </c>
      <c r="T357" s="438">
        <v>0</v>
      </c>
      <c r="U357" s="438">
        <v>0</v>
      </c>
      <c r="V357" s="438">
        <v>0</v>
      </c>
      <c r="W357" s="438">
        <v>31</v>
      </c>
      <c r="X357" s="438">
        <v>13090</v>
      </c>
      <c r="Y357" s="438">
        <v>0</v>
      </c>
      <c r="Z357" s="438">
        <v>0</v>
      </c>
      <c r="AA357" s="438">
        <v>0</v>
      </c>
      <c r="AB357" s="438">
        <v>0</v>
      </c>
      <c r="AC357" s="438">
        <v>119000</v>
      </c>
      <c r="AD357" s="438">
        <v>82110</v>
      </c>
      <c r="AE357" s="438">
        <v>0</v>
      </c>
      <c r="AF357" s="438">
        <v>13090</v>
      </c>
      <c r="AG357" s="438">
        <v>105910</v>
      </c>
      <c r="AH357" s="438">
        <v>82110</v>
      </c>
      <c r="AI357" s="438">
        <v>21636</v>
      </c>
      <c r="AJ357" s="438">
        <v>2164</v>
      </c>
      <c r="AK357" s="438">
        <v>23800</v>
      </c>
      <c r="AL357" s="414" t="str">
        <f t="shared" si="30"/>
        <v>워커힐 시그니처 양념 본갈비 300g, 8개</v>
      </c>
      <c r="AM357" s="395">
        <f t="shared" si="31"/>
        <v>46060</v>
      </c>
      <c r="AN357" s="396">
        <f t="shared" si="32"/>
        <v>1</v>
      </c>
      <c r="AO357" s="109">
        <f t="shared" si="33"/>
        <v>119000</v>
      </c>
      <c r="AP357" s="109">
        <f t="shared" si="34"/>
        <v>108181.81818181818</v>
      </c>
      <c r="AQ357" s="397">
        <f t="shared" si="35"/>
        <v>108181.81818181818</v>
      </c>
    </row>
    <row r="358" spans="1:43" ht="24">
      <c r="A358" s="436" t="s">
        <v>4451</v>
      </c>
      <c r="B358" s="436" t="s">
        <v>3490</v>
      </c>
      <c r="C358" s="437" t="s">
        <v>3491</v>
      </c>
      <c r="D358" s="436" t="s">
        <v>4415</v>
      </c>
      <c r="E358" s="437" t="s">
        <v>4416</v>
      </c>
      <c r="F358" s="436" t="s">
        <v>3494</v>
      </c>
      <c r="G358" s="436" t="s">
        <v>3495</v>
      </c>
      <c r="H358" s="437" t="s">
        <v>3496</v>
      </c>
      <c r="I358" s="436" t="s">
        <v>3497</v>
      </c>
      <c r="J358" s="437" t="s">
        <v>3498</v>
      </c>
      <c r="K358" s="437" t="s">
        <v>3499</v>
      </c>
      <c r="L358" s="436" t="s">
        <v>3500</v>
      </c>
      <c r="M358" s="436" t="s">
        <v>3524</v>
      </c>
      <c r="N358" s="436" t="s">
        <v>3502</v>
      </c>
      <c r="O358" s="438">
        <v>119000</v>
      </c>
      <c r="P358" s="438">
        <v>82110</v>
      </c>
      <c r="Q358" s="438">
        <v>1</v>
      </c>
      <c r="R358" s="438">
        <v>0</v>
      </c>
      <c r="S358" s="438">
        <v>0</v>
      </c>
      <c r="T358" s="438">
        <v>0</v>
      </c>
      <c r="U358" s="438">
        <v>0</v>
      </c>
      <c r="V358" s="438">
        <v>0</v>
      </c>
      <c r="W358" s="438">
        <v>31</v>
      </c>
      <c r="X358" s="438">
        <v>0</v>
      </c>
      <c r="Y358" s="438">
        <v>0</v>
      </c>
      <c r="Z358" s="438">
        <v>0</v>
      </c>
      <c r="AA358" s="438">
        <v>0</v>
      </c>
      <c r="AB358" s="438">
        <v>0</v>
      </c>
      <c r="AC358" s="438">
        <v>119000</v>
      </c>
      <c r="AD358" s="438">
        <v>82110</v>
      </c>
      <c r="AE358" s="438">
        <v>0</v>
      </c>
      <c r="AF358" s="438">
        <v>0</v>
      </c>
      <c r="AG358" s="438">
        <v>119000</v>
      </c>
      <c r="AH358" s="438">
        <v>82110</v>
      </c>
      <c r="AI358" s="438">
        <v>33536</v>
      </c>
      <c r="AJ358" s="438">
        <v>3354</v>
      </c>
      <c r="AK358" s="438">
        <v>36890</v>
      </c>
      <c r="AL358" s="414" t="str">
        <f t="shared" si="30"/>
        <v>워커힐 시그니처 양념 본갈비 300g, 8개</v>
      </c>
      <c r="AM358" s="395">
        <f t="shared" si="31"/>
        <v>46060</v>
      </c>
      <c r="AN358" s="396">
        <f t="shared" si="32"/>
        <v>1</v>
      </c>
      <c r="AO358" s="109">
        <f t="shared" si="33"/>
        <v>119000</v>
      </c>
      <c r="AP358" s="109">
        <f t="shared" si="34"/>
        <v>108181.81818181818</v>
      </c>
      <c r="AQ358" s="397">
        <f t="shared" si="35"/>
        <v>108181.81818181818</v>
      </c>
    </row>
    <row r="359" spans="1:43" ht="24">
      <c r="A359" s="436" t="s">
        <v>4453</v>
      </c>
      <c r="B359" s="436" t="s">
        <v>3490</v>
      </c>
      <c r="C359" s="437" t="s">
        <v>3491</v>
      </c>
      <c r="D359" s="436" t="s">
        <v>4424</v>
      </c>
      <c r="E359" s="437" t="s">
        <v>4425</v>
      </c>
      <c r="F359" s="436" t="s">
        <v>3494</v>
      </c>
      <c r="G359" s="436" t="s">
        <v>3495</v>
      </c>
      <c r="H359" s="437" t="s">
        <v>3496</v>
      </c>
      <c r="I359" s="436" t="s">
        <v>3497</v>
      </c>
      <c r="J359" s="437" t="s">
        <v>3498</v>
      </c>
      <c r="K359" s="437" t="s">
        <v>3548</v>
      </c>
      <c r="L359" s="436" t="s">
        <v>3500</v>
      </c>
      <c r="M359" s="436" t="s">
        <v>3524</v>
      </c>
      <c r="N359" s="436" t="s">
        <v>3502</v>
      </c>
      <c r="O359" s="438">
        <v>119000</v>
      </c>
      <c r="P359" s="438">
        <v>82110</v>
      </c>
      <c r="Q359" s="438">
        <v>1</v>
      </c>
      <c r="R359" s="438">
        <v>0</v>
      </c>
      <c r="S359" s="438">
        <v>0</v>
      </c>
      <c r="T359" s="438">
        <v>0</v>
      </c>
      <c r="U359" s="438">
        <v>0</v>
      </c>
      <c r="V359" s="438">
        <v>0</v>
      </c>
      <c r="W359" s="438">
        <v>31</v>
      </c>
      <c r="X359" s="438">
        <v>0</v>
      </c>
      <c r="Y359" s="438">
        <v>0</v>
      </c>
      <c r="Z359" s="438">
        <v>0</v>
      </c>
      <c r="AA359" s="438">
        <v>0</v>
      </c>
      <c r="AB359" s="438">
        <v>0</v>
      </c>
      <c r="AC359" s="438">
        <v>119000</v>
      </c>
      <c r="AD359" s="438">
        <v>82110</v>
      </c>
      <c r="AE359" s="438">
        <v>0</v>
      </c>
      <c r="AF359" s="438">
        <v>0</v>
      </c>
      <c r="AG359" s="438">
        <v>119000</v>
      </c>
      <c r="AH359" s="438">
        <v>82110</v>
      </c>
      <c r="AI359" s="438">
        <v>33536</v>
      </c>
      <c r="AJ359" s="438">
        <v>3354</v>
      </c>
      <c r="AK359" s="438">
        <v>36890</v>
      </c>
      <c r="AL359" s="414" t="str">
        <f t="shared" si="30"/>
        <v>워커힐 시그니처 양념 본갈비 300g, 8개</v>
      </c>
      <c r="AM359" s="395">
        <f t="shared" si="31"/>
        <v>46060</v>
      </c>
      <c r="AN359" s="396">
        <f t="shared" si="32"/>
        <v>1</v>
      </c>
      <c r="AO359" s="109">
        <f t="shared" si="33"/>
        <v>119000</v>
      </c>
      <c r="AP359" s="109">
        <f t="shared" si="34"/>
        <v>108181.81818181818</v>
      </c>
      <c r="AQ359" s="397">
        <f t="shared" si="35"/>
        <v>108181.81818181818</v>
      </c>
    </row>
    <row r="360" spans="1:43" ht="24">
      <c r="A360" s="436" t="s">
        <v>4456</v>
      </c>
      <c r="B360" s="436" t="s">
        <v>3490</v>
      </c>
      <c r="C360" s="437" t="s">
        <v>3491</v>
      </c>
      <c r="D360" s="436" t="s">
        <v>4429</v>
      </c>
      <c r="E360" s="437" t="s">
        <v>4430</v>
      </c>
      <c r="F360" s="436" t="s">
        <v>3494</v>
      </c>
      <c r="G360" s="436" t="s">
        <v>3495</v>
      </c>
      <c r="H360" s="437" t="s">
        <v>3496</v>
      </c>
      <c r="I360" s="436" t="s">
        <v>3497</v>
      </c>
      <c r="J360" s="437" t="s">
        <v>3498</v>
      </c>
      <c r="K360" s="437" t="s">
        <v>3499</v>
      </c>
      <c r="L360" s="436" t="s">
        <v>3500</v>
      </c>
      <c r="M360" s="436" t="s">
        <v>3524</v>
      </c>
      <c r="N360" s="436" t="s">
        <v>3502</v>
      </c>
      <c r="O360" s="438">
        <v>119000</v>
      </c>
      <c r="P360" s="438">
        <v>82110</v>
      </c>
      <c r="Q360" s="438">
        <v>1</v>
      </c>
      <c r="R360" s="438">
        <v>0</v>
      </c>
      <c r="S360" s="438">
        <v>0</v>
      </c>
      <c r="T360" s="438">
        <v>0</v>
      </c>
      <c r="U360" s="438">
        <v>0</v>
      </c>
      <c r="V360" s="438">
        <v>0</v>
      </c>
      <c r="W360" s="438">
        <v>31</v>
      </c>
      <c r="X360" s="438">
        <v>0</v>
      </c>
      <c r="Y360" s="438">
        <v>0</v>
      </c>
      <c r="Z360" s="438">
        <v>0</v>
      </c>
      <c r="AA360" s="438">
        <v>0</v>
      </c>
      <c r="AB360" s="438">
        <v>5950</v>
      </c>
      <c r="AC360" s="438">
        <v>119000</v>
      </c>
      <c r="AD360" s="438">
        <v>82110</v>
      </c>
      <c r="AE360" s="438">
        <v>0</v>
      </c>
      <c r="AF360" s="438">
        <v>5950</v>
      </c>
      <c r="AG360" s="438">
        <v>113050</v>
      </c>
      <c r="AH360" s="438">
        <v>82110</v>
      </c>
      <c r="AI360" s="438">
        <v>28127</v>
      </c>
      <c r="AJ360" s="438">
        <v>2813</v>
      </c>
      <c r="AK360" s="438">
        <v>30940</v>
      </c>
      <c r="AL360" s="414" t="str">
        <f t="shared" si="30"/>
        <v>워커힐 시그니처 양념 본갈비 300g, 8개</v>
      </c>
      <c r="AM360" s="395">
        <f t="shared" si="31"/>
        <v>46060</v>
      </c>
      <c r="AN360" s="396">
        <f t="shared" si="32"/>
        <v>1</v>
      </c>
      <c r="AO360" s="109">
        <f t="shared" si="33"/>
        <v>119000</v>
      </c>
      <c r="AP360" s="109">
        <f t="shared" si="34"/>
        <v>108181.81818181818</v>
      </c>
      <c r="AQ360" s="397">
        <f t="shared" si="35"/>
        <v>108181.81818181818</v>
      </c>
    </row>
    <row r="361" spans="1:43" ht="24">
      <c r="A361" s="436" t="s">
        <v>4458</v>
      </c>
      <c r="B361" s="436" t="s">
        <v>3490</v>
      </c>
      <c r="C361" s="437" t="s">
        <v>3491</v>
      </c>
      <c r="D361" s="436" t="s">
        <v>4432</v>
      </c>
      <c r="E361" s="437" t="s">
        <v>4433</v>
      </c>
      <c r="F361" s="436" t="s">
        <v>3494</v>
      </c>
      <c r="G361" s="436" t="s">
        <v>3495</v>
      </c>
      <c r="H361" s="437" t="s">
        <v>3496</v>
      </c>
      <c r="I361" s="436" t="s">
        <v>3497</v>
      </c>
      <c r="J361" s="437" t="s">
        <v>3498</v>
      </c>
      <c r="K361" s="437" t="s">
        <v>3499</v>
      </c>
      <c r="L361" s="436" t="s">
        <v>3500</v>
      </c>
      <c r="M361" s="436" t="s">
        <v>3524</v>
      </c>
      <c r="N361" s="436" t="s">
        <v>3502</v>
      </c>
      <c r="O361" s="438">
        <v>119000</v>
      </c>
      <c r="P361" s="438">
        <v>82110</v>
      </c>
      <c r="Q361" s="438">
        <v>1</v>
      </c>
      <c r="R361" s="438">
        <v>0</v>
      </c>
      <c r="S361" s="438">
        <v>0</v>
      </c>
      <c r="T361" s="438">
        <v>0</v>
      </c>
      <c r="U361" s="438">
        <v>0</v>
      </c>
      <c r="V361" s="438">
        <v>0</v>
      </c>
      <c r="W361" s="438">
        <v>31</v>
      </c>
      <c r="X361" s="438">
        <v>19040</v>
      </c>
      <c r="Y361" s="438">
        <v>0</v>
      </c>
      <c r="Z361" s="438">
        <v>0</v>
      </c>
      <c r="AA361" s="438">
        <v>0</v>
      </c>
      <c r="AB361" s="438">
        <v>0</v>
      </c>
      <c r="AC361" s="438">
        <v>119000</v>
      </c>
      <c r="AD361" s="438">
        <v>82110</v>
      </c>
      <c r="AE361" s="438">
        <v>0</v>
      </c>
      <c r="AF361" s="438">
        <v>19040</v>
      </c>
      <c r="AG361" s="438">
        <v>99960</v>
      </c>
      <c r="AH361" s="438">
        <v>82110</v>
      </c>
      <c r="AI361" s="438">
        <v>16227</v>
      </c>
      <c r="AJ361" s="438">
        <v>1623</v>
      </c>
      <c r="AK361" s="438">
        <v>17850</v>
      </c>
      <c r="AL361" s="414" t="str">
        <f t="shared" si="30"/>
        <v>워커힐 시그니처 양념 본갈비 300g, 8개</v>
      </c>
      <c r="AM361" s="395">
        <f t="shared" si="31"/>
        <v>46060</v>
      </c>
      <c r="AN361" s="396">
        <f t="shared" si="32"/>
        <v>1</v>
      </c>
      <c r="AO361" s="109">
        <f t="shared" si="33"/>
        <v>119000</v>
      </c>
      <c r="AP361" s="109">
        <f t="shared" si="34"/>
        <v>108181.81818181818</v>
      </c>
      <c r="AQ361" s="397">
        <f t="shared" si="35"/>
        <v>108181.81818181818</v>
      </c>
    </row>
    <row r="362" spans="1:43" ht="24">
      <c r="A362" s="436" t="s">
        <v>4461</v>
      </c>
      <c r="B362" s="436" t="s">
        <v>3490</v>
      </c>
      <c r="C362" s="437" t="s">
        <v>3491</v>
      </c>
      <c r="D362" s="436" t="s">
        <v>4442</v>
      </c>
      <c r="E362" s="437" t="s">
        <v>3829</v>
      </c>
      <c r="F362" s="436" t="s">
        <v>3494</v>
      </c>
      <c r="G362" s="436" t="s">
        <v>3495</v>
      </c>
      <c r="H362" s="437" t="s">
        <v>3496</v>
      </c>
      <c r="I362" s="436" t="s">
        <v>3497</v>
      </c>
      <c r="J362" s="437" t="s">
        <v>3498</v>
      </c>
      <c r="K362" s="437" t="s">
        <v>3499</v>
      </c>
      <c r="L362" s="436" t="s">
        <v>3500</v>
      </c>
      <c r="M362" s="436" t="s">
        <v>3524</v>
      </c>
      <c r="N362" s="436" t="s">
        <v>3502</v>
      </c>
      <c r="O362" s="438">
        <v>119000</v>
      </c>
      <c r="P362" s="438">
        <v>82110</v>
      </c>
      <c r="Q362" s="438">
        <v>1</v>
      </c>
      <c r="R362" s="438">
        <v>0</v>
      </c>
      <c r="S362" s="438">
        <v>0</v>
      </c>
      <c r="T362" s="438">
        <v>0</v>
      </c>
      <c r="U362" s="438">
        <v>0</v>
      </c>
      <c r="V362" s="438">
        <v>0</v>
      </c>
      <c r="W362" s="438">
        <v>31</v>
      </c>
      <c r="X362" s="438">
        <v>0</v>
      </c>
      <c r="Y362" s="438">
        <v>0</v>
      </c>
      <c r="Z362" s="438">
        <v>0</v>
      </c>
      <c r="AA362" s="438">
        <v>0</v>
      </c>
      <c r="AB362" s="438">
        <v>0</v>
      </c>
      <c r="AC362" s="438">
        <v>119000</v>
      </c>
      <c r="AD362" s="438">
        <v>82110</v>
      </c>
      <c r="AE362" s="438">
        <v>0</v>
      </c>
      <c r="AF362" s="438">
        <v>0</v>
      </c>
      <c r="AG362" s="438">
        <v>119000</v>
      </c>
      <c r="AH362" s="438">
        <v>82110</v>
      </c>
      <c r="AI362" s="438">
        <v>33536</v>
      </c>
      <c r="AJ362" s="438">
        <v>3354</v>
      </c>
      <c r="AK362" s="438">
        <v>36890</v>
      </c>
      <c r="AL362" s="414" t="str">
        <f t="shared" si="30"/>
        <v>워커힐 시그니처 양념 본갈비 300g, 8개</v>
      </c>
      <c r="AM362" s="395">
        <f t="shared" si="31"/>
        <v>46060</v>
      </c>
      <c r="AN362" s="396">
        <f t="shared" si="32"/>
        <v>1</v>
      </c>
      <c r="AO362" s="109">
        <f t="shared" si="33"/>
        <v>119000</v>
      </c>
      <c r="AP362" s="109">
        <f t="shared" si="34"/>
        <v>108181.81818181818</v>
      </c>
      <c r="AQ362" s="397">
        <f t="shared" si="35"/>
        <v>108181.81818181818</v>
      </c>
    </row>
    <row r="363" spans="1:43" ht="24">
      <c r="A363" s="436" t="s">
        <v>4463</v>
      </c>
      <c r="B363" s="436" t="s">
        <v>3490</v>
      </c>
      <c r="C363" s="437" t="s">
        <v>3491</v>
      </c>
      <c r="D363" s="436" t="s">
        <v>4234</v>
      </c>
      <c r="E363" s="437" t="s">
        <v>4235</v>
      </c>
      <c r="F363" s="436" t="s">
        <v>3494</v>
      </c>
      <c r="G363" s="436" t="s">
        <v>3495</v>
      </c>
      <c r="H363" s="437" t="s">
        <v>3496</v>
      </c>
      <c r="I363" s="436" t="s">
        <v>3497</v>
      </c>
      <c r="J363" s="437" t="s">
        <v>3498</v>
      </c>
      <c r="K363" s="437" t="s">
        <v>3499</v>
      </c>
      <c r="L363" s="436" t="s">
        <v>3500</v>
      </c>
      <c r="M363" s="436" t="s">
        <v>3524</v>
      </c>
      <c r="N363" s="436" t="s">
        <v>3502</v>
      </c>
      <c r="O363" s="438">
        <v>119000</v>
      </c>
      <c r="P363" s="438">
        <v>82110</v>
      </c>
      <c r="Q363" s="438">
        <v>1</v>
      </c>
      <c r="R363" s="438">
        <v>0</v>
      </c>
      <c r="S363" s="438">
        <v>0</v>
      </c>
      <c r="T363" s="438">
        <v>0</v>
      </c>
      <c r="U363" s="438">
        <v>0</v>
      </c>
      <c r="V363" s="438">
        <v>0</v>
      </c>
      <c r="W363" s="438">
        <v>31</v>
      </c>
      <c r="X363" s="438">
        <v>0</v>
      </c>
      <c r="Y363" s="438">
        <v>0</v>
      </c>
      <c r="Z363" s="438">
        <v>0</v>
      </c>
      <c r="AA363" s="438">
        <v>0</v>
      </c>
      <c r="AB363" s="438">
        <v>0</v>
      </c>
      <c r="AC363" s="438">
        <v>119000</v>
      </c>
      <c r="AD363" s="438">
        <v>82110</v>
      </c>
      <c r="AE363" s="438">
        <v>0</v>
      </c>
      <c r="AF363" s="438">
        <v>0</v>
      </c>
      <c r="AG363" s="438">
        <v>119000</v>
      </c>
      <c r="AH363" s="438">
        <v>82110</v>
      </c>
      <c r="AI363" s="438">
        <v>33536</v>
      </c>
      <c r="AJ363" s="438">
        <v>3354</v>
      </c>
      <c r="AK363" s="438">
        <v>36890</v>
      </c>
      <c r="AL363" s="414" t="str">
        <f t="shared" si="30"/>
        <v>워커힐 시그니처 양념 본갈비 300g, 8개</v>
      </c>
      <c r="AM363" s="395">
        <f t="shared" si="31"/>
        <v>46060</v>
      </c>
      <c r="AN363" s="396">
        <f t="shared" si="32"/>
        <v>1</v>
      </c>
      <c r="AO363" s="109">
        <f t="shared" si="33"/>
        <v>119000</v>
      </c>
      <c r="AP363" s="109">
        <f t="shared" si="34"/>
        <v>108181.81818181818</v>
      </c>
      <c r="AQ363" s="397">
        <f t="shared" si="35"/>
        <v>108181.81818181818</v>
      </c>
    </row>
    <row r="364" spans="1:43" ht="24">
      <c r="A364" s="436" t="s">
        <v>4465</v>
      </c>
      <c r="B364" s="436" t="s">
        <v>3490</v>
      </c>
      <c r="C364" s="437" t="s">
        <v>3491</v>
      </c>
      <c r="D364" s="436" t="s">
        <v>4082</v>
      </c>
      <c r="E364" s="437" t="s">
        <v>4083</v>
      </c>
      <c r="F364" s="436" t="s">
        <v>3494</v>
      </c>
      <c r="G364" s="436" t="s">
        <v>3495</v>
      </c>
      <c r="H364" s="437" t="s">
        <v>3496</v>
      </c>
      <c r="I364" s="436" t="s">
        <v>3497</v>
      </c>
      <c r="J364" s="437" t="s">
        <v>3498</v>
      </c>
      <c r="K364" s="437" t="s">
        <v>3499</v>
      </c>
      <c r="L364" s="436" t="s">
        <v>3500</v>
      </c>
      <c r="M364" s="436" t="s">
        <v>3524</v>
      </c>
      <c r="N364" s="436" t="s">
        <v>3502</v>
      </c>
      <c r="O364" s="438">
        <v>119000</v>
      </c>
      <c r="P364" s="438">
        <v>82110</v>
      </c>
      <c r="Q364" s="438">
        <v>1</v>
      </c>
      <c r="R364" s="438">
        <v>0</v>
      </c>
      <c r="S364" s="438">
        <v>0</v>
      </c>
      <c r="T364" s="438">
        <v>0</v>
      </c>
      <c r="U364" s="438">
        <v>0</v>
      </c>
      <c r="V364" s="438">
        <v>0</v>
      </c>
      <c r="W364" s="438">
        <v>31</v>
      </c>
      <c r="X364" s="438">
        <v>13090</v>
      </c>
      <c r="Y364" s="438">
        <v>0</v>
      </c>
      <c r="Z364" s="438">
        <v>0</v>
      </c>
      <c r="AA364" s="438">
        <v>0</v>
      </c>
      <c r="AB364" s="438">
        <v>0</v>
      </c>
      <c r="AC364" s="438">
        <v>119000</v>
      </c>
      <c r="AD364" s="438">
        <v>82110</v>
      </c>
      <c r="AE364" s="438">
        <v>0</v>
      </c>
      <c r="AF364" s="438">
        <v>13090</v>
      </c>
      <c r="AG364" s="438">
        <v>105910</v>
      </c>
      <c r="AH364" s="438">
        <v>82110</v>
      </c>
      <c r="AI364" s="438">
        <v>21636</v>
      </c>
      <c r="AJ364" s="438">
        <v>2164</v>
      </c>
      <c r="AK364" s="438">
        <v>23800</v>
      </c>
      <c r="AL364" s="414" t="str">
        <f t="shared" si="30"/>
        <v>워커힐 시그니처 양념 본갈비 300g, 8개</v>
      </c>
      <c r="AM364" s="395">
        <f t="shared" si="31"/>
        <v>46060</v>
      </c>
      <c r="AN364" s="396">
        <f t="shared" si="32"/>
        <v>1</v>
      </c>
      <c r="AO364" s="109">
        <f t="shared" si="33"/>
        <v>119000</v>
      </c>
      <c r="AP364" s="109">
        <f t="shared" si="34"/>
        <v>108181.81818181818</v>
      </c>
      <c r="AQ364" s="397">
        <f t="shared" si="35"/>
        <v>108181.81818181818</v>
      </c>
    </row>
    <row r="365" spans="1:43" ht="24">
      <c r="A365" s="436" t="s">
        <v>4468</v>
      </c>
      <c r="B365" s="436" t="s">
        <v>3490</v>
      </c>
      <c r="C365" s="437" t="s">
        <v>3491</v>
      </c>
      <c r="D365" s="436" t="s">
        <v>4444</v>
      </c>
      <c r="E365" s="437" t="s">
        <v>4445</v>
      </c>
      <c r="F365" s="436" t="s">
        <v>3494</v>
      </c>
      <c r="G365" s="436" t="s">
        <v>3495</v>
      </c>
      <c r="H365" s="437" t="s">
        <v>3496</v>
      </c>
      <c r="I365" s="436" t="s">
        <v>3497</v>
      </c>
      <c r="J365" s="437" t="s">
        <v>3498</v>
      </c>
      <c r="K365" s="437" t="s">
        <v>3499</v>
      </c>
      <c r="L365" s="436" t="s">
        <v>3500</v>
      </c>
      <c r="M365" s="436" t="s">
        <v>3524</v>
      </c>
      <c r="N365" s="436" t="s">
        <v>3502</v>
      </c>
      <c r="O365" s="438">
        <v>119000</v>
      </c>
      <c r="P365" s="438">
        <v>82110</v>
      </c>
      <c r="Q365" s="438">
        <v>1</v>
      </c>
      <c r="R365" s="438">
        <v>0</v>
      </c>
      <c r="S365" s="438">
        <v>0</v>
      </c>
      <c r="T365" s="438">
        <v>0</v>
      </c>
      <c r="U365" s="438">
        <v>0</v>
      </c>
      <c r="V365" s="438">
        <v>0</v>
      </c>
      <c r="W365" s="438">
        <v>31</v>
      </c>
      <c r="X365" s="438">
        <v>0</v>
      </c>
      <c r="Y365" s="438">
        <v>0</v>
      </c>
      <c r="Z365" s="438">
        <v>0</v>
      </c>
      <c r="AA365" s="438">
        <v>0</v>
      </c>
      <c r="AB365" s="438">
        <v>0</v>
      </c>
      <c r="AC365" s="438">
        <v>119000</v>
      </c>
      <c r="AD365" s="438">
        <v>82110</v>
      </c>
      <c r="AE365" s="438">
        <v>0</v>
      </c>
      <c r="AF365" s="438">
        <v>0</v>
      </c>
      <c r="AG365" s="438">
        <v>119000</v>
      </c>
      <c r="AH365" s="438">
        <v>82110</v>
      </c>
      <c r="AI365" s="438">
        <v>33536</v>
      </c>
      <c r="AJ365" s="438">
        <v>3354</v>
      </c>
      <c r="AK365" s="438">
        <v>36890</v>
      </c>
      <c r="AL365" s="414" t="str">
        <f t="shared" si="30"/>
        <v>워커힐 시그니처 양념 본갈비 300g, 8개</v>
      </c>
      <c r="AM365" s="395">
        <f t="shared" si="31"/>
        <v>46060</v>
      </c>
      <c r="AN365" s="396">
        <f t="shared" si="32"/>
        <v>1</v>
      </c>
      <c r="AO365" s="109">
        <f t="shared" si="33"/>
        <v>119000</v>
      </c>
      <c r="AP365" s="109">
        <f t="shared" si="34"/>
        <v>108181.81818181818</v>
      </c>
      <c r="AQ365" s="397">
        <f t="shared" si="35"/>
        <v>108181.81818181818</v>
      </c>
    </row>
    <row r="366" spans="1:43" ht="24">
      <c r="A366" s="436" t="s">
        <v>4471</v>
      </c>
      <c r="B366" s="436" t="s">
        <v>3490</v>
      </c>
      <c r="C366" s="437" t="s">
        <v>3491</v>
      </c>
      <c r="D366" s="436" t="s">
        <v>4237</v>
      </c>
      <c r="E366" s="437" t="s">
        <v>3700</v>
      </c>
      <c r="F366" s="436" t="s">
        <v>3494</v>
      </c>
      <c r="G366" s="436" t="s">
        <v>3495</v>
      </c>
      <c r="H366" s="437" t="s">
        <v>3496</v>
      </c>
      <c r="I366" s="436" t="s">
        <v>3497</v>
      </c>
      <c r="J366" s="437" t="s">
        <v>3498</v>
      </c>
      <c r="K366" s="437" t="s">
        <v>3548</v>
      </c>
      <c r="L366" s="436" t="s">
        <v>3500</v>
      </c>
      <c r="M366" s="436" t="s">
        <v>3524</v>
      </c>
      <c r="N366" s="436" t="s">
        <v>3502</v>
      </c>
      <c r="O366" s="438">
        <v>119000</v>
      </c>
      <c r="P366" s="438">
        <v>82110</v>
      </c>
      <c r="Q366" s="438">
        <v>1</v>
      </c>
      <c r="R366" s="438">
        <v>0</v>
      </c>
      <c r="S366" s="438">
        <v>0</v>
      </c>
      <c r="T366" s="438">
        <v>0</v>
      </c>
      <c r="U366" s="438">
        <v>0</v>
      </c>
      <c r="V366" s="438">
        <v>0</v>
      </c>
      <c r="W366" s="438">
        <v>31</v>
      </c>
      <c r="X366" s="438">
        <v>0</v>
      </c>
      <c r="Y366" s="438">
        <v>0</v>
      </c>
      <c r="Z366" s="438">
        <v>0</v>
      </c>
      <c r="AA366" s="438">
        <v>0</v>
      </c>
      <c r="AB366" s="438">
        <v>0</v>
      </c>
      <c r="AC366" s="438">
        <v>119000</v>
      </c>
      <c r="AD366" s="438">
        <v>82110</v>
      </c>
      <c r="AE366" s="438">
        <v>0</v>
      </c>
      <c r="AF366" s="438">
        <v>0</v>
      </c>
      <c r="AG366" s="438">
        <v>119000</v>
      </c>
      <c r="AH366" s="438">
        <v>82110</v>
      </c>
      <c r="AI366" s="438">
        <v>33536</v>
      </c>
      <c r="AJ366" s="438">
        <v>3354</v>
      </c>
      <c r="AK366" s="438">
        <v>36890</v>
      </c>
      <c r="AL366" s="414" t="str">
        <f t="shared" si="30"/>
        <v>워커힐 시그니처 양념 본갈비 300g, 8개</v>
      </c>
      <c r="AM366" s="395">
        <f t="shared" si="31"/>
        <v>46060</v>
      </c>
      <c r="AN366" s="396">
        <f t="shared" si="32"/>
        <v>1</v>
      </c>
      <c r="AO366" s="109">
        <f t="shared" si="33"/>
        <v>119000</v>
      </c>
      <c r="AP366" s="109">
        <f t="shared" si="34"/>
        <v>108181.81818181818</v>
      </c>
      <c r="AQ366" s="397">
        <f t="shared" si="35"/>
        <v>108181.81818181818</v>
      </c>
    </row>
    <row r="367" spans="1:43" ht="24">
      <c r="A367" s="436" t="s">
        <v>4474</v>
      </c>
      <c r="B367" s="436" t="s">
        <v>3490</v>
      </c>
      <c r="C367" s="437" t="s">
        <v>3491</v>
      </c>
      <c r="D367" s="436" t="s">
        <v>4447</v>
      </c>
      <c r="E367" s="437" t="s">
        <v>4065</v>
      </c>
      <c r="F367" s="436" t="s">
        <v>3494</v>
      </c>
      <c r="G367" s="436" t="s">
        <v>3495</v>
      </c>
      <c r="H367" s="437" t="s">
        <v>3496</v>
      </c>
      <c r="I367" s="436" t="s">
        <v>3497</v>
      </c>
      <c r="J367" s="437" t="s">
        <v>3498</v>
      </c>
      <c r="K367" s="437" t="s">
        <v>3499</v>
      </c>
      <c r="L367" s="436" t="s">
        <v>3500</v>
      </c>
      <c r="M367" s="436" t="s">
        <v>3524</v>
      </c>
      <c r="N367" s="436" t="s">
        <v>3502</v>
      </c>
      <c r="O367" s="438">
        <v>119000</v>
      </c>
      <c r="P367" s="438">
        <v>82110</v>
      </c>
      <c r="Q367" s="438">
        <v>1</v>
      </c>
      <c r="R367" s="438">
        <v>0</v>
      </c>
      <c r="S367" s="438">
        <v>0</v>
      </c>
      <c r="T367" s="438">
        <v>0</v>
      </c>
      <c r="U367" s="438">
        <v>0</v>
      </c>
      <c r="V367" s="438">
        <v>0</v>
      </c>
      <c r="W367" s="438">
        <v>31</v>
      </c>
      <c r="X367" s="438">
        <v>0</v>
      </c>
      <c r="Y367" s="438">
        <v>0</v>
      </c>
      <c r="Z367" s="438">
        <v>0</v>
      </c>
      <c r="AA367" s="438">
        <v>0</v>
      </c>
      <c r="AB367" s="438">
        <v>0</v>
      </c>
      <c r="AC367" s="438">
        <v>119000</v>
      </c>
      <c r="AD367" s="438">
        <v>82110</v>
      </c>
      <c r="AE367" s="438">
        <v>0</v>
      </c>
      <c r="AF367" s="438">
        <v>0</v>
      </c>
      <c r="AG367" s="438">
        <v>119000</v>
      </c>
      <c r="AH367" s="438">
        <v>82110</v>
      </c>
      <c r="AI367" s="438">
        <v>33536</v>
      </c>
      <c r="AJ367" s="438">
        <v>3354</v>
      </c>
      <c r="AK367" s="438">
        <v>36890</v>
      </c>
      <c r="AL367" s="414" t="str">
        <f t="shared" si="30"/>
        <v>워커힐 시그니처 양념 본갈비 300g, 8개</v>
      </c>
      <c r="AM367" s="395">
        <f t="shared" si="31"/>
        <v>46060</v>
      </c>
      <c r="AN367" s="396">
        <f t="shared" si="32"/>
        <v>1</v>
      </c>
      <c r="AO367" s="109">
        <f t="shared" si="33"/>
        <v>119000</v>
      </c>
      <c r="AP367" s="109">
        <f t="shared" si="34"/>
        <v>108181.81818181818</v>
      </c>
      <c r="AQ367" s="397">
        <f t="shared" si="35"/>
        <v>108181.81818181818</v>
      </c>
    </row>
    <row r="368" spans="1:43" ht="24">
      <c r="A368" s="436" t="s">
        <v>4476</v>
      </c>
      <c r="B368" s="436" t="s">
        <v>3490</v>
      </c>
      <c r="C368" s="437" t="s">
        <v>3491</v>
      </c>
      <c r="D368" s="436" t="s">
        <v>4452</v>
      </c>
      <c r="E368" s="437" t="s">
        <v>3836</v>
      </c>
      <c r="F368" s="436" t="s">
        <v>3494</v>
      </c>
      <c r="G368" s="436" t="s">
        <v>3495</v>
      </c>
      <c r="H368" s="437" t="s">
        <v>3496</v>
      </c>
      <c r="I368" s="436" t="s">
        <v>3497</v>
      </c>
      <c r="J368" s="437" t="s">
        <v>3498</v>
      </c>
      <c r="K368" s="437" t="s">
        <v>3499</v>
      </c>
      <c r="L368" s="436" t="s">
        <v>3500</v>
      </c>
      <c r="M368" s="436" t="s">
        <v>3524</v>
      </c>
      <c r="N368" s="436" t="s">
        <v>3502</v>
      </c>
      <c r="O368" s="438">
        <v>119000</v>
      </c>
      <c r="P368" s="438">
        <v>82110</v>
      </c>
      <c r="Q368" s="438">
        <v>1</v>
      </c>
      <c r="R368" s="438">
        <v>0</v>
      </c>
      <c r="S368" s="438">
        <v>0</v>
      </c>
      <c r="T368" s="438">
        <v>0</v>
      </c>
      <c r="U368" s="438">
        <v>0</v>
      </c>
      <c r="V368" s="438">
        <v>0</v>
      </c>
      <c r="W368" s="438">
        <v>31</v>
      </c>
      <c r="X368" s="438">
        <v>0</v>
      </c>
      <c r="Y368" s="438">
        <v>0</v>
      </c>
      <c r="Z368" s="438">
        <v>0</v>
      </c>
      <c r="AA368" s="438">
        <v>0</v>
      </c>
      <c r="AB368" s="438">
        <v>0</v>
      </c>
      <c r="AC368" s="438">
        <v>119000</v>
      </c>
      <c r="AD368" s="438">
        <v>82110</v>
      </c>
      <c r="AE368" s="438">
        <v>0</v>
      </c>
      <c r="AF368" s="438">
        <v>0</v>
      </c>
      <c r="AG368" s="438">
        <v>119000</v>
      </c>
      <c r="AH368" s="438">
        <v>82110</v>
      </c>
      <c r="AI368" s="438">
        <v>33536</v>
      </c>
      <c r="AJ368" s="438">
        <v>3354</v>
      </c>
      <c r="AK368" s="438">
        <v>36890</v>
      </c>
      <c r="AL368" s="414" t="str">
        <f t="shared" si="30"/>
        <v>워커힐 시그니처 양념 본갈비 300g, 8개</v>
      </c>
      <c r="AM368" s="395">
        <f t="shared" si="31"/>
        <v>46060</v>
      </c>
      <c r="AN368" s="396">
        <f t="shared" si="32"/>
        <v>1</v>
      </c>
      <c r="AO368" s="109">
        <f t="shared" si="33"/>
        <v>119000</v>
      </c>
      <c r="AP368" s="109">
        <f t="shared" si="34"/>
        <v>108181.81818181818</v>
      </c>
      <c r="AQ368" s="397">
        <f t="shared" si="35"/>
        <v>108181.81818181818</v>
      </c>
    </row>
    <row r="369" spans="1:43" ht="24">
      <c r="A369" s="436" t="s">
        <v>4478</v>
      </c>
      <c r="B369" s="436" t="s">
        <v>3490</v>
      </c>
      <c r="C369" s="437" t="s">
        <v>3491</v>
      </c>
      <c r="D369" s="436" t="s">
        <v>4288</v>
      </c>
      <c r="E369" s="437" t="s">
        <v>4289</v>
      </c>
      <c r="F369" s="436" t="s">
        <v>3494</v>
      </c>
      <c r="G369" s="436" t="s">
        <v>3495</v>
      </c>
      <c r="H369" s="437" t="s">
        <v>3496</v>
      </c>
      <c r="I369" s="436" t="s">
        <v>3497</v>
      </c>
      <c r="J369" s="437" t="s">
        <v>3498</v>
      </c>
      <c r="K369" s="437" t="s">
        <v>3499</v>
      </c>
      <c r="L369" s="436" t="s">
        <v>3500</v>
      </c>
      <c r="M369" s="436" t="s">
        <v>3524</v>
      </c>
      <c r="N369" s="436" t="s">
        <v>3502</v>
      </c>
      <c r="O369" s="438">
        <v>119000</v>
      </c>
      <c r="P369" s="438">
        <v>82110</v>
      </c>
      <c r="Q369" s="438">
        <v>1</v>
      </c>
      <c r="R369" s="438">
        <v>0</v>
      </c>
      <c r="S369" s="438">
        <v>0</v>
      </c>
      <c r="T369" s="438">
        <v>0</v>
      </c>
      <c r="U369" s="438">
        <v>0</v>
      </c>
      <c r="V369" s="438">
        <v>0</v>
      </c>
      <c r="W369" s="438">
        <v>31</v>
      </c>
      <c r="X369" s="438">
        <v>0</v>
      </c>
      <c r="Y369" s="438">
        <v>0</v>
      </c>
      <c r="Z369" s="438">
        <v>0</v>
      </c>
      <c r="AA369" s="438">
        <v>0</v>
      </c>
      <c r="AB369" s="438">
        <v>0</v>
      </c>
      <c r="AC369" s="438">
        <v>119000</v>
      </c>
      <c r="AD369" s="438">
        <v>82110</v>
      </c>
      <c r="AE369" s="438">
        <v>0</v>
      </c>
      <c r="AF369" s="438">
        <v>0</v>
      </c>
      <c r="AG369" s="438">
        <v>119000</v>
      </c>
      <c r="AH369" s="438">
        <v>82110</v>
      </c>
      <c r="AI369" s="438">
        <v>33536</v>
      </c>
      <c r="AJ369" s="438">
        <v>3354</v>
      </c>
      <c r="AK369" s="438">
        <v>36890</v>
      </c>
      <c r="AL369" s="414" t="str">
        <f t="shared" si="30"/>
        <v>워커힐 시그니처 양념 본갈비 300g, 8개</v>
      </c>
      <c r="AM369" s="395">
        <f t="shared" si="31"/>
        <v>46060</v>
      </c>
      <c r="AN369" s="396">
        <f t="shared" si="32"/>
        <v>1</v>
      </c>
      <c r="AO369" s="109">
        <f t="shared" si="33"/>
        <v>119000</v>
      </c>
      <c r="AP369" s="109">
        <f t="shared" si="34"/>
        <v>108181.81818181818</v>
      </c>
      <c r="AQ369" s="397">
        <f t="shared" si="35"/>
        <v>108181.81818181818</v>
      </c>
    </row>
    <row r="370" spans="1:43" ht="24">
      <c r="A370" s="436" t="s">
        <v>4481</v>
      </c>
      <c r="B370" s="436" t="s">
        <v>3490</v>
      </c>
      <c r="C370" s="437" t="s">
        <v>3491</v>
      </c>
      <c r="D370" s="436" t="s">
        <v>4507</v>
      </c>
      <c r="E370" s="437" t="s">
        <v>4508</v>
      </c>
      <c r="F370" s="436" t="s">
        <v>3494</v>
      </c>
      <c r="G370" s="436" t="s">
        <v>3495</v>
      </c>
      <c r="H370" s="437" t="s">
        <v>3496</v>
      </c>
      <c r="I370" s="436" t="s">
        <v>3497</v>
      </c>
      <c r="J370" s="437" t="s">
        <v>3498</v>
      </c>
      <c r="K370" s="437" t="s">
        <v>3499</v>
      </c>
      <c r="L370" s="436" t="s">
        <v>3500</v>
      </c>
      <c r="M370" s="436" t="s">
        <v>3524</v>
      </c>
      <c r="N370" s="436" t="s">
        <v>3502</v>
      </c>
      <c r="O370" s="438">
        <v>119000</v>
      </c>
      <c r="P370" s="438">
        <v>82110</v>
      </c>
      <c r="Q370" s="438">
        <v>1</v>
      </c>
      <c r="R370" s="438">
        <v>0</v>
      </c>
      <c r="S370" s="438">
        <v>0</v>
      </c>
      <c r="T370" s="438">
        <v>0</v>
      </c>
      <c r="U370" s="438">
        <v>0</v>
      </c>
      <c r="V370" s="438">
        <v>0</v>
      </c>
      <c r="W370" s="438">
        <v>31</v>
      </c>
      <c r="X370" s="438">
        <v>0</v>
      </c>
      <c r="Y370" s="438">
        <v>0</v>
      </c>
      <c r="Z370" s="438">
        <v>0</v>
      </c>
      <c r="AA370" s="438">
        <v>0</v>
      </c>
      <c r="AB370" s="438">
        <v>0</v>
      </c>
      <c r="AC370" s="438">
        <v>119000</v>
      </c>
      <c r="AD370" s="438">
        <v>82110</v>
      </c>
      <c r="AE370" s="438">
        <v>0</v>
      </c>
      <c r="AF370" s="438">
        <v>0</v>
      </c>
      <c r="AG370" s="438">
        <v>119000</v>
      </c>
      <c r="AH370" s="438">
        <v>82110</v>
      </c>
      <c r="AI370" s="438">
        <v>33536</v>
      </c>
      <c r="AJ370" s="438">
        <v>3354</v>
      </c>
      <c r="AK370" s="438">
        <v>36890</v>
      </c>
      <c r="AL370" s="414" t="str">
        <f t="shared" si="30"/>
        <v>워커힐 시그니처 양념 본갈비 300g, 8개</v>
      </c>
      <c r="AM370" s="395">
        <f t="shared" si="31"/>
        <v>46060</v>
      </c>
      <c r="AN370" s="396">
        <f t="shared" si="32"/>
        <v>1</v>
      </c>
      <c r="AO370" s="109">
        <f t="shared" si="33"/>
        <v>119000</v>
      </c>
      <c r="AP370" s="109">
        <f t="shared" si="34"/>
        <v>108181.81818181818</v>
      </c>
      <c r="AQ370" s="397">
        <f t="shared" si="35"/>
        <v>108181.81818181818</v>
      </c>
    </row>
    <row r="371" spans="1:43" ht="24">
      <c r="A371" s="436" t="s">
        <v>4484</v>
      </c>
      <c r="B371" s="436" t="s">
        <v>3490</v>
      </c>
      <c r="C371" s="437" t="s">
        <v>3491</v>
      </c>
      <c r="D371" s="436" t="s">
        <v>4454</v>
      </c>
      <c r="E371" s="437" t="s">
        <v>4455</v>
      </c>
      <c r="F371" s="436" t="s">
        <v>3494</v>
      </c>
      <c r="G371" s="436" t="s">
        <v>3495</v>
      </c>
      <c r="H371" s="437" t="s">
        <v>3496</v>
      </c>
      <c r="I371" s="436" t="s">
        <v>3497</v>
      </c>
      <c r="J371" s="437" t="s">
        <v>3498</v>
      </c>
      <c r="K371" s="437" t="s">
        <v>3499</v>
      </c>
      <c r="L371" s="436" t="s">
        <v>3500</v>
      </c>
      <c r="M371" s="436" t="s">
        <v>3524</v>
      </c>
      <c r="N371" s="436" t="s">
        <v>3502</v>
      </c>
      <c r="O371" s="438">
        <v>119000</v>
      </c>
      <c r="P371" s="438">
        <v>82110</v>
      </c>
      <c r="Q371" s="438">
        <v>1</v>
      </c>
      <c r="R371" s="438">
        <v>0</v>
      </c>
      <c r="S371" s="438">
        <v>0</v>
      </c>
      <c r="T371" s="438">
        <v>0</v>
      </c>
      <c r="U371" s="438">
        <v>0</v>
      </c>
      <c r="V371" s="438">
        <v>0</v>
      </c>
      <c r="W371" s="438">
        <v>31</v>
      </c>
      <c r="X371" s="438">
        <v>0</v>
      </c>
      <c r="Y371" s="438">
        <v>0</v>
      </c>
      <c r="Z371" s="438">
        <v>0</v>
      </c>
      <c r="AA371" s="438">
        <v>0</v>
      </c>
      <c r="AB371" s="438">
        <v>0</v>
      </c>
      <c r="AC371" s="438">
        <v>119000</v>
      </c>
      <c r="AD371" s="438">
        <v>82110</v>
      </c>
      <c r="AE371" s="438">
        <v>0</v>
      </c>
      <c r="AF371" s="438">
        <v>0</v>
      </c>
      <c r="AG371" s="438">
        <v>119000</v>
      </c>
      <c r="AH371" s="438">
        <v>82110</v>
      </c>
      <c r="AI371" s="438">
        <v>33536</v>
      </c>
      <c r="AJ371" s="438">
        <v>3354</v>
      </c>
      <c r="AK371" s="438">
        <v>36890</v>
      </c>
      <c r="AL371" s="414" t="str">
        <f t="shared" si="30"/>
        <v>워커힐 시그니처 양념 본갈비 300g, 8개</v>
      </c>
      <c r="AM371" s="395">
        <f t="shared" si="31"/>
        <v>46060</v>
      </c>
      <c r="AN371" s="396">
        <f t="shared" si="32"/>
        <v>1</v>
      </c>
      <c r="AO371" s="109">
        <f t="shared" si="33"/>
        <v>119000</v>
      </c>
      <c r="AP371" s="109">
        <f t="shared" si="34"/>
        <v>108181.81818181818</v>
      </c>
      <c r="AQ371" s="397">
        <f t="shared" si="35"/>
        <v>108181.81818181818</v>
      </c>
    </row>
    <row r="372" spans="1:43" ht="24">
      <c r="A372" s="436" t="s">
        <v>4487</v>
      </c>
      <c r="B372" s="436" t="s">
        <v>3490</v>
      </c>
      <c r="C372" s="437" t="s">
        <v>3491</v>
      </c>
      <c r="D372" s="436" t="s">
        <v>4521</v>
      </c>
      <c r="E372" s="437" t="s">
        <v>4522</v>
      </c>
      <c r="F372" s="436" t="s">
        <v>3494</v>
      </c>
      <c r="G372" s="436" t="s">
        <v>3495</v>
      </c>
      <c r="H372" s="437" t="s">
        <v>3496</v>
      </c>
      <c r="I372" s="436" t="s">
        <v>3497</v>
      </c>
      <c r="J372" s="437" t="s">
        <v>3498</v>
      </c>
      <c r="K372" s="437" t="s">
        <v>3499</v>
      </c>
      <c r="L372" s="436" t="s">
        <v>3500</v>
      </c>
      <c r="M372" s="436" t="s">
        <v>3524</v>
      </c>
      <c r="N372" s="436" t="s">
        <v>3502</v>
      </c>
      <c r="O372" s="438">
        <v>119000</v>
      </c>
      <c r="P372" s="438">
        <v>82110</v>
      </c>
      <c r="Q372" s="438">
        <v>1</v>
      </c>
      <c r="R372" s="438">
        <v>0</v>
      </c>
      <c r="S372" s="438">
        <v>0</v>
      </c>
      <c r="T372" s="438">
        <v>0</v>
      </c>
      <c r="U372" s="438">
        <v>0</v>
      </c>
      <c r="V372" s="438">
        <v>0</v>
      </c>
      <c r="W372" s="438">
        <v>31</v>
      </c>
      <c r="X372" s="438">
        <v>19040</v>
      </c>
      <c r="Y372" s="438">
        <v>0</v>
      </c>
      <c r="Z372" s="438">
        <v>0</v>
      </c>
      <c r="AA372" s="438">
        <v>0</v>
      </c>
      <c r="AB372" s="438">
        <v>0</v>
      </c>
      <c r="AC372" s="438">
        <v>119000</v>
      </c>
      <c r="AD372" s="438">
        <v>82110</v>
      </c>
      <c r="AE372" s="438">
        <v>0</v>
      </c>
      <c r="AF372" s="438">
        <v>19040</v>
      </c>
      <c r="AG372" s="438">
        <v>99960</v>
      </c>
      <c r="AH372" s="438">
        <v>82110</v>
      </c>
      <c r="AI372" s="438">
        <v>16227</v>
      </c>
      <c r="AJ372" s="438">
        <v>1623</v>
      </c>
      <c r="AK372" s="438">
        <v>17850</v>
      </c>
      <c r="AL372" s="414" t="str">
        <f t="shared" si="30"/>
        <v>워커힐 시그니처 양념 본갈비 300g, 8개</v>
      </c>
      <c r="AM372" s="395">
        <f t="shared" si="31"/>
        <v>46060</v>
      </c>
      <c r="AN372" s="396">
        <f t="shared" si="32"/>
        <v>1</v>
      </c>
      <c r="AO372" s="109">
        <f t="shared" si="33"/>
        <v>119000</v>
      </c>
      <c r="AP372" s="109">
        <f t="shared" si="34"/>
        <v>108181.81818181818</v>
      </c>
      <c r="AQ372" s="397">
        <f t="shared" si="35"/>
        <v>108181.81818181818</v>
      </c>
    </row>
    <row r="373" spans="1:43" ht="24">
      <c r="A373" s="436" t="s">
        <v>4489</v>
      </c>
      <c r="B373" s="436" t="s">
        <v>3490</v>
      </c>
      <c r="C373" s="437" t="s">
        <v>3491</v>
      </c>
      <c r="D373" s="436" t="s">
        <v>4459</v>
      </c>
      <c r="E373" s="437" t="s">
        <v>4460</v>
      </c>
      <c r="F373" s="436" t="s">
        <v>3494</v>
      </c>
      <c r="G373" s="436" t="s">
        <v>3495</v>
      </c>
      <c r="H373" s="437" t="s">
        <v>3496</v>
      </c>
      <c r="I373" s="436" t="s">
        <v>3497</v>
      </c>
      <c r="J373" s="437" t="s">
        <v>3498</v>
      </c>
      <c r="K373" s="437" t="s">
        <v>3499</v>
      </c>
      <c r="L373" s="436" t="s">
        <v>3500</v>
      </c>
      <c r="M373" s="436" t="s">
        <v>3524</v>
      </c>
      <c r="N373" s="436" t="s">
        <v>3502</v>
      </c>
      <c r="O373" s="438">
        <v>119000</v>
      </c>
      <c r="P373" s="438">
        <v>82110</v>
      </c>
      <c r="Q373" s="438">
        <v>1</v>
      </c>
      <c r="R373" s="438">
        <v>0</v>
      </c>
      <c r="S373" s="438">
        <v>0</v>
      </c>
      <c r="T373" s="438">
        <v>0</v>
      </c>
      <c r="U373" s="438">
        <v>0</v>
      </c>
      <c r="V373" s="438">
        <v>0</v>
      </c>
      <c r="W373" s="438">
        <v>31</v>
      </c>
      <c r="X373" s="438">
        <v>0</v>
      </c>
      <c r="Y373" s="438">
        <v>0</v>
      </c>
      <c r="Z373" s="438">
        <v>0</v>
      </c>
      <c r="AA373" s="438">
        <v>0</v>
      </c>
      <c r="AB373" s="438">
        <v>0</v>
      </c>
      <c r="AC373" s="438">
        <v>119000</v>
      </c>
      <c r="AD373" s="438">
        <v>82110</v>
      </c>
      <c r="AE373" s="438">
        <v>0</v>
      </c>
      <c r="AF373" s="438">
        <v>0</v>
      </c>
      <c r="AG373" s="438">
        <v>119000</v>
      </c>
      <c r="AH373" s="438">
        <v>82110</v>
      </c>
      <c r="AI373" s="438">
        <v>33536</v>
      </c>
      <c r="AJ373" s="438">
        <v>3354</v>
      </c>
      <c r="AK373" s="438">
        <v>36890</v>
      </c>
      <c r="AL373" s="414" t="str">
        <f t="shared" si="30"/>
        <v>워커힐 시그니처 양념 본갈비 300g, 8개</v>
      </c>
      <c r="AM373" s="395">
        <f t="shared" si="31"/>
        <v>46060</v>
      </c>
      <c r="AN373" s="396">
        <f t="shared" si="32"/>
        <v>1</v>
      </c>
      <c r="AO373" s="109">
        <f t="shared" si="33"/>
        <v>119000</v>
      </c>
      <c r="AP373" s="109">
        <f t="shared" si="34"/>
        <v>108181.81818181818</v>
      </c>
      <c r="AQ373" s="397">
        <f t="shared" si="35"/>
        <v>108181.81818181818</v>
      </c>
    </row>
    <row r="374" spans="1:43" ht="24">
      <c r="A374" s="436" t="s">
        <v>4492</v>
      </c>
      <c r="B374" s="436" t="s">
        <v>3490</v>
      </c>
      <c r="C374" s="437" t="s">
        <v>3491</v>
      </c>
      <c r="D374" s="436" t="s">
        <v>4535</v>
      </c>
      <c r="E374" s="437" t="s">
        <v>4536</v>
      </c>
      <c r="F374" s="436" t="s">
        <v>3494</v>
      </c>
      <c r="G374" s="436" t="s">
        <v>3495</v>
      </c>
      <c r="H374" s="437" t="s">
        <v>3496</v>
      </c>
      <c r="I374" s="436" t="s">
        <v>3497</v>
      </c>
      <c r="J374" s="437" t="s">
        <v>3498</v>
      </c>
      <c r="K374" s="437" t="s">
        <v>3499</v>
      </c>
      <c r="L374" s="436" t="s">
        <v>3500</v>
      </c>
      <c r="M374" s="436" t="s">
        <v>3524</v>
      </c>
      <c r="N374" s="436" t="s">
        <v>3502</v>
      </c>
      <c r="O374" s="438">
        <v>119000</v>
      </c>
      <c r="P374" s="438">
        <v>82110</v>
      </c>
      <c r="Q374" s="438">
        <v>1</v>
      </c>
      <c r="R374" s="438">
        <v>0</v>
      </c>
      <c r="S374" s="438">
        <v>0</v>
      </c>
      <c r="T374" s="438">
        <v>0</v>
      </c>
      <c r="U374" s="438">
        <v>0</v>
      </c>
      <c r="V374" s="438">
        <v>0</v>
      </c>
      <c r="W374" s="438">
        <v>31</v>
      </c>
      <c r="X374" s="438">
        <v>0</v>
      </c>
      <c r="Y374" s="438">
        <v>0</v>
      </c>
      <c r="Z374" s="438">
        <v>0</v>
      </c>
      <c r="AA374" s="438">
        <v>0</v>
      </c>
      <c r="AB374" s="438">
        <v>0</v>
      </c>
      <c r="AC374" s="438">
        <v>119000</v>
      </c>
      <c r="AD374" s="438">
        <v>82110</v>
      </c>
      <c r="AE374" s="438">
        <v>0</v>
      </c>
      <c r="AF374" s="438">
        <v>0</v>
      </c>
      <c r="AG374" s="438">
        <v>119000</v>
      </c>
      <c r="AH374" s="438">
        <v>82110</v>
      </c>
      <c r="AI374" s="438">
        <v>33536</v>
      </c>
      <c r="AJ374" s="438">
        <v>3354</v>
      </c>
      <c r="AK374" s="438">
        <v>36890</v>
      </c>
      <c r="AL374" s="414" t="str">
        <f t="shared" si="30"/>
        <v>워커힐 시그니처 양념 본갈비 300g, 8개</v>
      </c>
      <c r="AM374" s="395">
        <f t="shared" si="31"/>
        <v>46060</v>
      </c>
      <c r="AN374" s="396">
        <f t="shared" si="32"/>
        <v>1</v>
      </c>
      <c r="AO374" s="109">
        <f t="shared" si="33"/>
        <v>119000</v>
      </c>
      <c r="AP374" s="109">
        <f t="shared" si="34"/>
        <v>108181.81818181818</v>
      </c>
      <c r="AQ374" s="397">
        <f t="shared" si="35"/>
        <v>108181.81818181818</v>
      </c>
    </row>
    <row r="375" spans="1:43" ht="24">
      <c r="A375" s="436" t="s">
        <v>4495</v>
      </c>
      <c r="B375" s="436" t="s">
        <v>3490</v>
      </c>
      <c r="C375" s="437" t="s">
        <v>3491</v>
      </c>
      <c r="D375" s="436" t="s">
        <v>4462</v>
      </c>
      <c r="E375" s="437" t="s">
        <v>3533</v>
      </c>
      <c r="F375" s="436" t="s">
        <v>3494</v>
      </c>
      <c r="G375" s="436" t="s">
        <v>3495</v>
      </c>
      <c r="H375" s="437" t="s">
        <v>3496</v>
      </c>
      <c r="I375" s="436" t="s">
        <v>3497</v>
      </c>
      <c r="J375" s="437" t="s">
        <v>3498</v>
      </c>
      <c r="K375" s="437" t="s">
        <v>3499</v>
      </c>
      <c r="L375" s="436" t="s">
        <v>3500</v>
      </c>
      <c r="M375" s="436" t="s">
        <v>3524</v>
      </c>
      <c r="N375" s="436" t="s">
        <v>3502</v>
      </c>
      <c r="O375" s="438">
        <v>119000</v>
      </c>
      <c r="P375" s="438">
        <v>82110</v>
      </c>
      <c r="Q375" s="438">
        <v>1</v>
      </c>
      <c r="R375" s="438">
        <v>0</v>
      </c>
      <c r="S375" s="438">
        <v>0</v>
      </c>
      <c r="T375" s="438">
        <v>0</v>
      </c>
      <c r="U375" s="438">
        <v>0</v>
      </c>
      <c r="V375" s="438">
        <v>0</v>
      </c>
      <c r="W375" s="438">
        <v>31</v>
      </c>
      <c r="X375" s="438">
        <v>0</v>
      </c>
      <c r="Y375" s="438">
        <v>0</v>
      </c>
      <c r="Z375" s="438">
        <v>0</v>
      </c>
      <c r="AA375" s="438">
        <v>0</v>
      </c>
      <c r="AB375" s="438">
        <v>0</v>
      </c>
      <c r="AC375" s="438">
        <v>119000</v>
      </c>
      <c r="AD375" s="438">
        <v>82110</v>
      </c>
      <c r="AE375" s="438">
        <v>0</v>
      </c>
      <c r="AF375" s="438">
        <v>0</v>
      </c>
      <c r="AG375" s="438">
        <v>119000</v>
      </c>
      <c r="AH375" s="438">
        <v>82110</v>
      </c>
      <c r="AI375" s="438">
        <v>33536</v>
      </c>
      <c r="AJ375" s="438">
        <v>3354</v>
      </c>
      <c r="AK375" s="438">
        <v>36890</v>
      </c>
      <c r="AL375" s="414" t="str">
        <f t="shared" si="30"/>
        <v>워커힐 시그니처 양념 본갈비 300g, 8개</v>
      </c>
      <c r="AM375" s="395">
        <f t="shared" si="31"/>
        <v>46060</v>
      </c>
      <c r="AN375" s="396">
        <f t="shared" si="32"/>
        <v>1</v>
      </c>
      <c r="AO375" s="109">
        <f t="shared" si="33"/>
        <v>119000</v>
      </c>
      <c r="AP375" s="109">
        <f t="shared" si="34"/>
        <v>108181.81818181818</v>
      </c>
      <c r="AQ375" s="397">
        <f t="shared" si="35"/>
        <v>108181.81818181818</v>
      </c>
    </row>
    <row r="376" spans="1:43" ht="24">
      <c r="A376" s="436" t="s">
        <v>4498</v>
      </c>
      <c r="B376" s="436" t="s">
        <v>3490</v>
      </c>
      <c r="C376" s="437" t="s">
        <v>3491</v>
      </c>
      <c r="D376" s="436" t="s">
        <v>4559</v>
      </c>
      <c r="E376" s="437" t="s">
        <v>4560</v>
      </c>
      <c r="F376" s="436" t="s">
        <v>3494</v>
      </c>
      <c r="G376" s="436" t="s">
        <v>3495</v>
      </c>
      <c r="H376" s="437" t="s">
        <v>3496</v>
      </c>
      <c r="I376" s="436" t="s">
        <v>3497</v>
      </c>
      <c r="J376" s="437" t="s">
        <v>3498</v>
      </c>
      <c r="K376" s="437" t="s">
        <v>3499</v>
      </c>
      <c r="L376" s="436" t="s">
        <v>3500</v>
      </c>
      <c r="M376" s="436" t="s">
        <v>3524</v>
      </c>
      <c r="N376" s="436" t="s">
        <v>3502</v>
      </c>
      <c r="O376" s="438">
        <v>119000</v>
      </c>
      <c r="P376" s="438">
        <v>82110</v>
      </c>
      <c r="Q376" s="438">
        <v>1</v>
      </c>
      <c r="R376" s="438">
        <v>0</v>
      </c>
      <c r="S376" s="438">
        <v>0</v>
      </c>
      <c r="T376" s="438">
        <v>0</v>
      </c>
      <c r="U376" s="438">
        <v>0</v>
      </c>
      <c r="V376" s="438">
        <v>0</v>
      </c>
      <c r="W376" s="438">
        <v>31</v>
      </c>
      <c r="X376" s="438">
        <v>0</v>
      </c>
      <c r="Y376" s="438">
        <v>0</v>
      </c>
      <c r="Z376" s="438">
        <v>0</v>
      </c>
      <c r="AA376" s="438">
        <v>0</v>
      </c>
      <c r="AB376" s="438">
        <v>5950</v>
      </c>
      <c r="AC376" s="438">
        <v>119000</v>
      </c>
      <c r="AD376" s="438">
        <v>82110</v>
      </c>
      <c r="AE376" s="438">
        <v>0</v>
      </c>
      <c r="AF376" s="438">
        <v>5950</v>
      </c>
      <c r="AG376" s="438">
        <v>113050</v>
      </c>
      <c r="AH376" s="438">
        <v>82110</v>
      </c>
      <c r="AI376" s="438">
        <v>28127</v>
      </c>
      <c r="AJ376" s="438">
        <v>2813</v>
      </c>
      <c r="AK376" s="438">
        <v>30940</v>
      </c>
      <c r="AL376" s="414" t="str">
        <f t="shared" si="30"/>
        <v>워커힐 시그니처 양념 본갈비 300g, 8개</v>
      </c>
      <c r="AM376" s="395">
        <f t="shared" si="31"/>
        <v>46060</v>
      </c>
      <c r="AN376" s="396">
        <f t="shared" si="32"/>
        <v>1</v>
      </c>
      <c r="AO376" s="109">
        <f t="shared" si="33"/>
        <v>119000</v>
      </c>
      <c r="AP376" s="109">
        <f t="shared" si="34"/>
        <v>108181.81818181818</v>
      </c>
      <c r="AQ376" s="397">
        <f t="shared" si="35"/>
        <v>108181.81818181818</v>
      </c>
    </row>
    <row r="377" spans="1:43" ht="24">
      <c r="A377" s="436" t="s">
        <v>4501</v>
      </c>
      <c r="B377" s="436" t="s">
        <v>3490</v>
      </c>
      <c r="C377" s="437" t="s">
        <v>3491</v>
      </c>
      <c r="D377" s="436" t="s">
        <v>4479</v>
      </c>
      <c r="E377" s="437" t="s">
        <v>4480</v>
      </c>
      <c r="F377" s="436" t="s">
        <v>3494</v>
      </c>
      <c r="G377" s="436" t="s">
        <v>3495</v>
      </c>
      <c r="H377" s="437" t="s">
        <v>3496</v>
      </c>
      <c r="I377" s="436" t="s">
        <v>3497</v>
      </c>
      <c r="J377" s="437" t="s">
        <v>3498</v>
      </c>
      <c r="K377" s="437" t="s">
        <v>3499</v>
      </c>
      <c r="L377" s="436" t="s">
        <v>3500</v>
      </c>
      <c r="M377" s="436" t="s">
        <v>3524</v>
      </c>
      <c r="N377" s="436" t="s">
        <v>3502</v>
      </c>
      <c r="O377" s="438">
        <v>119000</v>
      </c>
      <c r="P377" s="438">
        <v>82110</v>
      </c>
      <c r="Q377" s="438">
        <v>1</v>
      </c>
      <c r="R377" s="438">
        <v>0</v>
      </c>
      <c r="S377" s="438">
        <v>0</v>
      </c>
      <c r="T377" s="438">
        <v>0</v>
      </c>
      <c r="U377" s="438">
        <v>0</v>
      </c>
      <c r="V377" s="438">
        <v>0</v>
      </c>
      <c r="W377" s="438">
        <v>31</v>
      </c>
      <c r="X377" s="438">
        <v>0</v>
      </c>
      <c r="Y377" s="438">
        <v>0</v>
      </c>
      <c r="Z377" s="438">
        <v>0</v>
      </c>
      <c r="AA377" s="438">
        <v>0</v>
      </c>
      <c r="AB377" s="438">
        <v>0</v>
      </c>
      <c r="AC377" s="438">
        <v>119000</v>
      </c>
      <c r="AD377" s="438">
        <v>82110</v>
      </c>
      <c r="AE377" s="438">
        <v>0</v>
      </c>
      <c r="AF377" s="438">
        <v>0</v>
      </c>
      <c r="AG377" s="438">
        <v>119000</v>
      </c>
      <c r="AH377" s="438">
        <v>82110</v>
      </c>
      <c r="AI377" s="438">
        <v>33536</v>
      </c>
      <c r="AJ377" s="438">
        <v>3354</v>
      </c>
      <c r="AK377" s="438">
        <v>36890</v>
      </c>
      <c r="AL377" s="414" t="str">
        <f t="shared" si="30"/>
        <v>워커힐 시그니처 양념 본갈비 300g, 8개</v>
      </c>
      <c r="AM377" s="395">
        <f t="shared" si="31"/>
        <v>46060</v>
      </c>
      <c r="AN377" s="396">
        <f t="shared" si="32"/>
        <v>1</v>
      </c>
      <c r="AO377" s="109">
        <f t="shared" si="33"/>
        <v>119000</v>
      </c>
      <c r="AP377" s="109">
        <f t="shared" si="34"/>
        <v>108181.81818181818</v>
      </c>
      <c r="AQ377" s="397">
        <f t="shared" si="35"/>
        <v>108181.81818181818</v>
      </c>
    </row>
    <row r="378" spans="1:43" ht="24">
      <c r="A378" s="436" t="s">
        <v>4504</v>
      </c>
      <c r="B378" s="436" t="s">
        <v>3490</v>
      </c>
      <c r="C378" s="437" t="s">
        <v>3491</v>
      </c>
      <c r="D378" s="436" t="s">
        <v>4573</v>
      </c>
      <c r="E378" s="437" t="s">
        <v>3561</v>
      </c>
      <c r="F378" s="436" t="s">
        <v>3494</v>
      </c>
      <c r="G378" s="436" t="s">
        <v>3495</v>
      </c>
      <c r="H378" s="437" t="s">
        <v>3496</v>
      </c>
      <c r="I378" s="436" t="s">
        <v>3497</v>
      </c>
      <c r="J378" s="437" t="s">
        <v>3498</v>
      </c>
      <c r="K378" s="437" t="s">
        <v>3499</v>
      </c>
      <c r="L378" s="436" t="s">
        <v>3500</v>
      </c>
      <c r="M378" s="436" t="s">
        <v>3524</v>
      </c>
      <c r="N378" s="436" t="s">
        <v>3502</v>
      </c>
      <c r="O378" s="438">
        <v>119000</v>
      </c>
      <c r="P378" s="438">
        <v>82110</v>
      </c>
      <c r="Q378" s="438">
        <v>1</v>
      </c>
      <c r="R378" s="438">
        <v>0</v>
      </c>
      <c r="S378" s="438">
        <v>0</v>
      </c>
      <c r="T378" s="438">
        <v>0</v>
      </c>
      <c r="U378" s="438">
        <v>0</v>
      </c>
      <c r="V378" s="438">
        <v>0</v>
      </c>
      <c r="W378" s="438">
        <v>31</v>
      </c>
      <c r="X378" s="438">
        <v>0</v>
      </c>
      <c r="Y378" s="438">
        <v>5000</v>
      </c>
      <c r="Z378" s="438">
        <v>0</v>
      </c>
      <c r="AA378" s="438">
        <v>0</v>
      </c>
      <c r="AB378" s="438">
        <v>0</v>
      </c>
      <c r="AC378" s="438">
        <v>119000</v>
      </c>
      <c r="AD378" s="438">
        <v>82110</v>
      </c>
      <c r="AE378" s="438">
        <v>0</v>
      </c>
      <c r="AF378" s="438">
        <v>5000</v>
      </c>
      <c r="AG378" s="438">
        <v>114000</v>
      </c>
      <c r="AH378" s="438">
        <v>82110</v>
      </c>
      <c r="AI378" s="438">
        <v>28991</v>
      </c>
      <c r="AJ378" s="438">
        <v>2899</v>
      </c>
      <c r="AK378" s="438">
        <v>31890</v>
      </c>
      <c r="AL378" s="414" t="str">
        <f t="shared" si="30"/>
        <v>워커힐 시그니처 양념 본갈비 300g, 8개</v>
      </c>
      <c r="AM378" s="395">
        <f t="shared" si="31"/>
        <v>46060</v>
      </c>
      <c r="AN378" s="396">
        <f t="shared" si="32"/>
        <v>1</v>
      </c>
      <c r="AO378" s="109">
        <f t="shared" si="33"/>
        <v>119000</v>
      </c>
      <c r="AP378" s="109">
        <f t="shared" si="34"/>
        <v>108181.81818181818</v>
      </c>
      <c r="AQ378" s="397">
        <f t="shared" si="35"/>
        <v>108181.81818181818</v>
      </c>
    </row>
    <row r="379" spans="1:43" ht="24">
      <c r="A379" s="436" t="s">
        <v>4506</v>
      </c>
      <c r="B379" s="436" t="s">
        <v>3490</v>
      </c>
      <c r="C379" s="437" t="s">
        <v>3491</v>
      </c>
      <c r="D379" s="436" t="s">
        <v>4575</v>
      </c>
      <c r="E379" s="437" t="s">
        <v>4576</v>
      </c>
      <c r="F379" s="436" t="s">
        <v>3494</v>
      </c>
      <c r="G379" s="436" t="s">
        <v>3495</v>
      </c>
      <c r="H379" s="437" t="s">
        <v>3496</v>
      </c>
      <c r="I379" s="436" t="s">
        <v>3497</v>
      </c>
      <c r="J379" s="437" t="s">
        <v>3498</v>
      </c>
      <c r="K379" s="437" t="s">
        <v>3499</v>
      </c>
      <c r="L379" s="436" t="s">
        <v>3500</v>
      </c>
      <c r="M379" s="436" t="s">
        <v>3524</v>
      </c>
      <c r="N379" s="436" t="s">
        <v>3502</v>
      </c>
      <c r="O379" s="438">
        <v>119000</v>
      </c>
      <c r="P379" s="438">
        <v>82110</v>
      </c>
      <c r="Q379" s="438">
        <v>1</v>
      </c>
      <c r="R379" s="438">
        <v>0</v>
      </c>
      <c r="S379" s="438">
        <v>0</v>
      </c>
      <c r="T379" s="438">
        <v>0</v>
      </c>
      <c r="U379" s="438">
        <v>0</v>
      </c>
      <c r="V379" s="438">
        <v>0</v>
      </c>
      <c r="W379" s="438">
        <v>31</v>
      </c>
      <c r="X379" s="438">
        <v>0</v>
      </c>
      <c r="Y379" s="438">
        <v>10000</v>
      </c>
      <c r="Z379" s="438">
        <v>0</v>
      </c>
      <c r="AA379" s="438">
        <v>0</v>
      </c>
      <c r="AB379" s="438">
        <v>0</v>
      </c>
      <c r="AC379" s="438">
        <v>119000</v>
      </c>
      <c r="AD379" s="438">
        <v>82110</v>
      </c>
      <c r="AE379" s="438">
        <v>0</v>
      </c>
      <c r="AF379" s="438">
        <v>10000</v>
      </c>
      <c r="AG379" s="438">
        <v>109000</v>
      </c>
      <c r="AH379" s="438">
        <v>82110</v>
      </c>
      <c r="AI379" s="438">
        <v>24445</v>
      </c>
      <c r="AJ379" s="438">
        <v>2445</v>
      </c>
      <c r="AK379" s="438">
        <v>26890</v>
      </c>
      <c r="AL379" s="414" t="str">
        <f t="shared" si="30"/>
        <v>워커힐 시그니처 양념 본갈비 300g, 8개</v>
      </c>
      <c r="AM379" s="395">
        <f t="shared" si="31"/>
        <v>46060</v>
      </c>
      <c r="AN379" s="396">
        <f t="shared" si="32"/>
        <v>1</v>
      </c>
      <c r="AO379" s="109">
        <f t="shared" si="33"/>
        <v>119000</v>
      </c>
      <c r="AP379" s="109">
        <f t="shared" si="34"/>
        <v>108181.81818181818</v>
      </c>
      <c r="AQ379" s="397">
        <f t="shared" si="35"/>
        <v>108181.81818181818</v>
      </c>
    </row>
    <row r="380" spans="1:43" ht="24">
      <c r="A380" s="436" t="s">
        <v>4509</v>
      </c>
      <c r="B380" s="436" t="s">
        <v>3490</v>
      </c>
      <c r="C380" s="437" t="s">
        <v>3491</v>
      </c>
      <c r="D380" s="436" t="s">
        <v>4488</v>
      </c>
      <c r="E380" s="437" t="s">
        <v>4473</v>
      </c>
      <c r="F380" s="436" t="s">
        <v>3494</v>
      </c>
      <c r="G380" s="436" t="s">
        <v>3495</v>
      </c>
      <c r="H380" s="437" t="s">
        <v>3496</v>
      </c>
      <c r="I380" s="436" t="s">
        <v>3497</v>
      </c>
      <c r="J380" s="437" t="s">
        <v>3498</v>
      </c>
      <c r="K380" s="437" t="s">
        <v>3499</v>
      </c>
      <c r="L380" s="436" t="s">
        <v>3500</v>
      </c>
      <c r="M380" s="436" t="s">
        <v>3524</v>
      </c>
      <c r="N380" s="436" t="s">
        <v>3502</v>
      </c>
      <c r="O380" s="438">
        <v>119000</v>
      </c>
      <c r="P380" s="438">
        <v>82110</v>
      </c>
      <c r="Q380" s="438">
        <v>1</v>
      </c>
      <c r="R380" s="438">
        <v>0</v>
      </c>
      <c r="S380" s="438">
        <v>0</v>
      </c>
      <c r="T380" s="438">
        <v>0</v>
      </c>
      <c r="U380" s="438">
        <v>0</v>
      </c>
      <c r="V380" s="438">
        <v>0</v>
      </c>
      <c r="W380" s="438">
        <v>31</v>
      </c>
      <c r="X380" s="438">
        <v>0</v>
      </c>
      <c r="Y380" s="438">
        <v>0</v>
      </c>
      <c r="Z380" s="438">
        <v>0</v>
      </c>
      <c r="AA380" s="438">
        <v>0</v>
      </c>
      <c r="AB380" s="438">
        <v>0</v>
      </c>
      <c r="AC380" s="438">
        <v>119000</v>
      </c>
      <c r="AD380" s="438">
        <v>82110</v>
      </c>
      <c r="AE380" s="438">
        <v>0</v>
      </c>
      <c r="AF380" s="438">
        <v>0</v>
      </c>
      <c r="AG380" s="438">
        <v>119000</v>
      </c>
      <c r="AH380" s="438">
        <v>82110</v>
      </c>
      <c r="AI380" s="438">
        <v>33536</v>
      </c>
      <c r="AJ380" s="438">
        <v>3354</v>
      </c>
      <c r="AK380" s="438">
        <v>36890</v>
      </c>
      <c r="AL380" s="414" t="str">
        <f t="shared" si="30"/>
        <v>워커힐 시그니처 양념 본갈비 300g, 8개</v>
      </c>
      <c r="AM380" s="395">
        <f t="shared" si="31"/>
        <v>46060</v>
      </c>
      <c r="AN380" s="396">
        <f t="shared" si="32"/>
        <v>1</v>
      </c>
      <c r="AO380" s="109">
        <f t="shared" si="33"/>
        <v>119000</v>
      </c>
      <c r="AP380" s="109">
        <f t="shared" si="34"/>
        <v>108181.81818181818</v>
      </c>
      <c r="AQ380" s="397">
        <f t="shared" si="35"/>
        <v>108181.81818181818</v>
      </c>
    </row>
    <row r="381" spans="1:43" ht="24">
      <c r="A381" s="436" t="s">
        <v>4512</v>
      </c>
      <c r="B381" s="436" t="s">
        <v>3490</v>
      </c>
      <c r="C381" s="437" t="s">
        <v>3491</v>
      </c>
      <c r="D381" s="436" t="s">
        <v>4581</v>
      </c>
      <c r="E381" s="437" t="s">
        <v>4582</v>
      </c>
      <c r="F381" s="436" t="s">
        <v>3494</v>
      </c>
      <c r="G381" s="436" t="s">
        <v>3495</v>
      </c>
      <c r="H381" s="437" t="s">
        <v>3496</v>
      </c>
      <c r="I381" s="436" t="s">
        <v>3497</v>
      </c>
      <c r="J381" s="437" t="s">
        <v>3498</v>
      </c>
      <c r="K381" s="437" t="s">
        <v>3499</v>
      </c>
      <c r="L381" s="436" t="s">
        <v>3500</v>
      </c>
      <c r="M381" s="436" t="s">
        <v>3524</v>
      </c>
      <c r="N381" s="436" t="s">
        <v>3502</v>
      </c>
      <c r="O381" s="438">
        <v>119000</v>
      </c>
      <c r="P381" s="438">
        <v>82110</v>
      </c>
      <c r="Q381" s="438">
        <v>1</v>
      </c>
      <c r="R381" s="438">
        <v>0</v>
      </c>
      <c r="S381" s="438">
        <v>0</v>
      </c>
      <c r="T381" s="438">
        <v>0</v>
      </c>
      <c r="U381" s="438">
        <v>0</v>
      </c>
      <c r="V381" s="438">
        <v>0</v>
      </c>
      <c r="W381" s="438">
        <v>31</v>
      </c>
      <c r="X381" s="438">
        <v>0</v>
      </c>
      <c r="Y381" s="438">
        <v>0</v>
      </c>
      <c r="Z381" s="438">
        <v>0</v>
      </c>
      <c r="AA381" s="438">
        <v>0</v>
      </c>
      <c r="AB381" s="438">
        <v>0</v>
      </c>
      <c r="AC381" s="438">
        <v>119000</v>
      </c>
      <c r="AD381" s="438">
        <v>82110</v>
      </c>
      <c r="AE381" s="438">
        <v>0</v>
      </c>
      <c r="AF381" s="438">
        <v>0</v>
      </c>
      <c r="AG381" s="438">
        <v>119000</v>
      </c>
      <c r="AH381" s="438">
        <v>82110</v>
      </c>
      <c r="AI381" s="438">
        <v>33536</v>
      </c>
      <c r="AJ381" s="438">
        <v>3354</v>
      </c>
      <c r="AK381" s="438">
        <v>36890</v>
      </c>
      <c r="AL381" s="414" t="str">
        <f t="shared" si="30"/>
        <v>워커힐 시그니처 양념 본갈비 300g, 8개</v>
      </c>
      <c r="AM381" s="395">
        <f t="shared" si="31"/>
        <v>46060</v>
      </c>
      <c r="AN381" s="396">
        <f t="shared" si="32"/>
        <v>1</v>
      </c>
      <c r="AO381" s="109">
        <f t="shared" si="33"/>
        <v>119000</v>
      </c>
      <c r="AP381" s="109">
        <f t="shared" si="34"/>
        <v>108181.81818181818</v>
      </c>
      <c r="AQ381" s="397">
        <f t="shared" si="35"/>
        <v>108181.81818181818</v>
      </c>
    </row>
    <row r="382" spans="1:43" ht="24">
      <c r="A382" s="436" t="s">
        <v>4514</v>
      </c>
      <c r="B382" s="436" t="s">
        <v>3490</v>
      </c>
      <c r="C382" s="437" t="s">
        <v>3491</v>
      </c>
      <c r="D382" s="436" t="s">
        <v>4584</v>
      </c>
      <c r="E382" s="437" t="s">
        <v>4585</v>
      </c>
      <c r="F382" s="436" t="s">
        <v>3494</v>
      </c>
      <c r="G382" s="436" t="s">
        <v>3495</v>
      </c>
      <c r="H382" s="437" t="s">
        <v>3496</v>
      </c>
      <c r="I382" s="436" t="s">
        <v>3497</v>
      </c>
      <c r="J382" s="437" t="s">
        <v>3498</v>
      </c>
      <c r="K382" s="437" t="s">
        <v>3499</v>
      </c>
      <c r="L382" s="436" t="s">
        <v>3500</v>
      </c>
      <c r="M382" s="436" t="s">
        <v>3524</v>
      </c>
      <c r="N382" s="436" t="s">
        <v>3502</v>
      </c>
      <c r="O382" s="438">
        <v>119000</v>
      </c>
      <c r="P382" s="438">
        <v>82110</v>
      </c>
      <c r="Q382" s="438">
        <v>1</v>
      </c>
      <c r="R382" s="438">
        <v>0</v>
      </c>
      <c r="S382" s="438">
        <v>0</v>
      </c>
      <c r="T382" s="438">
        <v>0</v>
      </c>
      <c r="U382" s="438">
        <v>0</v>
      </c>
      <c r="V382" s="438">
        <v>0</v>
      </c>
      <c r="W382" s="438">
        <v>31</v>
      </c>
      <c r="X382" s="438">
        <v>13090</v>
      </c>
      <c r="Y382" s="438">
        <v>0</v>
      </c>
      <c r="Z382" s="438">
        <v>0</v>
      </c>
      <c r="AA382" s="438">
        <v>0</v>
      </c>
      <c r="AB382" s="438">
        <v>0</v>
      </c>
      <c r="AC382" s="438">
        <v>119000</v>
      </c>
      <c r="AD382" s="438">
        <v>82110</v>
      </c>
      <c r="AE382" s="438">
        <v>0</v>
      </c>
      <c r="AF382" s="438">
        <v>13090</v>
      </c>
      <c r="AG382" s="438">
        <v>105910</v>
      </c>
      <c r="AH382" s="438">
        <v>82110</v>
      </c>
      <c r="AI382" s="438">
        <v>21636</v>
      </c>
      <c r="AJ382" s="438">
        <v>2164</v>
      </c>
      <c r="AK382" s="438">
        <v>23800</v>
      </c>
      <c r="AL382" s="414" t="str">
        <f t="shared" si="30"/>
        <v>워커힐 시그니처 양념 본갈비 300g, 8개</v>
      </c>
      <c r="AM382" s="395">
        <f t="shared" si="31"/>
        <v>46060</v>
      </c>
      <c r="AN382" s="396">
        <f t="shared" si="32"/>
        <v>1</v>
      </c>
      <c r="AO382" s="109">
        <f t="shared" si="33"/>
        <v>119000</v>
      </c>
      <c r="AP382" s="109">
        <f t="shared" si="34"/>
        <v>108181.81818181818</v>
      </c>
      <c r="AQ382" s="397">
        <f t="shared" si="35"/>
        <v>108181.81818181818</v>
      </c>
    </row>
    <row r="383" spans="1:43" ht="24">
      <c r="A383" s="436" t="s">
        <v>4517</v>
      </c>
      <c r="B383" s="436" t="s">
        <v>3490</v>
      </c>
      <c r="C383" s="437" t="s">
        <v>3491</v>
      </c>
      <c r="D383" s="436" t="s">
        <v>4587</v>
      </c>
      <c r="E383" s="437" t="s">
        <v>4588</v>
      </c>
      <c r="F383" s="436" t="s">
        <v>3494</v>
      </c>
      <c r="G383" s="436" t="s">
        <v>3495</v>
      </c>
      <c r="H383" s="437" t="s">
        <v>3496</v>
      </c>
      <c r="I383" s="436" t="s">
        <v>3497</v>
      </c>
      <c r="J383" s="437" t="s">
        <v>3498</v>
      </c>
      <c r="K383" s="437" t="s">
        <v>3499</v>
      </c>
      <c r="L383" s="436" t="s">
        <v>3500</v>
      </c>
      <c r="M383" s="436" t="s">
        <v>3524</v>
      </c>
      <c r="N383" s="436" t="s">
        <v>3502</v>
      </c>
      <c r="O383" s="438">
        <v>119000</v>
      </c>
      <c r="P383" s="438">
        <v>82110</v>
      </c>
      <c r="Q383" s="438">
        <v>1</v>
      </c>
      <c r="R383" s="438">
        <v>0</v>
      </c>
      <c r="S383" s="438">
        <v>0</v>
      </c>
      <c r="T383" s="438">
        <v>0</v>
      </c>
      <c r="U383" s="438">
        <v>0</v>
      </c>
      <c r="V383" s="438">
        <v>0</v>
      </c>
      <c r="W383" s="438">
        <v>31</v>
      </c>
      <c r="X383" s="438">
        <v>0</v>
      </c>
      <c r="Y383" s="438">
        <v>0</v>
      </c>
      <c r="Z383" s="438">
        <v>0</v>
      </c>
      <c r="AA383" s="438">
        <v>0</v>
      </c>
      <c r="AB383" s="438">
        <v>0</v>
      </c>
      <c r="AC383" s="438">
        <v>119000</v>
      </c>
      <c r="AD383" s="438">
        <v>82110</v>
      </c>
      <c r="AE383" s="438">
        <v>0</v>
      </c>
      <c r="AF383" s="438">
        <v>0</v>
      </c>
      <c r="AG383" s="438">
        <v>119000</v>
      </c>
      <c r="AH383" s="438">
        <v>82110</v>
      </c>
      <c r="AI383" s="438">
        <v>33536</v>
      </c>
      <c r="AJ383" s="438">
        <v>3354</v>
      </c>
      <c r="AK383" s="438">
        <v>36890</v>
      </c>
      <c r="AL383" s="414" t="str">
        <f t="shared" si="30"/>
        <v>워커힐 시그니처 양념 본갈비 300g, 8개</v>
      </c>
      <c r="AM383" s="395">
        <f t="shared" si="31"/>
        <v>46060</v>
      </c>
      <c r="AN383" s="396">
        <f t="shared" si="32"/>
        <v>1</v>
      </c>
      <c r="AO383" s="109">
        <f t="shared" si="33"/>
        <v>119000</v>
      </c>
      <c r="AP383" s="109">
        <f t="shared" si="34"/>
        <v>108181.81818181818</v>
      </c>
      <c r="AQ383" s="397">
        <f t="shared" si="35"/>
        <v>108181.81818181818</v>
      </c>
    </row>
    <row r="384" spans="1:43" ht="24">
      <c r="A384" s="436" t="s">
        <v>4520</v>
      </c>
      <c r="B384" s="436" t="s">
        <v>3490</v>
      </c>
      <c r="C384" s="437" t="s">
        <v>3491</v>
      </c>
      <c r="D384" s="436" t="s">
        <v>4280</v>
      </c>
      <c r="E384" s="437" t="s">
        <v>4281</v>
      </c>
      <c r="F384" s="436" t="s">
        <v>3494</v>
      </c>
      <c r="G384" s="436" t="s">
        <v>3495</v>
      </c>
      <c r="H384" s="437" t="s">
        <v>3496</v>
      </c>
      <c r="I384" s="436" t="s">
        <v>3497</v>
      </c>
      <c r="J384" s="437" t="s">
        <v>3498</v>
      </c>
      <c r="K384" s="437" t="s">
        <v>3499</v>
      </c>
      <c r="L384" s="436" t="s">
        <v>3500</v>
      </c>
      <c r="M384" s="436" t="s">
        <v>3524</v>
      </c>
      <c r="N384" s="436" t="s">
        <v>3502</v>
      </c>
      <c r="O384" s="438">
        <v>119000</v>
      </c>
      <c r="P384" s="438">
        <v>82110</v>
      </c>
      <c r="Q384" s="438">
        <v>1</v>
      </c>
      <c r="R384" s="438">
        <v>0</v>
      </c>
      <c r="S384" s="438">
        <v>0</v>
      </c>
      <c r="T384" s="438">
        <v>0</v>
      </c>
      <c r="U384" s="438">
        <v>0</v>
      </c>
      <c r="V384" s="438">
        <v>0</v>
      </c>
      <c r="W384" s="438">
        <v>31</v>
      </c>
      <c r="X384" s="438">
        <v>13090</v>
      </c>
      <c r="Y384" s="438">
        <v>0</v>
      </c>
      <c r="Z384" s="438">
        <v>0</v>
      </c>
      <c r="AA384" s="438">
        <v>0</v>
      </c>
      <c r="AB384" s="438">
        <v>0</v>
      </c>
      <c r="AC384" s="438">
        <v>119000</v>
      </c>
      <c r="AD384" s="438">
        <v>82110</v>
      </c>
      <c r="AE384" s="438">
        <v>0</v>
      </c>
      <c r="AF384" s="438">
        <v>13090</v>
      </c>
      <c r="AG384" s="438">
        <v>105910</v>
      </c>
      <c r="AH384" s="438">
        <v>82110</v>
      </c>
      <c r="AI384" s="438">
        <v>21636</v>
      </c>
      <c r="AJ384" s="438">
        <v>2164</v>
      </c>
      <c r="AK384" s="438">
        <v>23800</v>
      </c>
      <c r="AL384" s="414" t="str">
        <f t="shared" si="30"/>
        <v>워커힐 시그니처 양념 본갈비 300g, 8개</v>
      </c>
      <c r="AM384" s="395">
        <f t="shared" si="31"/>
        <v>46060</v>
      </c>
      <c r="AN384" s="396">
        <f t="shared" si="32"/>
        <v>1</v>
      </c>
      <c r="AO384" s="109">
        <f t="shared" si="33"/>
        <v>119000</v>
      </c>
      <c r="AP384" s="109">
        <f t="shared" si="34"/>
        <v>108181.81818181818</v>
      </c>
      <c r="AQ384" s="397">
        <f t="shared" si="35"/>
        <v>108181.81818181818</v>
      </c>
    </row>
    <row r="385" spans="1:43" ht="24">
      <c r="A385" s="436" t="s">
        <v>4523</v>
      </c>
      <c r="B385" s="436" t="s">
        <v>3490</v>
      </c>
      <c r="C385" s="437" t="s">
        <v>3491</v>
      </c>
      <c r="D385" s="436" t="s">
        <v>4598</v>
      </c>
      <c r="E385" s="437" t="s">
        <v>4599</v>
      </c>
      <c r="F385" s="436" t="s">
        <v>3494</v>
      </c>
      <c r="G385" s="436" t="s">
        <v>3495</v>
      </c>
      <c r="H385" s="437" t="s">
        <v>3496</v>
      </c>
      <c r="I385" s="436" t="s">
        <v>3497</v>
      </c>
      <c r="J385" s="437" t="s">
        <v>3498</v>
      </c>
      <c r="K385" s="437" t="s">
        <v>3499</v>
      </c>
      <c r="L385" s="436" t="s">
        <v>3500</v>
      </c>
      <c r="M385" s="436" t="s">
        <v>3524</v>
      </c>
      <c r="N385" s="436" t="s">
        <v>3502</v>
      </c>
      <c r="O385" s="438">
        <v>119000</v>
      </c>
      <c r="P385" s="438">
        <v>82110</v>
      </c>
      <c r="Q385" s="438">
        <v>1</v>
      </c>
      <c r="R385" s="438">
        <v>0</v>
      </c>
      <c r="S385" s="438">
        <v>0</v>
      </c>
      <c r="T385" s="438">
        <v>0</v>
      </c>
      <c r="U385" s="438">
        <v>0</v>
      </c>
      <c r="V385" s="438">
        <v>0</v>
      </c>
      <c r="W385" s="438">
        <v>31</v>
      </c>
      <c r="X385" s="438">
        <v>0</v>
      </c>
      <c r="Y385" s="438">
        <v>0</v>
      </c>
      <c r="Z385" s="438">
        <v>0</v>
      </c>
      <c r="AA385" s="438">
        <v>0</v>
      </c>
      <c r="AB385" s="438">
        <v>0</v>
      </c>
      <c r="AC385" s="438">
        <v>119000</v>
      </c>
      <c r="AD385" s="438">
        <v>82110</v>
      </c>
      <c r="AE385" s="438">
        <v>0</v>
      </c>
      <c r="AF385" s="438">
        <v>0</v>
      </c>
      <c r="AG385" s="438">
        <v>119000</v>
      </c>
      <c r="AH385" s="438">
        <v>82110</v>
      </c>
      <c r="AI385" s="438">
        <v>33536</v>
      </c>
      <c r="AJ385" s="438">
        <v>3354</v>
      </c>
      <c r="AK385" s="438">
        <v>36890</v>
      </c>
      <c r="AL385" s="414" t="str">
        <f t="shared" si="30"/>
        <v>워커힐 시그니처 양념 본갈비 300g, 8개</v>
      </c>
      <c r="AM385" s="395">
        <f t="shared" si="31"/>
        <v>46060</v>
      </c>
      <c r="AN385" s="396">
        <f t="shared" si="32"/>
        <v>1</v>
      </c>
      <c r="AO385" s="109">
        <f t="shared" si="33"/>
        <v>119000</v>
      </c>
      <c r="AP385" s="109">
        <f t="shared" si="34"/>
        <v>108181.81818181818</v>
      </c>
      <c r="AQ385" s="397">
        <f t="shared" si="35"/>
        <v>108181.81818181818</v>
      </c>
    </row>
    <row r="386" spans="1:43" ht="24">
      <c r="A386" s="436" t="s">
        <v>4525</v>
      </c>
      <c r="B386" s="436" t="s">
        <v>3490</v>
      </c>
      <c r="C386" s="437" t="s">
        <v>3491</v>
      </c>
      <c r="D386" s="436" t="s">
        <v>4601</v>
      </c>
      <c r="E386" s="437" t="s">
        <v>3724</v>
      </c>
      <c r="F386" s="436" t="s">
        <v>3494</v>
      </c>
      <c r="G386" s="436" t="s">
        <v>3495</v>
      </c>
      <c r="H386" s="437" t="s">
        <v>3496</v>
      </c>
      <c r="I386" s="436" t="s">
        <v>3497</v>
      </c>
      <c r="J386" s="437" t="s">
        <v>3498</v>
      </c>
      <c r="K386" s="437" t="s">
        <v>3499</v>
      </c>
      <c r="L386" s="436" t="s">
        <v>3500</v>
      </c>
      <c r="M386" s="436" t="s">
        <v>3524</v>
      </c>
      <c r="N386" s="436" t="s">
        <v>3502</v>
      </c>
      <c r="O386" s="438">
        <v>119000</v>
      </c>
      <c r="P386" s="438">
        <v>82110</v>
      </c>
      <c r="Q386" s="438">
        <v>1</v>
      </c>
      <c r="R386" s="438">
        <v>0</v>
      </c>
      <c r="S386" s="438">
        <v>0</v>
      </c>
      <c r="T386" s="438">
        <v>0</v>
      </c>
      <c r="U386" s="438">
        <v>0</v>
      </c>
      <c r="V386" s="438">
        <v>0</v>
      </c>
      <c r="W386" s="438">
        <v>31</v>
      </c>
      <c r="X386" s="438">
        <v>0</v>
      </c>
      <c r="Y386" s="438">
        <v>0</v>
      </c>
      <c r="Z386" s="438">
        <v>0</v>
      </c>
      <c r="AA386" s="438">
        <v>0</v>
      </c>
      <c r="AB386" s="438">
        <v>0</v>
      </c>
      <c r="AC386" s="438">
        <v>119000</v>
      </c>
      <c r="AD386" s="438">
        <v>82110</v>
      </c>
      <c r="AE386" s="438">
        <v>0</v>
      </c>
      <c r="AF386" s="438">
        <v>0</v>
      </c>
      <c r="AG386" s="438">
        <v>119000</v>
      </c>
      <c r="AH386" s="438">
        <v>82110</v>
      </c>
      <c r="AI386" s="438">
        <v>33536</v>
      </c>
      <c r="AJ386" s="438">
        <v>3354</v>
      </c>
      <c r="AK386" s="438">
        <v>36890</v>
      </c>
      <c r="AL386" s="414" t="str">
        <f t="shared" si="30"/>
        <v>워커힐 시그니처 양념 본갈비 300g, 8개</v>
      </c>
      <c r="AM386" s="395">
        <f t="shared" si="31"/>
        <v>46060</v>
      </c>
      <c r="AN386" s="396">
        <f t="shared" si="32"/>
        <v>1</v>
      </c>
      <c r="AO386" s="109">
        <f t="shared" si="33"/>
        <v>119000</v>
      </c>
      <c r="AP386" s="109">
        <f t="shared" si="34"/>
        <v>108181.81818181818</v>
      </c>
      <c r="AQ386" s="397">
        <f t="shared" si="35"/>
        <v>108181.81818181818</v>
      </c>
    </row>
    <row r="387" spans="1:43" ht="24">
      <c r="A387" s="436" t="s">
        <v>4528</v>
      </c>
      <c r="B387" s="436" t="s">
        <v>3490</v>
      </c>
      <c r="C387" s="437" t="s">
        <v>3491</v>
      </c>
      <c r="D387" s="436" t="s">
        <v>4493</v>
      </c>
      <c r="E387" s="437" t="s">
        <v>4494</v>
      </c>
      <c r="F387" s="436" t="s">
        <v>3494</v>
      </c>
      <c r="G387" s="436" t="s">
        <v>3495</v>
      </c>
      <c r="H387" s="437" t="s">
        <v>3496</v>
      </c>
      <c r="I387" s="436" t="s">
        <v>3497</v>
      </c>
      <c r="J387" s="437" t="s">
        <v>3498</v>
      </c>
      <c r="K387" s="437" t="s">
        <v>3499</v>
      </c>
      <c r="L387" s="436" t="s">
        <v>3500</v>
      </c>
      <c r="M387" s="436" t="s">
        <v>3524</v>
      </c>
      <c r="N387" s="436" t="s">
        <v>3502</v>
      </c>
      <c r="O387" s="438">
        <v>119000</v>
      </c>
      <c r="P387" s="438">
        <v>82110</v>
      </c>
      <c r="Q387" s="438">
        <v>1</v>
      </c>
      <c r="R387" s="438">
        <v>0</v>
      </c>
      <c r="S387" s="438">
        <v>0</v>
      </c>
      <c r="T387" s="438">
        <v>0</v>
      </c>
      <c r="U387" s="438">
        <v>0</v>
      </c>
      <c r="V387" s="438">
        <v>0</v>
      </c>
      <c r="W387" s="438">
        <v>31</v>
      </c>
      <c r="X387" s="438">
        <v>0</v>
      </c>
      <c r="Y387" s="438">
        <v>0</v>
      </c>
      <c r="Z387" s="438">
        <v>0</v>
      </c>
      <c r="AA387" s="438">
        <v>0</v>
      </c>
      <c r="AB387" s="438">
        <v>0</v>
      </c>
      <c r="AC387" s="438">
        <v>119000</v>
      </c>
      <c r="AD387" s="438">
        <v>82110</v>
      </c>
      <c r="AE387" s="438">
        <v>0</v>
      </c>
      <c r="AF387" s="438">
        <v>0</v>
      </c>
      <c r="AG387" s="438">
        <v>119000</v>
      </c>
      <c r="AH387" s="438">
        <v>82110</v>
      </c>
      <c r="AI387" s="438">
        <v>33536</v>
      </c>
      <c r="AJ387" s="438">
        <v>3354</v>
      </c>
      <c r="AK387" s="438">
        <v>36890</v>
      </c>
      <c r="AL387" s="414" t="str">
        <f t="shared" ref="AL387:AL450" si="36">SUBSTITUTE(SUBSTITUTE(H387,"[워커힐]워커힐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387" s="395">
        <f t="shared" ref="AM387:AM450" si="37">IF(N387="배송완료", DATE(LEFT(M387,4), MID(M387,6,2), MID(M387,9,2)), "")</f>
        <v>46060</v>
      </c>
      <c r="AN387" s="396">
        <f t="shared" ref="AN387:AN450" si="38">IF(OR(N387="배송완료", Q387&lt;0), Q387, 0)</f>
        <v>1</v>
      </c>
      <c r="AO387" s="109">
        <f t="shared" ref="AO387:AO450" si="39">IF(AL387="워커힐 시그니처 양념 본갈비 300g, 8개",119000,IF(AL387="워커힐 시그니처 양념 본갈비 300g, 4개",78000,""))</f>
        <v>119000</v>
      </c>
      <c r="AP387" s="109">
        <f t="shared" ref="AP387:AP450" si="40">AO387/1.1</f>
        <v>108181.81818181818</v>
      </c>
      <c r="AQ387" s="397">
        <f t="shared" ref="AQ387:AQ450" si="41">AN387*AP387</f>
        <v>108181.81818181818</v>
      </c>
    </row>
    <row r="388" spans="1:43" ht="24">
      <c r="A388" s="436" t="s">
        <v>4531</v>
      </c>
      <c r="B388" s="436" t="s">
        <v>3490</v>
      </c>
      <c r="C388" s="437" t="s">
        <v>3491</v>
      </c>
      <c r="D388" s="436" t="s">
        <v>4610</v>
      </c>
      <c r="E388" s="437" t="s">
        <v>3848</v>
      </c>
      <c r="F388" s="436" t="s">
        <v>3494</v>
      </c>
      <c r="G388" s="436" t="s">
        <v>3495</v>
      </c>
      <c r="H388" s="437" t="s">
        <v>3496</v>
      </c>
      <c r="I388" s="436" t="s">
        <v>3497</v>
      </c>
      <c r="J388" s="437" t="s">
        <v>3498</v>
      </c>
      <c r="K388" s="437" t="s">
        <v>3499</v>
      </c>
      <c r="L388" s="436" t="s">
        <v>3500</v>
      </c>
      <c r="M388" s="436" t="s">
        <v>3524</v>
      </c>
      <c r="N388" s="436" t="s">
        <v>3502</v>
      </c>
      <c r="O388" s="438">
        <v>119000</v>
      </c>
      <c r="P388" s="438">
        <v>82110</v>
      </c>
      <c r="Q388" s="438">
        <v>1</v>
      </c>
      <c r="R388" s="438">
        <v>0</v>
      </c>
      <c r="S388" s="438">
        <v>0</v>
      </c>
      <c r="T388" s="438">
        <v>0</v>
      </c>
      <c r="U388" s="438">
        <v>0</v>
      </c>
      <c r="V388" s="438">
        <v>0</v>
      </c>
      <c r="W388" s="438">
        <v>31</v>
      </c>
      <c r="X388" s="438">
        <v>0</v>
      </c>
      <c r="Y388" s="438">
        <v>0</v>
      </c>
      <c r="Z388" s="438">
        <v>0</v>
      </c>
      <c r="AA388" s="438">
        <v>0</v>
      </c>
      <c r="AB388" s="438">
        <v>0</v>
      </c>
      <c r="AC388" s="438">
        <v>119000</v>
      </c>
      <c r="AD388" s="438">
        <v>82110</v>
      </c>
      <c r="AE388" s="438">
        <v>0</v>
      </c>
      <c r="AF388" s="438">
        <v>0</v>
      </c>
      <c r="AG388" s="438">
        <v>119000</v>
      </c>
      <c r="AH388" s="438">
        <v>82110</v>
      </c>
      <c r="AI388" s="438">
        <v>33536</v>
      </c>
      <c r="AJ388" s="438">
        <v>3354</v>
      </c>
      <c r="AK388" s="438">
        <v>36890</v>
      </c>
      <c r="AL388" s="414" t="str">
        <f t="shared" si="36"/>
        <v>워커힐 시그니처 양념 본갈비 300g, 8개</v>
      </c>
      <c r="AM388" s="395">
        <f t="shared" si="37"/>
        <v>46060</v>
      </c>
      <c r="AN388" s="396">
        <f t="shared" si="38"/>
        <v>1</v>
      </c>
      <c r="AO388" s="109">
        <f t="shared" si="39"/>
        <v>119000</v>
      </c>
      <c r="AP388" s="109">
        <f t="shared" si="40"/>
        <v>108181.81818181818</v>
      </c>
      <c r="AQ388" s="397">
        <f t="shared" si="41"/>
        <v>108181.81818181818</v>
      </c>
    </row>
    <row r="389" spans="1:43" ht="24">
      <c r="A389" s="436" t="s">
        <v>4534</v>
      </c>
      <c r="B389" s="436" t="s">
        <v>3490</v>
      </c>
      <c r="C389" s="437" t="s">
        <v>3491</v>
      </c>
      <c r="D389" s="436" t="s">
        <v>4285</v>
      </c>
      <c r="E389" s="437" t="s">
        <v>4286</v>
      </c>
      <c r="F389" s="436" t="s">
        <v>3494</v>
      </c>
      <c r="G389" s="436" t="s">
        <v>3495</v>
      </c>
      <c r="H389" s="437" t="s">
        <v>3496</v>
      </c>
      <c r="I389" s="436" t="s">
        <v>3497</v>
      </c>
      <c r="J389" s="437" t="s">
        <v>3498</v>
      </c>
      <c r="K389" s="437" t="s">
        <v>3499</v>
      </c>
      <c r="L389" s="436" t="s">
        <v>3500</v>
      </c>
      <c r="M389" s="436" t="s">
        <v>3524</v>
      </c>
      <c r="N389" s="436" t="s">
        <v>3502</v>
      </c>
      <c r="O389" s="438">
        <v>119000</v>
      </c>
      <c r="P389" s="438">
        <v>82110</v>
      </c>
      <c r="Q389" s="438">
        <v>1</v>
      </c>
      <c r="R389" s="438">
        <v>0</v>
      </c>
      <c r="S389" s="438">
        <v>0</v>
      </c>
      <c r="T389" s="438">
        <v>0</v>
      </c>
      <c r="U389" s="438">
        <v>0</v>
      </c>
      <c r="V389" s="438">
        <v>0</v>
      </c>
      <c r="W389" s="438">
        <v>31</v>
      </c>
      <c r="X389" s="438">
        <v>0</v>
      </c>
      <c r="Y389" s="438">
        <v>0</v>
      </c>
      <c r="Z389" s="438">
        <v>0</v>
      </c>
      <c r="AA389" s="438">
        <v>0</v>
      </c>
      <c r="AB389" s="438">
        <v>5950</v>
      </c>
      <c r="AC389" s="438">
        <v>119000</v>
      </c>
      <c r="AD389" s="438">
        <v>82110</v>
      </c>
      <c r="AE389" s="438">
        <v>0</v>
      </c>
      <c r="AF389" s="438">
        <v>5950</v>
      </c>
      <c r="AG389" s="438">
        <v>113050</v>
      </c>
      <c r="AH389" s="438">
        <v>82110</v>
      </c>
      <c r="AI389" s="438">
        <v>28127</v>
      </c>
      <c r="AJ389" s="438">
        <v>2813</v>
      </c>
      <c r="AK389" s="438">
        <v>30940</v>
      </c>
      <c r="AL389" s="414" t="str">
        <f t="shared" si="36"/>
        <v>워커힐 시그니처 양념 본갈비 300g, 8개</v>
      </c>
      <c r="AM389" s="395">
        <f t="shared" si="37"/>
        <v>46060</v>
      </c>
      <c r="AN389" s="396">
        <f t="shared" si="38"/>
        <v>1</v>
      </c>
      <c r="AO389" s="109">
        <f t="shared" si="39"/>
        <v>119000</v>
      </c>
      <c r="AP389" s="109">
        <f t="shared" si="40"/>
        <v>108181.81818181818</v>
      </c>
      <c r="AQ389" s="397">
        <f t="shared" si="41"/>
        <v>108181.81818181818</v>
      </c>
    </row>
    <row r="390" spans="1:43" ht="24">
      <c r="A390" s="436" t="s">
        <v>4537</v>
      </c>
      <c r="B390" s="436" t="s">
        <v>3490</v>
      </c>
      <c r="C390" s="437" t="s">
        <v>3491</v>
      </c>
      <c r="D390" s="436" t="s">
        <v>4629</v>
      </c>
      <c r="E390" s="437" t="s">
        <v>3541</v>
      </c>
      <c r="F390" s="436" t="s">
        <v>3494</v>
      </c>
      <c r="G390" s="436" t="s">
        <v>3495</v>
      </c>
      <c r="H390" s="437" t="s">
        <v>3496</v>
      </c>
      <c r="I390" s="436" t="s">
        <v>3497</v>
      </c>
      <c r="J390" s="437" t="s">
        <v>3498</v>
      </c>
      <c r="K390" s="437" t="s">
        <v>3499</v>
      </c>
      <c r="L390" s="436" t="s">
        <v>3500</v>
      </c>
      <c r="M390" s="436" t="s">
        <v>3524</v>
      </c>
      <c r="N390" s="436" t="s">
        <v>3502</v>
      </c>
      <c r="O390" s="438">
        <v>119000</v>
      </c>
      <c r="P390" s="438">
        <v>82110</v>
      </c>
      <c r="Q390" s="438">
        <v>1</v>
      </c>
      <c r="R390" s="438">
        <v>0</v>
      </c>
      <c r="S390" s="438">
        <v>0</v>
      </c>
      <c r="T390" s="438">
        <v>0</v>
      </c>
      <c r="U390" s="438">
        <v>0</v>
      </c>
      <c r="V390" s="438">
        <v>0</v>
      </c>
      <c r="W390" s="438">
        <v>31</v>
      </c>
      <c r="X390" s="438">
        <v>0</v>
      </c>
      <c r="Y390" s="438">
        <v>0</v>
      </c>
      <c r="Z390" s="438">
        <v>0</v>
      </c>
      <c r="AA390" s="438">
        <v>0</v>
      </c>
      <c r="AB390" s="438">
        <v>0</v>
      </c>
      <c r="AC390" s="438">
        <v>119000</v>
      </c>
      <c r="AD390" s="438">
        <v>82110</v>
      </c>
      <c r="AE390" s="438">
        <v>0</v>
      </c>
      <c r="AF390" s="438">
        <v>0</v>
      </c>
      <c r="AG390" s="438">
        <v>119000</v>
      </c>
      <c r="AH390" s="438">
        <v>82110</v>
      </c>
      <c r="AI390" s="438">
        <v>33536</v>
      </c>
      <c r="AJ390" s="438">
        <v>3354</v>
      </c>
      <c r="AK390" s="438">
        <v>36890</v>
      </c>
      <c r="AL390" s="414" t="str">
        <f t="shared" si="36"/>
        <v>워커힐 시그니처 양념 본갈비 300g, 8개</v>
      </c>
      <c r="AM390" s="395">
        <f t="shared" si="37"/>
        <v>46060</v>
      </c>
      <c r="AN390" s="396">
        <f t="shared" si="38"/>
        <v>1</v>
      </c>
      <c r="AO390" s="109">
        <f t="shared" si="39"/>
        <v>119000</v>
      </c>
      <c r="AP390" s="109">
        <f t="shared" si="40"/>
        <v>108181.81818181818</v>
      </c>
      <c r="AQ390" s="397">
        <f t="shared" si="41"/>
        <v>108181.81818181818</v>
      </c>
    </row>
    <row r="391" spans="1:43" ht="24">
      <c r="A391" s="436" t="s">
        <v>4539</v>
      </c>
      <c r="B391" s="436" t="s">
        <v>3490</v>
      </c>
      <c r="C391" s="437" t="s">
        <v>3491</v>
      </c>
      <c r="D391" s="436" t="s">
        <v>4631</v>
      </c>
      <c r="E391" s="437" t="s">
        <v>4632</v>
      </c>
      <c r="F391" s="436" t="s">
        <v>3494</v>
      </c>
      <c r="G391" s="436" t="s">
        <v>3495</v>
      </c>
      <c r="H391" s="437" t="s">
        <v>3496</v>
      </c>
      <c r="I391" s="436" t="s">
        <v>3497</v>
      </c>
      <c r="J391" s="437" t="s">
        <v>3498</v>
      </c>
      <c r="K391" s="437" t="s">
        <v>3499</v>
      </c>
      <c r="L391" s="436" t="s">
        <v>3500</v>
      </c>
      <c r="M391" s="436" t="s">
        <v>3524</v>
      </c>
      <c r="N391" s="436" t="s">
        <v>3502</v>
      </c>
      <c r="O391" s="438">
        <v>119000</v>
      </c>
      <c r="P391" s="438">
        <v>82110</v>
      </c>
      <c r="Q391" s="438">
        <v>1</v>
      </c>
      <c r="R391" s="438">
        <v>0</v>
      </c>
      <c r="S391" s="438">
        <v>0</v>
      </c>
      <c r="T391" s="438">
        <v>0</v>
      </c>
      <c r="U391" s="438">
        <v>0</v>
      </c>
      <c r="V391" s="438">
        <v>0</v>
      </c>
      <c r="W391" s="438">
        <v>31</v>
      </c>
      <c r="X391" s="438">
        <v>0</v>
      </c>
      <c r="Y391" s="438">
        <v>0</v>
      </c>
      <c r="Z391" s="438">
        <v>0</v>
      </c>
      <c r="AA391" s="438">
        <v>0</v>
      </c>
      <c r="AB391" s="438">
        <v>0</v>
      </c>
      <c r="AC391" s="438">
        <v>119000</v>
      </c>
      <c r="AD391" s="438">
        <v>82110</v>
      </c>
      <c r="AE391" s="438">
        <v>0</v>
      </c>
      <c r="AF391" s="438">
        <v>0</v>
      </c>
      <c r="AG391" s="438">
        <v>119000</v>
      </c>
      <c r="AH391" s="438">
        <v>82110</v>
      </c>
      <c r="AI391" s="438">
        <v>33536</v>
      </c>
      <c r="AJ391" s="438">
        <v>3354</v>
      </c>
      <c r="AK391" s="438">
        <v>36890</v>
      </c>
      <c r="AL391" s="414" t="str">
        <f t="shared" si="36"/>
        <v>워커힐 시그니처 양념 본갈비 300g, 8개</v>
      </c>
      <c r="AM391" s="395">
        <f t="shared" si="37"/>
        <v>46060</v>
      </c>
      <c r="AN391" s="396">
        <f t="shared" si="38"/>
        <v>1</v>
      </c>
      <c r="AO391" s="109">
        <f t="shared" si="39"/>
        <v>119000</v>
      </c>
      <c r="AP391" s="109">
        <f t="shared" si="40"/>
        <v>108181.81818181818</v>
      </c>
      <c r="AQ391" s="397">
        <f t="shared" si="41"/>
        <v>108181.81818181818</v>
      </c>
    </row>
    <row r="392" spans="1:43" ht="24">
      <c r="A392" s="436" t="s">
        <v>4542</v>
      </c>
      <c r="B392" s="436" t="s">
        <v>3490</v>
      </c>
      <c r="C392" s="437" t="s">
        <v>3491</v>
      </c>
      <c r="D392" s="436" t="s">
        <v>4651</v>
      </c>
      <c r="E392" s="437" t="s">
        <v>3823</v>
      </c>
      <c r="F392" s="436" t="s">
        <v>3494</v>
      </c>
      <c r="G392" s="436" t="s">
        <v>3495</v>
      </c>
      <c r="H392" s="437" t="s">
        <v>3496</v>
      </c>
      <c r="I392" s="436" t="s">
        <v>3497</v>
      </c>
      <c r="J392" s="437" t="s">
        <v>3498</v>
      </c>
      <c r="K392" s="437" t="s">
        <v>3499</v>
      </c>
      <c r="L392" s="436" t="s">
        <v>3500</v>
      </c>
      <c r="M392" s="436" t="s">
        <v>3524</v>
      </c>
      <c r="N392" s="436" t="s">
        <v>3502</v>
      </c>
      <c r="O392" s="438">
        <v>119000</v>
      </c>
      <c r="P392" s="438">
        <v>82110</v>
      </c>
      <c r="Q392" s="438">
        <v>1</v>
      </c>
      <c r="R392" s="438">
        <v>0</v>
      </c>
      <c r="S392" s="438">
        <v>0</v>
      </c>
      <c r="T392" s="438">
        <v>0</v>
      </c>
      <c r="U392" s="438">
        <v>0</v>
      </c>
      <c r="V392" s="438">
        <v>0</v>
      </c>
      <c r="W392" s="438">
        <v>31</v>
      </c>
      <c r="X392" s="438">
        <v>0</v>
      </c>
      <c r="Y392" s="438">
        <v>0</v>
      </c>
      <c r="Z392" s="438">
        <v>0</v>
      </c>
      <c r="AA392" s="438">
        <v>0</v>
      </c>
      <c r="AB392" s="438">
        <v>0</v>
      </c>
      <c r="AC392" s="438">
        <v>119000</v>
      </c>
      <c r="AD392" s="438">
        <v>82110</v>
      </c>
      <c r="AE392" s="438">
        <v>0</v>
      </c>
      <c r="AF392" s="438">
        <v>0</v>
      </c>
      <c r="AG392" s="438">
        <v>119000</v>
      </c>
      <c r="AH392" s="438">
        <v>82110</v>
      </c>
      <c r="AI392" s="438">
        <v>33536</v>
      </c>
      <c r="AJ392" s="438">
        <v>3354</v>
      </c>
      <c r="AK392" s="438">
        <v>36890</v>
      </c>
      <c r="AL392" s="414" t="str">
        <f t="shared" si="36"/>
        <v>워커힐 시그니처 양념 본갈비 300g, 8개</v>
      </c>
      <c r="AM392" s="395">
        <f t="shared" si="37"/>
        <v>46060</v>
      </c>
      <c r="AN392" s="396">
        <f t="shared" si="38"/>
        <v>1</v>
      </c>
      <c r="AO392" s="109">
        <f t="shared" si="39"/>
        <v>119000</v>
      </c>
      <c r="AP392" s="109">
        <f t="shared" si="40"/>
        <v>108181.81818181818</v>
      </c>
      <c r="AQ392" s="397">
        <f t="shared" si="41"/>
        <v>108181.81818181818</v>
      </c>
    </row>
    <row r="393" spans="1:43" ht="24">
      <c r="A393" s="436" t="s">
        <v>4544</v>
      </c>
      <c r="B393" s="436" t="s">
        <v>3490</v>
      </c>
      <c r="C393" s="437" t="s">
        <v>3491</v>
      </c>
      <c r="D393" s="436" t="s">
        <v>4636</v>
      </c>
      <c r="E393" s="437" t="s">
        <v>4369</v>
      </c>
      <c r="F393" s="436" t="s">
        <v>3494</v>
      </c>
      <c r="G393" s="436" t="s">
        <v>3495</v>
      </c>
      <c r="H393" s="437" t="s">
        <v>3496</v>
      </c>
      <c r="I393" s="436" t="s">
        <v>3497</v>
      </c>
      <c r="J393" s="437" t="s">
        <v>3498</v>
      </c>
      <c r="K393" s="437" t="s">
        <v>3499</v>
      </c>
      <c r="L393" s="436" t="s">
        <v>3500</v>
      </c>
      <c r="M393" s="436" t="s">
        <v>3524</v>
      </c>
      <c r="N393" s="436" t="s">
        <v>3502</v>
      </c>
      <c r="O393" s="438">
        <v>119000</v>
      </c>
      <c r="P393" s="438">
        <v>82110</v>
      </c>
      <c r="Q393" s="438">
        <v>1</v>
      </c>
      <c r="R393" s="438">
        <v>0</v>
      </c>
      <c r="S393" s="438">
        <v>0</v>
      </c>
      <c r="T393" s="438">
        <v>0</v>
      </c>
      <c r="U393" s="438">
        <v>0</v>
      </c>
      <c r="V393" s="438">
        <v>0</v>
      </c>
      <c r="W393" s="438">
        <v>31</v>
      </c>
      <c r="X393" s="438">
        <v>0</v>
      </c>
      <c r="Y393" s="438">
        <v>0</v>
      </c>
      <c r="Z393" s="438">
        <v>0</v>
      </c>
      <c r="AA393" s="438">
        <v>0</v>
      </c>
      <c r="AB393" s="438">
        <v>0</v>
      </c>
      <c r="AC393" s="438">
        <v>119000</v>
      </c>
      <c r="AD393" s="438">
        <v>82110</v>
      </c>
      <c r="AE393" s="438">
        <v>0</v>
      </c>
      <c r="AF393" s="438">
        <v>0</v>
      </c>
      <c r="AG393" s="438">
        <v>119000</v>
      </c>
      <c r="AH393" s="438">
        <v>82110</v>
      </c>
      <c r="AI393" s="438">
        <v>33536</v>
      </c>
      <c r="AJ393" s="438">
        <v>3354</v>
      </c>
      <c r="AK393" s="438">
        <v>36890</v>
      </c>
      <c r="AL393" s="414" t="str">
        <f t="shared" si="36"/>
        <v>워커힐 시그니처 양념 본갈비 300g, 8개</v>
      </c>
      <c r="AM393" s="395">
        <f t="shared" si="37"/>
        <v>46060</v>
      </c>
      <c r="AN393" s="396">
        <f t="shared" si="38"/>
        <v>1</v>
      </c>
      <c r="AO393" s="109">
        <f t="shared" si="39"/>
        <v>119000</v>
      </c>
      <c r="AP393" s="109">
        <f t="shared" si="40"/>
        <v>108181.81818181818</v>
      </c>
      <c r="AQ393" s="397">
        <f t="shared" si="41"/>
        <v>108181.81818181818</v>
      </c>
    </row>
    <row r="394" spans="1:43" ht="24">
      <c r="A394" s="436" t="s">
        <v>4547</v>
      </c>
      <c r="B394" s="436" t="s">
        <v>3490</v>
      </c>
      <c r="C394" s="437" t="s">
        <v>3491</v>
      </c>
      <c r="D394" s="436" t="s">
        <v>4653</v>
      </c>
      <c r="E394" s="437" t="s">
        <v>3592</v>
      </c>
      <c r="F394" s="436" t="s">
        <v>3494</v>
      </c>
      <c r="G394" s="436" t="s">
        <v>3495</v>
      </c>
      <c r="H394" s="437" t="s">
        <v>3496</v>
      </c>
      <c r="I394" s="436" t="s">
        <v>3497</v>
      </c>
      <c r="J394" s="437" t="s">
        <v>3498</v>
      </c>
      <c r="K394" s="437" t="s">
        <v>3499</v>
      </c>
      <c r="L394" s="436" t="s">
        <v>3500</v>
      </c>
      <c r="M394" s="436" t="s">
        <v>3524</v>
      </c>
      <c r="N394" s="436" t="s">
        <v>3502</v>
      </c>
      <c r="O394" s="438">
        <v>119000</v>
      </c>
      <c r="P394" s="438">
        <v>82110</v>
      </c>
      <c r="Q394" s="438">
        <v>1</v>
      </c>
      <c r="R394" s="438">
        <v>0</v>
      </c>
      <c r="S394" s="438">
        <v>0</v>
      </c>
      <c r="T394" s="438">
        <v>0</v>
      </c>
      <c r="U394" s="438">
        <v>0</v>
      </c>
      <c r="V394" s="438">
        <v>0</v>
      </c>
      <c r="W394" s="438">
        <v>31</v>
      </c>
      <c r="X394" s="438">
        <v>0</v>
      </c>
      <c r="Y394" s="438">
        <v>0</v>
      </c>
      <c r="Z394" s="438">
        <v>0</v>
      </c>
      <c r="AA394" s="438">
        <v>0</v>
      </c>
      <c r="AB394" s="438">
        <v>5950</v>
      </c>
      <c r="AC394" s="438">
        <v>119000</v>
      </c>
      <c r="AD394" s="438">
        <v>82110</v>
      </c>
      <c r="AE394" s="438">
        <v>0</v>
      </c>
      <c r="AF394" s="438">
        <v>5950</v>
      </c>
      <c r="AG394" s="438">
        <v>113050</v>
      </c>
      <c r="AH394" s="438">
        <v>82110</v>
      </c>
      <c r="AI394" s="438">
        <v>28127</v>
      </c>
      <c r="AJ394" s="438">
        <v>2813</v>
      </c>
      <c r="AK394" s="438">
        <v>30940</v>
      </c>
      <c r="AL394" s="414" t="str">
        <f t="shared" si="36"/>
        <v>워커힐 시그니처 양념 본갈비 300g, 8개</v>
      </c>
      <c r="AM394" s="395">
        <f t="shared" si="37"/>
        <v>46060</v>
      </c>
      <c r="AN394" s="396">
        <f t="shared" si="38"/>
        <v>1</v>
      </c>
      <c r="AO394" s="109">
        <f t="shared" si="39"/>
        <v>119000</v>
      </c>
      <c r="AP394" s="109">
        <f t="shared" si="40"/>
        <v>108181.81818181818</v>
      </c>
      <c r="AQ394" s="397">
        <f t="shared" si="41"/>
        <v>108181.81818181818</v>
      </c>
    </row>
    <row r="395" spans="1:43" ht="24">
      <c r="A395" s="436" t="s">
        <v>4549</v>
      </c>
      <c r="B395" s="436" t="s">
        <v>3490</v>
      </c>
      <c r="C395" s="437" t="s">
        <v>3491</v>
      </c>
      <c r="D395" s="436" t="s">
        <v>4464</v>
      </c>
      <c r="E395" s="437" t="s">
        <v>3948</v>
      </c>
      <c r="F395" s="436" t="s">
        <v>3494</v>
      </c>
      <c r="G395" s="436" t="s">
        <v>3495</v>
      </c>
      <c r="H395" s="437" t="s">
        <v>3496</v>
      </c>
      <c r="I395" s="436" t="s">
        <v>3497</v>
      </c>
      <c r="J395" s="437" t="s">
        <v>3498</v>
      </c>
      <c r="K395" s="437" t="s">
        <v>3499</v>
      </c>
      <c r="L395" s="436" t="s">
        <v>3500</v>
      </c>
      <c r="M395" s="436" t="s">
        <v>3524</v>
      </c>
      <c r="N395" s="436" t="s">
        <v>3502</v>
      </c>
      <c r="O395" s="438">
        <v>119000</v>
      </c>
      <c r="P395" s="438">
        <v>82110</v>
      </c>
      <c r="Q395" s="438">
        <v>1</v>
      </c>
      <c r="R395" s="438">
        <v>0</v>
      </c>
      <c r="S395" s="438">
        <v>0</v>
      </c>
      <c r="T395" s="438">
        <v>0</v>
      </c>
      <c r="U395" s="438">
        <v>0</v>
      </c>
      <c r="V395" s="438">
        <v>0</v>
      </c>
      <c r="W395" s="438">
        <v>31</v>
      </c>
      <c r="X395" s="438">
        <v>19040</v>
      </c>
      <c r="Y395" s="438">
        <v>0</v>
      </c>
      <c r="Z395" s="438">
        <v>0</v>
      </c>
      <c r="AA395" s="438">
        <v>0</v>
      </c>
      <c r="AB395" s="438">
        <v>0</v>
      </c>
      <c r="AC395" s="438">
        <v>119000</v>
      </c>
      <c r="AD395" s="438">
        <v>82110</v>
      </c>
      <c r="AE395" s="438">
        <v>0</v>
      </c>
      <c r="AF395" s="438">
        <v>19040</v>
      </c>
      <c r="AG395" s="438">
        <v>99960</v>
      </c>
      <c r="AH395" s="438">
        <v>82110</v>
      </c>
      <c r="AI395" s="438">
        <v>16227</v>
      </c>
      <c r="AJ395" s="438">
        <v>1623</v>
      </c>
      <c r="AK395" s="438">
        <v>17850</v>
      </c>
      <c r="AL395" s="414" t="str">
        <f t="shared" si="36"/>
        <v>워커힐 시그니처 양념 본갈비 300g, 8개</v>
      </c>
      <c r="AM395" s="395">
        <f t="shared" si="37"/>
        <v>46060</v>
      </c>
      <c r="AN395" s="396">
        <f t="shared" si="38"/>
        <v>1</v>
      </c>
      <c r="AO395" s="109">
        <f t="shared" si="39"/>
        <v>119000</v>
      </c>
      <c r="AP395" s="109">
        <f t="shared" si="40"/>
        <v>108181.81818181818</v>
      </c>
      <c r="AQ395" s="397">
        <f t="shared" si="41"/>
        <v>108181.81818181818</v>
      </c>
    </row>
    <row r="396" spans="1:43" ht="24">
      <c r="A396" s="436" t="s">
        <v>4552</v>
      </c>
      <c r="B396" s="436" t="s">
        <v>3490</v>
      </c>
      <c r="C396" s="437" t="s">
        <v>3491</v>
      </c>
      <c r="D396" s="436" t="s">
        <v>4490</v>
      </c>
      <c r="E396" s="437" t="s">
        <v>4491</v>
      </c>
      <c r="F396" s="436" t="s">
        <v>3494</v>
      </c>
      <c r="G396" s="436" t="s">
        <v>3495</v>
      </c>
      <c r="H396" s="437" t="s">
        <v>3496</v>
      </c>
      <c r="I396" s="436" t="s">
        <v>3497</v>
      </c>
      <c r="J396" s="437" t="s">
        <v>3498</v>
      </c>
      <c r="K396" s="437" t="s">
        <v>3499</v>
      </c>
      <c r="L396" s="436" t="s">
        <v>3500</v>
      </c>
      <c r="M396" s="436" t="s">
        <v>3524</v>
      </c>
      <c r="N396" s="436" t="s">
        <v>3502</v>
      </c>
      <c r="O396" s="438">
        <v>119000</v>
      </c>
      <c r="P396" s="438">
        <v>82110</v>
      </c>
      <c r="Q396" s="438">
        <v>1</v>
      </c>
      <c r="R396" s="438">
        <v>0</v>
      </c>
      <c r="S396" s="438">
        <v>0</v>
      </c>
      <c r="T396" s="438">
        <v>0</v>
      </c>
      <c r="U396" s="438">
        <v>0</v>
      </c>
      <c r="V396" s="438">
        <v>0</v>
      </c>
      <c r="W396" s="438">
        <v>31</v>
      </c>
      <c r="X396" s="438">
        <v>22610</v>
      </c>
      <c r="Y396" s="438">
        <v>0</v>
      </c>
      <c r="Z396" s="438">
        <v>0</v>
      </c>
      <c r="AA396" s="438">
        <v>0</v>
      </c>
      <c r="AB396" s="438">
        <v>0</v>
      </c>
      <c r="AC396" s="438">
        <v>119000</v>
      </c>
      <c r="AD396" s="438">
        <v>82110</v>
      </c>
      <c r="AE396" s="438">
        <v>0</v>
      </c>
      <c r="AF396" s="438">
        <v>22610</v>
      </c>
      <c r="AG396" s="438">
        <v>96390</v>
      </c>
      <c r="AH396" s="438">
        <v>82110</v>
      </c>
      <c r="AI396" s="438">
        <v>12982</v>
      </c>
      <c r="AJ396" s="438">
        <v>1298</v>
      </c>
      <c r="AK396" s="438">
        <v>14280</v>
      </c>
      <c r="AL396" s="414" t="str">
        <f t="shared" si="36"/>
        <v>워커힐 시그니처 양념 본갈비 300g, 8개</v>
      </c>
      <c r="AM396" s="395">
        <f t="shared" si="37"/>
        <v>46060</v>
      </c>
      <c r="AN396" s="396">
        <f t="shared" si="38"/>
        <v>1</v>
      </c>
      <c r="AO396" s="109">
        <f t="shared" si="39"/>
        <v>119000</v>
      </c>
      <c r="AP396" s="109">
        <f t="shared" si="40"/>
        <v>108181.81818181818</v>
      </c>
      <c r="AQ396" s="397">
        <f t="shared" si="41"/>
        <v>108181.81818181818</v>
      </c>
    </row>
    <row r="397" spans="1:43" ht="24">
      <c r="A397" s="436" t="s">
        <v>4555</v>
      </c>
      <c r="B397" s="436" t="s">
        <v>3490</v>
      </c>
      <c r="C397" s="437" t="s">
        <v>3491</v>
      </c>
      <c r="D397" s="436" t="s">
        <v>4655</v>
      </c>
      <c r="E397" s="437" t="s">
        <v>4656</v>
      </c>
      <c r="F397" s="436" t="s">
        <v>3494</v>
      </c>
      <c r="G397" s="436" t="s">
        <v>3495</v>
      </c>
      <c r="H397" s="437" t="s">
        <v>3496</v>
      </c>
      <c r="I397" s="436" t="s">
        <v>3497</v>
      </c>
      <c r="J397" s="437" t="s">
        <v>3498</v>
      </c>
      <c r="K397" s="437" t="s">
        <v>3548</v>
      </c>
      <c r="L397" s="436" t="s">
        <v>3500</v>
      </c>
      <c r="M397" s="436" t="s">
        <v>3524</v>
      </c>
      <c r="N397" s="436" t="s">
        <v>3502</v>
      </c>
      <c r="O397" s="438">
        <v>119000</v>
      </c>
      <c r="P397" s="438">
        <v>82110</v>
      </c>
      <c r="Q397" s="438">
        <v>1</v>
      </c>
      <c r="R397" s="438">
        <v>0</v>
      </c>
      <c r="S397" s="438">
        <v>0</v>
      </c>
      <c r="T397" s="438">
        <v>0</v>
      </c>
      <c r="U397" s="438">
        <v>0</v>
      </c>
      <c r="V397" s="438">
        <v>0</v>
      </c>
      <c r="W397" s="438">
        <v>31</v>
      </c>
      <c r="X397" s="438">
        <v>0</v>
      </c>
      <c r="Y397" s="438">
        <v>0</v>
      </c>
      <c r="Z397" s="438">
        <v>0</v>
      </c>
      <c r="AA397" s="438">
        <v>0</v>
      </c>
      <c r="AB397" s="438">
        <v>0</v>
      </c>
      <c r="AC397" s="438">
        <v>119000</v>
      </c>
      <c r="AD397" s="438">
        <v>82110</v>
      </c>
      <c r="AE397" s="438">
        <v>0</v>
      </c>
      <c r="AF397" s="438">
        <v>0</v>
      </c>
      <c r="AG397" s="438">
        <v>119000</v>
      </c>
      <c r="AH397" s="438">
        <v>82110</v>
      </c>
      <c r="AI397" s="438">
        <v>33536</v>
      </c>
      <c r="AJ397" s="438">
        <v>3354</v>
      </c>
      <c r="AK397" s="438">
        <v>36890</v>
      </c>
      <c r="AL397" s="414" t="str">
        <f t="shared" si="36"/>
        <v>워커힐 시그니처 양념 본갈비 300g, 8개</v>
      </c>
      <c r="AM397" s="395">
        <f t="shared" si="37"/>
        <v>46060</v>
      </c>
      <c r="AN397" s="396">
        <f t="shared" si="38"/>
        <v>1</v>
      </c>
      <c r="AO397" s="109">
        <f t="shared" si="39"/>
        <v>119000</v>
      </c>
      <c r="AP397" s="109">
        <f t="shared" si="40"/>
        <v>108181.81818181818</v>
      </c>
      <c r="AQ397" s="397">
        <f t="shared" si="41"/>
        <v>108181.81818181818</v>
      </c>
    </row>
    <row r="398" spans="1:43" ht="24">
      <c r="A398" s="436" t="s">
        <v>4558</v>
      </c>
      <c r="B398" s="436" t="s">
        <v>3490</v>
      </c>
      <c r="C398" s="437" t="s">
        <v>3491</v>
      </c>
      <c r="D398" s="436" t="s">
        <v>4457</v>
      </c>
      <c r="E398" s="437" t="s">
        <v>3922</v>
      </c>
      <c r="F398" s="436" t="s">
        <v>3494</v>
      </c>
      <c r="G398" s="436" t="s">
        <v>3495</v>
      </c>
      <c r="H398" s="437" t="s">
        <v>3496</v>
      </c>
      <c r="I398" s="436" t="s">
        <v>3497</v>
      </c>
      <c r="J398" s="437" t="s">
        <v>3498</v>
      </c>
      <c r="K398" s="437" t="s">
        <v>3499</v>
      </c>
      <c r="L398" s="436" t="s">
        <v>3500</v>
      </c>
      <c r="M398" s="436" t="s">
        <v>3524</v>
      </c>
      <c r="N398" s="436" t="s">
        <v>3502</v>
      </c>
      <c r="O398" s="438">
        <v>119000</v>
      </c>
      <c r="P398" s="438">
        <v>82110</v>
      </c>
      <c r="Q398" s="438">
        <v>1</v>
      </c>
      <c r="R398" s="438">
        <v>0</v>
      </c>
      <c r="S398" s="438">
        <v>0</v>
      </c>
      <c r="T398" s="438">
        <v>0</v>
      </c>
      <c r="U398" s="438">
        <v>0</v>
      </c>
      <c r="V398" s="438">
        <v>0</v>
      </c>
      <c r="W398" s="438">
        <v>31</v>
      </c>
      <c r="X398" s="438">
        <v>0</v>
      </c>
      <c r="Y398" s="438">
        <v>0</v>
      </c>
      <c r="Z398" s="438">
        <v>0</v>
      </c>
      <c r="AA398" s="438">
        <v>0</v>
      </c>
      <c r="AB398" s="438">
        <v>0</v>
      </c>
      <c r="AC398" s="438">
        <v>119000</v>
      </c>
      <c r="AD398" s="438">
        <v>82110</v>
      </c>
      <c r="AE398" s="438">
        <v>0</v>
      </c>
      <c r="AF398" s="438">
        <v>0</v>
      </c>
      <c r="AG398" s="438">
        <v>119000</v>
      </c>
      <c r="AH398" s="438">
        <v>82110</v>
      </c>
      <c r="AI398" s="438">
        <v>33536</v>
      </c>
      <c r="AJ398" s="438">
        <v>3354</v>
      </c>
      <c r="AK398" s="438">
        <v>36890</v>
      </c>
      <c r="AL398" s="414" t="str">
        <f t="shared" si="36"/>
        <v>워커힐 시그니처 양념 본갈비 300g, 8개</v>
      </c>
      <c r="AM398" s="395">
        <f t="shared" si="37"/>
        <v>46060</v>
      </c>
      <c r="AN398" s="396">
        <f t="shared" si="38"/>
        <v>1</v>
      </c>
      <c r="AO398" s="109">
        <f t="shared" si="39"/>
        <v>119000</v>
      </c>
      <c r="AP398" s="109">
        <f t="shared" si="40"/>
        <v>108181.81818181818</v>
      </c>
      <c r="AQ398" s="397">
        <f t="shared" si="41"/>
        <v>108181.81818181818</v>
      </c>
    </row>
    <row r="399" spans="1:43" ht="24">
      <c r="A399" s="436" t="s">
        <v>4561</v>
      </c>
      <c r="B399" s="436" t="s">
        <v>3490</v>
      </c>
      <c r="C399" s="437" t="s">
        <v>3491</v>
      </c>
      <c r="D399" s="436" t="s">
        <v>4518</v>
      </c>
      <c r="E399" s="437" t="s">
        <v>4519</v>
      </c>
      <c r="F399" s="436" t="s">
        <v>3494</v>
      </c>
      <c r="G399" s="436" t="s">
        <v>3495</v>
      </c>
      <c r="H399" s="437" t="s">
        <v>3496</v>
      </c>
      <c r="I399" s="436" t="s">
        <v>3497</v>
      </c>
      <c r="J399" s="437" t="s">
        <v>3498</v>
      </c>
      <c r="K399" s="437" t="s">
        <v>3499</v>
      </c>
      <c r="L399" s="436" t="s">
        <v>3500</v>
      </c>
      <c r="M399" s="436" t="s">
        <v>3524</v>
      </c>
      <c r="N399" s="436" t="s">
        <v>3502</v>
      </c>
      <c r="O399" s="438">
        <v>119000</v>
      </c>
      <c r="P399" s="438">
        <v>82110</v>
      </c>
      <c r="Q399" s="438">
        <v>1</v>
      </c>
      <c r="R399" s="438">
        <v>0</v>
      </c>
      <c r="S399" s="438">
        <v>0</v>
      </c>
      <c r="T399" s="438">
        <v>0</v>
      </c>
      <c r="U399" s="438">
        <v>0</v>
      </c>
      <c r="V399" s="438">
        <v>0</v>
      </c>
      <c r="W399" s="438">
        <v>31</v>
      </c>
      <c r="X399" s="438">
        <v>0</v>
      </c>
      <c r="Y399" s="438">
        <v>0</v>
      </c>
      <c r="Z399" s="438">
        <v>0</v>
      </c>
      <c r="AA399" s="438">
        <v>0</v>
      </c>
      <c r="AB399" s="438">
        <v>0</v>
      </c>
      <c r="AC399" s="438">
        <v>119000</v>
      </c>
      <c r="AD399" s="438">
        <v>82110</v>
      </c>
      <c r="AE399" s="438">
        <v>0</v>
      </c>
      <c r="AF399" s="438">
        <v>0</v>
      </c>
      <c r="AG399" s="438">
        <v>119000</v>
      </c>
      <c r="AH399" s="438">
        <v>82110</v>
      </c>
      <c r="AI399" s="438">
        <v>33536</v>
      </c>
      <c r="AJ399" s="438">
        <v>3354</v>
      </c>
      <c r="AK399" s="438">
        <v>36890</v>
      </c>
      <c r="AL399" s="414" t="str">
        <f t="shared" si="36"/>
        <v>워커힐 시그니처 양념 본갈비 300g, 8개</v>
      </c>
      <c r="AM399" s="395">
        <f t="shared" si="37"/>
        <v>46060</v>
      </c>
      <c r="AN399" s="396">
        <f t="shared" si="38"/>
        <v>1</v>
      </c>
      <c r="AO399" s="109">
        <f t="shared" si="39"/>
        <v>119000</v>
      </c>
      <c r="AP399" s="109">
        <f t="shared" si="40"/>
        <v>108181.81818181818</v>
      </c>
      <c r="AQ399" s="397">
        <f t="shared" si="41"/>
        <v>108181.81818181818</v>
      </c>
    </row>
    <row r="400" spans="1:43" ht="24">
      <c r="A400" s="436" t="s">
        <v>4564</v>
      </c>
      <c r="B400" s="436" t="s">
        <v>3490</v>
      </c>
      <c r="C400" s="437" t="s">
        <v>3491</v>
      </c>
      <c r="D400" s="436" t="s">
        <v>4524</v>
      </c>
      <c r="E400" s="437" t="s">
        <v>3724</v>
      </c>
      <c r="F400" s="436" t="s">
        <v>3494</v>
      </c>
      <c r="G400" s="436" t="s">
        <v>3495</v>
      </c>
      <c r="H400" s="437" t="s">
        <v>3496</v>
      </c>
      <c r="I400" s="436" t="s">
        <v>3497</v>
      </c>
      <c r="J400" s="437" t="s">
        <v>3498</v>
      </c>
      <c r="K400" s="437" t="s">
        <v>3499</v>
      </c>
      <c r="L400" s="436" t="s">
        <v>3500</v>
      </c>
      <c r="M400" s="436" t="s">
        <v>3524</v>
      </c>
      <c r="N400" s="436" t="s">
        <v>3502</v>
      </c>
      <c r="O400" s="438">
        <v>119000</v>
      </c>
      <c r="P400" s="438">
        <v>82110</v>
      </c>
      <c r="Q400" s="438">
        <v>1</v>
      </c>
      <c r="R400" s="438">
        <v>0</v>
      </c>
      <c r="S400" s="438">
        <v>0</v>
      </c>
      <c r="T400" s="438">
        <v>0</v>
      </c>
      <c r="U400" s="438">
        <v>0</v>
      </c>
      <c r="V400" s="438">
        <v>0</v>
      </c>
      <c r="W400" s="438">
        <v>31</v>
      </c>
      <c r="X400" s="438">
        <v>17850</v>
      </c>
      <c r="Y400" s="438">
        <v>0</v>
      </c>
      <c r="Z400" s="438">
        <v>0</v>
      </c>
      <c r="AA400" s="438">
        <v>0</v>
      </c>
      <c r="AB400" s="438">
        <v>0</v>
      </c>
      <c r="AC400" s="438">
        <v>119000</v>
      </c>
      <c r="AD400" s="438">
        <v>82110</v>
      </c>
      <c r="AE400" s="438">
        <v>0</v>
      </c>
      <c r="AF400" s="438">
        <v>17850</v>
      </c>
      <c r="AG400" s="438">
        <v>101150</v>
      </c>
      <c r="AH400" s="438">
        <v>82110</v>
      </c>
      <c r="AI400" s="438">
        <v>17309</v>
      </c>
      <c r="AJ400" s="438">
        <v>1731</v>
      </c>
      <c r="AK400" s="438">
        <v>19040</v>
      </c>
      <c r="AL400" s="414" t="str">
        <f t="shared" si="36"/>
        <v>워커힐 시그니처 양념 본갈비 300g, 8개</v>
      </c>
      <c r="AM400" s="395">
        <f t="shared" si="37"/>
        <v>46060</v>
      </c>
      <c r="AN400" s="396">
        <f t="shared" si="38"/>
        <v>1</v>
      </c>
      <c r="AO400" s="109">
        <f t="shared" si="39"/>
        <v>119000</v>
      </c>
      <c r="AP400" s="109">
        <f t="shared" si="40"/>
        <v>108181.81818181818</v>
      </c>
      <c r="AQ400" s="397">
        <f t="shared" si="41"/>
        <v>108181.81818181818</v>
      </c>
    </row>
    <row r="401" spans="1:43" ht="24">
      <c r="A401" s="436" t="s">
        <v>4567</v>
      </c>
      <c r="B401" s="436" t="s">
        <v>3490</v>
      </c>
      <c r="C401" s="437" t="s">
        <v>3491</v>
      </c>
      <c r="D401" s="436" t="s">
        <v>4526</v>
      </c>
      <c r="E401" s="437" t="s">
        <v>4527</v>
      </c>
      <c r="F401" s="436" t="s">
        <v>3494</v>
      </c>
      <c r="G401" s="436" t="s">
        <v>3495</v>
      </c>
      <c r="H401" s="437" t="s">
        <v>3496</v>
      </c>
      <c r="I401" s="436" t="s">
        <v>3497</v>
      </c>
      <c r="J401" s="437" t="s">
        <v>3498</v>
      </c>
      <c r="K401" s="437" t="s">
        <v>3499</v>
      </c>
      <c r="L401" s="436" t="s">
        <v>3500</v>
      </c>
      <c r="M401" s="436" t="s">
        <v>3524</v>
      </c>
      <c r="N401" s="436" t="s">
        <v>3502</v>
      </c>
      <c r="O401" s="438">
        <v>119000</v>
      </c>
      <c r="P401" s="438">
        <v>82110</v>
      </c>
      <c r="Q401" s="438">
        <v>1</v>
      </c>
      <c r="R401" s="438">
        <v>0</v>
      </c>
      <c r="S401" s="438">
        <v>0</v>
      </c>
      <c r="T401" s="438">
        <v>0</v>
      </c>
      <c r="U401" s="438">
        <v>0</v>
      </c>
      <c r="V401" s="438">
        <v>0</v>
      </c>
      <c r="W401" s="438">
        <v>31</v>
      </c>
      <c r="X401" s="438">
        <v>0</v>
      </c>
      <c r="Y401" s="438">
        <v>0</v>
      </c>
      <c r="Z401" s="438">
        <v>0</v>
      </c>
      <c r="AA401" s="438">
        <v>0</v>
      </c>
      <c r="AB401" s="438">
        <v>5950</v>
      </c>
      <c r="AC401" s="438">
        <v>119000</v>
      </c>
      <c r="AD401" s="438">
        <v>82110</v>
      </c>
      <c r="AE401" s="438">
        <v>0</v>
      </c>
      <c r="AF401" s="438">
        <v>5950</v>
      </c>
      <c r="AG401" s="438">
        <v>113050</v>
      </c>
      <c r="AH401" s="438">
        <v>82110</v>
      </c>
      <c r="AI401" s="438">
        <v>28127</v>
      </c>
      <c r="AJ401" s="438">
        <v>2813</v>
      </c>
      <c r="AK401" s="438">
        <v>30940</v>
      </c>
      <c r="AL401" s="414" t="str">
        <f t="shared" si="36"/>
        <v>워커힐 시그니처 양념 본갈비 300g, 8개</v>
      </c>
      <c r="AM401" s="395">
        <f t="shared" si="37"/>
        <v>46060</v>
      </c>
      <c r="AN401" s="396">
        <f t="shared" si="38"/>
        <v>1</v>
      </c>
      <c r="AO401" s="109">
        <f t="shared" si="39"/>
        <v>119000</v>
      </c>
      <c r="AP401" s="109">
        <f t="shared" si="40"/>
        <v>108181.81818181818</v>
      </c>
      <c r="AQ401" s="397">
        <f t="shared" si="41"/>
        <v>108181.81818181818</v>
      </c>
    </row>
    <row r="402" spans="1:43" ht="24">
      <c r="A402" s="436" t="s">
        <v>4569</v>
      </c>
      <c r="B402" s="436" t="s">
        <v>3490</v>
      </c>
      <c r="C402" s="437" t="s">
        <v>3491</v>
      </c>
      <c r="D402" s="436" t="s">
        <v>4529</v>
      </c>
      <c r="E402" s="437" t="s">
        <v>4530</v>
      </c>
      <c r="F402" s="436" t="s">
        <v>3494</v>
      </c>
      <c r="G402" s="436" t="s">
        <v>3495</v>
      </c>
      <c r="H402" s="437" t="s">
        <v>3496</v>
      </c>
      <c r="I402" s="436" t="s">
        <v>3497</v>
      </c>
      <c r="J402" s="437" t="s">
        <v>3498</v>
      </c>
      <c r="K402" s="437" t="s">
        <v>3548</v>
      </c>
      <c r="L402" s="436" t="s">
        <v>3500</v>
      </c>
      <c r="M402" s="436" t="s">
        <v>3524</v>
      </c>
      <c r="N402" s="436" t="s">
        <v>3502</v>
      </c>
      <c r="O402" s="438">
        <v>119000</v>
      </c>
      <c r="P402" s="438">
        <v>82110</v>
      </c>
      <c r="Q402" s="438">
        <v>1</v>
      </c>
      <c r="R402" s="438">
        <v>0</v>
      </c>
      <c r="S402" s="438">
        <v>0</v>
      </c>
      <c r="T402" s="438">
        <v>0</v>
      </c>
      <c r="U402" s="438">
        <v>0</v>
      </c>
      <c r="V402" s="438">
        <v>0</v>
      </c>
      <c r="W402" s="438">
        <v>31</v>
      </c>
      <c r="X402" s="438">
        <v>0</v>
      </c>
      <c r="Y402" s="438">
        <v>0</v>
      </c>
      <c r="Z402" s="438">
        <v>0</v>
      </c>
      <c r="AA402" s="438">
        <v>0</v>
      </c>
      <c r="AB402" s="438">
        <v>0</v>
      </c>
      <c r="AC402" s="438">
        <v>119000</v>
      </c>
      <c r="AD402" s="438">
        <v>82110</v>
      </c>
      <c r="AE402" s="438">
        <v>0</v>
      </c>
      <c r="AF402" s="438">
        <v>0</v>
      </c>
      <c r="AG402" s="438">
        <v>119000</v>
      </c>
      <c r="AH402" s="438">
        <v>82110</v>
      </c>
      <c r="AI402" s="438">
        <v>33536</v>
      </c>
      <c r="AJ402" s="438">
        <v>3354</v>
      </c>
      <c r="AK402" s="438">
        <v>36890</v>
      </c>
      <c r="AL402" s="414" t="str">
        <f t="shared" si="36"/>
        <v>워커힐 시그니처 양념 본갈비 300g, 8개</v>
      </c>
      <c r="AM402" s="395">
        <f t="shared" si="37"/>
        <v>46060</v>
      </c>
      <c r="AN402" s="396">
        <f t="shared" si="38"/>
        <v>1</v>
      </c>
      <c r="AO402" s="109">
        <f t="shared" si="39"/>
        <v>119000</v>
      </c>
      <c r="AP402" s="109">
        <f t="shared" si="40"/>
        <v>108181.81818181818</v>
      </c>
      <c r="AQ402" s="397">
        <f t="shared" si="41"/>
        <v>108181.81818181818</v>
      </c>
    </row>
    <row r="403" spans="1:43" ht="24">
      <c r="A403" s="436" t="s">
        <v>4572</v>
      </c>
      <c r="B403" s="436" t="s">
        <v>3490</v>
      </c>
      <c r="C403" s="437" t="s">
        <v>3491</v>
      </c>
      <c r="D403" s="436" t="s">
        <v>4532</v>
      </c>
      <c r="E403" s="437" t="s">
        <v>4533</v>
      </c>
      <c r="F403" s="436" t="s">
        <v>3494</v>
      </c>
      <c r="G403" s="436" t="s">
        <v>3495</v>
      </c>
      <c r="H403" s="437" t="s">
        <v>3496</v>
      </c>
      <c r="I403" s="436" t="s">
        <v>3497</v>
      </c>
      <c r="J403" s="437" t="s">
        <v>3498</v>
      </c>
      <c r="K403" s="437" t="s">
        <v>3499</v>
      </c>
      <c r="L403" s="436" t="s">
        <v>3500</v>
      </c>
      <c r="M403" s="436" t="s">
        <v>3524</v>
      </c>
      <c r="N403" s="436" t="s">
        <v>3502</v>
      </c>
      <c r="O403" s="438">
        <v>119000</v>
      </c>
      <c r="P403" s="438">
        <v>82110</v>
      </c>
      <c r="Q403" s="438">
        <v>1</v>
      </c>
      <c r="R403" s="438">
        <v>0</v>
      </c>
      <c r="S403" s="438">
        <v>0</v>
      </c>
      <c r="T403" s="438">
        <v>0</v>
      </c>
      <c r="U403" s="438">
        <v>0</v>
      </c>
      <c r="V403" s="438">
        <v>0</v>
      </c>
      <c r="W403" s="438">
        <v>31</v>
      </c>
      <c r="X403" s="438">
        <v>0</v>
      </c>
      <c r="Y403" s="438">
        <v>0</v>
      </c>
      <c r="Z403" s="438">
        <v>0</v>
      </c>
      <c r="AA403" s="438">
        <v>0</v>
      </c>
      <c r="AB403" s="438">
        <v>0</v>
      </c>
      <c r="AC403" s="438">
        <v>119000</v>
      </c>
      <c r="AD403" s="438">
        <v>82110</v>
      </c>
      <c r="AE403" s="438">
        <v>0</v>
      </c>
      <c r="AF403" s="438">
        <v>0</v>
      </c>
      <c r="AG403" s="438">
        <v>119000</v>
      </c>
      <c r="AH403" s="438">
        <v>82110</v>
      </c>
      <c r="AI403" s="438">
        <v>33536</v>
      </c>
      <c r="AJ403" s="438">
        <v>3354</v>
      </c>
      <c r="AK403" s="438">
        <v>36890</v>
      </c>
      <c r="AL403" s="414" t="str">
        <f t="shared" si="36"/>
        <v>워커힐 시그니처 양념 본갈비 300g, 8개</v>
      </c>
      <c r="AM403" s="395">
        <f t="shared" si="37"/>
        <v>46060</v>
      </c>
      <c r="AN403" s="396">
        <f t="shared" si="38"/>
        <v>1</v>
      </c>
      <c r="AO403" s="109">
        <f t="shared" si="39"/>
        <v>119000</v>
      </c>
      <c r="AP403" s="109">
        <f t="shared" si="40"/>
        <v>108181.81818181818</v>
      </c>
      <c r="AQ403" s="397">
        <f t="shared" si="41"/>
        <v>108181.81818181818</v>
      </c>
    </row>
    <row r="404" spans="1:43" ht="24">
      <c r="A404" s="436" t="s">
        <v>4574</v>
      </c>
      <c r="B404" s="436" t="s">
        <v>3490</v>
      </c>
      <c r="C404" s="437" t="s">
        <v>3491</v>
      </c>
      <c r="D404" s="436" t="s">
        <v>4538</v>
      </c>
      <c r="E404" s="437" t="s">
        <v>3999</v>
      </c>
      <c r="F404" s="436" t="s">
        <v>3494</v>
      </c>
      <c r="G404" s="436" t="s">
        <v>3495</v>
      </c>
      <c r="H404" s="437" t="s">
        <v>3496</v>
      </c>
      <c r="I404" s="436" t="s">
        <v>3497</v>
      </c>
      <c r="J404" s="437" t="s">
        <v>3498</v>
      </c>
      <c r="K404" s="437" t="s">
        <v>3499</v>
      </c>
      <c r="L404" s="436" t="s">
        <v>3500</v>
      </c>
      <c r="M404" s="436" t="s">
        <v>3524</v>
      </c>
      <c r="N404" s="436" t="s">
        <v>3502</v>
      </c>
      <c r="O404" s="438">
        <v>119000</v>
      </c>
      <c r="P404" s="438">
        <v>82110</v>
      </c>
      <c r="Q404" s="438">
        <v>1</v>
      </c>
      <c r="R404" s="438">
        <v>0</v>
      </c>
      <c r="S404" s="438">
        <v>0</v>
      </c>
      <c r="T404" s="438">
        <v>0</v>
      </c>
      <c r="U404" s="438">
        <v>0</v>
      </c>
      <c r="V404" s="438">
        <v>0</v>
      </c>
      <c r="W404" s="438">
        <v>31</v>
      </c>
      <c r="X404" s="438">
        <v>0</v>
      </c>
      <c r="Y404" s="438">
        <v>0</v>
      </c>
      <c r="Z404" s="438">
        <v>0</v>
      </c>
      <c r="AA404" s="438">
        <v>0</v>
      </c>
      <c r="AB404" s="438">
        <v>0</v>
      </c>
      <c r="AC404" s="438">
        <v>119000</v>
      </c>
      <c r="AD404" s="438">
        <v>82110</v>
      </c>
      <c r="AE404" s="438">
        <v>0</v>
      </c>
      <c r="AF404" s="438">
        <v>0</v>
      </c>
      <c r="AG404" s="438">
        <v>119000</v>
      </c>
      <c r="AH404" s="438">
        <v>82110</v>
      </c>
      <c r="AI404" s="438">
        <v>33536</v>
      </c>
      <c r="AJ404" s="438">
        <v>3354</v>
      </c>
      <c r="AK404" s="438">
        <v>36890</v>
      </c>
      <c r="AL404" s="414" t="str">
        <f t="shared" si="36"/>
        <v>워커힐 시그니처 양념 본갈비 300g, 8개</v>
      </c>
      <c r="AM404" s="395">
        <f t="shared" si="37"/>
        <v>46060</v>
      </c>
      <c r="AN404" s="396">
        <f t="shared" si="38"/>
        <v>1</v>
      </c>
      <c r="AO404" s="109">
        <f t="shared" si="39"/>
        <v>119000</v>
      </c>
      <c r="AP404" s="109">
        <f t="shared" si="40"/>
        <v>108181.81818181818</v>
      </c>
      <c r="AQ404" s="397">
        <f t="shared" si="41"/>
        <v>108181.81818181818</v>
      </c>
    </row>
    <row r="405" spans="1:43" ht="24">
      <c r="A405" s="436" t="s">
        <v>4577</v>
      </c>
      <c r="B405" s="436" t="s">
        <v>3490</v>
      </c>
      <c r="C405" s="437" t="s">
        <v>3491</v>
      </c>
      <c r="D405" s="436" t="s">
        <v>4540</v>
      </c>
      <c r="E405" s="437" t="s">
        <v>4541</v>
      </c>
      <c r="F405" s="436" t="s">
        <v>3494</v>
      </c>
      <c r="G405" s="436" t="s">
        <v>3495</v>
      </c>
      <c r="H405" s="437" t="s">
        <v>3496</v>
      </c>
      <c r="I405" s="436" t="s">
        <v>3497</v>
      </c>
      <c r="J405" s="437" t="s">
        <v>3498</v>
      </c>
      <c r="K405" s="437" t="s">
        <v>3499</v>
      </c>
      <c r="L405" s="436" t="s">
        <v>3500</v>
      </c>
      <c r="M405" s="436" t="s">
        <v>3524</v>
      </c>
      <c r="N405" s="436" t="s">
        <v>3502</v>
      </c>
      <c r="O405" s="438">
        <v>119000</v>
      </c>
      <c r="P405" s="438">
        <v>82110</v>
      </c>
      <c r="Q405" s="438">
        <v>1</v>
      </c>
      <c r="R405" s="438">
        <v>0</v>
      </c>
      <c r="S405" s="438">
        <v>0</v>
      </c>
      <c r="T405" s="438">
        <v>0</v>
      </c>
      <c r="U405" s="438">
        <v>0</v>
      </c>
      <c r="V405" s="438">
        <v>0</v>
      </c>
      <c r="W405" s="438">
        <v>31</v>
      </c>
      <c r="X405" s="438">
        <v>19040</v>
      </c>
      <c r="Y405" s="438">
        <v>0</v>
      </c>
      <c r="Z405" s="438">
        <v>0</v>
      </c>
      <c r="AA405" s="438">
        <v>0</v>
      </c>
      <c r="AB405" s="438">
        <v>0</v>
      </c>
      <c r="AC405" s="438">
        <v>119000</v>
      </c>
      <c r="AD405" s="438">
        <v>82110</v>
      </c>
      <c r="AE405" s="438">
        <v>0</v>
      </c>
      <c r="AF405" s="438">
        <v>19040</v>
      </c>
      <c r="AG405" s="438">
        <v>99960</v>
      </c>
      <c r="AH405" s="438">
        <v>82110</v>
      </c>
      <c r="AI405" s="438">
        <v>16227</v>
      </c>
      <c r="AJ405" s="438">
        <v>1623</v>
      </c>
      <c r="AK405" s="438">
        <v>17850</v>
      </c>
      <c r="AL405" s="414" t="str">
        <f t="shared" si="36"/>
        <v>워커힐 시그니처 양념 본갈비 300g, 8개</v>
      </c>
      <c r="AM405" s="395">
        <f t="shared" si="37"/>
        <v>46060</v>
      </c>
      <c r="AN405" s="396">
        <f t="shared" si="38"/>
        <v>1</v>
      </c>
      <c r="AO405" s="109">
        <f t="shared" si="39"/>
        <v>119000</v>
      </c>
      <c r="AP405" s="109">
        <f t="shared" si="40"/>
        <v>108181.81818181818</v>
      </c>
      <c r="AQ405" s="397">
        <f t="shared" si="41"/>
        <v>108181.81818181818</v>
      </c>
    </row>
    <row r="406" spans="1:43" ht="24">
      <c r="A406" s="436" t="s">
        <v>4580</v>
      </c>
      <c r="B406" s="436" t="s">
        <v>3490</v>
      </c>
      <c r="C406" s="437" t="s">
        <v>3491</v>
      </c>
      <c r="D406" s="436" t="s">
        <v>4543</v>
      </c>
      <c r="E406" s="437" t="s">
        <v>4473</v>
      </c>
      <c r="F406" s="436" t="s">
        <v>3494</v>
      </c>
      <c r="G406" s="436" t="s">
        <v>3495</v>
      </c>
      <c r="H406" s="437" t="s">
        <v>3496</v>
      </c>
      <c r="I406" s="436" t="s">
        <v>3497</v>
      </c>
      <c r="J406" s="437" t="s">
        <v>3498</v>
      </c>
      <c r="K406" s="437" t="s">
        <v>3499</v>
      </c>
      <c r="L406" s="436" t="s">
        <v>3500</v>
      </c>
      <c r="M406" s="436" t="s">
        <v>3524</v>
      </c>
      <c r="N406" s="436" t="s">
        <v>3502</v>
      </c>
      <c r="O406" s="438">
        <v>119000</v>
      </c>
      <c r="P406" s="438">
        <v>82110</v>
      </c>
      <c r="Q406" s="438">
        <v>1</v>
      </c>
      <c r="R406" s="438">
        <v>0</v>
      </c>
      <c r="S406" s="438">
        <v>0</v>
      </c>
      <c r="T406" s="438">
        <v>0</v>
      </c>
      <c r="U406" s="438">
        <v>0</v>
      </c>
      <c r="V406" s="438">
        <v>0</v>
      </c>
      <c r="W406" s="438">
        <v>31</v>
      </c>
      <c r="X406" s="438">
        <v>0</v>
      </c>
      <c r="Y406" s="438">
        <v>0</v>
      </c>
      <c r="Z406" s="438">
        <v>0</v>
      </c>
      <c r="AA406" s="438">
        <v>0</v>
      </c>
      <c r="AB406" s="438">
        <v>0</v>
      </c>
      <c r="AC406" s="438">
        <v>119000</v>
      </c>
      <c r="AD406" s="438">
        <v>82110</v>
      </c>
      <c r="AE406" s="438">
        <v>0</v>
      </c>
      <c r="AF406" s="438">
        <v>0</v>
      </c>
      <c r="AG406" s="438">
        <v>119000</v>
      </c>
      <c r="AH406" s="438">
        <v>82110</v>
      </c>
      <c r="AI406" s="438">
        <v>33536</v>
      </c>
      <c r="AJ406" s="438">
        <v>3354</v>
      </c>
      <c r="AK406" s="438">
        <v>36890</v>
      </c>
      <c r="AL406" s="414" t="str">
        <f t="shared" si="36"/>
        <v>워커힐 시그니처 양념 본갈비 300g, 8개</v>
      </c>
      <c r="AM406" s="395">
        <f t="shared" si="37"/>
        <v>46060</v>
      </c>
      <c r="AN406" s="396">
        <f t="shared" si="38"/>
        <v>1</v>
      </c>
      <c r="AO406" s="109">
        <f t="shared" si="39"/>
        <v>119000</v>
      </c>
      <c r="AP406" s="109">
        <f t="shared" si="40"/>
        <v>108181.81818181818</v>
      </c>
      <c r="AQ406" s="397">
        <f t="shared" si="41"/>
        <v>108181.81818181818</v>
      </c>
    </row>
    <row r="407" spans="1:43" ht="24">
      <c r="A407" s="436" t="s">
        <v>4583</v>
      </c>
      <c r="B407" s="436" t="s">
        <v>3490</v>
      </c>
      <c r="C407" s="437" t="s">
        <v>3491</v>
      </c>
      <c r="D407" s="436" t="s">
        <v>4469</v>
      </c>
      <c r="E407" s="437" t="s">
        <v>4470</v>
      </c>
      <c r="F407" s="436" t="s">
        <v>3494</v>
      </c>
      <c r="G407" s="436" t="s">
        <v>3495</v>
      </c>
      <c r="H407" s="437" t="s">
        <v>3496</v>
      </c>
      <c r="I407" s="436" t="s">
        <v>3497</v>
      </c>
      <c r="J407" s="437" t="s">
        <v>3498</v>
      </c>
      <c r="K407" s="437" t="s">
        <v>3499</v>
      </c>
      <c r="L407" s="436" t="s">
        <v>3500</v>
      </c>
      <c r="M407" s="436" t="s">
        <v>3524</v>
      </c>
      <c r="N407" s="436" t="s">
        <v>3502</v>
      </c>
      <c r="O407" s="438">
        <v>119000</v>
      </c>
      <c r="P407" s="438">
        <v>82110</v>
      </c>
      <c r="Q407" s="438">
        <v>1</v>
      </c>
      <c r="R407" s="438">
        <v>0</v>
      </c>
      <c r="S407" s="438">
        <v>0</v>
      </c>
      <c r="T407" s="438">
        <v>0</v>
      </c>
      <c r="U407" s="438">
        <v>0</v>
      </c>
      <c r="V407" s="438">
        <v>0</v>
      </c>
      <c r="W407" s="438">
        <v>31</v>
      </c>
      <c r="X407" s="438">
        <v>0</v>
      </c>
      <c r="Y407" s="438">
        <v>10000</v>
      </c>
      <c r="Z407" s="438">
        <v>0</v>
      </c>
      <c r="AA407" s="438">
        <v>0</v>
      </c>
      <c r="AB407" s="438">
        <v>0</v>
      </c>
      <c r="AC407" s="438">
        <v>119000</v>
      </c>
      <c r="AD407" s="438">
        <v>82110</v>
      </c>
      <c r="AE407" s="438">
        <v>0</v>
      </c>
      <c r="AF407" s="438">
        <v>10000</v>
      </c>
      <c r="AG407" s="438">
        <v>109000</v>
      </c>
      <c r="AH407" s="438">
        <v>82110</v>
      </c>
      <c r="AI407" s="438">
        <v>24445</v>
      </c>
      <c r="AJ407" s="438">
        <v>2445</v>
      </c>
      <c r="AK407" s="438">
        <v>26890</v>
      </c>
      <c r="AL407" s="414" t="str">
        <f t="shared" si="36"/>
        <v>워커힐 시그니처 양념 본갈비 300g, 8개</v>
      </c>
      <c r="AM407" s="395">
        <f t="shared" si="37"/>
        <v>46060</v>
      </c>
      <c r="AN407" s="396">
        <f t="shared" si="38"/>
        <v>1</v>
      </c>
      <c r="AO407" s="109">
        <f t="shared" si="39"/>
        <v>119000</v>
      </c>
      <c r="AP407" s="109">
        <f t="shared" si="40"/>
        <v>108181.81818181818</v>
      </c>
      <c r="AQ407" s="397">
        <f t="shared" si="41"/>
        <v>108181.81818181818</v>
      </c>
    </row>
    <row r="408" spans="1:43" ht="24">
      <c r="A408" s="436" t="s">
        <v>4586</v>
      </c>
      <c r="B408" s="436" t="s">
        <v>3490</v>
      </c>
      <c r="C408" s="437" t="s">
        <v>3491</v>
      </c>
      <c r="D408" s="436" t="s">
        <v>4545</v>
      </c>
      <c r="E408" s="437" t="s">
        <v>4546</v>
      </c>
      <c r="F408" s="436" t="s">
        <v>3494</v>
      </c>
      <c r="G408" s="436" t="s">
        <v>3495</v>
      </c>
      <c r="H408" s="437" t="s">
        <v>3496</v>
      </c>
      <c r="I408" s="436" t="s">
        <v>3497</v>
      </c>
      <c r="J408" s="437" t="s">
        <v>3498</v>
      </c>
      <c r="K408" s="437" t="s">
        <v>3499</v>
      </c>
      <c r="L408" s="436" t="s">
        <v>3500</v>
      </c>
      <c r="M408" s="436" t="s">
        <v>3524</v>
      </c>
      <c r="N408" s="436" t="s">
        <v>3502</v>
      </c>
      <c r="O408" s="438">
        <v>119000</v>
      </c>
      <c r="P408" s="438">
        <v>82110</v>
      </c>
      <c r="Q408" s="438">
        <v>2</v>
      </c>
      <c r="R408" s="438">
        <v>0</v>
      </c>
      <c r="S408" s="438">
        <v>0</v>
      </c>
      <c r="T408" s="438">
        <v>0</v>
      </c>
      <c r="U408" s="438">
        <v>0</v>
      </c>
      <c r="V408" s="438">
        <v>0</v>
      </c>
      <c r="W408" s="438">
        <v>31</v>
      </c>
      <c r="X408" s="438">
        <v>0</v>
      </c>
      <c r="Y408" s="438">
        <v>0</v>
      </c>
      <c r="Z408" s="438">
        <v>0</v>
      </c>
      <c r="AA408" s="438">
        <v>0</v>
      </c>
      <c r="AB408" s="438">
        <v>0</v>
      </c>
      <c r="AC408" s="438">
        <v>238000</v>
      </c>
      <c r="AD408" s="438">
        <v>164220</v>
      </c>
      <c r="AE408" s="438">
        <v>0</v>
      </c>
      <c r="AF408" s="438">
        <v>0</v>
      </c>
      <c r="AG408" s="438">
        <v>238000</v>
      </c>
      <c r="AH408" s="438">
        <v>164220</v>
      </c>
      <c r="AI408" s="438">
        <v>67073</v>
      </c>
      <c r="AJ408" s="438">
        <v>6707</v>
      </c>
      <c r="AK408" s="438">
        <v>73780</v>
      </c>
      <c r="AL408" s="414" t="str">
        <f t="shared" si="36"/>
        <v>워커힐 시그니처 양념 본갈비 300g, 8개</v>
      </c>
      <c r="AM408" s="395">
        <f t="shared" si="37"/>
        <v>46060</v>
      </c>
      <c r="AN408" s="396">
        <f t="shared" si="38"/>
        <v>2</v>
      </c>
      <c r="AO408" s="109">
        <f t="shared" si="39"/>
        <v>119000</v>
      </c>
      <c r="AP408" s="109">
        <f t="shared" si="40"/>
        <v>108181.81818181818</v>
      </c>
      <c r="AQ408" s="397">
        <f t="shared" si="41"/>
        <v>216363.63636363635</v>
      </c>
    </row>
    <row r="409" spans="1:43" ht="24">
      <c r="A409" s="436" t="s">
        <v>4589</v>
      </c>
      <c r="B409" s="436" t="s">
        <v>3490</v>
      </c>
      <c r="C409" s="437" t="s">
        <v>3491</v>
      </c>
      <c r="D409" s="436" t="s">
        <v>4548</v>
      </c>
      <c r="E409" s="437" t="s">
        <v>3987</v>
      </c>
      <c r="F409" s="436" t="s">
        <v>3494</v>
      </c>
      <c r="G409" s="436" t="s">
        <v>3495</v>
      </c>
      <c r="H409" s="437" t="s">
        <v>3496</v>
      </c>
      <c r="I409" s="436" t="s">
        <v>3497</v>
      </c>
      <c r="J409" s="437" t="s">
        <v>3498</v>
      </c>
      <c r="K409" s="437" t="s">
        <v>3499</v>
      </c>
      <c r="L409" s="436" t="s">
        <v>3500</v>
      </c>
      <c r="M409" s="436" t="s">
        <v>3524</v>
      </c>
      <c r="N409" s="436" t="s">
        <v>3502</v>
      </c>
      <c r="O409" s="438">
        <v>119000</v>
      </c>
      <c r="P409" s="438">
        <v>82110</v>
      </c>
      <c r="Q409" s="438">
        <v>1</v>
      </c>
      <c r="R409" s="438">
        <v>0</v>
      </c>
      <c r="S409" s="438">
        <v>0</v>
      </c>
      <c r="T409" s="438">
        <v>0</v>
      </c>
      <c r="U409" s="438">
        <v>0</v>
      </c>
      <c r="V409" s="438">
        <v>0</v>
      </c>
      <c r="W409" s="438">
        <v>31</v>
      </c>
      <c r="X409" s="438">
        <v>0</v>
      </c>
      <c r="Y409" s="438">
        <v>0</v>
      </c>
      <c r="Z409" s="438">
        <v>0</v>
      </c>
      <c r="AA409" s="438">
        <v>0</v>
      </c>
      <c r="AB409" s="438">
        <v>0</v>
      </c>
      <c r="AC409" s="438">
        <v>119000</v>
      </c>
      <c r="AD409" s="438">
        <v>82110</v>
      </c>
      <c r="AE409" s="438">
        <v>0</v>
      </c>
      <c r="AF409" s="438">
        <v>0</v>
      </c>
      <c r="AG409" s="438">
        <v>119000</v>
      </c>
      <c r="AH409" s="438">
        <v>82110</v>
      </c>
      <c r="AI409" s="438">
        <v>33536</v>
      </c>
      <c r="AJ409" s="438">
        <v>3354</v>
      </c>
      <c r="AK409" s="438">
        <v>36890</v>
      </c>
      <c r="AL409" s="414" t="str">
        <f t="shared" si="36"/>
        <v>워커힐 시그니처 양념 본갈비 300g, 8개</v>
      </c>
      <c r="AM409" s="395">
        <f t="shared" si="37"/>
        <v>46060</v>
      </c>
      <c r="AN409" s="396">
        <f t="shared" si="38"/>
        <v>1</v>
      </c>
      <c r="AO409" s="109">
        <f t="shared" si="39"/>
        <v>119000</v>
      </c>
      <c r="AP409" s="109">
        <f t="shared" si="40"/>
        <v>108181.81818181818</v>
      </c>
      <c r="AQ409" s="397">
        <f t="shared" si="41"/>
        <v>108181.81818181818</v>
      </c>
    </row>
    <row r="410" spans="1:43" ht="24">
      <c r="A410" s="436" t="s">
        <v>4591</v>
      </c>
      <c r="B410" s="436" t="s">
        <v>3490</v>
      </c>
      <c r="C410" s="437" t="s">
        <v>3491</v>
      </c>
      <c r="D410" s="436" t="s">
        <v>4550</v>
      </c>
      <c r="E410" s="437" t="s">
        <v>4551</v>
      </c>
      <c r="F410" s="436" t="s">
        <v>3494</v>
      </c>
      <c r="G410" s="436" t="s">
        <v>3495</v>
      </c>
      <c r="H410" s="437" t="s">
        <v>3496</v>
      </c>
      <c r="I410" s="436" t="s">
        <v>3497</v>
      </c>
      <c r="J410" s="437" t="s">
        <v>3498</v>
      </c>
      <c r="K410" s="437" t="s">
        <v>3499</v>
      </c>
      <c r="L410" s="436" t="s">
        <v>3500</v>
      </c>
      <c r="M410" s="436" t="s">
        <v>3524</v>
      </c>
      <c r="N410" s="436" t="s">
        <v>3502</v>
      </c>
      <c r="O410" s="438">
        <v>119000</v>
      </c>
      <c r="P410" s="438">
        <v>82110</v>
      </c>
      <c r="Q410" s="438">
        <v>1</v>
      </c>
      <c r="R410" s="438">
        <v>0</v>
      </c>
      <c r="S410" s="438">
        <v>0</v>
      </c>
      <c r="T410" s="438">
        <v>0</v>
      </c>
      <c r="U410" s="438">
        <v>0</v>
      </c>
      <c r="V410" s="438">
        <v>0</v>
      </c>
      <c r="W410" s="438">
        <v>31</v>
      </c>
      <c r="X410" s="438">
        <v>0</v>
      </c>
      <c r="Y410" s="438">
        <v>0</v>
      </c>
      <c r="Z410" s="438">
        <v>0</v>
      </c>
      <c r="AA410" s="438">
        <v>0</v>
      </c>
      <c r="AB410" s="438">
        <v>0</v>
      </c>
      <c r="AC410" s="438">
        <v>119000</v>
      </c>
      <c r="AD410" s="438">
        <v>82110</v>
      </c>
      <c r="AE410" s="438">
        <v>0</v>
      </c>
      <c r="AF410" s="438">
        <v>0</v>
      </c>
      <c r="AG410" s="438">
        <v>119000</v>
      </c>
      <c r="AH410" s="438">
        <v>82110</v>
      </c>
      <c r="AI410" s="438">
        <v>33536</v>
      </c>
      <c r="AJ410" s="438">
        <v>3354</v>
      </c>
      <c r="AK410" s="438">
        <v>36890</v>
      </c>
      <c r="AL410" s="414" t="str">
        <f t="shared" si="36"/>
        <v>워커힐 시그니처 양념 본갈비 300g, 8개</v>
      </c>
      <c r="AM410" s="395">
        <f t="shared" si="37"/>
        <v>46060</v>
      </c>
      <c r="AN410" s="396">
        <f t="shared" si="38"/>
        <v>1</v>
      </c>
      <c r="AO410" s="109">
        <f t="shared" si="39"/>
        <v>119000</v>
      </c>
      <c r="AP410" s="109">
        <f t="shared" si="40"/>
        <v>108181.81818181818</v>
      </c>
      <c r="AQ410" s="397">
        <f t="shared" si="41"/>
        <v>108181.81818181818</v>
      </c>
    </row>
    <row r="411" spans="1:43" ht="24">
      <c r="A411" s="436" t="s">
        <v>4594</v>
      </c>
      <c r="B411" s="436" t="s">
        <v>3490</v>
      </c>
      <c r="C411" s="437" t="s">
        <v>3491</v>
      </c>
      <c r="D411" s="436" t="s">
        <v>4264</v>
      </c>
      <c r="E411" s="437" t="s">
        <v>3533</v>
      </c>
      <c r="F411" s="436" t="s">
        <v>3494</v>
      </c>
      <c r="G411" s="436" t="s">
        <v>3495</v>
      </c>
      <c r="H411" s="437" t="s">
        <v>3496</v>
      </c>
      <c r="I411" s="436" t="s">
        <v>3497</v>
      </c>
      <c r="J411" s="437" t="s">
        <v>3498</v>
      </c>
      <c r="K411" s="437" t="s">
        <v>3499</v>
      </c>
      <c r="L411" s="436" t="s">
        <v>3500</v>
      </c>
      <c r="M411" s="436" t="s">
        <v>3524</v>
      </c>
      <c r="N411" s="436" t="s">
        <v>3502</v>
      </c>
      <c r="O411" s="438">
        <v>119000</v>
      </c>
      <c r="P411" s="438">
        <v>82110</v>
      </c>
      <c r="Q411" s="438">
        <v>1</v>
      </c>
      <c r="R411" s="438">
        <v>0</v>
      </c>
      <c r="S411" s="438">
        <v>0</v>
      </c>
      <c r="T411" s="438">
        <v>0</v>
      </c>
      <c r="U411" s="438">
        <v>0</v>
      </c>
      <c r="V411" s="438">
        <v>0</v>
      </c>
      <c r="W411" s="438">
        <v>31</v>
      </c>
      <c r="X411" s="438">
        <v>0</v>
      </c>
      <c r="Y411" s="438">
        <v>0</v>
      </c>
      <c r="Z411" s="438">
        <v>0</v>
      </c>
      <c r="AA411" s="438">
        <v>0</v>
      </c>
      <c r="AB411" s="438">
        <v>0</v>
      </c>
      <c r="AC411" s="438">
        <v>119000</v>
      </c>
      <c r="AD411" s="438">
        <v>82110</v>
      </c>
      <c r="AE411" s="438">
        <v>0</v>
      </c>
      <c r="AF411" s="438">
        <v>0</v>
      </c>
      <c r="AG411" s="438">
        <v>119000</v>
      </c>
      <c r="AH411" s="438">
        <v>82110</v>
      </c>
      <c r="AI411" s="438">
        <v>33536</v>
      </c>
      <c r="AJ411" s="438">
        <v>3354</v>
      </c>
      <c r="AK411" s="438">
        <v>36890</v>
      </c>
      <c r="AL411" s="414" t="str">
        <f t="shared" si="36"/>
        <v>워커힐 시그니처 양념 본갈비 300g, 8개</v>
      </c>
      <c r="AM411" s="395">
        <f t="shared" si="37"/>
        <v>46060</v>
      </c>
      <c r="AN411" s="396">
        <f t="shared" si="38"/>
        <v>1</v>
      </c>
      <c r="AO411" s="109">
        <f t="shared" si="39"/>
        <v>119000</v>
      </c>
      <c r="AP411" s="109">
        <f t="shared" si="40"/>
        <v>108181.81818181818</v>
      </c>
      <c r="AQ411" s="397">
        <f t="shared" si="41"/>
        <v>108181.81818181818</v>
      </c>
    </row>
    <row r="412" spans="1:43" ht="24">
      <c r="A412" s="436" t="s">
        <v>4597</v>
      </c>
      <c r="B412" s="436" t="s">
        <v>3490</v>
      </c>
      <c r="C412" s="437" t="s">
        <v>3491</v>
      </c>
      <c r="D412" s="436" t="s">
        <v>4556</v>
      </c>
      <c r="E412" s="437" t="s">
        <v>4557</v>
      </c>
      <c r="F412" s="436" t="s">
        <v>3494</v>
      </c>
      <c r="G412" s="436" t="s">
        <v>3495</v>
      </c>
      <c r="H412" s="437" t="s">
        <v>3496</v>
      </c>
      <c r="I412" s="436" t="s">
        <v>3497</v>
      </c>
      <c r="J412" s="437" t="s">
        <v>3498</v>
      </c>
      <c r="K412" s="437" t="s">
        <v>3499</v>
      </c>
      <c r="L412" s="436" t="s">
        <v>3500</v>
      </c>
      <c r="M412" s="436" t="s">
        <v>3524</v>
      </c>
      <c r="N412" s="436" t="s">
        <v>3502</v>
      </c>
      <c r="O412" s="438">
        <v>119000</v>
      </c>
      <c r="P412" s="438">
        <v>82110</v>
      </c>
      <c r="Q412" s="438">
        <v>1</v>
      </c>
      <c r="R412" s="438">
        <v>0</v>
      </c>
      <c r="S412" s="438">
        <v>0</v>
      </c>
      <c r="T412" s="438">
        <v>0</v>
      </c>
      <c r="U412" s="438">
        <v>0</v>
      </c>
      <c r="V412" s="438">
        <v>0</v>
      </c>
      <c r="W412" s="438">
        <v>31</v>
      </c>
      <c r="X412" s="438">
        <v>0</v>
      </c>
      <c r="Y412" s="438">
        <v>0</v>
      </c>
      <c r="Z412" s="438">
        <v>0</v>
      </c>
      <c r="AA412" s="438">
        <v>0</v>
      </c>
      <c r="AB412" s="438">
        <v>0</v>
      </c>
      <c r="AC412" s="438">
        <v>119000</v>
      </c>
      <c r="AD412" s="438">
        <v>82110</v>
      </c>
      <c r="AE412" s="438">
        <v>0</v>
      </c>
      <c r="AF412" s="438">
        <v>0</v>
      </c>
      <c r="AG412" s="438">
        <v>119000</v>
      </c>
      <c r="AH412" s="438">
        <v>82110</v>
      </c>
      <c r="AI412" s="438">
        <v>33536</v>
      </c>
      <c r="AJ412" s="438">
        <v>3354</v>
      </c>
      <c r="AK412" s="438">
        <v>36890</v>
      </c>
      <c r="AL412" s="414" t="str">
        <f t="shared" si="36"/>
        <v>워커힐 시그니처 양념 본갈비 300g, 8개</v>
      </c>
      <c r="AM412" s="395">
        <f t="shared" si="37"/>
        <v>46060</v>
      </c>
      <c r="AN412" s="396">
        <f t="shared" si="38"/>
        <v>1</v>
      </c>
      <c r="AO412" s="109">
        <f t="shared" si="39"/>
        <v>119000</v>
      </c>
      <c r="AP412" s="109">
        <f t="shared" si="40"/>
        <v>108181.81818181818</v>
      </c>
      <c r="AQ412" s="397">
        <f t="shared" si="41"/>
        <v>108181.81818181818</v>
      </c>
    </row>
    <row r="413" spans="1:43" ht="24">
      <c r="A413" s="436" t="s">
        <v>4600</v>
      </c>
      <c r="B413" s="436" t="s">
        <v>3490</v>
      </c>
      <c r="C413" s="437" t="s">
        <v>3491</v>
      </c>
      <c r="D413" s="436" t="s">
        <v>4562</v>
      </c>
      <c r="E413" s="437" t="s">
        <v>4563</v>
      </c>
      <c r="F413" s="436" t="s">
        <v>3494</v>
      </c>
      <c r="G413" s="436" t="s">
        <v>3495</v>
      </c>
      <c r="H413" s="437" t="s">
        <v>3496</v>
      </c>
      <c r="I413" s="436" t="s">
        <v>3497</v>
      </c>
      <c r="J413" s="437" t="s">
        <v>3498</v>
      </c>
      <c r="K413" s="437" t="s">
        <v>3499</v>
      </c>
      <c r="L413" s="436" t="s">
        <v>3500</v>
      </c>
      <c r="M413" s="436" t="s">
        <v>3524</v>
      </c>
      <c r="N413" s="436" t="s">
        <v>3502</v>
      </c>
      <c r="O413" s="438">
        <v>119000</v>
      </c>
      <c r="P413" s="438">
        <v>82110</v>
      </c>
      <c r="Q413" s="438">
        <v>1</v>
      </c>
      <c r="R413" s="438">
        <v>0</v>
      </c>
      <c r="S413" s="438">
        <v>0</v>
      </c>
      <c r="T413" s="438">
        <v>0</v>
      </c>
      <c r="U413" s="438">
        <v>0</v>
      </c>
      <c r="V413" s="438">
        <v>0</v>
      </c>
      <c r="W413" s="438">
        <v>31</v>
      </c>
      <c r="X413" s="438">
        <v>0</v>
      </c>
      <c r="Y413" s="438">
        <v>0</v>
      </c>
      <c r="Z413" s="438">
        <v>0</v>
      </c>
      <c r="AA413" s="438">
        <v>0</v>
      </c>
      <c r="AB413" s="438">
        <v>0</v>
      </c>
      <c r="AC413" s="438">
        <v>119000</v>
      </c>
      <c r="AD413" s="438">
        <v>82110</v>
      </c>
      <c r="AE413" s="438">
        <v>0</v>
      </c>
      <c r="AF413" s="438">
        <v>0</v>
      </c>
      <c r="AG413" s="438">
        <v>119000</v>
      </c>
      <c r="AH413" s="438">
        <v>82110</v>
      </c>
      <c r="AI413" s="438">
        <v>33536</v>
      </c>
      <c r="AJ413" s="438">
        <v>3354</v>
      </c>
      <c r="AK413" s="438">
        <v>36890</v>
      </c>
      <c r="AL413" s="414" t="str">
        <f t="shared" si="36"/>
        <v>워커힐 시그니처 양념 본갈비 300g, 8개</v>
      </c>
      <c r="AM413" s="395">
        <f t="shared" si="37"/>
        <v>46060</v>
      </c>
      <c r="AN413" s="396">
        <f t="shared" si="38"/>
        <v>1</v>
      </c>
      <c r="AO413" s="109">
        <f t="shared" si="39"/>
        <v>119000</v>
      </c>
      <c r="AP413" s="109">
        <f t="shared" si="40"/>
        <v>108181.81818181818</v>
      </c>
      <c r="AQ413" s="397">
        <f t="shared" si="41"/>
        <v>108181.81818181818</v>
      </c>
    </row>
    <row r="414" spans="1:43" ht="24">
      <c r="A414" s="436" t="s">
        <v>4602</v>
      </c>
      <c r="B414" s="436" t="s">
        <v>3490</v>
      </c>
      <c r="C414" s="437" t="s">
        <v>3491</v>
      </c>
      <c r="D414" s="436" t="s">
        <v>4565</v>
      </c>
      <c r="E414" s="437" t="s">
        <v>4566</v>
      </c>
      <c r="F414" s="436" t="s">
        <v>3494</v>
      </c>
      <c r="G414" s="436" t="s">
        <v>3495</v>
      </c>
      <c r="H414" s="437" t="s">
        <v>3496</v>
      </c>
      <c r="I414" s="436" t="s">
        <v>3497</v>
      </c>
      <c r="J414" s="437" t="s">
        <v>3498</v>
      </c>
      <c r="K414" s="437" t="s">
        <v>3499</v>
      </c>
      <c r="L414" s="436" t="s">
        <v>3500</v>
      </c>
      <c r="M414" s="436" t="s">
        <v>3524</v>
      </c>
      <c r="N414" s="436" t="s">
        <v>3502</v>
      </c>
      <c r="O414" s="438">
        <v>119000</v>
      </c>
      <c r="P414" s="438">
        <v>82110</v>
      </c>
      <c r="Q414" s="438">
        <v>1</v>
      </c>
      <c r="R414" s="438">
        <v>0</v>
      </c>
      <c r="S414" s="438">
        <v>0</v>
      </c>
      <c r="T414" s="438">
        <v>0</v>
      </c>
      <c r="U414" s="438">
        <v>0</v>
      </c>
      <c r="V414" s="438">
        <v>0</v>
      </c>
      <c r="W414" s="438">
        <v>31</v>
      </c>
      <c r="X414" s="438">
        <v>0</v>
      </c>
      <c r="Y414" s="438">
        <v>0</v>
      </c>
      <c r="Z414" s="438">
        <v>0</v>
      </c>
      <c r="AA414" s="438">
        <v>0</v>
      </c>
      <c r="AB414" s="438">
        <v>0</v>
      </c>
      <c r="AC414" s="438">
        <v>119000</v>
      </c>
      <c r="AD414" s="438">
        <v>82110</v>
      </c>
      <c r="AE414" s="438">
        <v>0</v>
      </c>
      <c r="AF414" s="438">
        <v>0</v>
      </c>
      <c r="AG414" s="438">
        <v>119000</v>
      </c>
      <c r="AH414" s="438">
        <v>82110</v>
      </c>
      <c r="AI414" s="438">
        <v>33536</v>
      </c>
      <c r="AJ414" s="438">
        <v>3354</v>
      </c>
      <c r="AK414" s="438">
        <v>36890</v>
      </c>
      <c r="AL414" s="414" t="str">
        <f t="shared" si="36"/>
        <v>워커힐 시그니처 양념 본갈비 300g, 8개</v>
      </c>
      <c r="AM414" s="395">
        <f t="shared" si="37"/>
        <v>46060</v>
      </c>
      <c r="AN414" s="396">
        <f t="shared" si="38"/>
        <v>1</v>
      </c>
      <c r="AO414" s="109">
        <f t="shared" si="39"/>
        <v>119000</v>
      </c>
      <c r="AP414" s="109">
        <f t="shared" si="40"/>
        <v>108181.81818181818</v>
      </c>
      <c r="AQ414" s="397">
        <f t="shared" si="41"/>
        <v>108181.81818181818</v>
      </c>
    </row>
    <row r="415" spans="1:43" ht="24">
      <c r="A415" s="436" t="s">
        <v>4605</v>
      </c>
      <c r="B415" s="436" t="s">
        <v>3490</v>
      </c>
      <c r="C415" s="437" t="s">
        <v>3491</v>
      </c>
      <c r="D415" s="436" t="s">
        <v>4568</v>
      </c>
      <c r="E415" s="437" t="s">
        <v>3600</v>
      </c>
      <c r="F415" s="436" t="s">
        <v>3494</v>
      </c>
      <c r="G415" s="436" t="s">
        <v>3495</v>
      </c>
      <c r="H415" s="437" t="s">
        <v>3496</v>
      </c>
      <c r="I415" s="436" t="s">
        <v>3497</v>
      </c>
      <c r="J415" s="437" t="s">
        <v>3498</v>
      </c>
      <c r="K415" s="437" t="s">
        <v>3499</v>
      </c>
      <c r="L415" s="436" t="s">
        <v>3500</v>
      </c>
      <c r="M415" s="436" t="s">
        <v>3524</v>
      </c>
      <c r="N415" s="436" t="s">
        <v>3502</v>
      </c>
      <c r="O415" s="438">
        <v>119000</v>
      </c>
      <c r="P415" s="438">
        <v>82110</v>
      </c>
      <c r="Q415" s="438">
        <v>1</v>
      </c>
      <c r="R415" s="438">
        <v>0</v>
      </c>
      <c r="S415" s="438">
        <v>0</v>
      </c>
      <c r="T415" s="438">
        <v>0</v>
      </c>
      <c r="U415" s="438">
        <v>0</v>
      </c>
      <c r="V415" s="438">
        <v>0</v>
      </c>
      <c r="W415" s="438">
        <v>31</v>
      </c>
      <c r="X415" s="438">
        <v>17850</v>
      </c>
      <c r="Y415" s="438">
        <v>0</v>
      </c>
      <c r="Z415" s="438">
        <v>0</v>
      </c>
      <c r="AA415" s="438">
        <v>0</v>
      </c>
      <c r="AB415" s="438">
        <v>0</v>
      </c>
      <c r="AC415" s="438">
        <v>119000</v>
      </c>
      <c r="AD415" s="438">
        <v>82110</v>
      </c>
      <c r="AE415" s="438">
        <v>0</v>
      </c>
      <c r="AF415" s="438">
        <v>17850</v>
      </c>
      <c r="AG415" s="438">
        <v>101150</v>
      </c>
      <c r="AH415" s="438">
        <v>82110</v>
      </c>
      <c r="AI415" s="438">
        <v>17309</v>
      </c>
      <c r="AJ415" s="438">
        <v>1731</v>
      </c>
      <c r="AK415" s="438">
        <v>19040</v>
      </c>
      <c r="AL415" s="414" t="str">
        <f t="shared" si="36"/>
        <v>워커힐 시그니처 양념 본갈비 300g, 8개</v>
      </c>
      <c r="AM415" s="395">
        <f t="shared" si="37"/>
        <v>46060</v>
      </c>
      <c r="AN415" s="396">
        <f t="shared" si="38"/>
        <v>1</v>
      </c>
      <c r="AO415" s="109">
        <f t="shared" si="39"/>
        <v>119000</v>
      </c>
      <c r="AP415" s="109">
        <f t="shared" si="40"/>
        <v>108181.81818181818</v>
      </c>
      <c r="AQ415" s="397">
        <f t="shared" si="41"/>
        <v>108181.81818181818</v>
      </c>
    </row>
    <row r="416" spans="1:43" ht="24">
      <c r="A416" s="436" t="s">
        <v>4607</v>
      </c>
      <c r="B416" s="436" t="s">
        <v>3490</v>
      </c>
      <c r="C416" s="437" t="s">
        <v>3491</v>
      </c>
      <c r="D416" s="436" t="s">
        <v>4477</v>
      </c>
      <c r="E416" s="437" t="s">
        <v>3600</v>
      </c>
      <c r="F416" s="436" t="s">
        <v>3494</v>
      </c>
      <c r="G416" s="436" t="s">
        <v>3495</v>
      </c>
      <c r="H416" s="437" t="s">
        <v>3496</v>
      </c>
      <c r="I416" s="436" t="s">
        <v>3497</v>
      </c>
      <c r="J416" s="437" t="s">
        <v>3498</v>
      </c>
      <c r="K416" s="437" t="s">
        <v>3499</v>
      </c>
      <c r="L416" s="436" t="s">
        <v>3500</v>
      </c>
      <c r="M416" s="436" t="s">
        <v>3524</v>
      </c>
      <c r="N416" s="436" t="s">
        <v>3502</v>
      </c>
      <c r="O416" s="438">
        <v>119000</v>
      </c>
      <c r="P416" s="438">
        <v>82110</v>
      </c>
      <c r="Q416" s="438">
        <v>1</v>
      </c>
      <c r="R416" s="438">
        <v>0</v>
      </c>
      <c r="S416" s="438">
        <v>0</v>
      </c>
      <c r="T416" s="438">
        <v>0</v>
      </c>
      <c r="U416" s="438">
        <v>0</v>
      </c>
      <c r="V416" s="438">
        <v>0</v>
      </c>
      <c r="W416" s="438">
        <v>31</v>
      </c>
      <c r="X416" s="438">
        <v>0</v>
      </c>
      <c r="Y416" s="438">
        <v>0</v>
      </c>
      <c r="Z416" s="438">
        <v>0</v>
      </c>
      <c r="AA416" s="438">
        <v>0</v>
      </c>
      <c r="AB416" s="438">
        <v>5950</v>
      </c>
      <c r="AC416" s="438">
        <v>119000</v>
      </c>
      <c r="AD416" s="438">
        <v>82110</v>
      </c>
      <c r="AE416" s="438">
        <v>0</v>
      </c>
      <c r="AF416" s="438">
        <v>5950</v>
      </c>
      <c r="AG416" s="438">
        <v>113050</v>
      </c>
      <c r="AH416" s="438">
        <v>82110</v>
      </c>
      <c r="AI416" s="438">
        <v>28127</v>
      </c>
      <c r="AJ416" s="438">
        <v>2813</v>
      </c>
      <c r="AK416" s="438">
        <v>30940</v>
      </c>
      <c r="AL416" s="414" t="str">
        <f t="shared" si="36"/>
        <v>워커힐 시그니처 양념 본갈비 300g, 8개</v>
      </c>
      <c r="AM416" s="395">
        <f t="shared" si="37"/>
        <v>46060</v>
      </c>
      <c r="AN416" s="396">
        <f t="shared" si="38"/>
        <v>1</v>
      </c>
      <c r="AO416" s="109">
        <f t="shared" si="39"/>
        <v>119000</v>
      </c>
      <c r="AP416" s="109">
        <f t="shared" si="40"/>
        <v>108181.81818181818</v>
      </c>
      <c r="AQ416" s="397">
        <f t="shared" si="41"/>
        <v>108181.81818181818</v>
      </c>
    </row>
    <row r="417" spans="1:43" ht="24">
      <c r="A417" s="436" t="s">
        <v>4609</v>
      </c>
      <c r="B417" s="436" t="s">
        <v>3490</v>
      </c>
      <c r="C417" s="437" t="s">
        <v>3491</v>
      </c>
      <c r="D417" s="436" t="s">
        <v>4570</v>
      </c>
      <c r="E417" s="437" t="s">
        <v>4571</v>
      </c>
      <c r="F417" s="436" t="s">
        <v>3494</v>
      </c>
      <c r="G417" s="436" t="s">
        <v>3495</v>
      </c>
      <c r="H417" s="437" t="s">
        <v>3496</v>
      </c>
      <c r="I417" s="436" t="s">
        <v>3497</v>
      </c>
      <c r="J417" s="437" t="s">
        <v>3498</v>
      </c>
      <c r="K417" s="437" t="s">
        <v>3499</v>
      </c>
      <c r="L417" s="436" t="s">
        <v>3500</v>
      </c>
      <c r="M417" s="436" t="s">
        <v>3524</v>
      </c>
      <c r="N417" s="436" t="s">
        <v>3502</v>
      </c>
      <c r="O417" s="438">
        <v>119000</v>
      </c>
      <c r="P417" s="438">
        <v>82110</v>
      </c>
      <c r="Q417" s="438">
        <v>1</v>
      </c>
      <c r="R417" s="438">
        <v>0</v>
      </c>
      <c r="S417" s="438">
        <v>0</v>
      </c>
      <c r="T417" s="438">
        <v>0</v>
      </c>
      <c r="U417" s="438">
        <v>0</v>
      </c>
      <c r="V417" s="438">
        <v>0</v>
      </c>
      <c r="W417" s="438">
        <v>31</v>
      </c>
      <c r="X417" s="438">
        <v>0</v>
      </c>
      <c r="Y417" s="438">
        <v>0</v>
      </c>
      <c r="Z417" s="438">
        <v>0</v>
      </c>
      <c r="AA417" s="438">
        <v>0</v>
      </c>
      <c r="AB417" s="438">
        <v>0</v>
      </c>
      <c r="AC417" s="438">
        <v>119000</v>
      </c>
      <c r="AD417" s="438">
        <v>82110</v>
      </c>
      <c r="AE417" s="438">
        <v>0</v>
      </c>
      <c r="AF417" s="438">
        <v>0</v>
      </c>
      <c r="AG417" s="438">
        <v>119000</v>
      </c>
      <c r="AH417" s="438">
        <v>82110</v>
      </c>
      <c r="AI417" s="438">
        <v>33536</v>
      </c>
      <c r="AJ417" s="438">
        <v>3354</v>
      </c>
      <c r="AK417" s="438">
        <v>36890</v>
      </c>
      <c r="AL417" s="414" t="str">
        <f t="shared" si="36"/>
        <v>워커힐 시그니처 양념 본갈비 300g, 8개</v>
      </c>
      <c r="AM417" s="395">
        <f t="shared" si="37"/>
        <v>46060</v>
      </c>
      <c r="AN417" s="396">
        <f t="shared" si="38"/>
        <v>1</v>
      </c>
      <c r="AO417" s="109">
        <f t="shared" si="39"/>
        <v>119000</v>
      </c>
      <c r="AP417" s="109">
        <f t="shared" si="40"/>
        <v>108181.81818181818</v>
      </c>
      <c r="AQ417" s="397">
        <f t="shared" si="41"/>
        <v>108181.81818181818</v>
      </c>
    </row>
    <row r="418" spans="1:43" ht="24">
      <c r="A418" s="436" t="s">
        <v>4611</v>
      </c>
      <c r="B418" s="436" t="s">
        <v>3490</v>
      </c>
      <c r="C418" s="437" t="s">
        <v>3491</v>
      </c>
      <c r="D418" s="436" t="s">
        <v>4482</v>
      </c>
      <c r="E418" s="437" t="s">
        <v>4483</v>
      </c>
      <c r="F418" s="436" t="s">
        <v>3494</v>
      </c>
      <c r="G418" s="436" t="s">
        <v>3495</v>
      </c>
      <c r="H418" s="437" t="s">
        <v>3496</v>
      </c>
      <c r="I418" s="436" t="s">
        <v>3497</v>
      </c>
      <c r="J418" s="437" t="s">
        <v>3498</v>
      </c>
      <c r="K418" s="437" t="s">
        <v>3499</v>
      </c>
      <c r="L418" s="436" t="s">
        <v>3500</v>
      </c>
      <c r="M418" s="436" t="s">
        <v>3524</v>
      </c>
      <c r="N418" s="436" t="s">
        <v>3502</v>
      </c>
      <c r="O418" s="438">
        <v>119000</v>
      </c>
      <c r="P418" s="438">
        <v>82110</v>
      </c>
      <c r="Q418" s="438">
        <v>1</v>
      </c>
      <c r="R418" s="438">
        <v>0</v>
      </c>
      <c r="S418" s="438">
        <v>0</v>
      </c>
      <c r="T418" s="438">
        <v>0</v>
      </c>
      <c r="U418" s="438">
        <v>0</v>
      </c>
      <c r="V418" s="438">
        <v>0</v>
      </c>
      <c r="W418" s="438">
        <v>31</v>
      </c>
      <c r="X418" s="438">
        <v>0</v>
      </c>
      <c r="Y418" s="438">
        <v>0</v>
      </c>
      <c r="Z418" s="438">
        <v>0</v>
      </c>
      <c r="AA418" s="438">
        <v>0</v>
      </c>
      <c r="AB418" s="438">
        <v>5950</v>
      </c>
      <c r="AC418" s="438">
        <v>119000</v>
      </c>
      <c r="AD418" s="438">
        <v>82110</v>
      </c>
      <c r="AE418" s="438">
        <v>0</v>
      </c>
      <c r="AF418" s="438">
        <v>5950</v>
      </c>
      <c r="AG418" s="438">
        <v>113050</v>
      </c>
      <c r="AH418" s="438">
        <v>82110</v>
      </c>
      <c r="AI418" s="438">
        <v>28127</v>
      </c>
      <c r="AJ418" s="438">
        <v>2813</v>
      </c>
      <c r="AK418" s="438">
        <v>30940</v>
      </c>
      <c r="AL418" s="414" t="str">
        <f t="shared" si="36"/>
        <v>워커힐 시그니처 양념 본갈비 300g, 8개</v>
      </c>
      <c r="AM418" s="395">
        <f t="shared" si="37"/>
        <v>46060</v>
      </c>
      <c r="AN418" s="396">
        <f t="shared" si="38"/>
        <v>1</v>
      </c>
      <c r="AO418" s="109">
        <f t="shared" si="39"/>
        <v>119000</v>
      </c>
      <c r="AP418" s="109">
        <f t="shared" si="40"/>
        <v>108181.81818181818</v>
      </c>
      <c r="AQ418" s="397">
        <f t="shared" si="41"/>
        <v>108181.81818181818</v>
      </c>
    </row>
    <row r="419" spans="1:43" ht="24">
      <c r="A419" s="436" t="s">
        <v>4614</v>
      </c>
      <c r="B419" s="436" t="s">
        <v>3490</v>
      </c>
      <c r="C419" s="437" t="s">
        <v>3491</v>
      </c>
      <c r="D419" s="436" t="s">
        <v>4578</v>
      </c>
      <c r="E419" s="437" t="s">
        <v>4579</v>
      </c>
      <c r="F419" s="436" t="s">
        <v>3494</v>
      </c>
      <c r="G419" s="436" t="s">
        <v>3495</v>
      </c>
      <c r="H419" s="437" t="s">
        <v>3496</v>
      </c>
      <c r="I419" s="436" t="s">
        <v>3497</v>
      </c>
      <c r="J419" s="437" t="s">
        <v>3498</v>
      </c>
      <c r="K419" s="437" t="s">
        <v>3499</v>
      </c>
      <c r="L419" s="436" t="s">
        <v>3500</v>
      </c>
      <c r="M419" s="436" t="s">
        <v>3524</v>
      </c>
      <c r="N419" s="436" t="s">
        <v>3502</v>
      </c>
      <c r="O419" s="438">
        <v>119000</v>
      </c>
      <c r="P419" s="438">
        <v>82110</v>
      </c>
      <c r="Q419" s="438">
        <v>1</v>
      </c>
      <c r="R419" s="438">
        <v>0</v>
      </c>
      <c r="S419" s="438">
        <v>0</v>
      </c>
      <c r="T419" s="438">
        <v>0</v>
      </c>
      <c r="U419" s="438">
        <v>0</v>
      </c>
      <c r="V419" s="438">
        <v>0</v>
      </c>
      <c r="W419" s="438">
        <v>31</v>
      </c>
      <c r="X419" s="438">
        <v>0</v>
      </c>
      <c r="Y419" s="438">
        <v>0</v>
      </c>
      <c r="Z419" s="438">
        <v>0</v>
      </c>
      <c r="AA419" s="438">
        <v>0</v>
      </c>
      <c r="AB419" s="438">
        <v>0</v>
      </c>
      <c r="AC419" s="438">
        <v>119000</v>
      </c>
      <c r="AD419" s="438">
        <v>82110</v>
      </c>
      <c r="AE419" s="438">
        <v>0</v>
      </c>
      <c r="AF419" s="438">
        <v>0</v>
      </c>
      <c r="AG419" s="438">
        <v>119000</v>
      </c>
      <c r="AH419" s="438">
        <v>82110</v>
      </c>
      <c r="AI419" s="438">
        <v>33536</v>
      </c>
      <c r="AJ419" s="438">
        <v>3354</v>
      </c>
      <c r="AK419" s="438">
        <v>36890</v>
      </c>
      <c r="AL419" s="414" t="str">
        <f t="shared" si="36"/>
        <v>워커힐 시그니처 양념 본갈비 300g, 8개</v>
      </c>
      <c r="AM419" s="395">
        <f t="shared" si="37"/>
        <v>46060</v>
      </c>
      <c r="AN419" s="396">
        <f t="shared" si="38"/>
        <v>1</v>
      </c>
      <c r="AO419" s="109">
        <f t="shared" si="39"/>
        <v>119000</v>
      </c>
      <c r="AP419" s="109">
        <f t="shared" si="40"/>
        <v>108181.81818181818</v>
      </c>
      <c r="AQ419" s="397">
        <f t="shared" si="41"/>
        <v>108181.81818181818</v>
      </c>
    </row>
    <row r="420" spans="1:43" ht="24">
      <c r="A420" s="436" t="s">
        <v>4617</v>
      </c>
      <c r="B420" s="436" t="s">
        <v>3490</v>
      </c>
      <c r="C420" s="437" t="s">
        <v>3491</v>
      </c>
      <c r="D420" s="436" t="s">
        <v>4590</v>
      </c>
      <c r="E420" s="437" t="s">
        <v>3600</v>
      </c>
      <c r="F420" s="436" t="s">
        <v>3494</v>
      </c>
      <c r="G420" s="436" t="s">
        <v>3495</v>
      </c>
      <c r="H420" s="437" t="s">
        <v>3496</v>
      </c>
      <c r="I420" s="436" t="s">
        <v>3497</v>
      </c>
      <c r="J420" s="437" t="s">
        <v>3498</v>
      </c>
      <c r="K420" s="437" t="s">
        <v>3548</v>
      </c>
      <c r="L420" s="436" t="s">
        <v>3500</v>
      </c>
      <c r="M420" s="436" t="s">
        <v>3524</v>
      </c>
      <c r="N420" s="436" t="s">
        <v>3502</v>
      </c>
      <c r="O420" s="438">
        <v>119000</v>
      </c>
      <c r="P420" s="438">
        <v>82110</v>
      </c>
      <c r="Q420" s="438">
        <v>1</v>
      </c>
      <c r="R420" s="438">
        <v>0</v>
      </c>
      <c r="S420" s="438">
        <v>0</v>
      </c>
      <c r="T420" s="438">
        <v>0</v>
      </c>
      <c r="U420" s="438">
        <v>0</v>
      </c>
      <c r="V420" s="438">
        <v>0</v>
      </c>
      <c r="W420" s="438">
        <v>31</v>
      </c>
      <c r="X420" s="438">
        <v>0</v>
      </c>
      <c r="Y420" s="438">
        <v>0</v>
      </c>
      <c r="Z420" s="438">
        <v>0</v>
      </c>
      <c r="AA420" s="438">
        <v>0</v>
      </c>
      <c r="AB420" s="438">
        <v>0</v>
      </c>
      <c r="AC420" s="438">
        <v>119000</v>
      </c>
      <c r="AD420" s="438">
        <v>82110</v>
      </c>
      <c r="AE420" s="438">
        <v>0</v>
      </c>
      <c r="AF420" s="438">
        <v>0</v>
      </c>
      <c r="AG420" s="438">
        <v>119000</v>
      </c>
      <c r="AH420" s="438">
        <v>82110</v>
      </c>
      <c r="AI420" s="438">
        <v>33536</v>
      </c>
      <c r="AJ420" s="438">
        <v>3354</v>
      </c>
      <c r="AK420" s="438">
        <v>36890</v>
      </c>
      <c r="AL420" s="414" t="str">
        <f t="shared" si="36"/>
        <v>워커힐 시그니처 양념 본갈비 300g, 8개</v>
      </c>
      <c r="AM420" s="395">
        <f t="shared" si="37"/>
        <v>46060</v>
      </c>
      <c r="AN420" s="396">
        <f t="shared" si="38"/>
        <v>1</v>
      </c>
      <c r="AO420" s="109">
        <f t="shared" si="39"/>
        <v>119000</v>
      </c>
      <c r="AP420" s="109">
        <f t="shared" si="40"/>
        <v>108181.81818181818</v>
      </c>
      <c r="AQ420" s="397">
        <f t="shared" si="41"/>
        <v>108181.81818181818</v>
      </c>
    </row>
    <row r="421" spans="1:43" ht="24">
      <c r="A421" s="436" t="s">
        <v>4620</v>
      </c>
      <c r="B421" s="436" t="s">
        <v>3490</v>
      </c>
      <c r="C421" s="437" t="s">
        <v>3491</v>
      </c>
      <c r="D421" s="436" t="s">
        <v>4592</v>
      </c>
      <c r="E421" s="437" t="s">
        <v>4593</v>
      </c>
      <c r="F421" s="436" t="s">
        <v>3494</v>
      </c>
      <c r="G421" s="436" t="s">
        <v>3495</v>
      </c>
      <c r="H421" s="437" t="s">
        <v>3496</v>
      </c>
      <c r="I421" s="436" t="s">
        <v>3497</v>
      </c>
      <c r="J421" s="437" t="s">
        <v>3498</v>
      </c>
      <c r="K421" s="437" t="s">
        <v>3499</v>
      </c>
      <c r="L421" s="436" t="s">
        <v>3500</v>
      </c>
      <c r="M421" s="436" t="s">
        <v>3524</v>
      </c>
      <c r="N421" s="436" t="s">
        <v>3502</v>
      </c>
      <c r="O421" s="438">
        <v>119000</v>
      </c>
      <c r="P421" s="438">
        <v>82110</v>
      </c>
      <c r="Q421" s="438">
        <v>1</v>
      </c>
      <c r="R421" s="438">
        <v>0</v>
      </c>
      <c r="S421" s="438">
        <v>0</v>
      </c>
      <c r="T421" s="438">
        <v>0</v>
      </c>
      <c r="U421" s="438">
        <v>0</v>
      </c>
      <c r="V421" s="438">
        <v>0</v>
      </c>
      <c r="W421" s="438">
        <v>31</v>
      </c>
      <c r="X421" s="438">
        <v>0</v>
      </c>
      <c r="Y421" s="438">
        <v>0</v>
      </c>
      <c r="Z421" s="438">
        <v>0</v>
      </c>
      <c r="AA421" s="438">
        <v>0</v>
      </c>
      <c r="AB421" s="438">
        <v>0</v>
      </c>
      <c r="AC421" s="438">
        <v>119000</v>
      </c>
      <c r="AD421" s="438">
        <v>82110</v>
      </c>
      <c r="AE421" s="438">
        <v>0</v>
      </c>
      <c r="AF421" s="438">
        <v>0</v>
      </c>
      <c r="AG421" s="438">
        <v>119000</v>
      </c>
      <c r="AH421" s="438">
        <v>82110</v>
      </c>
      <c r="AI421" s="438">
        <v>33536</v>
      </c>
      <c r="AJ421" s="438">
        <v>3354</v>
      </c>
      <c r="AK421" s="438">
        <v>36890</v>
      </c>
      <c r="AL421" s="414" t="str">
        <f t="shared" si="36"/>
        <v>워커힐 시그니처 양념 본갈비 300g, 8개</v>
      </c>
      <c r="AM421" s="395">
        <f t="shared" si="37"/>
        <v>46060</v>
      </c>
      <c r="AN421" s="396">
        <f t="shared" si="38"/>
        <v>1</v>
      </c>
      <c r="AO421" s="109">
        <f t="shared" si="39"/>
        <v>119000</v>
      </c>
      <c r="AP421" s="109">
        <f t="shared" si="40"/>
        <v>108181.81818181818</v>
      </c>
      <c r="AQ421" s="397">
        <f t="shared" si="41"/>
        <v>108181.81818181818</v>
      </c>
    </row>
    <row r="422" spans="1:43" ht="24">
      <c r="A422" s="436" t="s">
        <v>4622</v>
      </c>
      <c r="B422" s="436" t="s">
        <v>3490</v>
      </c>
      <c r="C422" s="437" t="s">
        <v>3491</v>
      </c>
      <c r="D422" s="436" t="s">
        <v>4595</v>
      </c>
      <c r="E422" s="437" t="s">
        <v>4596</v>
      </c>
      <c r="F422" s="436" t="s">
        <v>3494</v>
      </c>
      <c r="G422" s="436" t="s">
        <v>3495</v>
      </c>
      <c r="H422" s="437" t="s">
        <v>3496</v>
      </c>
      <c r="I422" s="436" t="s">
        <v>3497</v>
      </c>
      <c r="J422" s="437" t="s">
        <v>3498</v>
      </c>
      <c r="K422" s="437" t="s">
        <v>3499</v>
      </c>
      <c r="L422" s="436" t="s">
        <v>3500</v>
      </c>
      <c r="M422" s="436" t="s">
        <v>3524</v>
      </c>
      <c r="N422" s="436" t="s">
        <v>3502</v>
      </c>
      <c r="O422" s="438">
        <v>119000</v>
      </c>
      <c r="P422" s="438">
        <v>82110</v>
      </c>
      <c r="Q422" s="438">
        <v>1</v>
      </c>
      <c r="R422" s="438">
        <v>0</v>
      </c>
      <c r="S422" s="438">
        <v>0</v>
      </c>
      <c r="T422" s="438">
        <v>0</v>
      </c>
      <c r="U422" s="438">
        <v>0</v>
      </c>
      <c r="V422" s="438">
        <v>0</v>
      </c>
      <c r="W422" s="438">
        <v>31</v>
      </c>
      <c r="X422" s="438">
        <v>0</v>
      </c>
      <c r="Y422" s="438">
        <v>0</v>
      </c>
      <c r="Z422" s="438">
        <v>0</v>
      </c>
      <c r="AA422" s="438">
        <v>0</v>
      </c>
      <c r="AB422" s="438">
        <v>0</v>
      </c>
      <c r="AC422" s="438">
        <v>119000</v>
      </c>
      <c r="AD422" s="438">
        <v>82110</v>
      </c>
      <c r="AE422" s="438">
        <v>0</v>
      </c>
      <c r="AF422" s="438">
        <v>0</v>
      </c>
      <c r="AG422" s="438">
        <v>119000</v>
      </c>
      <c r="AH422" s="438">
        <v>82110</v>
      </c>
      <c r="AI422" s="438">
        <v>33536</v>
      </c>
      <c r="AJ422" s="438">
        <v>3354</v>
      </c>
      <c r="AK422" s="438">
        <v>36890</v>
      </c>
      <c r="AL422" s="414" t="str">
        <f t="shared" si="36"/>
        <v>워커힐 시그니처 양념 본갈비 300g, 8개</v>
      </c>
      <c r="AM422" s="395">
        <f t="shared" si="37"/>
        <v>46060</v>
      </c>
      <c r="AN422" s="396">
        <f t="shared" si="38"/>
        <v>1</v>
      </c>
      <c r="AO422" s="109">
        <f t="shared" si="39"/>
        <v>119000</v>
      </c>
      <c r="AP422" s="109">
        <f t="shared" si="40"/>
        <v>108181.81818181818</v>
      </c>
      <c r="AQ422" s="397">
        <f t="shared" si="41"/>
        <v>108181.81818181818</v>
      </c>
    </row>
    <row r="423" spans="1:43" ht="24">
      <c r="A423" s="436" t="s">
        <v>4625</v>
      </c>
      <c r="B423" s="436" t="s">
        <v>3490</v>
      </c>
      <c r="C423" s="437" t="s">
        <v>3491</v>
      </c>
      <c r="D423" s="436" t="s">
        <v>4603</v>
      </c>
      <c r="E423" s="437" t="s">
        <v>4604</v>
      </c>
      <c r="F423" s="436" t="s">
        <v>3494</v>
      </c>
      <c r="G423" s="436" t="s">
        <v>3495</v>
      </c>
      <c r="H423" s="437" t="s">
        <v>3496</v>
      </c>
      <c r="I423" s="436" t="s">
        <v>3497</v>
      </c>
      <c r="J423" s="437" t="s">
        <v>3498</v>
      </c>
      <c r="K423" s="437" t="s">
        <v>3499</v>
      </c>
      <c r="L423" s="436" t="s">
        <v>3500</v>
      </c>
      <c r="M423" s="436" t="s">
        <v>3524</v>
      </c>
      <c r="N423" s="436" t="s">
        <v>3502</v>
      </c>
      <c r="O423" s="438">
        <v>119000</v>
      </c>
      <c r="P423" s="438">
        <v>82110</v>
      </c>
      <c r="Q423" s="438">
        <v>1</v>
      </c>
      <c r="R423" s="438">
        <v>0</v>
      </c>
      <c r="S423" s="438">
        <v>0</v>
      </c>
      <c r="T423" s="438">
        <v>0</v>
      </c>
      <c r="U423" s="438">
        <v>0</v>
      </c>
      <c r="V423" s="438">
        <v>0</v>
      </c>
      <c r="W423" s="438">
        <v>31</v>
      </c>
      <c r="X423" s="438">
        <v>0</v>
      </c>
      <c r="Y423" s="438">
        <v>10000</v>
      </c>
      <c r="Z423" s="438">
        <v>0</v>
      </c>
      <c r="AA423" s="438">
        <v>0</v>
      </c>
      <c r="AB423" s="438">
        <v>0</v>
      </c>
      <c r="AC423" s="438">
        <v>119000</v>
      </c>
      <c r="AD423" s="438">
        <v>82110</v>
      </c>
      <c r="AE423" s="438">
        <v>0</v>
      </c>
      <c r="AF423" s="438">
        <v>10000</v>
      </c>
      <c r="AG423" s="438">
        <v>109000</v>
      </c>
      <c r="AH423" s="438">
        <v>82110</v>
      </c>
      <c r="AI423" s="438">
        <v>24445</v>
      </c>
      <c r="AJ423" s="438">
        <v>2445</v>
      </c>
      <c r="AK423" s="438">
        <v>26890</v>
      </c>
      <c r="AL423" s="414" t="str">
        <f t="shared" si="36"/>
        <v>워커힐 시그니처 양념 본갈비 300g, 8개</v>
      </c>
      <c r="AM423" s="395">
        <f t="shared" si="37"/>
        <v>46060</v>
      </c>
      <c r="AN423" s="396">
        <f t="shared" si="38"/>
        <v>1</v>
      </c>
      <c r="AO423" s="109">
        <f t="shared" si="39"/>
        <v>119000</v>
      </c>
      <c r="AP423" s="109">
        <f t="shared" si="40"/>
        <v>108181.81818181818</v>
      </c>
      <c r="AQ423" s="397">
        <f t="shared" si="41"/>
        <v>108181.81818181818</v>
      </c>
    </row>
    <row r="424" spans="1:43" ht="24">
      <c r="A424" s="436" t="s">
        <v>4628</v>
      </c>
      <c r="B424" s="436" t="s">
        <v>3490</v>
      </c>
      <c r="C424" s="437" t="s">
        <v>3491</v>
      </c>
      <c r="D424" s="436" t="s">
        <v>4606</v>
      </c>
      <c r="E424" s="437" t="s">
        <v>3533</v>
      </c>
      <c r="F424" s="436" t="s">
        <v>3494</v>
      </c>
      <c r="G424" s="436" t="s">
        <v>3495</v>
      </c>
      <c r="H424" s="437" t="s">
        <v>3496</v>
      </c>
      <c r="I424" s="436" t="s">
        <v>3497</v>
      </c>
      <c r="J424" s="437" t="s">
        <v>3498</v>
      </c>
      <c r="K424" s="437" t="s">
        <v>3499</v>
      </c>
      <c r="L424" s="436" t="s">
        <v>3500</v>
      </c>
      <c r="M424" s="436" t="s">
        <v>3524</v>
      </c>
      <c r="N424" s="436" t="s">
        <v>3502</v>
      </c>
      <c r="O424" s="438">
        <v>119000</v>
      </c>
      <c r="P424" s="438">
        <v>82110</v>
      </c>
      <c r="Q424" s="438">
        <v>1</v>
      </c>
      <c r="R424" s="438">
        <v>0</v>
      </c>
      <c r="S424" s="438">
        <v>0</v>
      </c>
      <c r="T424" s="438">
        <v>0</v>
      </c>
      <c r="U424" s="438">
        <v>0</v>
      </c>
      <c r="V424" s="438">
        <v>0</v>
      </c>
      <c r="W424" s="438">
        <v>31</v>
      </c>
      <c r="X424" s="438">
        <v>0</v>
      </c>
      <c r="Y424" s="438">
        <v>0</v>
      </c>
      <c r="Z424" s="438">
        <v>0</v>
      </c>
      <c r="AA424" s="438">
        <v>0</v>
      </c>
      <c r="AB424" s="438">
        <v>0</v>
      </c>
      <c r="AC424" s="438">
        <v>119000</v>
      </c>
      <c r="AD424" s="438">
        <v>82110</v>
      </c>
      <c r="AE424" s="438">
        <v>0</v>
      </c>
      <c r="AF424" s="438">
        <v>0</v>
      </c>
      <c r="AG424" s="438">
        <v>119000</v>
      </c>
      <c r="AH424" s="438">
        <v>82110</v>
      </c>
      <c r="AI424" s="438">
        <v>33536</v>
      </c>
      <c r="AJ424" s="438">
        <v>3354</v>
      </c>
      <c r="AK424" s="438">
        <v>36890</v>
      </c>
      <c r="AL424" s="414" t="str">
        <f t="shared" si="36"/>
        <v>워커힐 시그니처 양념 본갈비 300g, 8개</v>
      </c>
      <c r="AM424" s="395">
        <f t="shared" si="37"/>
        <v>46060</v>
      </c>
      <c r="AN424" s="396">
        <f t="shared" si="38"/>
        <v>1</v>
      </c>
      <c r="AO424" s="109">
        <f t="shared" si="39"/>
        <v>119000</v>
      </c>
      <c r="AP424" s="109">
        <f t="shared" si="40"/>
        <v>108181.81818181818</v>
      </c>
      <c r="AQ424" s="397">
        <f t="shared" si="41"/>
        <v>108181.81818181818</v>
      </c>
    </row>
    <row r="425" spans="1:43" ht="24">
      <c r="A425" s="436" t="s">
        <v>4630</v>
      </c>
      <c r="B425" s="436" t="s">
        <v>3490</v>
      </c>
      <c r="C425" s="437" t="s">
        <v>3491</v>
      </c>
      <c r="D425" s="436" t="s">
        <v>4608</v>
      </c>
      <c r="E425" s="437" t="s">
        <v>3848</v>
      </c>
      <c r="F425" s="436" t="s">
        <v>3494</v>
      </c>
      <c r="G425" s="436" t="s">
        <v>3495</v>
      </c>
      <c r="H425" s="437" t="s">
        <v>3496</v>
      </c>
      <c r="I425" s="436" t="s">
        <v>3497</v>
      </c>
      <c r="J425" s="437" t="s">
        <v>3498</v>
      </c>
      <c r="K425" s="437" t="s">
        <v>3499</v>
      </c>
      <c r="L425" s="436" t="s">
        <v>3500</v>
      </c>
      <c r="M425" s="436" t="s">
        <v>3524</v>
      </c>
      <c r="N425" s="436" t="s">
        <v>3502</v>
      </c>
      <c r="O425" s="438">
        <v>119000</v>
      </c>
      <c r="P425" s="438">
        <v>82110</v>
      </c>
      <c r="Q425" s="438">
        <v>1</v>
      </c>
      <c r="R425" s="438">
        <v>0</v>
      </c>
      <c r="S425" s="438">
        <v>0</v>
      </c>
      <c r="T425" s="438">
        <v>0</v>
      </c>
      <c r="U425" s="438">
        <v>0</v>
      </c>
      <c r="V425" s="438">
        <v>0</v>
      </c>
      <c r="W425" s="438">
        <v>31</v>
      </c>
      <c r="X425" s="438">
        <v>0</v>
      </c>
      <c r="Y425" s="438">
        <v>0</v>
      </c>
      <c r="Z425" s="438">
        <v>0</v>
      </c>
      <c r="AA425" s="438">
        <v>0</v>
      </c>
      <c r="AB425" s="438">
        <v>0</v>
      </c>
      <c r="AC425" s="438">
        <v>119000</v>
      </c>
      <c r="AD425" s="438">
        <v>82110</v>
      </c>
      <c r="AE425" s="438">
        <v>0</v>
      </c>
      <c r="AF425" s="438">
        <v>0</v>
      </c>
      <c r="AG425" s="438">
        <v>119000</v>
      </c>
      <c r="AH425" s="438">
        <v>82110</v>
      </c>
      <c r="AI425" s="438">
        <v>33536</v>
      </c>
      <c r="AJ425" s="438">
        <v>3354</v>
      </c>
      <c r="AK425" s="438">
        <v>36890</v>
      </c>
      <c r="AL425" s="414" t="str">
        <f t="shared" si="36"/>
        <v>워커힐 시그니처 양념 본갈비 300g, 8개</v>
      </c>
      <c r="AM425" s="395">
        <f t="shared" si="37"/>
        <v>46060</v>
      </c>
      <c r="AN425" s="396">
        <f t="shared" si="38"/>
        <v>1</v>
      </c>
      <c r="AO425" s="109">
        <f t="shared" si="39"/>
        <v>119000</v>
      </c>
      <c r="AP425" s="109">
        <f t="shared" si="40"/>
        <v>108181.81818181818</v>
      </c>
      <c r="AQ425" s="397">
        <f t="shared" si="41"/>
        <v>108181.81818181818</v>
      </c>
    </row>
    <row r="426" spans="1:43" ht="24">
      <c r="A426" s="436" t="s">
        <v>4633</v>
      </c>
      <c r="B426" s="436" t="s">
        <v>3490</v>
      </c>
      <c r="C426" s="437" t="s">
        <v>3491</v>
      </c>
      <c r="D426" s="436" t="s">
        <v>4615</v>
      </c>
      <c r="E426" s="437" t="s">
        <v>4616</v>
      </c>
      <c r="F426" s="436" t="s">
        <v>3494</v>
      </c>
      <c r="G426" s="436" t="s">
        <v>3495</v>
      </c>
      <c r="H426" s="437" t="s">
        <v>3496</v>
      </c>
      <c r="I426" s="436" t="s">
        <v>3497</v>
      </c>
      <c r="J426" s="437" t="s">
        <v>3498</v>
      </c>
      <c r="K426" s="437" t="s">
        <v>3499</v>
      </c>
      <c r="L426" s="436" t="s">
        <v>3500</v>
      </c>
      <c r="M426" s="436" t="s">
        <v>3524</v>
      </c>
      <c r="N426" s="436" t="s">
        <v>3502</v>
      </c>
      <c r="O426" s="438">
        <v>119000</v>
      </c>
      <c r="P426" s="438">
        <v>82110</v>
      </c>
      <c r="Q426" s="438">
        <v>1</v>
      </c>
      <c r="R426" s="438">
        <v>0</v>
      </c>
      <c r="S426" s="438">
        <v>0</v>
      </c>
      <c r="T426" s="438">
        <v>0</v>
      </c>
      <c r="U426" s="438">
        <v>0</v>
      </c>
      <c r="V426" s="438">
        <v>0</v>
      </c>
      <c r="W426" s="438">
        <v>31</v>
      </c>
      <c r="X426" s="438">
        <v>0</v>
      </c>
      <c r="Y426" s="438">
        <v>0</v>
      </c>
      <c r="Z426" s="438">
        <v>0</v>
      </c>
      <c r="AA426" s="438">
        <v>0</v>
      </c>
      <c r="AB426" s="438">
        <v>0</v>
      </c>
      <c r="AC426" s="438">
        <v>119000</v>
      </c>
      <c r="AD426" s="438">
        <v>82110</v>
      </c>
      <c r="AE426" s="438">
        <v>0</v>
      </c>
      <c r="AF426" s="438">
        <v>0</v>
      </c>
      <c r="AG426" s="438">
        <v>119000</v>
      </c>
      <c r="AH426" s="438">
        <v>82110</v>
      </c>
      <c r="AI426" s="438">
        <v>33536</v>
      </c>
      <c r="AJ426" s="438">
        <v>3354</v>
      </c>
      <c r="AK426" s="438">
        <v>36890</v>
      </c>
      <c r="AL426" s="414" t="str">
        <f t="shared" si="36"/>
        <v>워커힐 시그니처 양념 본갈비 300g, 8개</v>
      </c>
      <c r="AM426" s="395">
        <f t="shared" si="37"/>
        <v>46060</v>
      </c>
      <c r="AN426" s="396">
        <f t="shared" si="38"/>
        <v>1</v>
      </c>
      <c r="AO426" s="109">
        <f t="shared" si="39"/>
        <v>119000</v>
      </c>
      <c r="AP426" s="109">
        <f t="shared" si="40"/>
        <v>108181.81818181818</v>
      </c>
      <c r="AQ426" s="397">
        <f t="shared" si="41"/>
        <v>108181.81818181818</v>
      </c>
    </row>
    <row r="427" spans="1:43" ht="24">
      <c r="A427" s="436" t="s">
        <v>4635</v>
      </c>
      <c r="B427" s="436" t="s">
        <v>3490</v>
      </c>
      <c r="C427" s="437" t="s">
        <v>3491</v>
      </c>
      <c r="D427" s="436" t="s">
        <v>4618</v>
      </c>
      <c r="E427" s="437" t="s">
        <v>4619</v>
      </c>
      <c r="F427" s="436" t="s">
        <v>3494</v>
      </c>
      <c r="G427" s="436" t="s">
        <v>3495</v>
      </c>
      <c r="H427" s="437" t="s">
        <v>3496</v>
      </c>
      <c r="I427" s="436" t="s">
        <v>3497</v>
      </c>
      <c r="J427" s="437" t="s">
        <v>3498</v>
      </c>
      <c r="K427" s="437" t="s">
        <v>3499</v>
      </c>
      <c r="L427" s="436" t="s">
        <v>3500</v>
      </c>
      <c r="M427" s="436" t="s">
        <v>3524</v>
      </c>
      <c r="N427" s="436" t="s">
        <v>3502</v>
      </c>
      <c r="O427" s="438">
        <v>119000</v>
      </c>
      <c r="P427" s="438">
        <v>82110</v>
      </c>
      <c r="Q427" s="438">
        <v>1</v>
      </c>
      <c r="R427" s="438">
        <v>0</v>
      </c>
      <c r="S427" s="438">
        <v>0</v>
      </c>
      <c r="T427" s="438">
        <v>0</v>
      </c>
      <c r="U427" s="438">
        <v>0</v>
      </c>
      <c r="V427" s="438">
        <v>0</v>
      </c>
      <c r="W427" s="438">
        <v>31</v>
      </c>
      <c r="X427" s="438">
        <v>0</v>
      </c>
      <c r="Y427" s="438">
        <v>0</v>
      </c>
      <c r="Z427" s="438">
        <v>0</v>
      </c>
      <c r="AA427" s="438">
        <v>0</v>
      </c>
      <c r="AB427" s="438">
        <v>0</v>
      </c>
      <c r="AC427" s="438">
        <v>119000</v>
      </c>
      <c r="AD427" s="438">
        <v>82110</v>
      </c>
      <c r="AE427" s="438">
        <v>0</v>
      </c>
      <c r="AF427" s="438">
        <v>0</v>
      </c>
      <c r="AG427" s="438">
        <v>119000</v>
      </c>
      <c r="AH427" s="438">
        <v>82110</v>
      </c>
      <c r="AI427" s="438">
        <v>33536</v>
      </c>
      <c r="AJ427" s="438">
        <v>3354</v>
      </c>
      <c r="AK427" s="438">
        <v>36890</v>
      </c>
      <c r="AL427" s="414" t="str">
        <f t="shared" si="36"/>
        <v>워커힐 시그니처 양념 본갈비 300g, 8개</v>
      </c>
      <c r="AM427" s="395">
        <f t="shared" si="37"/>
        <v>46060</v>
      </c>
      <c r="AN427" s="396">
        <f t="shared" si="38"/>
        <v>1</v>
      </c>
      <c r="AO427" s="109">
        <f t="shared" si="39"/>
        <v>119000</v>
      </c>
      <c r="AP427" s="109">
        <f t="shared" si="40"/>
        <v>108181.81818181818</v>
      </c>
      <c r="AQ427" s="397">
        <f t="shared" si="41"/>
        <v>108181.81818181818</v>
      </c>
    </row>
    <row r="428" spans="1:43" ht="24">
      <c r="A428" s="436" t="s">
        <v>4637</v>
      </c>
      <c r="B428" s="436" t="s">
        <v>3490</v>
      </c>
      <c r="C428" s="437" t="s">
        <v>3491</v>
      </c>
      <c r="D428" s="436" t="s">
        <v>4621</v>
      </c>
      <c r="E428" s="437" t="s">
        <v>3813</v>
      </c>
      <c r="F428" s="436" t="s">
        <v>3494</v>
      </c>
      <c r="G428" s="436" t="s">
        <v>3495</v>
      </c>
      <c r="H428" s="437" t="s">
        <v>3496</v>
      </c>
      <c r="I428" s="436" t="s">
        <v>3497</v>
      </c>
      <c r="J428" s="437" t="s">
        <v>3498</v>
      </c>
      <c r="K428" s="437" t="s">
        <v>3499</v>
      </c>
      <c r="L428" s="436" t="s">
        <v>3500</v>
      </c>
      <c r="M428" s="436" t="s">
        <v>3524</v>
      </c>
      <c r="N428" s="436" t="s">
        <v>3502</v>
      </c>
      <c r="O428" s="438">
        <v>119000</v>
      </c>
      <c r="P428" s="438">
        <v>82110</v>
      </c>
      <c r="Q428" s="438">
        <v>1</v>
      </c>
      <c r="R428" s="438">
        <v>0</v>
      </c>
      <c r="S428" s="438">
        <v>0</v>
      </c>
      <c r="T428" s="438">
        <v>0</v>
      </c>
      <c r="U428" s="438">
        <v>0</v>
      </c>
      <c r="V428" s="438">
        <v>0</v>
      </c>
      <c r="W428" s="438">
        <v>31</v>
      </c>
      <c r="X428" s="438">
        <v>0</v>
      </c>
      <c r="Y428" s="438">
        <v>0</v>
      </c>
      <c r="Z428" s="438">
        <v>0</v>
      </c>
      <c r="AA428" s="438">
        <v>0</v>
      </c>
      <c r="AB428" s="438">
        <v>0</v>
      </c>
      <c r="AC428" s="438">
        <v>119000</v>
      </c>
      <c r="AD428" s="438">
        <v>82110</v>
      </c>
      <c r="AE428" s="438">
        <v>0</v>
      </c>
      <c r="AF428" s="438">
        <v>0</v>
      </c>
      <c r="AG428" s="438">
        <v>119000</v>
      </c>
      <c r="AH428" s="438">
        <v>82110</v>
      </c>
      <c r="AI428" s="438">
        <v>33536</v>
      </c>
      <c r="AJ428" s="438">
        <v>3354</v>
      </c>
      <c r="AK428" s="438">
        <v>36890</v>
      </c>
      <c r="AL428" s="414" t="str">
        <f t="shared" si="36"/>
        <v>워커힐 시그니처 양념 본갈비 300g, 8개</v>
      </c>
      <c r="AM428" s="395">
        <f t="shared" si="37"/>
        <v>46060</v>
      </c>
      <c r="AN428" s="396">
        <f t="shared" si="38"/>
        <v>1</v>
      </c>
      <c r="AO428" s="109">
        <f t="shared" si="39"/>
        <v>119000</v>
      </c>
      <c r="AP428" s="109">
        <f t="shared" si="40"/>
        <v>108181.81818181818</v>
      </c>
      <c r="AQ428" s="397">
        <f t="shared" si="41"/>
        <v>108181.81818181818</v>
      </c>
    </row>
    <row r="429" spans="1:43" ht="24">
      <c r="A429" s="436" t="s">
        <v>4640</v>
      </c>
      <c r="B429" s="436" t="s">
        <v>3490</v>
      </c>
      <c r="C429" s="437" t="s">
        <v>3491</v>
      </c>
      <c r="D429" s="436" t="s">
        <v>4499</v>
      </c>
      <c r="E429" s="437" t="s">
        <v>4500</v>
      </c>
      <c r="F429" s="436" t="s">
        <v>3494</v>
      </c>
      <c r="G429" s="436" t="s">
        <v>3495</v>
      </c>
      <c r="H429" s="437" t="s">
        <v>3496</v>
      </c>
      <c r="I429" s="436" t="s">
        <v>3497</v>
      </c>
      <c r="J429" s="437" t="s">
        <v>3498</v>
      </c>
      <c r="K429" s="437" t="s">
        <v>3499</v>
      </c>
      <c r="L429" s="436" t="s">
        <v>3500</v>
      </c>
      <c r="M429" s="436" t="s">
        <v>3524</v>
      </c>
      <c r="N429" s="436" t="s">
        <v>3502</v>
      </c>
      <c r="O429" s="438">
        <v>119000</v>
      </c>
      <c r="P429" s="438">
        <v>82110</v>
      </c>
      <c r="Q429" s="438">
        <v>1</v>
      </c>
      <c r="R429" s="438">
        <v>0</v>
      </c>
      <c r="S429" s="438">
        <v>0</v>
      </c>
      <c r="T429" s="438">
        <v>0</v>
      </c>
      <c r="U429" s="438">
        <v>0</v>
      </c>
      <c r="V429" s="438">
        <v>0</v>
      </c>
      <c r="W429" s="438">
        <v>31</v>
      </c>
      <c r="X429" s="438">
        <v>0</v>
      </c>
      <c r="Y429" s="438">
        <v>0</v>
      </c>
      <c r="Z429" s="438">
        <v>0</v>
      </c>
      <c r="AA429" s="438">
        <v>0</v>
      </c>
      <c r="AB429" s="438">
        <v>0</v>
      </c>
      <c r="AC429" s="438">
        <v>119000</v>
      </c>
      <c r="AD429" s="438">
        <v>82110</v>
      </c>
      <c r="AE429" s="438">
        <v>0</v>
      </c>
      <c r="AF429" s="438">
        <v>0</v>
      </c>
      <c r="AG429" s="438">
        <v>119000</v>
      </c>
      <c r="AH429" s="438">
        <v>82110</v>
      </c>
      <c r="AI429" s="438">
        <v>33536</v>
      </c>
      <c r="AJ429" s="438">
        <v>3354</v>
      </c>
      <c r="AK429" s="438">
        <v>36890</v>
      </c>
      <c r="AL429" s="414" t="str">
        <f t="shared" si="36"/>
        <v>워커힐 시그니처 양념 본갈비 300g, 8개</v>
      </c>
      <c r="AM429" s="395">
        <f t="shared" si="37"/>
        <v>46060</v>
      </c>
      <c r="AN429" s="396">
        <f t="shared" si="38"/>
        <v>1</v>
      </c>
      <c r="AO429" s="109">
        <f t="shared" si="39"/>
        <v>119000</v>
      </c>
      <c r="AP429" s="109">
        <f t="shared" si="40"/>
        <v>108181.81818181818</v>
      </c>
      <c r="AQ429" s="397">
        <f t="shared" si="41"/>
        <v>108181.81818181818</v>
      </c>
    </row>
    <row r="430" spans="1:43" ht="24">
      <c r="A430" s="436" t="s">
        <v>4642</v>
      </c>
      <c r="B430" s="436" t="s">
        <v>3490</v>
      </c>
      <c r="C430" s="437" t="s">
        <v>3491</v>
      </c>
      <c r="D430" s="436" t="s">
        <v>4641</v>
      </c>
      <c r="E430" s="437" t="s">
        <v>3493</v>
      </c>
      <c r="F430" s="436" t="s">
        <v>3494</v>
      </c>
      <c r="G430" s="436" t="s">
        <v>3495</v>
      </c>
      <c r="H430" s="437" t="s">
        <v>3496</v>
      </c>
      <c r="I430" s="436" t="s">
        <v>3497</v>
      </c>
      <c r="J430" s="437" t="s">
        <v>3498</v>
      </c>
      <c r="K430" s="437" t="s">
        <v>3499</v>
      </c>
      <c r="L430" s="436" t="s">
        <v>3500</v>
      </c>
      <c r="M430" s="436" t="s">
        <v>3524</v>
      </c>
      <c r="N430" s="436" t="s">
        <v>3502</v>
      </c>
      <c r="O430" s="438">
        <v>119000</v>
      </c>
      <c r="P430" s="438">
        <v>82110</v>
      </c>
      <c r="Q430" s="438">
        <v>1</v>
      </c>
      <c r="R430" s="438">
        <v>0</v>
      </c>
      <c r="S430" s="438">
        <v>0</v>
      </c>
      <c r="T430" s="438">
        <v>0</v>
      </c>
      <c r="U430" s="438">
        <v>0</v>
      </c>
      <c r="V430" s="438">
        <v>0</v>
      </c>
      <c r="W430" s="438">
        <v>31</v>
      </c>
      <c r="X430" s="438">
        <v>0</v>
      </c>
      <c r="Y430" s="438">
        <v>0</v>
      </c>
      <c r="Z430" s="438">
        <v>0</v>
      </c>
      <c r="AA430" s="438">
        <v>0</v>
      </c>
      <c r="AB430" s="438">
        <v>0</v>
      </c>
      <c r="AC430" s="438">
        <v>119000</v>
      </c>
      <c r="AD430" s="438">
        <v>82110</v>
      </c>
      <c r="AE430" s="438">
        <v>0</v>
      </c>
      <c r="AF430" s="438">
        <v>0</v>
      </c>
      <c r="AG430" s="438">
        <v>119000</v>
      </c>
      <c r="AH430" s="438">
        <v>82110</v>
      </c>
      <c r="AI430" s="438">
        <v>33536</v>
      </c>
      <c r="AJ430" s="438">
        <v>3354</v>
      </c>
      <c r="AK430" s="438">
        <v>36890</v>
      </c>
      <c r="AL430" s="414" t="str">
        <f t="shared" si="36"/>
        <v>워커힐 시그니처 양념 본갈비 300g, 8개</v>
      </c>
      <c r="AM430" s="395">
        <f t="shared" si="37"/>
        <v>46060</v>
      </c>
      <c r="AN430" s="396">
        <f t="shared" si="38"/>
        <v>1</v>
      </c>
      <c r="AO430" s="109">
        <f t="shared" si="39"/>
        <v>119000</v>
      </c>
      <c r="AP430" s="109">
        <f t="shared" si="40"/>
        <v>108181.81818181818</v>
      </c>
      <c r="AQ430" s="397">
        <f t="shared" si="41"/>
        <v>108181.81818181818</v>
      </c>
    </row>
    <row r="431" spans="1:43" ht="24">
      <c r="A431" s="436" t="s">
        <v>4644</v>
      </c>
      <c r="B431" s="436" t="s">
        <v>3490</v>
      </c>
      <c r="C431" s="437" t="s">
        <v>3491</v>
      </c>
      <c r="D431" s="436" t="s">
        <v>4643</v>
      </c>
      <c r="E431" s="437" t="s">
        <v>3624</v>
      </c>
      <c r="F431" s="436" t="s">
        <v>3494</v>
      </c>
      <c r="G431" s="436" t="s">
        <v>3495</v>
      </c>
      <c r="H431" s="437" t="s">
        <v>3496</v>
      </c>
      <c r="I431" s="436" t="s">
        <v>3497</v>
      </c>
      <c r="J431" s="437" t="s">
        <v>3498</v>
      </c>
      <c r="K431" s="437" t="s">
        <v>3499</v>
      </c>
      <c r="L431" s="436" t="s">
        <v>3500</v>
      </c>
      <c r="M431" s="436" t="s">
        <v>3524</v>
      </c>
      <c r="N431" s="436" t="s">
        <v>3502</v>
      </c>
      <c r="O431" s="438">
        <v>119000</v>
      </c>
      <c r="P431" s="438">
        <v>82110</v>
      </c>
      <c r="Q431" s="438">
        <v>1</v>
      </c>
      <c r="R431" s="438">
        <v>0</v>
      </c>
      <c r="S431" s="438">
        <v>0</v>
      </c>
      <c r="T431" s="438">
        <v>0</v>
      </c>
      <c r="U431" s="438">
        <v>0</v>
      </c>
      <c r="V431" s="438">
        <v>0</v>
      </c>
      <c r="W431" s="438">
        <v>31</v>
      </c>
      <c r="X431" s="438">
        <v>0</v>
      </c>
      <c r="Y431" s="438">
        <v>0</v>
      </c>
      <c r="Z431" s="438">
        <v>0</v>
      </c>
      <c r="AA431" s="438">
        <v>0</v>
      </c>
      <c r="AB431" s="438">
        <v>0</v>
      </c>
      <c r="AC431" s="438">
        <v>119000</v>
      </c>
      <c r="AD431" s="438">
        <v>82110</v>
      </c>
      <c r="AE431" s="438">
        <v>0</v>
      </c>
      <c r="AF431" s="438">
        <v>0</v>
      </c>
      <c r="AG431" s="438">
        <v>119000</v>
      </c>
      <c r="AH431" s="438">
        <v>82110</v>
      </c>
      <c r="AI431" s="438">
        <v>33536</v>
      </c>
      <c r="AJ431" s="438">
        <v>3354</v>
      </c>
      <c r="AK431" s="438">
        <v>36890</v>
      </c>
      <c r="AL431" s="414" t="str">
        <f t="shared" si="36"/>
        <v>워커힐 시그니처 양념 본갈비 300g, 8개</v>
      </c>
      <c r="AM431" s="395">
        <f t="shared" si="37"/>
        <v>46060</v>
      </c>
      <c r="AN431" s="396">
        <f t="shared" si="38"/>
        <v>1</v>
      </c>
      <c r="AO431" s="109">
        <f t="shared" si="39"/>
        <v>119000</v>
      </c>
      <c r="AP431" s="109">
        <f t="shared" si="40"/>
        <v>108181.81818181818</v>
      </c>
      <c r="AQ431" s="397">
        <f t="shared" si="41"/>
        <v>108181.81818181818</v>
      </c>
    </row>
    <row r="432" spans="1:43" ht="24">
      <c r="A432" s="436" t="s">
        <v>4647</v>
      </c>
      <c r="B432" s="436" t="s">
        <v>3490</v>
      </c>
      <c r="C432" s="437" t="s">
        <v>3491</v>
      </c>
      <c r="D432" s="436" t="s">
        <v>4645</v>
      </c>
      <c r="E432" s="437" t="s">
        <v>4646</v>
      </c>
      <c r="F432" s="436" t="s">
        <v>3494</v>
      </c>
      <c r="G432" s="436" t="s">
        <v>3495</v>
      </c>
      <c r="H432" s="437" t="s">
        <v>3496</v>
      </c>
      <c r="I432" s="436" t="s">
        <v>3497</v>
      </c>
      <c r="J432" s="437" t="s">
        <v>3498</v>
      </c>
      <c r="K432" s="437" t="s">
        <v>3499</v>
      </c>
      <c r="L432" s="436" t="s">
        <v>3500</v>
      </c>
      <c r="M432" s="436" t="s">
        <v>3524</v>
      </c>
      <c r="N432" s="436" t="s">
        <v>3502</v>
      </c>
      <c r="O432" s="438">
        <v>119000</v>
      </c>
      <c r="P432" s="438">
        <v>82110</v>
      </c>
      <c r="Q432" s="438">
        <v>1</v>
      </c>
      <c r="R432" s="438">
        <v>0</v>
      </c>
      <c r="S432" s="438">
        <v>0</v>
      </c>
      <c r="T432" s="438">
        <v>0</v>
      </c>
      <c r="U432" s="438">
        <v>0</v>
      </c>
      <c r="V432" s="438">
        <v>0</v>
      </c>
      <c r="W432" s="438">
        <v>31</v>
      </c>
      <c r="X432" s="438">
        <v>0</v>
      </c>
      <c r="Y432" s="438">
        <v>0</v>
      </c>
      <c r="Z432" s="438">
        <v>0</v>
      </c>
      <c r="AA432" s="438">
        <v>0</v>
      </c>
      <c r="AB432" s="438">
        <v>0</v>
      </c>
      <c r="AC432" s="438">
        <v>119000</v>
      </c>
      <c r="AD432" s="438">
        <v>82110</v>
      </c>
      <c r="AE432" s="438">
        <v>0</v>
      </c>
      <c r="AF432" s="438">
        <v>0</v>
      </c>
      <c r="AG432" s="438">
        <v>119000</v>
      </c>
      <c r="AH432" s="438">
        <v>82110</v>
      </c>
      <c r="AI432" s="438">
        <v>33536</v>
      </c>
      <c r="AJ432" s="438">
        <v>3354</v>
      </c>
      <c r="AK432" s="438">
        <v>36890</v>
      </c>
      <c r="AL432" s="414" t="str">
        <f t="shared" si="36"/>
        <v>워커힐 시그니처 양념 본갈비 300g, 8개</v>
      </c>
      <c r="AM432" s="395">
        <f t="shared" si="37"/>
        <v>46060</v>
      </c>
      <c r="AN432" s="396">
        <f t="shared" si="38"/>
        <v>1</v>
      </c>
      <c r="AO432" s="109">
        <f t="shared" si="39"/>
        <v>119000</v>
      </c>
      <c r="AP432" s="109">
        <f t="shared" si="40"/>
        <v>108181.81818181818</v>
      </c>
      <c r="AQ432" s="397">
        <f t="shared" si="41"/>
        <v>108181.81818181818</v>
      </c>
    </row>
    <row r="433" spans="1:43" ht="24">
      <c r="A433" s="436" t="s">
        <v>4650</v>
      </c>
      <c r="B433" s="436" t="s">
        <v>3490</v>
      </c>
      <c r="C433" s="437" t="s">
        <v>3491</v>
      </c>
      <c r="D433" s="436" t="s">
        <v>4626</v>
      </c>
      <c r="E433" s="437" t="s">
        <v>4627</v>
      </c>
      <c r="F433" s="436" t="s">
        <v>3494</v>
      </c>
      <c r="G433" s="436" t="s">
        <v>3495</v>
      </c>
      <c r="H433" s="437" t="s">
        <v>3496</v>
      </c>
      <c r="I433" s="436" t="s">
        <v>3497</v>
      </c>
      <c r="J433" s="437" t="s">
        <v>3498</v>
      </c>
      <c r="K433" s="437" t="s">
        <v>3499</v>
      </c>
      <c r="L433" s="436" t="s">
        <v>3500</v>
      </c>
      <c r="M433" s="436" t="s">
        <v>3524</v>
      </c>
      <c r="N433" s="436" t="s">
        <v>3502</v>
      </c>
      <c r="O433" s="438">
        <v>119000</v>
      </c>
      <c r="P433" s="438">
        <v>82110</v>
      </c>
      <c r="Q433" s="438">
        <v>1</v>
      </c>
      <c r="R433" s="438">
        <v>0</v>
      </c>
      <c r="S433" s="438">
        <v>0</v>
      </c>
      <c r="T433" s="438">
        <v>0</v>
      </c>
      <c r="U433" s="438">
        <v>0</v>
      </c>
      <c r="V433" s="438">
        <v>0</v>
      </c>
      <c r="W433" s="438">
        <v>31</v>
      </c>
      <c r="X433" s="438">
        <v>0</v>
      </c>
      <c r="Y433" s="438">
        <v>0</v>
      </c>
      <c r="Z433" s="438">
        <v>0</v>
      </c>
      <c r="AA433" s="438">
        <v>0</v>
      </c>
      <c r="AB433" s="438">
        <v>0</v>
      </c>
      <c r="AC433" s="438">
        <v>119000</v>
      </c>
      <c r="AD433" s="438">
        <v>82110</v>
      </c>
      <c r="AE433" s="438">
        <v>0</v>
      </c>
      <c r="AF433" s="438">
        <v>0</v>
      </c>
      <c r="AG433" s="438">
        <v>119000</v>
      </c>
      <c r="AH433" s="438">
        <v>82110</v>
      </c>
      <c r="AI433" s="438">
        <v>33536</v>
      </c>
      <c r="AJ433" s="438">
        <v>3354</v>
      </c>
      <c r="AK433" s="438">
        <v>36890</v>
      </c>
      <c r="AL433" s="414" t="str">
        <f t="shared" si="36"/>
        <v>워커힐 시그니처 양념 본갈비 300g, 8개</v>
      </c>
      <c r="AM433" s="395">
        <f t="shared" si="37"/>
        <v>46060</v>
      </c>
      <c r="AN433" s="396">
        <f t="shared" si="38"/>
        <v>1</v>
      </c>
      <c r="AO433" s="109">
        <f t="shared" si="39"/>
        <v>119000</v>
      </c>
      <c r="AP433" s="109">
        <f t="shared" si="40"/>
        <v>108181.81818181818</v>
      </c>
      <c r="AQ433" s="397">
        <f t="shared" si="41"/>
        <v>108181.81818181818</v>
      </c>
    </row>
    <row r="434" spans="1:43" ht="24">
      <c r="A434" s="436" t="s">
        <v>4652</v>
      </c>
      <c r="B434" s="436" t="s">
        <v>3490</v>
      </c>
      <c r="C434" s="437" t="s">
        <v>3491</v>
      </c>
      <c r="D434" s="436" t="s">
        <v>4634</v>
      </c>
      <c r="E434" s="437" t="s">
        <v>3734</v>
      </c>
      <c r="F434" s="436" t="s">
        <v>3494</v>
      </c>
      <c r="G434" s="436" t="s">
        <v>3495</v>
      </c>
      <c r="H434" s="437" t="s">
        <v>3496</v>
      </c>
      <c r="I434" s="436" t="s">
        <v>3497</v>
      </c>
      <c r="J434" s="437" t="s">
        <v>3498</v>
      </c>
      <c r="K434" s="437" t="s">
        <v>3499</v>
      </c>
      <c r="L434" s="436" t="s">
        <v>3500</v>
      </c>
      <c r="M434" s="436" t="s">
        <v>3524</v>
      </c>
      <c r="N434" s="436" t="s">
        <v>3502</v>
      </c>
      <c r="O434" s="438">
        <v>119000</v>
      </c>
      <c r="P434" s="438">
        <v>82110</v>
      </c>
      <c r="Q434" s="438">
        <v>1</v>
      </c>
      <c r="R434" s="438">
        <v>0</v>
      </c>
      <c r="S434" s="438">
        <v>0</v>
      </c>
      <c r="T434" s="438">
        <v>0</v>
      </c>
      <c r="U434" s="438">
        <v>0</v>
      </c>
      <c r="V434" s="438">
        <v>0</v>
      </c>
      <c r="W434" s="438">
        <v>31</v>
      </c>
      <c r="X434" s="438">
        <v>0</v>
      </c>
      <c r="Y434" s="438">
        <v>0</v>
      </c>
      <c r="Z434" s="438">
        <v>0</v>
      </c>
      <c r="AA434" s="438">
        <v>0</v>
      </c>
      <c r="AB434" s="438">
        <v>0</v>
      </c>
      <c r="AC434" s="438">
        <v>119000</v>
      </c>
      <c r="AD434" s="438">
        <v>82110</v>
      </c>
      <c r="AE434" s="438">
        <v>0</v>
      </c>
      <c r="AF434" s="438">
        <v>0</v>
      </c>
      <c r="AG434" s="438">
        <v>119000</v>
      </c>
      <c r="AH434" s="438">
        <v>82110</v>
      </c>
      <c r="AI434" s="438">
        <v>33536</v>
      </c>
      <c r="AJ434" s="438">
        <v>3354</v>
      </c>
      <c r="AK434" s="438">
        <v>36890</v>
      </c>
      <c r="AL434" s="414" t="str">
        <f t="shared" si="36"/>
        <v>워커힐 시그니처 양념 본갈비 300g, 8개</v>
      </c>
      <c r="AM434" s="395">
        <f t="shared" si="37"/>
        <v>46060</v>
      </c>
      <c r="AN434" s="396">
        <f t="shared" si="38"/>
        <v>1</v>
      </c>
      <c r="AO434" s="109">
        <f t="shared" si="39"/>
        <v>119000</v>
      </c>
      <c r="AP434" s="109">
        <f t="shared" si="40"/>
        <v>108181.81818181818</v>
      </c>
      <c r="AQ434" s="397">
        <f t="shared" si="41"/>
        <v>108181.81818181818</v>
      </c>
    </row>
    <row r="435" spans="1:43" ht="24">
      <c r="A435" s="436" t="s">
        <v>4654</v>
      </c>
      <c r="B435" s="436" t="s">
        <v>3490</v>
      </c>
      <c r="C435" s="437" t="s">
        <v>3491</v>
      </c>
      <c r="D435" s="436" t="s">
        <v>4638</v>
      </c>
      <c r="E435" s="437" t="s">
        <v>4639</v>
      </c>
      <c r="F435" s="436" t="s">
        <v>3494</v>
      </c>
      <c r="G435" s="436" t="s">
        <v>3495</v>
      </c>
      <c r="H435" s="437" t="s">
        <v>3496</v>
      </c>
      <c r="I435" s="436" t="s">
        <v>3497</v>
      </c>
      <c r="J435" s="437" t="s">
        <v>3498</v>
      </c>
      <c r="K435" s="437" t="s">
        <v>3499</v>
      </c>
      <c r="L435" s="436" t="s">
        <v>3500</v>
      </c>
      <c r="M435" s="436" t="s">
        <v>3524</v>
      </c>
      <c r="N435" s="436" t="s">
        <v>3502</v>
      </c>
      <c r="O435" s="438">
        <v>119000</v>
      </c>
      <c r="P435" s="438">
        <v>82110</v>
      </c>
      <c r="Q435" s="438">
        <v>1</v>
      </c>
      <c r="R435" s="438">
        <v>0</v>
      </c>
      <c r="S435" s="438">
        <v>0</v>
      </c>
      <c r="T435" s="438">
        <v>0</v>
      </c>
      <c r="U435" s="438">
        <v>0</v>
      </c>
      <c r="V435" s="438">
        <v>0</v>
      </c>
      <c r="W435" s="438">
        <v>31</v>
      </c>
      <c r="X435" s="438">
        <v>0</v>
      </c>
      <c r="Y435" s="438">
        <v>0</v>
      </c>
      <c r="Z435" s="438">
        <v>0</v>
      </c>
      <c r="AA435" s="438">
        <v>0</v>
      </c>
      <c r="AB435" s="438">
        <v>0</v>
      </c>
      <c r="AC435" s="438">
        <v>119000</v>
      </c>
      <c r="AD435" s="438">
        <v>82110</v>
      </c>
      <c r="AE435" s="438">
        <v>0</v>
      </c>
      <c r="AF435" s="438">
        <v>0</v>
      </c>
      <c r="AG435" s="438">
        <v>119000</v>
      </c>
      <c r="AH435" s="438">
        <v>82110</v>
      </c>
      <c r="AI435" s="438">
        <v>33536</v>
      </c>
      <c r="AJ435" s="438">
        <v>3354</v>
      </c>
      <c r="AK435" s="438">
        <v>36890</v>
      </c>
      <c r="AL435" s="414" t="str">
        <f t="shared" si="36"/>
        <v>워커힐 시그니처 양념 본갈비 300g, 8개</v>
      </c>
      <c r="AM435" s="395">
        <f t="shared" si="37"/>
        <v>46060</v>
      </c>
      <c r="AN435" s="396">
        <f t="shared" si="38"/>
        <v>1</v>
      </c>
      <c r="AO435" s="109">
        <f t="shared" si="39"/>
        <v>119000</v>
      </c>
      <c r="AP435" s="109">
        <f t="shared" si="40"/>
        <v>108181.81818181818</v>
      </c>
      <c r="AQ435" s="397">
        <f t="shared" si="41"/>
        <v>108181.81818181818</v>
      </c>
    </row>
    <row r="436" spans="1:43" ht="24">
      <c r="A436" s="436" t="s">
        <v>4657</v>
      </c>
      <c r="B436" s="436" t="s">
        <v>3490</v>
      </c>
      <c r="C436" s="437" t="s">
        <v>3491</v>
      </c>
      <c r="D436" s="436" t="s">
        <v>4658</v>
      </c>
      <c r="E436" s="437" t="s">
        <v>4659</v>
      </c>
      <c r="F436" s="436" t="s">
        <v>3514</v>
      </c>
      <c r="G436" s="436" t="s">
        <v>3495</v>
      </c>
      <c r="H436" s="437" t="s">
        <v>3496</v>
      </c>
      <c r="I436" s="436" t="s">
        <v>3497</v>
      </c>
      <c r="J436" s="437" t="s">
        <v>3498</v>
      </c>
      <c r="K436" s="437" t="s">
        <v>163</v>
      </c>
      <c r="L436" s="436" t="s">
        <v>3500</v>
      </c>
      <c r="M436" s="436" t="s">
        <v>3524</v>
      </c>
      <c r="N436" s="436" t="s">
        <v>3502</v>
      </c>
      <c r="O436" s="438">
        <v>119000</v>
      </c>
      <c r="P436" s="438">
        <v>82110</v>
      </c>
      <c r="Q436" s="438">
        <v>1</v>
      </c>
      <c r="R436" s="438">
        <v>0</v>
      </c>
      <c r="S436" s="438">
        <v>0</v>
      </c>
      <c r="T436" s="438">
        <v>0</v>
      </c>
      <c r="U436" s="438">
        <v>0</v>
      </c>
      <c r="V436" s="438">
        <v>0</v>
      </c>
      <c r="W436" s="438">
        <v>31</v>
      </c>
      <c r="X436" s="438">
        <v>0</v>
      </c>
      <c r="Y436" s="438">
        <v>0</v>
      </c>
      <c r="Z436" s="438">
        <v>0</v>
      </c>
      <c r="AA436" s="438">
        <v>0</v>
      </c>
      <c r="AB436" s="438">
        <v>0</v>
      </c>
      <c r="AC436" s="438">
        <v>119000</v>
      </c>
      <c r="AD436" s="438">
        <v>82110</v>
      </c>
      <c r="AE436" s="438">
        <v>0</v>
      </c>
      <c r="AF436" s="438">
        <v>0</v>
      </c>
      <c r="AG436" s="438">
        <v>119000</v>
      </c>
      <c r="AH436" s="438">
        <v>82110</v>
      </c>
      <c r="AI436" s="438">
        <v>33536</v>
      </c>
      <c r="AJ436" s="438">
        <v>3354</v>
      </c>
      <c r="AK436" s="438">
        <v>36890</v>
      </c>
      <c r="AL436" s="414" t="str">
        <f t="shared" si="36"/>
        <v>워커힐 시그니처 양념 본갈비 300g, 8개</v>
      </c>
      <c r="AM436" s="395">
        <f t="shared" si="37"/>
        <v>46060</v>
      </c>
      <c r="AN436" s="396">
        <f t="shared" si="38"/>
        <v>1</v>
      </c>
      <c r="AO436" s="109">
        <f t="shared" si="39"/>
        <v>119000</v>
      </c>
      <c r="AP436" s="109">
        <f t="shared" si="40"/>
        <v>108181.81818181818</v>
      </c>
      <c r="AQ436" s="397">
        <f t="shared" si="41"/>
        <v>108181.81818181818</v>
      </c>
    </row>
    <row r="437" spans="1:43" ht="24">
      <c r="A437" s="436" t="s">
        <v>4660</v>
      </c>
      <c r="B437" s="436" t="s">
        <v>3490</v>
      </c>
      <c r="C437" s="437" t="s">
        <v>3491</v>
      </c>
      <c r="D437" s="436" t="s">
        <v>4661</v>
      </c>
      <c r="E437" s="437" t="s">
        <v>4662</v>
      </c>
      <c r="F437" s="436" t="s">
        <v>3514</v>
      </c>
      <c r="G437" s="436" t="s">
        <v>3495</v>
      </c>
      <c r="H437" s="437" t="s">
        <v>3496</v>
      </c>
      <c r="I437" s="436" t="s">
        <v>3497</v>
      </c>
      <c r="J437" s="437" t="s">
        <v>3498</v>
      </c>
      <c r="K437" s="437" t="s">
        <v>3499</v>
      </c>
      <c r="L437" s="436" t="s">
        <v>3500</v>
      </c>
      <c r="M437" s="436" t="s">
        <v>3524</v>
      </c>
      <c r="N437" s="436" t="s">
        <v>3502</v>
      </c>
      <c r="O437" s="438">
        <v>119000</v>
      </c>
      <c r="P437" s="438">
        <v>82110</v>
      </c>
      <c r="Q437" s="438">
        <v>1</v>
      </c>
      <c r="R437" s="438">
        <v>0</v>
      </c>
      <c r="S437" s="438">
        <v>0</v>
      </c>
      <c r="T437" s="438">
        <v>0</v>
      </c>
      <c r="U437" s="438">
        <v>0</v>
      </c>
      <c r="V437" s="438">
        <v>0</v>
      </c>
      <c r="W437" s="438">
        <v>31</v>
      </c>
      <c r="X437" s="438">
        <v>0</v>
      </c>
      <c r="Y437" s="438">
        <v>0</v>
      </c>
      <c r="Z437" s="438">
        <v>0</v>
      </c>
      <c r="AA437" s="438">
        <v>0</v>
      </c>
      <c r="AB437" s="438">
        <v>0</v>
      </c>
      <c r="AC437" s="438">
        <v>119000</v>
      </c>
      <c r="AD437" s="438">
        <v>82110</v>
      </c>
      <c r="AE437" s="438">
        <v>0</v>
      </c>
      <c r="AF437" s="438">
        <v>0</v>
      </c>
      <c r="AG437" s="438">
        <v>119000</v>
      </c>
      <c r="AH437" s="438">
        <v>82110</v>
      </c>
      <c r="AI437" s="438">
        <v>33536</v>
      </c>
      <c r="AJ437" s="438">
        <v>3354</v>
      </c>
      <c r="AK437" s="438">
        <v>36890</v>
      </c>
      <c r="AL437" s="414" t="str">
        <f t="shared" si="36"/>
        <v>워커힐 시그니처 양념 본갈비 300g, 8개</v>
      </c>
      <c r="AM437" s="395">
        <f t="shared" si="37"/>
        <v>46060</v>
      </c>
      <c r="AN437" s="396">
        <f t="shared" si="38"/>
        <v>1</v>
      </c>
      <c r="AO437" s="109">
        <f t="shared" si="39"/>
        <v>119000</v>
      </c>
      <c r="AP437" s="109">
        <f t="shared" si="40"/>
        <v>108181.81818181818</v>
      </c>
      <c r="AQ437" s="397">
        <f t="shared" si="41"/>
        <v>108181.81818181818</v>
      </c>
    </row>
    <row r="438" spans="1:43" ht="24">
      <c r="A438" s="436" t="s">
        <v>4663</v>
      </c>
      <c r="B438" s="436" t="s">
        <v>3490</v>
      </c>
      <c r="C438" s="437" t="s">
        <v>3491</v>
      </c>
      <c r="D438" s="436" t="s">
        <v>4664</v>
      </c>
      <c r="E438" s="437" t="s">
        <v>4665</v>
      </c>
      <c r="F438" s="436" t="s">
        <v>4666</v>
      </c>
      <c r="G438" s="436" t="s">
        <v>3495</v>
      </c>
      <c r="H438" s="437" t="s">
        <v>4667</v>
      </c>
      <c r="I438" s="436" t="s">
        <v>3497</v>
      </c>
      <c r="J438" s="437" t="s">
        <v>3498</v>
      </c>
      <c r="K438" s="437" t="s">
        <v>3499</v>
      </c>
      <c r="L438" s="436" t="s">
        <v>3500</v>
      </c>
      <c r="M438" s="436" t="s">
        <v>3524</v>
      </c>
      <c r="N438" s="436" t="s">
        <v>3502</v>
      </c>
      <c r="O438" s="438">
        <v>78000</v>
      </c>
      <c r="P438" s="438">
        <v>53820</v>
      </c>
      <c r="Q438" s="438">
        <v>1</v>
      </c>
      <c r="R438" s="438">
        <v>0</v>
      </c>
      <c r="S438" s="438">
        <v>0</v>
      </c>
      <c r="T438" s="438">
        <v>0</v>
      </c>
      <c r="U438" s="438">
        <v>0</v>
      </c>
      <c r="V438" s="438">
        <v>0</v>
      </c>
      <c r="W438" s="438">
        <v>31</v>
      </c>
      <c r="X438" s="438">
        <v>11700</v>
      </c>
      <c r="Y438" s="438">
        <v>0</v>
      </c>
      <c r="Z438" s="438">
        <v>0</v>
      </c>
      <c r="AA438" s="438">
        <v>0</v>
      </c>
      <c r="AB438" s="438">
        <v>0</v>
      </c>
      <c r="AC438" s="438">
        <v>78000</v>
      </c>
      <c r="AD438" s="438">
        <v>53820</v>
      </c>
      <c r="AE438" s="438">
        <v>0</v>
      </c>
      <c r="AF438" s="438">
        <v>11700</v>
      </c>
      <c r="AG438" s="438">
        <v>66300</v>
      </c>
      <c r="AH438" s="438">
        <v>53820</v>
      </c>
      <c r="AI438" s="438">
        <v>11345</v>
      </c>
      <c r="AJ438" s="438">
        <v>1135</v>
      </c>
      <c r="AK438" s="438">
        <v>12480</v>
      </c>
      <c r="AL438" s="414" t="str">
        <f t="shared" si="36"/>
        <v>워커힐 시그니처 양념 본갈비 300g, 4개</v>
      </c>
      <c r="AM438" s="395">
        <f t="shared" si="37"/>
        <v>46060</v>
      </c>
      <c r="AN438" s="396">
        <f t="shared" si="38"/>
        <v>1</v>
      </c>
      <c r="AO438" s="109">
        <f t="shared" si="39"/>
        <v>78000</v>
      </c>
      <c r="AP438" s="109">
        <f t="shared" si="40"/>
        <v>70909.090909090897</v>
      </c>
      <c r="AQ438" s="397">
        <f t="shared" si="41"/>
        <v>70909.090909090897</v>
      </c>
    </row>
    <row r="439" spans="1:43" ht="24">
      <c r="A439" s="436" t="s">
        <v>4668</v>
      </c>
      <c r="B439" s="436" t="s">
        <v>3490</v>
      </c>
      <c r="C439" s="437" t="s">
        <v>3491</v>
      </c>
      <c r="D439" s="436" t="s">
        <v>4669</v>
      </c>
      <c r="E439" s="437" t="s">
        <v>4670</v>
      </c>
      <c r="F439" s="436" t="s">
        <v>3494</v>
      </c>
      <c r="G439" s="436" t="s">
        <v>3495</v>
      </c>
      <c r="H439" s="437" t="s">
        <v>3496</v>
      </c>
      <c r="I439" s="436" t="s">
        <v>3497</v>
      </c>
      <c r="J439" s="437" t="s">
        <v>3498</v>
      </c>
      <c r="K439" s="437" t="s">
        <v>3499</v>
      </c>
      <c r="L439" s="436" t="s">
        <v>3500</v>
      </c>
      <c r="M439" s="436" t="s">
        <v>4671</v>
      </c>
      <c r="N439" s="436" t="s">
        <v>3502</v>
      </c>
      <c r="O439" s="438">
        <v>119000</v>
      </c>
      <c r="P439" s="438">
        <v>82110</v>
      </c>
      <c r="Q439" s="438">
        <v>1</v>
      </c>
      <c r="R439" s="438">
        <v>0</v>
      </c>
      <c r="S439" s="438">
        <v>0</v>
      </c>
      <c r="T439" s="438">
        <v>0</v>
      </c>
      <c r="U439" s="438">
        <v>0</v>
      </c>
      <c r="V439" s="438">
        <v>0</v>
      </c>
      <c r="W439" s="438">
        <v>31</v>
      </c>
      <c r="X439" s="438">
        <v>0</v>
      </c>
      <c r="Y439" s="438">
        <v>0</v>
      </c>
      <c r="Z439" s="438">
        <v>0</v>
      </c>
      <c r="AA439" s="438">
        <v>0</v>
      </c>
      <c r="AB439" s="438">
        <v>0</v>
      </c>
      <c r="AC439" s="438">
        <v>119000</v>
      </c>
      <c r="AD439" s="438">
        <v>82110</v>
      </c>
      <c r="AE439" s="438">
        <v>0</v>
      </c>
      <c r="AF439" s="438">
        <v>0</v>
      </c>
      <c r="AG439" s="438">
        <v>119000</v>
      </c>
      <c r="AH439" s="438">
        <v>82110</v>
      </c>
      <c r="AI439" s="438">
        <v>33536</v>
      </c>
      <c r="AJ439" s="438">
        <v>3354</v>
      </c>
      <c r="AK439" s="438">
        <v>36890</v>
      </c>
      <c r="AL439" s="414" t="str">
        <f t="shared" si="36"/>
        <v>워커힐 시그니처 양념 본갈비 300g, 8개</v>
      </c>
      <c r="AM439" s="395">
        <f t="shared" si="37"/>
        <v>46061</v>
      </c>
      <c r="AN439" s="396">
        <f t="shared" si="38"/>
        <v>1</v>
      </c>
      <c r="AO439" s="109">
        <f t="shared" si="39"/>
        <v>119000</v>
      </c>
      <c r="AP439" s="109">
        <f t="shared" si="40"/>
        <v>108181.81818181818</v>
      </c>
      <c r="AQ439" s="397">
        <f t="shared" si="41"/>
        <v>108181.81818181818</v>
      </c>
    </row>
    <row r="440" spans="1:43" ht="24">
      <c r="A440" s="436" t="s">
        <v>4672</v>
      </c>
      <c r="B440" s="436" t="s">
        <v>3490</v>
      </c>
      <c r="C440" s="437" t="s">
        <v>3491</v>
      </c>
      <c r="D440" s="436" t="s">
        <v>4673</v>
      </c>
      <c r="E440" s="437" t="s">
        <v>4674</v>
      </c>
      <c r="F440" s="436" t="s">
        <v>3494</v>
      </c>
      <c r="G440" s="436" t="s">
        <v>3495</v>
      </c>
      <c r="H440" s="437" t="s">
        <v>3496</v>
      </c>
      <c r="I440" s="436" t="s">
        <v>3497</v>
      </c>
      <c r="J440" s="437" t="s">
        <v>3498</v>
      </c>
      <c r="K440" s="437" t="s">
        <v>3499</v>
      </c>
      <c r="L440" s="436" t="s">
        <v>3500</v>
      </c>
      <c r="M440" s="436" t="s">
        <v>4671</v>
      </c>
      <c r="N440" s="436" t="s">
        <v>3502</v>
      </c>
      <c r="O440" s="438">
        <v>119000</v>
      </c>
      <c r="P440" s="438">
        <v>82110</v>
      </c>
      <c r="Q440" s="438">
        <v>1</v>
      </c>
      <c r="R440" s="438">
        <v>0</v>
      </c>
      <c r="S440" s="438">
        <v>0</v>
      </c>
      <c r="T440" s="438">
        <v>0</v>
      </c>
      <c r="U440" s="438">
        <v>0</v>
      </c>
      <c r="V440" s="438">
        <v>0</v>
      </c>
      <c r="W440" s="438">
        <v>31</v>
      </c>
      <c r="X440" s="438">
        <v>0</v>
      </c>
      <c r="Y440" s="438">
        <v>0</v>
      </c>
      <c r="Z440" s="438">
        <v>0</v>
      </c>
      <c r="AA440" s="438">
        <v>0</v>
      </c>
      <c r="AB440" s="438">
        <v>0</v>
      </c>
      <c r="AC440" s="438">
        <v>119000</v>
      </c>
      <c r="AD440" s="438">
        <v>82110</v>
      </c>
      <c r="AE440" s="438">
        <v>0</v>
      </c>
      <c r="AF440" s="438">
        <v>0</v>
      </c>
      <c r="AG440" s="438">
        <v>119000</v>
      </c>
      <c r="AH440" s="438">
        <v>82110</v>
      </c>
      <c r="AI440" s="438">
        <v>33536</v>
      </c>
      <c r="AJ440" s="438">
        <v>3354</v>
      </c>
      <c r="AK440" s="438">
        <v>36890</v>
      </c>
      <c r="AL440" s="414" t="str">
        <f t="shared" si="36"/>
        <v>워커힐 시그니처 양념 본갈비 300g, 8개</v>
      </c>
      <c r="AM440" s="395">
        <f t="shared" si="37"/>
        <v>46061</v>
      </c>
      <c r="AN440" s="396">
        <f t="shared" si="38"/>
        <v>1</v>
      </c>
      <c r="AO440" s="109">
        <f t="shared" si="39"/>
        <v>119000</v>
      </c>
      <c r="AP440" s="109">
        <f t="shared" si="40"/>
        <v>108181.81818181818</v>
      </c>
      <c r="AQ440" s="397">
        <f t="shared" si="41"/>
        <v>108181.81818181818</v>
      </c>
    </row>
    <row r="441" spans="1:43" ht="24">
      <c r="A441" s="436" t="s">
        <v>4675</v>
      </c>
      <c r="B441" s="436" t="s">
        <v>3490</v>
      </c>
      <c r="C441" s="437" t="s">
        <v>3491</v>
      </c>
      <c r="D441" s="436" t="s">
        <v>4725</v>
      </c>
      <c r="E441" s="437" t="s">
        <v>4726</v>
      </c>
      <c r="F441" s="436" t="s">
        <v>3494</v>
      </c>
      <c r="G441" s="436" t="s">
        <v>3495</v>
      </c>
      <c r="H441" s="437" t="s">
        <v>3496</v>
      </c>
      <c r="I441" s="436" t="s">
        <v>3497</v>
      </c>
      <c r="J441" s="437" t="s">
        <v>3498</v>
      </c>
      <c r="K441" s="437" t="s">
        <v>3548</v>
      </c>
      <c r="L441" s="436" t="s">
        <v>3500</v>
      </c>
      <c r="M441" s="436" t="s">
        <v>4677</v>
      </c>
      <c r="N441" s="436" t="s">
        <v>3502</v>
      </c>
      <c r="O441" s="438">
        <v>119000</v>
      </c>
      <c r="P441" s="438">
        <v>82110</v>
      </c>
      <c r="Q441" s="438">
        <v>1</v>
      </c>
      <c r="R441" s="438">
        <v>0</v>
      </c>
      <c r="S441" s="438">
        <v>0</v>
      </c>
      <c r="T441" s="438">
        <v>0</v>
      </c>
      <c r="U441" s="438">
        <v>0</v>
      </c>
      <c r="V441" s="438">
        <v>0</v>
      </c>
      <c r="W441" s="438">
        <v>31</v>
      </c>
      <c r="X441" s="438">
        <v>0</v>
      </c>
      <c r="Y441" s="438">
        <v>0</v>
      </c>
      <c r="Z441" s="438">
        <v>0</v>
      </c>
      <c r="AA441" s="438">
        <v>0</v>
      </c>
      <c r="AB441" s="438">
        <v>0</v>
      </c>
      <c r="AC441" s="438">
        <v>119000</v>
      </c>
      <c r="AD441" s="438">
        <v>82110</v>
      </c>
      <c r="AE441" s="438">
        <v>0</v>
      </c>
      <c r="AF441" s="438">
        <v>0</v>
      </c>
      <c r="AG441" s="438">
        <v>119000</v>
      </c>
      <c r="AH441" s="438">
        <v>82110</v>
      </c>
      <c r="AI441" s="438">
        <v>33536</v>
      </c>
      <c r="AJ441" s="438">
        <v>3354</v>
      </c>
      <c r="AK441" s="438">
        <v>36890</v>
      </c>
      <c r="AL441" s="414" t="str">
        <f t="shared" si="36"/>
        <v>워커힐 시그니처 양념 본갈비 300g, 8개</v>
      </c>
      <c r="AM441" s="395">
        <f t="shared" si="37"/>
        <v>46063</v>
      </c>
      <c r="AN441" s="396">
        <f t="shared" si="38"/>
        <v>1</v>
      </c>
      <c r="AO441" s="109">
        <f t="shared" si="39"/>
        <v>119000</v>
      </c>
      <c r="AP441" s="109">
        <f t="shared" si="40"/>
        <v>108181.81818181818</v>
      </c>
      <c r="AQ441" s="397">
        <f t="shared" si="41"/>
        <v>108181.81818181818</v>
      </c>
    </row>
    <row r="442" spans="1:43" ht="24">
      <c r="A442" s="436" t="s">
        <v>4678</v>
      </c>
      <c r="B442" s="436" t="s">
        <v>3490</v>
      </c>
      <c r="C442" s="437" t="s">
        <v>3491</v>
      </c>
      <c r="D442" s="436" t="s">
        <v>4719</v>
      </c>
      <c r="E442" s="437" t="s">
        <v>4720</v>
      </c>
      <c r="F442" s="436" t="s">
        <v>3494</v>
      </c>
      <c r="G442" s="436" t="s">
        <v>3495</v>
      </c>
      <c r="H442" s="437" t="s">
        <v>3496</v>
      </c>
      <c r="I442" s="436" t="s">
        <v>3497</v>
      </c>
      <c r="J442" s="437" t="s">
        <v>3498</v>
      </c>
      <c r="K442" s="437" t="s">
        <v>3499</v>
      </c>
      <c r="L442" s="436" t="s">
        <v>3500</v>
      </c>
      <c r="M442" s="436" t="s">
        <v>4677</v>
      </c>
      <c r="N442" s="436" t="s">
        <v>3502</v>
      </c>
      <c r="O442" s="438">
        <v>119000</v>
      </c>
      <c r="P442" s="438">
        <v>82110</v>
      </c>
      <c r="Q442" s="438">
        <v>1</v>
      </c>
      <c r="R442" s="438">
        <v>0</v>
      </c>
      <c r="S442" s="438">
        <v>0</v>
      </c>
      <c r="T442" s="438">
        <v>0</v>
      </c>
      <c r="U442" s="438">
        <v>0</v>
      </c>
      <c r="V442" s="438">
        <v>0</v>
      </c>
      <c r="W442" s="438">
        <v>31</v>
      </c>
      <c r="X442" s="438">
        <v>0</v>
      </c>
      <c r="Y442" s="438">
        <v>10000</v>
      </c>
      <c r="Z442" s="438">
        <v>0</v>
      </c>
      <c r="AA442" s="438">
        <v>0</v>
      </c>
      <c r="AB442" s="438">
        <v>0</v>
      </c>
      <c r="AC442" s="438">
        <v>119000</v>
      </c>
      <c r="AD442" s="438">
        <v>82110</v>
      </c>
      <c r="AE442" s="438">
        <v>0</v>
      </c>
      <c r="AF442" s="438">
        <v>10000</v>
      </c>
      <c r="AG442" s="438">
        <v>109000</v>
      </c>
      <c r="AH442" s="438">
        <v>82110</v>
      </c>
      <c r="AI442" s="438">
        <v>24445</v>
      </c>
      <c r="AJ442" s="438">
        <v>2445</v>
      </c>
      <c r="AK442" s="438">
        <v>26890</v>
      </c>
      <c r="AL442" s="414" t="str">
        <f t="shared" si="36"/>
        <v>워커힐 시그니처 양념 본갈비 300g, 8개</v>
      </c>
      <c r="AM442" s="395">
        <f t="shared" si="37"/>
        <v>46063</v>
      </c>
      <c r="AN442" s="396">
        <f t="shared" si="38"/>
        <v>1</v>
      </c>
      <c r="AO442" s="109">
        <f t="shared" si="39"/>
        <v>119000</v>
      </c>
      <c r="AP442" s="109">
        <f t="shared" si="40"/>
        <v>108181.81818181818</v>
      </c>
      <c r="AQ442" s="397">
        <f t="shared" si="41"/>
        <v>108181.81818181818</v>
      </c>
    </row>
    <row r="443" spans="1:43" ht="24">
      <c r="A443" s="436" t="s">
        <v>4680</v>
      </c>
      <c r="B443" s="436" t="s">
        <v>3490</v>
      </c>
      <c r="C443" s="437" t="s">
        <v>3491</v>
      </c>
      <c r="D443" s="436" t="s">
        <v>4722</v>
      </c>
      <c r="E443" s="437" t="s">
        <v>4723</v>
      </c>
      <c r="F443" s="436" t="s">
        <v>3494</v>
      </c>
      <c r="G443" s="436" t="s">
        <v>3495</v>
      </c>
      <c r="H443" s="437" t="s">
        <v>3496</v>
      </c>
      <c r="I443" s="436" t="s">
        <v>3497</v>
      </c>
      <c r="J443" s="437" t="s">
        <v>3498</v>
      </c>
      <c r="K443" s="437" t="s">
        <v>3499</v>
      </c>
      <c r="L443" s="436" t="s">
        <v>3500</v>
      </c>
      <c r="M443" s="436" t="s">
        <v>4677</v>
      </c>
      <c r="N443" s="436" t="s">
        <v>3502</v>
      </c>
      <c r="O443" s="438">
        <v>119000</v>
      </c>
      <c r="P443" s="438">
        <v>82110</v>
      </c>
      <c r="Q443" s="438">
        <v>1</v>
      </c>
      <c r="R443" s="438">
        <v>0</v>
      </c>
      <c r="S443" s="438">
        <v>0</v>
      </c>
      <c r="T443" s="438">
        <v>0</v>
      </c>
      <c r="U443" s="438">
        <v>0</v>
      </c>
      <c r="V443" s="438">
        <v>0</v>
      </c>
      <c r="W443" s="438">
        <v>31</v>
      </c>
      <c r="X443" s="438">
        <v>0</v>
      </c>
      <c r="Y443" s="438">
        <v>0</v>
      </c>
      <c r="Z443" s="438">
        <v>0</v>
      </c>
      <c r="AA443" s="438">
        <v>0</v>
      </c>
      <c r="AB443" s="438">
        <v>0</v>
      </c>
      <c r="AC443" s="438">
        <v>119000</v>
      </c>
      <c r="AD443" s="438">
        <v>82110</v>
      </c>
      <c r="AE443" s="438">
        <v>0</v>
      </c>
      <c r="AF443" s="438">
        <v>0</v>
      </c>
      <c r="AG443" s="438">
        <v>119000</v>
      </c>
      <c r="AH443" s="438">
        <v>82110</v>
      </c>
      <c r="AI443" s="438">
        <v>33536</v>
      </c>
      <c r="AJ443" s="438">
        <v>3354</v>
      </c>
      <c r="AK443" s="438">
        <v>36890</v>
      </c>
      <c r="AL443" s="414" t="str">
        <f t="shared" si="36"/>
        <v>워커힐 시그니처 양념 본갈비 300g, 8개</v>
      </c>
      <c r="AM443" s="395">
        <f t="shared" si="37"/>
        <v>46063</v>
      </c>
      <c r="AN443" s="396">
        <f t="shared" si="38"/>
        <v>1</v>
      </c>
      <c r="AO443" s="109">
        <f t="shared" si="39"/>
        <v>119000</v>
      </c>
      <c r="AP443" s="109">
        <f t="shared" si="40"/>
        <v>108181.81818181818</v>
      </c>
      <c r="AQ443" s="397">
        <f t="shared" si="41"/>
        <v>108181.81818181818</v>
      </c>
    </row>
    <row r="444" spans="1:43" ht="24">
      <c r="A444" s="436" t="s">
        <v>4682</v>
      </c>
      <c r="B444" s="436" t="s">
        <v>3490</v>
      </c>
      <c r="C444" s="437" t="s">
        <v>3491</v>
      </c>
      <c r="D444" s="436" t="s">
        <v>4679</v>
      </c>
      <c r="E444" s="437" t="s">
        <v>3848</v>
      </c>
      <c r="F444" s="436" t="s">
        <v>3494</v>
      </c>
      <c r="G444" s="436" t="s">
        <v>3495</v>
      </c>
      <c r="H444" s="437" t="s">
        <v>3496</v>
      </c>
      <c r="I444" s="436" t="s">
        <v>3497</v>
      </c>
      <c r="J444" s="437" t="s">
        <v>3498</v>
      </c>
      <c r="K444" s="437" t="s">
        <v>3499</v>
      </c>
      <c r="L444" s="436" t="s">
        <v>3500</v>
      </c>
      <c r="M444" s="436" t="s">
        <v>4677</v>
      </c>
      <c r="N444" s="436" t="s">
        <v>3510</v>
      </c>
      <c r="O444" s="438">
        <v>119000</v>
      </c>
      <c r="P444" s="438">
        <v>80920</v>
      </c>
      <c r="Q444" s="438">
        <v>-1</v>
      </c>
      <c r="R444" s="438">
        <v>0</v>
      </c>
      <c r="S444" s="438">
        <v>0</v>
      </c>
      <c r="T444" s="438">
        <v>0</v>
      </c>
      <c r="U444" s="438">
        <v>0</v>
      </c>
      <c r="V444" s="438">
        <v>0</v>
      </c>
      <c r="W444" s="438">
        <v>32</v>
      </c>
      <c r="X444" s="438">
        <v>0</v>
      </c>
      <c r="Y444" s="438">
        <v>0</v>
      </c>
      <c r="Z444" s="438">
        <v>0</v>
      </c>
      <c r="AA444" s="438">
        <v>0</v>
      </c>
      <c r="AB444" s="438">
        <v>0</v>
      </c>
      <c r="AC444" s="438">
        <v>-119000</v>
      </c>
      <c r="AD444" s="438">
        <v>-80920</v>
      </c>
      <c r="AE444" s="438">
        <v>0</v>
      </c>
      <c r="AF444" s="438">
        <v>0</v>
      </c>
      <c r="AG444" s="438">
        <v>-119000</v>
      </c>
      <c r="AH444" s="438">
        <v>-80920</v>
      </c>
      <c r="AI444" s="438">
        <v>-34618</v>
      </c>
      <c r="AJ444" s="438">
        <v>-3462</v>
      </c>
      <c r="AK444" s="438">
        <v>-38080</v>
      </c>
      <c r="AL444" s="414" t="str">
        <f t="shared" si="36"/>
        <v>워커힐 시그니처 양념 본갈비 300g, 8개</v>
      </c>
      <c r="AM444" s="395" t="str">
        <f t="shared" si="37"/>
        <v/>
      </c>
      <c r="AN444" s="396">
        <f t="shared" si="38"/>
        <v>-1</v>
      </c>
      <c r="AO444" s="109">
        <f t="shared" si="39"/>
        <v>119000</v>
      </c>
      <c r="AP444" s="109">
        <f t="shared" si="40"/>
        <v>108181.81818181818</v>
      </c>
      <c r="AQ444" s="397">
        <f t="shared" si="41"/>
        <v>-108181.81818181818</v>
      </c>
    </row>
    <row r="445" spans="1:43" ht="24">
      <c r="A445" s="436" t="s">
        <v>4684</v>
      </c>
      <c r="B445" s="436" t="s">
        <v>3490</v>
      </c>
      <c r="C445" s="437" t="s">
        <v>3491</v>
      </c>
      <c r="D445" s="436" t="s">
        <v>4683</v>
      </c>
      <c r="E445" s="437" t="s">
        <v>3517</v>
      </c>
      <c r="F445" s="436" t="s">
        <v>3494</v>
      </c>
      <c r="G445" s="436" t="s">
        <v>3495</v>
      </c>
      <c r="H445" s="437" t="s">
        <v>3496</v>
      </c>
      <c r="I445" s="436" t="s">
        <v>3497</v>
      </c>
      <c r="J445" s="437" t="s">
        <v>3498</v>
      </c>
      <c r="K445" s="437" t="s">
        <v>163</v>
      </c>
      <c r="L445" s="436" t="s">
        <v>3500</v>
      </c>
      <c r="M445" s="436" t="s">
        <v>4677</v>
      </c>
      <c r="N445" s="436" t="s">
        <v>3502</v>
      </c>
      <c r="O445" s="438">
        <v>119000</v>
      </c>
      <c r="P445" s="438">
        <v>82110</v>
      </c>
      <c r="Q445" s="438">
        <v>1</v>
      </c>
      <c r="R445" s="438">
        <v>0</v>
      </c>
      <c r="S445" s="438">
        <v>0</v>
      </c>
      <c r="T445" s="438">
        <v>0</v>
      </c>
      <c r="U445" s="438">
        <v>0</v>
      </c>
      <c r="V445" s="438">
        <v>0</v>
      </c>
      <c r="W445" s="438">
        <v>31</v>
      </c>
      <c r="X445" s="438">
        <v>0</v>
      </c>
      <c r="Y445" s="438">
        <v>5950</v>
      </c>
      <c r="Z445" s="438">
        <v>0</v>
      </c>
      <c r="AA445" s="438">
        <v>0</v>
      </c>
      <c r="AB445" s="438">
        <v>0</v>
      </c>
      <c r="AC445" s="438">
        <v>119000</v>
      </c>
      <c r="AD445" s="438">
        <v>82110</v>
      </c>
      <c r="AE445" s="438">
        <v>0</v>
      </c>
      <c r="AF445" s="438">
        <v>5950</v>
      </c>
      <c r="AG445" s="438">
        <v>113050</v>
      </c>
      <c r="AH445" s="438">
        <v>82110</v>
      </c>
      <c r="AI445" s="438">
        <v>28127</v>
      </c>
      <c r="AJ445" s="438">
        <v>2813</v>
      </c>
      <c r="AK445" s="438">
        <v>30940</v>
      </c>
      <c r="AL445" s="414" t="str">
        <f t="shared" si="36"/>
        <v>워커힐 시그니처 양념 본갈비 300g, 8개</v>
      </c>
      <c r="AM445" s="395">
        <f t="shared" si="37"/>
        <v>46063</v>
      </c>
      <c r="AN445" s="396">
        <f t="shared" si="38"/>
        <v>1</v>
      </c>
      <c r="AO445" s="109">
        <f t="shared" si="39"/>
        <v>119000</v>
      </c>
      <c r="AP445" s="109">
        <f t="shared" si="40"/>
        <v>108181.81818181818</v>
      </c>
      <c r="AQ445" s="397">
        <f t="shared" si="41"/>
        <v>108181.81818181818</v>
      </c>
    </row>
    <row r="446" spans="1:43" ht="24">
      <c r="A446" s="436" t="s">
        <v>4687</v>
      </c>
      <c r="B446" s="436" t="s">
        <v>3490</v>
      </c>
      <c r="C446" s="437" t="s">
        <v>3491</v>
      </c>
      <c r="D446" s="436" t="s">
        <v>4685</v>
      </c>
      <c r="E446" s="437" t="s">
        <v>4686</v>
      </c>
      <c r="F446" s="436" t="s">
        <v>3494</v>
      </c>
      <c r="G446" s="436" t="s">
        <v>3495</v>
      </c>
      <c r="H446" s="437" t="s">
        <v>3496</v>
      </c>
      <c r="I446" s="436" t="s">
        <v>3497</v>
      </c>
      <c r="J446" s="437" t="s">
        <v>3498</v>
      </c>
      <c r="K446" s="437" t="s">
        <v>163</v>
      </c>
      <c r="L446" s="436" t="s">
        <v>3500</v>
      </c>
      <c r="M446" s="436" t="s">
        <v>4677</v>
      </c>
      <c r="N446" s="436" t="s">
        <v>3502</v>
      </c>
      <c r="O446" s="438">
        <v>119000</v>
      </c>
      <c r="P446" s="438">
        <v>82110</v>
      </c>
      <c r="Q446" s="438">
        <v>1</v>
      </c>
      <c r="R446" s="438">
        <v>0</v>
      </c>
      <c r="S446" s="438">
        <v>0</v>
      </c>
      <c r="T446" s="438">
        <v>0</v>
      </c>
      <c r="U446" s="438">
        <v>0</v>
      </c>
      <c r="V446" s="438">
        <v>0</v>
      </c>
      <c r="W446" s="438">
        <v>31</v>
      </c>
      <c r="X446" s="438">
        <v>0</v>
      </c>
      <c r="Y446" s="438">
        <v>5950</v>
      </c>
      <c r="Z446" s="438">
        <v>0</v>
      </c>
      <c r="AA446" s="438">
        <v>0</v>
      </c>
      <c r="AB446" s="438">
        <v>0</v>
      </c>
      <c r="AC446" s="438">
        <v>119000</v>
      </c>
      <c r="AD446" s="438">
        <v>82110</v>
      </c>
      <c r="AE446" s="438">
        <v>0</v>
      </c>
      <c r="AF446" s="438">
        <v>5950</v>
      </c>
      <c r="AG446" s="438">
        <v>113050</v>
      </c>
      <c r="AH446" s="438">
        <v>82110</v>
      </c>
      <c r="AI446" s="438">
        <v>28127</v>
      </c>
      <c r="AJ446" s="438">
        <v>2813</v>
      </c>
      <c r="AK446" s="438">
        <v>30940</v>
      </c>
      <c r="AL446" s="414" t="str">
        <f t="shared" si="36"/>
        <v>워커힐 시그니처 양념 본갈비 300g, 8개</v>
      </c>
      <c r="AM446" s="395">
        <f t="shared" si="37"/>
        <v>46063</v>
      </c>
      <c r="AN446" s="396">
        <f t="shared" si="38"/>
        <v>1</v>
      </c>
      <c r="AO446" s="109">
        <f t="shared" si="39"/>
        <v>119000</v>
      </c>
      <c r="AP446" s="109">
        <f t="shared" si="40"/>
        <v>108181.81818181818</v>
      </c>
      <c r="AQ446" s="397">
        <f t="shared" si="41"/>
        <v>108181.81818181818</v>
      </c>
    </row>
    <row r="447" spans="1:43" ht="24">
      <c r="A447" s="436" t="s">
        <v>4690</v>
      </c>
      <c r="B447" s="436" t="s">
        <v>3490</v>
      </c>
      <c r="C447" s="437" t="s">
        <v>3491</v>
      </c>
      <c r="D447" s="436" t="s">
        <v>4679</v>
      </c>
      <c r="E447" s="437" t="s">
        <v>3848</v>
      </c>
      <c r="F447" s="436" t="s">
        <v>3494</v>
      </c>
      <c r="G447" s="436" t="s">
        <v>3495</v>
      </c>
      <c r="H447" s="437" t="s">
        <v>3496</v>
      </c>
      <c r="I447" s="436" t="s">
        <v>3497</v>
      </c>
      <c r="J447" s="437" t="s">
        <v>3498</v>
      </c>
      <c r="K447" s="437" t="s">
        <v>3499</v>
      </c>
      <c r="L447" s="436" t="s">
        <v>3500</v>
      </c>
      <c r="M447" s="436" t="s">
        <v>4677</v>
      </c>
      <c r="N447" s="436" t="s">
        <v>3502</v>
      </c>
      <c r="O447" s="438">
        <v>119000</v>
      </c>
      <c r="P447" s="438">
        <v>80920</v>
      </c>
      <c r="Q447" s="438">
        <v>1</v>
      </c>
      <c r="R447" s="438">
        <v>0</v>
      </c>
      <c r="S447" s="438">
        <v>0</v>
      </c>
      <c r="T447" s="438">
        <v>0</v>
      </c>
      <c r="U447" s="438">
        <v>0</v>
      </c>
      <c r="V447" s="438">
        <v>0</v>
      </c>
      <c r="W447" s="438">
        <v>32</v>
      </c>
      <c r="X447" s="438">
        <v>0</v>
      </c>
      <c r="Y447" s="438">
        <v>0</v>
      </c>
      <c r="Z447" s="438">
        <v>0</v>
      </c>
      <c r="AA447" s="438">
        <v>0</v>
      </c>
      <c r="AB447" s="438">
        <v>0</v>
      </c>
      <c r="AC447" s="438">
        <v>119000</v>
      </c>
      <c r="AD447" s="438">
        <v>80920</v>
      </c>
      <c r="AE447" s="438">
        <v>0</v>
      </c>
      <c r="AF447" s="438">
        <v>0</v>
      </c>
      <c r="AG447" s="438">
        <v>119000</v>
      </c>
      <c r="AH447" s="438">
        <v>80920</v>
      </c>
      <c r="AI447" s="438">
        <v>34618</v>
      </c>
      <c r="AJ447" s="438">
        <v>3462</v>
      </c>
      <c r="AK447" s="438">
        <v>38080</v>
      </c>
      <c r="AL447" s="414" t="str">
        <f t="shared" si="36"/>
        <v>워커힐 시그니처 양념 본갈비 300g, 8개</v>
      </c>
      <c r="AM447" s="395">
        <f t="shared" si="37"/>
        <v>46063</v>
      </c>
      <c r="AN447" s="396">
        <f t="shared" si="38"/>
        <v>1</v>
      </c>
      <c r="AO447" s="109">
        <f t="shared" si="39"/>
        <v>119000</v>
      </c>
      <c r="AP447" s="109">
        <f t="shared" si="40"/>
        <v>108181.81818181818</v>
      </c>
      <c r="AQ447" s="397">
        <f t="shared" si="41"/>
        <v>108181.81818181818</v>
      </c>
    </row>
    <row r="448" spans="1:43" ht="24">
      <c r="A448" s="436" t="s">
        <v>4692</v>
      </c>
      <c r="B448" s="436" t="s">
        <v>3490</v>
      </c>
      <c r="C448" s="437" t="s">
        <v>3491</v>
      </c>
      <c r="D448" s="436" t="s">
        <v>4733</v>
      </c>
      <c r="E448" s="437" t="s">
        <v>4709</v>
      </c>
      <c r="F448" s="436" t="s">
        <v>3494</v>
      </c>
      <c r="G448" s="436" t="s">
        <v>3495</v>
      </c>
      <c r="H448" s="437" t="s">
        <v>3496</v>
      </c>
      <c r="I448" s="436" t="s">
        <v>3497</v>
      </c>
      <c r="J448" s="437" t="s">
        <v>3498</v>
      </c>
      <c r="K448" s="437" t="s">
        <v>163</v>
      </c>
      <c r="L448" s="436" t="s">
        <v>3500</v>
      </c>
      <c r="M448" s="436" t="s">
        <v>4677</v>
      </c>
      <c r="N448" s="436" t="s">
        <v>3502</v>
      </c>
      <c r="O448" s="438">
        <v>119000</v>
      </c>
      <c r="P448" s="438">
        <v>82110</v>
      </c>
      <c r="Q448" s="438">
        <v>1</v>
      </c>
      <c r="R448" s="438">
        <v>0</v>
      </c>
      <c r="S448" s="438">
        <v>0</v>
      </c>
      <c r="T448" s="438">
        <v>0</v>
      </c>
      <c r="U448" s="438">
        <v>0</v>
      </c>
      <c r="V448" s="438">
        <v>0</v>
      </c>
      <c r="W448" s="438">
        <v>31</v>
      </c>
      <c r="X448" s="438">
        <v>0</v>
      </c>
      <c r="Y448" s="438">
        <v>5950</v>
      </c>
      <c r="Z448" s="438">
        <v>0</v>
      </c>
      <c r="AA448" s="438">
        <v>0</v>
      </c>
      <c r="AB448" s="438">
        <v>0</v>
      </c>
      <c r="AC448" s="438">
        <v>119000</v>
      </c>
      <c r="AD448" s="438">
        <v>82110</v>
      </c>
      <c r="AE448" s="438">
        <v>0</v>
      </c>
      <c r="AF448" s="438">
        <v>5950</v>
      </c>
      <c r="AG448" s="438">
        <v>113050</v>
      </c>
      <c r="AH448" s="438">
        <v>82110</v>
      </c>
      <c r="AI448" s="438">
        <v>28127</v>
      </c>
      <c r="AJ448" s="438">
        <v>2813</v>
      </c>
      <c r="AK448" s="438">
        <v>30940</v>
      </c>
      <c r="AL448" s="414" t="str">
        <f t="shared" si="36"/>
        <v>워커힐 시그니처 양념 본갈비 300g, 8개</v>
      </c>
      <c r="AM448" s="395">
        <f t="shared" si="37"/>
        <v>46063</v>
      </c>
      <c r="AN448" s="396">
        <f t="shared" si="38"/>
        <v>1</v>
      </c>
      <c r="AO448" s="109">
        <f t="shared" si="39"/>
        <v>119000</v>
      </c>
      <c r="AP448" s="109">
        <f t="shared" si="40"/>
        <v>108181.81818181818</v>
      </c>
      <c r="AQ448" s="397">
        <f t="shared" si="41"/>
        <v>108181.81818181818</v>
      </c>
    </row>
    <row r="449" spans="1:43" ht="24">
      <c r="A449" s="436" t="s">
        <v>4693</v>
      </c>
      <c r="B449" s="436" t="s">
        <v>3490</v>
      </c>
      <c r="C449" s="437" t="s">
        <v>3491</v>
      </c>
      <c r="D449" s="436" t="s">
        <v>4757</v>
      </c>
      <c r="E449" s="437" t="s">
        <v>4056</v>
      </c>
      <c r="F449" s="436" t="s">
        <v>3494</v>
      </c>
      <c r="G449" s="436" t="s">
        <v>3495</v>
      </c>
      <c r="H449" s="437" t="s">
        <v>3496</v>
      </c>
      <c r="I449" s="436" t="s">
        <v>3497</v>
      </c>
      <c r="J449" s="437" t="s">
        <v>3498</v>
      </c>
      <c r="K449" s="437" t="s">
        <v>3548</v>
      </c>
      <c r="L449" s="436" t="s">
        <v>3500</v>
      </c>
      <c r="M449" s="436" t="s">
        <v>4677</v>
      </c>
      <c r="N449" s="436" t="s">
        <v>3502</v>
      </c>
      <c r="O449" s="438">
        <v>119000</v>
      </c>
      <c r="P449" s="438">
        <v>82110</v>
      </c>
      <c r="Q449" s="438">
        <v>1</v>
      </c>
      <c r="R449" s="438">
        <v>0</v>
      </c>
      <c r="S449" s="438">
        <v>0</v>
      </c>
      <c r="T449" s="438">
        <v>0</v>
      </c>
      <c r="U449" s="438">
        <v>0</v>
      </c>
      <c r="V449" s="438">
        <v>0</v>
      </c>
      <c r="W449" s="438">
        <v>31</v>
      </c>
      <c r="X449" s="438">
        <v>0</v>
      </c>
      <c r="Y449" s="438">
        <v>0</v>
      </c>
      <c r="Z449" s="438">
        <v>0</v>
      </c>
      <c r="AA449" s="438">
        <v>0</v>
      </c>
      <c r="AB449" s="438">
        <v>0</v>
      </c>
      <c r="AC449" s="438">
        <v>119000</v>
      </c>
      <c r="AD449" s="438">
        <v>82110</v>
      </c>
      <c r="AE449" s="438">
        <v>0</v>
      </c>
      <c r="AF449" s="438">
        <v>0</v>
      </c>
      <c r="AG449" s="438">
        <v>119000</v>
      </c>
      <c r="AH449" s="438">
        <v>82110</v>
      </c>
      <c r="AI449" s="438">
        <v>33536</v>
      </c>
      <c r="AJ449" s="438">
        <v>3354</v>
      </c>
      <c r="AK449" s="438">
        <v>36890</v>
      </c>
      <c r="AL449" s="414" t="str">
        <f t="shared" si="36"/>
        <v>워커힐 시그니처 양념 본갈비 300g, 8개</v>
      </c>
      <c r="AM449" s="395">
        <f t="shared" si="37"/>
        <v>46063</v>
      </c>
      <c r="AN449" s="396">
        <f t="shared" si="38"/>
        <v>1</v>
      </c>
      <c r="AO449" s="109">
        <f t="shared" si="39"/>
        <v>119000</v>
      </c>
      <c r="AP449" s="109">
        <f t="shared" si="40"/>
        <v>108181.81818181818</v>
      </c>
      <c r="AQ449" s="397">
        <f t="shared" si="41"/>
        <v>108181.81818181818</v>
      </c>
    </row>
    <row r="450" spans="1:43" ht="24">
      <c r="A450" s="436" t="s">
        <v>4695</v>
      </c>
      <c r="B450" s="436" t="s">
        <v>3490</v>
      </c>
      <c r="C450" s="437" t="s">
        <v>3491</v>
      </c>
      <c r="D450" s="436" t="s">
        <v>4694</v>
      </c>
      <c r="E450" s="437" t="s">
        <v>4494</v>
      </c>
      <c r="F450" s="436" t="s">
        <v>3494</v>
      </c>
      <c r="G450" s="436" t="s">
        <v>3495</v>
      </c>
      <c r="H450" s="437" t="s">
        <v>3496</v>
      </c>
      <c r="I450" s="436" t="s">
        <v>3497</v>
      </c>
      <c r="J450" s="437" t="s">
        <v>3498</v>
      </c>
      <c r="K450" s="437" t="s">
        <v>3499</v>
      </c>
      <c r="L450" s="436" t="s">
        <v>3500</v>
      </c>
      <c r="M450" s="436" t="s">
        <v>4677</v>
      </c>
      <c r="N450" s="436" t="s">
        <v>3502</v>
      </c>
      <c r="O450" s="438">
        <v>119000</v>
      </c>
      <c r="P450" s="438">
        <v>82110</v>
      </c>
      <c r="Q450" s="438">
        <v>1</v>
      </c>
      <c r="R450" s="438">
        <v>0</v>
      </c>
      <c r="S450" s="438">
        <v>0</v>
      </c>
      <c r="T450" s="438">
        <v>0</v>
      </c>
      <c r="U450" s="438">
        <v>0</v>
      </c>
      <c r="V450" s="438">
        <v>0</v>
      </c>
      <c r="W450" s="438">
        <v>31</v>
      </c>
      <c r="X450" s="438">
        <v>13090</v>
      </c>
      <c r="Y450" s="438">
        <v>0</v>
      </c>
      <c r="Z450" s="438">
        <v>0</v>
      </c>
      <c r="AA450" s="438">
        <v>0</v>
      </c>
      <c r="AB450" s="438">
        <v>0</v>
      </c>
      <c r="AC450" s="438">
        <v>119000</v>
      </c>
      <c r="AD450" s="438">
        <v>82110</v>
      </c>
      <c r="AE450" s="438">
        <v>0</v>
      </c>
      <c r="AF450" s="438">
        <v>13090</v>
      </c>
      <c r="AG450" s="438">
        <v>105910</v>
      </c>
      <c r="AH450" s="438">
        <v>82110</v>
      </c>
      <c r="AI450" s="438">
        <v>21636</v>
      </c>
      <c r="AJ450" s="438">
        <v>2164</v>
      </c>
      <c r="AK450" s="438">
        <v>23800</v>
      </c>
      <c r="AL450" s="414" t="str">
        <f t="shared" si="36"/>
        <v>워커힐 시그니처 양념 본갈비 300g, 8개</v>
      </c>
      <c r="AM450" s="395">
        <f t="shared" si="37"/>
        <v>46063</v>
      </c>
      <c r="AN450" s="396">
        <f t="shared" si="38"/>
        <v>1</v>
      </c>
      <c r="AO450" s="109">
        <f t="shared" si="39"/>
        <v>119000</v>
      </c>
      <c r="AP450" s="109">
        <f t="shared" si="40"/>
        <v>108181.81818181818</v>
      </c>
      <c r="AQ450" s="397">
        <f t="shared" si="41"/>
        <v>108181.81818181818</v>
      </c>
    </row>
    <row r="451" spans="1:43" ht="24">
      <c r="A451" s="436" t="s">
        <v>4697</v>
      </c>
      <c r="B451" s="436" t="s">
        <v>3490</v>
      </c>
      <c r="C451" s="437" t="s">
        <v>3491</v>
      </c>
      <c r="D451" s="436" t="s">
        <v>4698</v>
      </c>
      <c r="E451" s="437" t="s">
        <v>4699</v>
      </c>
      <c r="F451" s="436" t="s">
        <v>3494</v>
      </c>
      <c r="G451" s="436" t="s">
        <v>3495</v>
      </c>
      <c r="H451" s="437" t="s">
        <v>3496</v>
      </c>
      <c r="I451" s="436" t="s">
        <v>3497</v>
      </c>
      <c r="J451" s="437" t="s">
        <v>3498</v>
      </c>
      <c r="K451" s="437" t="s">
        <v>3548</v>
      </c>
      <c r="L451" s="436" t="s">
        <v>3500</v>
      </c>
      <c r="M451" s="436" t="s">
        <v>4677</v>
      </c>
      <c r="N451" s="436" t="s">
        <v>3502</v>
      </c>
      <c r="O451" s="438">
        <v>119000</v>
      </c>
      <c r="P451" s="438">
        <v>82110</v>
      </c>
      <c r="Q451" s="438">
        <v>1</v>
      </c>
      <c r="R451" s="438">
        <v>0</v>
      </c>
      <c r="S451" s="438">
        <v>0</v>
      </c>
      <c r="T451" s="438">
        <v>0</v>
      </c>
      <c r="U451" s="438">
        <v>0</v>
      </c>
      <c r="V451" s="438">
        <v>0</v>
      </c>
      <c r="W451" s="438">
        <v>31</v>
      </c>
      <c r="X451" s="438">
        <v>0</v>
      </c>
      <c r="Y451" s="438">
        <v>10000</v>
      </c>
      <c r="Z451" s="438">
        <v>0</v>
      </c>
      <c r="AA451" s="438">
        <v>0</v>
      </c>
      <c r="AB451" s="438">
        <v>0</v>
      </c>
      <c r="AC451" s="438">
        <v>119000</v>
      </c>
      <c r="AD451" s="438">
        <v>82110</v>
      </c>
      <c r="AE451" s="438">
        <v>0</v>
      </c>
      <c r="AF451" s="438">
        <v>10000</v>
      </c>
      <c r="AG451" s="438">
        <v>109000</v>
      </c>
      <c r="AH451" s="438">
        <v>82110</v>
      </c>
      <c r="AI451" s="438">
        <v>24445</v>
      </c>
      <c r="AJ451" s="438">
        <v>2445</v>
      </c>
      <c r="AK451" s="438">
        <v>26890</v>
      </c>
      <c r="AL451" s="414" t="str">
        <f t="shared" ref="AL451:AL514" si="42">SUBSTITUTE(SUBSTITUTE(H451,"[워커힐]워커힐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451" s="395">
        <f t="shared" ref="AM451:AM514" si="43">IF(N451="배송완료", DATE(LEFT(M451,4), MID(M451,6,2), MID(M451,9,2)), "")</f>
        <v>46063</v>
      </c>
      <c r="AN451" s="396">
        <f t="shared" ref="AN451:AN514" si="44">IF(OR(N451="배송완료", Q451&lt;0), Q451, 0)</f>
        <v>1</v>
      </c>
      <c r="AO451" s="109">
        <f t="shared" ref="AO451:AO514" si="45">IF(AL451="워커힐 시그니처 양념 본갈비 300g, 8개",119000,IF(AL451="워커힐 시그니처 양념 본갈비 300g, 4개",78000,""))</f>
        <v>119000</v>
      </c>
      <c r="AP451" s="109">
        <f t="shared" ref="AP451:AP514" si="46">AO451/1.1</f>
        <v>108181.81818181818</v>
      </c>
      <c r="AQ451" s="397">
        <f t="shared" ref="AQ451:AQ475" si="47">AN451*AP451</f>
        <v>108181.81818181818</v>
      </c>
    </row>
    <row r="452" spans="1:43" ht="24">
      <c r="A452" s="436" t="s">
        <v>4700</v>
      </c>
      <c r="B452" s="436" t="s">
        <v>3490</v>
      </c>
      <c r="C452" s="437" t="s">
        <v>3491</v>
      </c>
      <c r="D452" s="436" t="s">
        <v>4701</v>
      </c>
      <c r="E452" s="437" t="s">
        <v>4702</v>
      </c>
      <c r="F452" s="436" t="s">
        <v>3494</v>
      </c>
      <c r="G452" s="436" t="s">
        <v>3495</v>
      </c>
      <c r="H452" s="437" t="s">
        <v>3496</v>
      </c>
      <c r="I452" s="436" t="s">
        <v>3497</v>
      </c>
      <c r="J452" s="437" t="s">
        <v>3498</v>
      </c>
      <c r="K452" s="437" t="s">
        <v>163</v>
      </c>
      <c r="L452" s="436" t="s">
        <v>3500</v>
      </c>
      <c r="M452" s="436" t="s">
        <v>4677</v>
      </c>
      <c r="N452" s="436" t="s">
        <v>3502</v>
      </c>
      <c r="O452" s="438">
        <v>119000</v>
      </c>
      <c r="P452" s="438">
        <v>82110</v>
      </c>
      <c r="Q452" s="438">
        <v>1</v>
      </c>
      <c r="R452" s="438">
        <v>0</v>
      </c>
      <c r="S452" s="438">
        <v>0</v>
      </c>
      <c r="T452" s="438">
        <v>0</v>
      </c>
      <c r="U452" s="438">
        <v>0</v>
      </c>
      <c r="V452" s="438">
        <v>0</v>
      </c>
      <c r="W452" s="438">
        <v>31</v>
      </c>
      <c r="X452" s="438">
        <v>0</v>
      </c>
      <c r="Y452" s="438">
        <v>5950</v>
      </c>
      <c r="Z452" s="438">
        <v>0</v>
      </c>
      <c r="AA452" s="438">
        <v>0</v>
      </c>
      <c r="AB452" s="438">
        <v>0</v>
      </c>
      <c r="AC452" s="438">
        <v>119000</v>
      </c>
      <c r="AD452" s="438">
        <v>82110</v>
      </c>
      <c r="AE452" s="438">
        <v>0</v>
      </c>
      <c r="AF452" s="438">
        <v>5950</v>
      </c>
      <c r="AG452" s="438">
        <v>113050</v>
      </c>
      <c r="AH452" s="438">
        <v>82110</v>
      </c>
      <c r="AI452" s="438">
        <v>28127</v>
      </c>
      <c r="AJ452" s="438">
        <v>2813</v>
      </c>
      <c r="AK452" s="438">
        <v>30940</v>
      </c>
      <c r="AL452" s="414" t="str">
        <f t="shared" si="42"/>
        <v>워커힐 시그니처 양념 본갈비 300g, 8개</v>
      </c>
      <c r="AM452" s="395">
        <f t="shared" si="43"/>
        <v>46063</v>
      </c>
      <c r="AN452" s="396">
        <f t="shared" si="44"/>
        <v>1</v>
      </c>
      <c r="AO452" s="109">
        <f t="shared" si="45"/>
        <v>119000</v>
      </c>
      <c r="AP452" s="109">
        <f t="shared" si="46"/>
        <v>108181.81818181818</v>
      </c>
      <c r="AQ452" s="397">
        <f t="shared" si="47"/>
        <v>108181.81818181818</v>
      </c>
    </row>
    <row r="453" spans="1:43" ht="24">
      <c r="A453" s="436" t="s">
        <v>4703</v>
      </c>
      <c r="B453" s="436" t="s">
        <v>3490</v>
      </c>
      <c r="C453" s="437" t="s">
        <v>3491</v>
      </c>
      <c r="D453" s="436" t="s">
        <v>4759</v>
      </c>
      <c r="E453" s="437" t="s">
        <v>4339</v>
      </c>
      <c r="F453" s="436" t="s">
        <v>3494</v>
      </c>
      <c r="G453" s="436" t="s">
        <v>3495</v>
      </c>
      <c r="H453" s="437" t="s">
        <v>3496</v>
      </c>
      <c r="I453" s="436" t="s">
        <v>3497</v>
      </c>
      <c r="J453" s="437" t="s">
        <v>3498</v>
      </c>
      <c r="K453" s="437" t="s">
        <v>3548</v>
      </c>
      <c r="L453" s="436" t="s">
        <v>3500</v>
      </c>
      <c r="M453" s="436" t="s">
        <v>4677</v>
      </c>
      <c r="N453" s="436" t="s">
        <v>3502</v>
      </c>
      <c r="O453" s="438">
        <v>119000</v>
      </c>
      <c r="P453" s="438">
        <v>82110</v>
      </c>
      <c r="Q453" s="438">
        <v>1</v>
      </c>
      <c r="R453" s="438">
        <v>0</v>
      </c>
      <c r="S453" s="438">
        <v>0</v>
      </c>
      <c r="T453" s="438">
        <v>0</v>
      </c>
      <c r="U453" s="438">
        <v>0</v>
      </c>
      <c r="V453" s="438">
        <v>0</v>
      </c>
      <c r="W453" s="438">
        <v>31</v>
      </c>
      <c r="X453" s="438">
        <v>0</v>
      </c>
      <c r="Y453" s="438">
        <v>0</v>
      </c>
      <c r="Z453" s="438">
        <v>0</v>
      </c>
      <c r="AA453" s="438">
        <v>0</v>
      </c>
      <c r="AB453" s="438">
        <v>0</v>
      </c>
      <c r="AC453" s="438">
        <v>119000</v>
      </c>
      <c r="AD453" s="438">
        <v>82110</v>
      </c>
      <c r="AE453" s="438">
        <v>0</v>
      </c>
      <c r="AF453" s="438">
        <v>0</v>
      </c>
      <c r="AG453" s="438">
        <v>119000</v>
      </c>
      <c r="AH453" s="438">
        <v>82110</v>
      </c>
      <c r="AI453" s="438">
        <v>33536</v>
      </c>
      <c r="AJ453" s="438">
        <v>3354</v>
      </c>
      <c r="AK453" s="438">
        <v>36890</v>
      </c>
      <c r="AL453" s="414" t="str">
        <f t="shared" si="42"/>
        <v>워커힐 시그니처 양념 본갈비 300g, 8개</v>
      </c>
      <c r="AM453" s="395">
        <f t="shared" si="43"/>
        <v>46063</v>
      </c>
      <c r="AN453" s="396">
        <f t="shared" si="44"/>
        <v>1</v>
      </c>
      <c r="AO453" s="109">
        <f t="shared" si="45"/>
        <v>119000</v>
      </c>
      <c r="AP453" s="109">
        <f t="shared" si="46"/>
        <v>108181.81818181818</v>
      </c>
      <c r="AQ453" s="397">
        <f t="shared" si="47"/>
        <v>108181.81818181818</v>
      </c>
    </row>
    <row r="454" spans="1:43" ht="24">
      <c r="A454" s="436" t="s">
        <v>4705</v>
      </c>
      <c r="B454" s="436" t="s">
        <v>3490</v>
      </c>
      <c r="C454" s="437" t="s">
        <v>3491</v>
      </c>
      <c r="D454" s="436" t="s">
        <v>4737</v>
      </c>
      <c r="E454" s="437" t="s">
        <v>4738</v>
      </c>
      <c r="F454" s="436" t="s">
        <v>3494</v>
      </c>
      <c r="G454" s="436" t="s">
        <v>3495</v>
      </c>
      <c r="H454" s="437" t="s">
        <v>3496</v>
      </c>
      <c r="I454" s="436" t="s">
        <v>3497</v>
      </c>
      <c r="J454" s="437" t="s">
        <v>3498</v>
      </c>
      <c r="K454" s="437" t="s">
        <v>163</v>
      </c>
      <c r="L454" s="436" t="s">
        <v>3500</v>
      </c>
      <c r="M454" s="436" t="s">
        <v>4677</v>
      </c>
      <c r="N454" s="436" t="s">
        <v>3502</v>
      </c>
      <c r="O454" s="438">
        <v>119000</v>
      </c>
      <c r="P454" s="438">
        <v>82110</v>
      </c>
      <c r="Q454" s="438">
        <v>1</v>
      </c>
      <c r="R454" s="438">
        <v>0</v>
      </c>
      <c r="S454" s="438">
        <v>0</v>
      </c>
      <c r="T454" s="438">
        <v>0</v>
      </c>
      <c r="U454" s="438">
        <v>0</v>
      </c>
      <c r="V454" s="438">
        <v>0</v>
      </c>
      <c r="W454" s="438">
        <v>31</v>
      </c>
      <c r="X454" s="438">
        <v>0</v>
      </c>
      <c r="Y454" s="438">
        <v>5950</v>
      </c>
      <c r="Z454" s="438">
        <v>0</v>
      </c>
      <c r="AA454" s="438">
        <v>0</v>
      </c>
      <c r="AB454" s="438">
        <v>0</v>
      </c>
      <c r="AC454" s="438">
        <v>119000</v>
      </c>
      <c r="AD454" s="438">
        <v>82110</v>
      </c>
      <c r="AE454" s="438">
        <v>0</v>
      </c>
      <c r="AF454" s="438">
        <v>5950</v>
      </c>
      <c r="AG454" s="438">
        <v>113050</v>
      </c>
      <c r="AH454" s="438">
        <v>82110</v>
      </c>
      <c r="AI454" s="438">
        <v>28127</v>
      </c>
      <c r="AJ454" s="438">
        <v>2813</v>
      </c>
      <c r="AK454" s="438">
        <v>30940</v>
      </c>
      <c r="AL454" s="414" t="str">
        <f t="shared" si="42"/>
        <v>워커힐 시그니처 양념 본갈비 300g, 8개</v>
      </c>
      <c r="AM454" s="395">
        <f t="shared" si="43"/>
        <v>46063</v>
      </c>
      <c r="AN454" s="396">
        <f t="shared" si="44"/>
        <v>1</v>
      </c>
      <c r="AO454" s="109">
        <f t="shared" si="45"/>
        <v>119000</v>
      </c>
      <c r="AP454" s="109">
        <f t="shared" si="46"/>
        <v>108181.81818181818</v>
      </c>
      <c r="AQ454" s="397">
        <f t="shared" si="47"/>
        <v>108181.81818181818</v>
      </c>
    </row>
    <row r="455" spans="1:43" ht="24">
      <c r="A455" s="436" t="s">
        <v>4707</v>
      </c>
      <c r="B455" s="436" t="s">
        <v>3490</v>
      </c>
      <c r="C455" s="437" t="s">
        <v>3491</v>
      </c>
      <c r="D455" s="436" t="s">
        <v>4735</v>
      </c>
      <c r="E455" s="437" t="s">
        <v>4709</v>
      </c>
      <c r="F455" s="436" t="s">
        <v>3494</v>
      </c>
      <c r="G455" s="436" t="s">
        <v>3495</v>
      </c>
      <c r="H455" s="437" t="s">
        <v>3496</v>
      </c>
      <c r="I455" s="436" t="s">
        <v>3497</v>
      </c>
      <c r="J455" s="437" t="s">
        <v>3498</v>
      </c>
      <c r="K455" s="437" t="s">
        <v>163</v>
      </c>
      <c r="L455" s="436" t="s">
        <v>3500</v>
      </c>
      <c r="M455" s="436" t="s">
        <v>4677</v>
      </c>
      <c r="N455" s="436" t="s">
        <v>3502</v>
      </c>
      <c r="O455" s="438">
        <v>119000</v>
      </c>
      <c r="P455" s="438">
        <v>82110</v>
      </c>
      <c r="Q455" s="438">
        <v>1</v>
      </c>
      <c r="R455" s="438">
        <v>0</v>
      </c>
      <c r="S455" s="438">
        <v>0</v>
      </c>
      <c r="T455" s="438">
        <v>0</v>
      </c>
      <c r="U455" s="438">
        <v>0</v>
      </c>
      <c r="V455" s="438">
        <v>0</v>
      </c>
      <c r="W455" s="438">
        <v>31</v>
      </c>
      <c r="X455" s="438">
        <v>0</v>
      </c>
      <c r="Y455" s="438">
        <v>5950</v>
      </c>
      <c r="Z455" s="438">
        <v>0</v>
      </c>
      <c r="AA455" s="438">
        <v>0</v>
      </c>
      <c r="AB455" s="438">
        <v>0</v>
      </c>
      <c r="AC455" s="438">
        <v>119000</v>
      </c>
      <c r="AD455" s="438">
        <v>82110</v>
      </c>
      <c r="AE455" s="438">
        <v>0</v>
      </c>
      <c r="AF455" s="438">
        <v>5950</v>
      </c>
      <c r="AG455" s="438">
        <v>113050</v>
      </c>
      <c r="AH455" s="438">
        <v>82110</v>
      </c>
      <c r="AI455" s="438">
        <v>28127</v>
      </c>
      <c r="AJ455" s="438">
        <v>2813</v>
      </c>
      <c r="AK455" s="438">
        <v>30940</v>
      </c>
      <c r="AL455" s="414" t="str">
        <f t="shared" si="42"/>
        <v>워커힐 시그니처 양념 본갈비 300g, 8개</v>
      </c>
      <c r="AM455" s="395">
        <f t="shared" si="43"/>
        <v>46063</v>
      </c>
      <c r="AN455" s="396">
        <f t="shared" si="44"/>
        <v>1</v>
      </c>
      <c r="AO455" s="109">
        <f t="shared" si="45"/>
        <v>119000</v>
      </c>
      <c r="AP455" s="109">
        <f t="shared" si="46"/>
        <v>108181.81818181818</v>
      </c>
      <c r="AQ455" s="397">
        <f t="shared" si="47"/>
        <v>108181.81818181818</v>
      </c>
    </row>
    <row r="456" spans="1:43" ht="24">
      <c r="A456" s="436" t="s">
        <v>4710</v>
      </c>
      <c r="B456" s="436" t="s">
        <v>3490</v>
      </c>
      <c r="C456" s="437" t="s">
        <v>3491</v>
      </c>
      <c r="D456" s="436" t="s">
        <v>4740</v>
      </c>
      <c r="E456" s="437" t="s">
        <v>3721</v>
      </c>
      <c r="F456" s="436" t="s">
        <v>3494</v>
      </c>
      <c r="G456" s="436" t="s">
        <v>3495</v>
      </c>
      <c r="H456" s="437" t="s">
        <v>3496</v>
      </c>
      <c r="I456" s="436" t="s">
        <v>3497</v>
      </c>
      <c r="J456" s="437" t="s">
        <v>3498</v>
      </c>
      <c r="K456" s="437" t="s">
        <v>3548</v>
      </c>
      <c r="L456" s="436" t="s">
        <v>3500</v>
      </c>
      <c r="M456" s="436" t="s">
        <v>4677</v>
      </c>
      <c r="N456" s="436" t="s">
        <v>3502</v>
      </c>
      <c r="O456" s="438">
        <v>119000</v>
      </c>
      <c r="P456" s="438">
        <v>82110</v>
      </c>
      <c r="Q456" s="438">
        <v>1</v>
      </c>
      <c r="R456" s="438">
        <v>0</v>
      </c>
      <c r="S456" s="438">
        <v>0</v>
      </c>
      <c r="T456" s="438">
        <v>0</v>
      </c>
      <c r="U456" s="438">
        <v>0</v>
      </c>
      <c r="V456" s="438">
        <v>0</v>
      </c>
      <c r="W456" s="438">
        <v>31</v>
      </c>
      <c r="X456" s="438">
        <v>0</v>
      </c>
      <c r="Y456" s="438">
        <v>0</v>
      </c>
      <c r="Z456" s="438">
        <v>0</v>
      </c>
      <c r="AA456" s="438">
        <v>0</v>
      </c>
      <c r="AB456" s="438">
        <v>0</v>
      </c>
      <c r="AC456" s="438">
        <v>119000</v>
      </c>
      <c r="AD456" s="438">
        <v>82110</v>
      </c>
      <c r="AE456" s="438">
        <v>0</v>
      </c>
      <c r="AF456" s="438">
        <v>0</v>
      </c>
      <c r="AG456" s="438">
        <v>119000</v>
      </c>
      <c r="AH456" s="438">
        <v>82110</v>
      </c>
      <c r="AI456" s="438">
        <v>33536</v>
      </c>
      <c r="AJ456" s="438">
        <v>3354</v>
      </c>
      <c r="AK456" s="438">
        <v>36890</v>
      </c>
      <c r="AL456" s="414" t="str">
        <f t="shared" si="42"/>
        <v>워커힐 시그니처 양념 본갈비 300g, 8개</v>
      </c>
      <c r="AM456" s="395">
        <f t="shared" si="43"/>
        <v>46063</v>
      </c>
      <c r="AN456" s="396">
        <f t="shared" si="44"/>
        <v>1</v>
      </c>
      <c r="AO456" s="109">
        <f t="shared" si="45"/>
        <v>119000</v>
      </c>
      <c r="AP456" s="109">
        <f t="shared" si="46"/>
        <v>108181.81818181818</v>
      </c>
      <c r="AQ456" s="397">
        <f t="shared" si="47"/>
        <v>108181.81818181818</v>
      </c>
    </row>
    <row r="457" spans="1:43" ht="24">
      <c r="A457" s="436" t="s">
        <v>4712</v>
      </c>
      <c r="B457" s="436" t="s">
        <v>3490</v>
      </c>
      <c r="C457" s="437" t="s">
        <v>3491</v>
      </c>
      <c r="D457" s="436" t="s">
        <v>4715</v>
      </c>
      <c r="E457" s="437" t="s">
        <v>4022</v>
      </c>
      <c r="F457" s="436" t="s">
        <v>3494</v>
      </c>
      <c r="G457" s="436" t="s">
        <v>3495</v>
      </c>
      <c r="H457" s="437" t="s">
        <v>3496</v>
      </c>
      <c r="I457" s="436" t="s">
        <v>3497</v>
      </c>
      <c r="J457" s="437" t="s">
        <v>3498</v>
      </c>
      <c r="K457" s="437" t="s">
        <v>3499</v>
      </c>
      <c r="L457" s="436" t="s">
        <v>3500</v>
      </c>
      <c r="M457" s="436" t="s">
        <v>4677</v>
      </c>
      <c r="N457" s="436" t="s">
        <v>3502</v>
      </c>
      <c r="O457" s="438">
        <v>119000</v>
      </c>
      <c r="P457" s="438">
        <v>82110</v>
      </c>
      <c r="Q457" s="438">
        <v>1</v>
      </c>
      <c r="R457" s="438">
        <v>0</v>
      </c>
      <c r="S457" s="438">
        <v>0</v>
      </c>
      <c r="T457" s="438">
        <v>0</v>
      </c>
      <c r="U457" s="438">
        <v>0</v>
      </c>
      <c r="V457" s="438">
        <v>0</v>
      </c>
      <c r="W457" s="438">
        <v>31</v>
      </c>
      <c r="X457" s="438">
        <v>0</v>
      </c>
      <c r="Y457" s="438">
        <v>0</v>
      </c>
      <c r="Z457" s="438">
        <v>0</v>
      </c>
      <c r="AA457" s="438">
        <v>0</v>
      </c>
      <c r="AB457" s="438">
        <v>0</v>
      </c>
      <c r="AC457" s="438">
        <v>119000</v>
      </c>
      <c r="AD457" s="438">
        <v>82110</v>
      </c>
      <c r="AE457" s="438">
        <v>0</v>
      </c>
      <c r="AF457" s="438">
        <v>0</v>
      </c>
      <c r="AG457" s="438">
        <v>119000</v>
      </c>
      <c r="AH457" s="438">
        <v>82110</v>
      </c>
      <c r="AI457" s="438">
        <v>33536</v>
      </c>
      <c r="AJ457" s="438">
        <v>3354</v>
      </c>
      <c r="AK457" s="438">
        <v>36890</v>
      </c>
      <c r="AL457" s="414" t="str">
        <f t="shared" si="42"/>
        <v>워커힐 시그니처 양념 본갈비 300g, 8개</v>
      </c>
      <c r="AM457" s="395">
        <f t="shared" si="43"/>
        <v>46063</v>
      </c>
      <c r="AN457" s="396">
        <f t="shared" si="44"/>
        <v>1</v>
      </c>
      <c r="AO457" s="109">
        <f t="shared" si="45"/>
        <v>119000</v>
      </c>
      <c r="AP457" s="109">
        <f t="shared" si="46"/>
        <v>108181.81818181818</v>
      </c>
      <c r="AQ457" s="397">
        <f t="shared" si="47"/>
        <v>108181.81818181818</v>
      </c>
    </row>
    <row r="458" spans="1:43" ht="24">
      <c r="A458" s="436" t="s">
        <v>4714</v>
      </c>
      <c r="B458" s="436" t="s">
        <v>3490</v>
      </c>
      <c r="C458" s="437" t="s">
        <v>3491</v>
      </c>
      <c r="D458" s="436" t="s">
        <v>4717</v>
      </c>
      <c r="E458" s="437" t="s">
        <v>4219</v>
      </c>
      <c r="F458" s="436" t="s">
        <v>3494</v>
      </c>
      <c r="G458" s="436" t="s">
        <v>3495</v>
      </c>
      <c r="H458" s="437" t="s">
        <v>3496</v>
      </c>
      <c r="I458" s="436" t="s">
        <v>3497</v>
      </c>
      <c r="J458" s="437" t="s">
        <v>3498</v>
      </c>
      <c r="K458" s="437" t="s">
        <v>163</v>
      </c>
      <c r="L458" s="436" t="s">
        <v>3500</v>
      </c>
      <c r="M458" s="436" t="s">
        <v>4677</v>
      </c>
      <c r="N458" s="436" t="s">
        <v>3502</v>
      </c>
      <c r="O458" s="438">
        <v>119000</v>
      </c>
      <c r="P458" s="438">
        <v>82110</v>
      </c>
      <c r="Q458" s="438">
        <v>1</v>
      </c>
      <c r="R458" s="438">
        <v>0</v>
      </c>
      <c r="S458" s="438">
        <v>0</v>
      </c>
      <c r="T458" s="438">
        <v>0</v>
      </c>
      <c r="U458" s="438">
        <v>0</v>
      </c>
      <c r="V458" s="438">
        <v>0</v>
      </c>
      <c r="W458" s="438">
        <v>31</v>
      </c>
      <c r="X458" s="438">
        <v>0</v>
      </c>
      <c r="Y458" s="438">
        <v>5950</v>
      </c>
      <c r="Z458" s="438">
        <v>0</v>
      </c>
      <c r="AA458" s="438">
        <v>0</v>
      </c>
      <c r="AB458" s="438">
        <v>0</v>
      </c>
      <c r="AC458" s="438">
        <v>119000</v>
      </c>
      <c r="AD458" s="438">
        <v>82110</v>
      </c>
      <c r="AE458" s="438">
        <v>0</v>
      </c>
      <c r="AF458" s="438">
        <v>5950</v>
      </c>
      <c r="AG458" s="438">
        <v>113050</v>
      </c>
      <c r="AH458" s="438">
        <v>82110</v>
      </c>
      <c r="AI458" s="438">
        <v>28127</v>
      </c>
      <c r="AJ458" s="438">
        <v>2813</v>
      </c>
      <c r="AK458" s="438">
        <v>30940</v>
      </c>
      <c r="AL458" s="414" t="str">
        <f t="shared" si="42"/>
        <v>워커힐 시그니처 양념 본갈비 300g, 8개</v>
      </c>
      <c r="AM458" s="395">
        <f t="shared" si="43"/>
        <v>46063</v>
      </c>
      <c r="AN458" s="396">
        <f t="shared" si="44"/>
        <v>1</v>
      </c>
      <c r="AO458" s="109">
        <f t="shared" si="45"/>
        <v>119000</v>
      </c>
      <c r="AP458" s="109">
        <f t="shared" si="46"/>
        <v>108181.81818181818</v>
      </c>
      <c r="AQ458" s="397">
        <f t="shared" si="47"/>
        <v>108181.81818181818</v>
      </c>
    </row>
    <row r="459" spans="1:43" ht="24">
      <c r="A459" s="436" t="s">
        <v>4716</v>
      </c>
      <c r="B459" s="436" t="s">
        <v>3490</v>
      </c>
      <c r="C459" s="437" t="s">
        <v>3491</v>
      </c>
      <c r="D459" s="436" t="s">
        <v>4704</v>
      </c>
      <c r="E459" s="437" t="s">
        <v>4219</v>
      </c>
      <c r="F459" s="436" t="s">
        <v>3494</v>
      </c>
      <c r="G459" s="436" t="s">
        <v>3495</v>
      </c>
      <c r="H459" s="437" t="s">
        <v>3496</v>
      </c>
      <c r="I459" s="436" t="s">
        <v>3497</v>
      </c>
      <c r="J459" s="437" t="s">
        <v>3498</v>
      </c>
      <c r="K459" s="437" t="s">
        <v>163</v>
      </c>
      <c r="L459" s="436" t="s">
        <v>3500</v>
      </c>
      <c r="M459" s="436" t="s">
        <v>4677</v>
      </c>
      <c r="N459" s="436" t="s">
        <v>3502</v>
      </c>
      <c r="O459" s="438">
        <v>119000</v>
      </c>
      <c r="P459" s="438">
        <v>82110</v>
      </c>
      <c r="Q459" s="438">
        <v>1</v>
      </c>
      <c r="R459" s="438">
        <v>0</v>
      </c>
      <c r="S459" s="438">
        <v>0</v>
      </c>
      <c r="T459" s="438">
        <v>0</v>
      </c>
      <c r="U459" s="438">
        <v>0</v>
      </c>
      <c r="V459" s="438">
        <v>0</v>
      </c>
      <c r="W459" s="438">
        <v>31</v>
      </c>
      <c r="X459" s="438">
        <v>0</v>
      </c>
      <c r="Y459" s="438">
        <v>5950</v>
      </c>
      <c r="Z459" s="438">
        <v>0</v>
      </c>
      <c r="AA459" s="438">
        <v>0</v>
      </c>
      <c r="AB459" s="438">
        <v>0</v>
      </c>
      <c r="AC459" s="438">
        <v>119000</v>
      </c>
      <c r="AD459" s="438">
        <v>82110</v>
      </c>
      <c r="AE459" s="438">
        <v>0</v>
      </c>
      <c r="AF459" s="438">
        <v>5950</v>
      </c>
      <c r="AG459" s="438">
        <v>113050</v>
      </c>
      <c r="AH459" s="438">
        <v>82110</v>
      </c>
      <c r="AI459" s="438">
        <v>28127</v>
      </c>
      <c r="AJ459" s="438">
        <v>2813</v>
      </c>
      <c r="AK459" s="438">
        <v>30940</v>
      </c>
      <c r="AL459" s="414" t="str">
        <f t="shared" si="42"/>
        <v>워커힐 시그니처 양념 본갈비 300g, 8개</v>
      </c>
      <c r="AM459" s="395">
        <f t="shared" si="43"/>
        <v>46063</v>
      </c>
      <c r="AN459" s="396">
        <f t="shared" si="44"/>
        <v>1</v>
      </c>
      <c r="AO459" s="109">
        <f t="shared" si="45"/>
        <v>119000</v>
      </c>
      <c r="AP459" s="109">
        <f t="shared" si="46"/>
        <v>108181.81818181818</v>
      </c>
      <c r="AQ459" s="397">
        <f t="shared" si="47"/>
        <v>108181.81818181818</v>
      </c>
    </row>
    <row r="460" spans="1:43" ht="24">
      <c r="A460" s="436" t="s">
        <v>4718</v>
      </c>
      <c r="B460" s="436" t="s">
        <v>3490</v>
      </c>
      <c r="C460" s="437" t="s">
        <v>3491</v>
      </c>
      <c r="D460" s="436" t="s">
        <v>4731</v>
      </c>
      <c r="E460" s="437" t="s">
        <v>3493</v>
      </c>
      <c r="F460" s="436" t="s">
        <v>3494</v>
      </c>
      <c r="G460" s="436" t="s">
        <v>3495</v>
      </c>
      <c r="H460" s="437" t="s">
        <v>3496</v>
      </c>
      <c r="I460" s="436" t="s">
        <v>3497</v>
      </c>
      <c r="J460" s="437" t="s">
        <v>3498</v>
      </c>
      <c r="K460" s="437" t="s">
        <v>163</v>
      </c>
      <c r="L460" s="436" t="s">
        <v>3500</v>
      </c>
      <c r="M460" s="436" t="s">
        <v>4677</v>
      </c>
      <c r="N460" s="436" t="s">
        <v>3502</v>
      </c>
      <c r="O460" s="438">
        <v>119000</v>
      </c>
      <c r="P460" s="438">
        <v>82110</v>
      </c>
      <c r="Q460" s="438">
        <v>1</v>
      </c>
      <c r="R460" s="438">
        <v>0</v>
      </c>
      <c r="S460" s="438">
        <v>0</v>
      </c>
      <c r="T460" s="438">
        <v>0</v>
      </c>
      <c r="U460" s="438">
        <v>0</v>
      </c>
      <c r="V460" s="438">
        <v>0</v>
      </c>
      <c r="W460" s="438">
        <v>31</v>
      </c>
      <c r="X460" s="438">
        <v>0</v>
      </c>
      <c r="Y460" s="438">
        <v>5950</v>
      </c>
      <c r="Z460" s="438">
        <v>0</v>
      </c>
      <c r="AA460" s="438">
        <v>0</v>
      </c>
      <c r="AB460" s="438">
        <v>0</v>
      </c>
      <c r="AC460" s="438">
        <v>119000</v>
      </c>
      <c r="AD460" s="438">
        <v>82110</v>
      </c>
      <c r="AE460" s="438">
        <v>0</v>
      </c>
      <c r="AF460" s="438">
        <v>5950</v>
      </c>
      <c r="AG460" s="438">
        <v>113050</v>
      </c>
      <c r="AH460" s="438">
        <v>82110</v>
      </c>
      <c r="AI460" s="438">
        <v>28127</v>
      </c>
      <c r="AJ460" s="438">
        <v>2813</v>
      </c>
      <c r="AK460" s="438">
        <v>30940</v>
      </c>
      <c r="AL460" s="414" t="str">
        <f t="shared" si="42"/>
        <v>워커힐 시그니처 양념 본갈비 300g, 8개</v>
      </c>
      <c r="AM460" s="395">
        <f t="shared" si="43"/>
        <v>46063</v>
      </c>
      <c r="AN460" s="396">
        <f t="shared" si="44"/>
        <v>1</v>
      </c>
      <c r="AO460" s="109">
        <f t="shared" si="45"/>
        <v>119000</v>
      </c>
      <c r="AP460" s="109">
        <f t="shared" si="46"/>
        <v>108181.81818181818</v>
      </c>
      <c r="AQ460" s="397">
        <f t="shared" si="47"/>
        <v>108181.81818181818</v>
      </c>
    </row>
    <row r="461" spans="1:43" s="415" customFormat="1" ht="24">
      <c r="A461" s="436" t="s">
        <v>4721</v>
      </c>
      <c r="B461" s="436" t="s">
        <v>3490</v>
      </c>
      <c r="C461" s="437" t="s">
        <v>3491</v>
      </c>
      <c r="D461" s="436" t="s">
        <v>4691</v>
      </c>
      <c r="E461" s="437" t="s">
        <v>4225</v>
      </c>
      <c r="F461" s="436" t="s">
        <v>3494</v>
      </c>
      <c r="G461" s="436" t="s">
        <v>3495</v>
      </c>
      <c r="H461" s="437" t="s">
        <v>3496</v>
      </c>
      <c r="I461" s="436" t="s">
        <v>3497</v>
      </c>
      <c r="J461" s="437" t="s">
        <v>3498</v>
      </c>
      <c r="K461" s="437" t="s">
        <v>163</v>
      </c>
      <c r="L461" s="436" t="s">
        <v>3500</v>
      </c>
      <c r="M461" s="436" t="s">
        <v>4677</v>
      </c>
      <c r="N461" s="436" t="s">
        <v>3502</v>
      </c>
      <c r="O461" s="438">
        <v>119000</v>
      </c>
      <c r="P461" s="438">
        <v>82110</v>
      </c>
      <c r="Q461" s="438">
        <v>1</v>
      </c>
      <c r="R461" s="438">
        <v>0</v>
      </c>
      <c r="S461" s="438">
        <v>0</v>
      </c>
      <c r="T461" s="438">
        <v>0</v>
      </c>
      <c r="U461" s="438">
        <v>0</v>
      </c>
      <c r="V461" s="438">
        <v>0</v>
      </c>
      <c r="W461" s="438">
        <v>31</v>
      </c>
      <c r="X461" s="438">
        <v>0</v>
      </c>
      <c r="Y461" s="438">
        <v>0</v>
      </c>
      <c r="Z461" s="438">
        <v>0</v>
      </c>
      <c r="AA461" s="438">
        <v>0</v>
      </c>
      <c r="AB461" s="438">
        <v>0</v>
      </c>
      <c r="AC461" s="438">
        <v>119000</v>
      </c>
      <c r="AD461" s="438">
        <v>82110</v>
      </c>
      <c r="AE461" s="438">
        <v>0</v>
      </c>
      <c r="AF461" s="438">
        <v>0</v>
      </c>
      <c r="AG461" s="438">
        <v>119000</v>
      </c>
      <c r="AH461" s="438">
        <v>82110</v>
      </c>
      <c r="AI461" s="438">
        <v>33536</v>
      </c>
      <c r="AJ461" s="438">
        <v>3354</v>
      </c>
      <c r="AK461" s="438">
        <v>36890</v>
      </c>
      <c r="AL461" s="414" t="str">
        <f t="shared" si="42"/>
        <v>워커힐 시그니처 양념 본갈비 300g, 8개</v>
      </c>
      <c r="AM461" s="395">
        <f t="shared" si="43"/>
        <v>46063</v>
      </c>
      <c r="AN461" s="396">
        <f t="shared" si="44"/>
        <v>1</v>
      </c>
      <c r="AO461" s="109">
        <f t="shared" si="45"/>
        <v>119000</v>
      </c>
      <c r="AP461" s="349">
        <f t="shared" si="46"/>
        <v>108181.81818181818</v>
      </c>
      <c r="AQ461" s="397">
        <f t="shared" si="47"/>
        <v>108181.81818181818</v>
      </c>
    </row>
    <row r="462" spans="1:43" ht="24">
      <c r="A462" s="436" t="s">
        <v>4724</v>
      </c>
      <c r="B462" s="436" t="s">
        <v>3490</v>
      </c>
      <c r="C462" s="437" t="s">
        <v>3491</v>
      </c>
      <c r="D462" s="436" t="s">
        <v>4754</v>
      </c>
      <c r="E462" s="437" t="s">
        <v>4755</v>
      </c>
      <c r="F462" s="436" t="s">
        <v>3494</v>
      </c>
      <c r="G462" s="436" t="s">
        <v>3495</v>
      </c>
      <c r="H462" s="437" t="s">
        <v>3496</v>
      </c>
      <c r="I462" s="436" t="s">
        <v>3497</v>
      </c>
      <c r="J462" s="437" t="s">
        <v>3498</v>
      </c>
      <c r="K462" s="437" t="s">
        <v>3499</v>
      </c>
      <c r="L462" s="436" t="s">
        <v>3500</v>
      </c>
      <c r="M462" s="436" t="s">
        <v>4677</v>
      </c>
      <c r="N462" s="436" t="s">
        <v>3502</v>
      </c>
      <c r="O462" s="438">
        <v>119000</v>
      </c>
      <c r="P462" s="438">
        <v>82110</v>
      </c>
      <c r="Q462" s="438">
        <v>1</v>
      </c>
      <c r="R462" s="438">
        <v>0</v>
      </c>
      <c r="S462" s="438">
        <v>0</v>
      </c>
      <c r="T462" s="438">
        <v>0</v>
      </c>
      <c r="U462" s="438">
        <v>0</v>
      </c>
      <c r="V462" s="438">
        <v>0</v>
      </c>
      <c r="W462" s="438">
        <v>31</v>
      </c>
      <c r="X462" s="438">
        <v>0</v>
      </c>
      <c r="Y462" s="438">
        <v>0</v>
      </c>
      <c r="Z462" s="438">
        <v>0</v>
      </c>
      <c r="AA462" s="438">
        <v>0</v>
      </c>
      <c r="AB462" s="438">
        <v>0</v>
      </c>
      <c r="AC462" s="438">
        <v>119000</v>
      </c>
      <c r="AD462" s="438">
        <v>82110</v>
      </c>
      <c r="AE462" s="438">
        <v>0</v>
      </c>
      <c r="AF462" s="438">
        <v>0</v>
      </c>
      <c r="AG462" s="438">
        <v>119000</v>
      </c>
      <c r="AH462" s="438">
        <v>82110</v>
      </c>
      <c r="AI462" s="438">
        <v>33536</v>
      </c>
      <c r="AJ462" s="438">
        <v>3354</v>
      </c>
      <c r="AK462" s="438">
        <v>36890</v>
      </c>
      <c r="AL462" s="414" t="str">
        <f t="shared" si="42"/>
        <v>워커힐 시그니처 양념 본갈비 300g, 8개</v>
      </c>
      <c r="AM462" s="395">
        <f t="shared" si="43"/>
        <v>46063</v>
      </c>
      <c r="AN462" s="396">
        <f t="shared" si="44"/>
        <v>1</v>
      </c>
      <c r="AO462" s="109">
        <f t="shared" si="45"/>
        <v>119000</v>
      </c>
      <c r="AP462" s="109">
        <f t="shared" si="46"/>
        <v>108181.81818181818</v>
      </c>
      <c r="AQ462" s="397">
        <f t="shared" si="47"/>
        <v>108181.81818181818</v>
      </c>
    </row>
    <row r="463" spans="1:43" ht="24">
      <c r="A463" s="436" t="s">
        <v>4727</v>
      </c>
      <c r="B463" s="436" t="s">
        <v>3490</v>
      </c>
      <c r="C463" s="437" t="s">
        <v>3491</v>
      </c>
      <c r="D463" s="436" t="s">
        <v>4696</v>
      </c>
      <c r="E463" s="437" t="s">
        <v>3775</v>
      </c>
      <c r="F463" s="436" t="s">
        <v>3494</v>
      </c>
      <c r="G463" s="436" t="s">
        <v>3495</v>
      </c>
      <c r="H463" s="437" t="s">
        <v>3496</v>
      </c>
      <c r="I463" s="436" t="s">
        <v>3497</v>
      </c>
      <c r="J463" s="437" t="s">
        <v>3498</v>
      </c>
      <c r="K463" s="437" t="s">
        <v>163</v>
      </c>
      <c r="L463" s="436" t="s">
        <v>3500</v>
      </c>
      <c r="M463" s="436" t="s">
        <v>4677</v>
      </c>
      <c r="N463" s="436" t="s">
        <v>3502</v>
      </c>
      <c r="O463" s="438">
        <v>119000</v>
      </c>
      <c r="P463" s="438">
        <v>82110</v>
      </c>
      <c r="Q463" s="438">
        <v>1</v>
      </c>
      <c r="R463" s="438">
        <v>0</v>
      </c>
      <c r="S463" s="438">
        <v>0</v>
      </c>
      <c r="T463" s="438">
        <v>0</v>
      </c>
      <c r="U463" s="438">
        <v>0</v>
      </c>
      <c r="V463" s="438">
        <v>0</v>
      </c>
      <c r="W463" s="438">
        <v>31</v>
      </c>
      <c r="X463" s="438">
        <v>0</v>
      </c>
      <c r="Y463" s="438">
        <v>5950</v>
      </c>
      <c r="Z463" s="438">
        <v>0</v>
      </c>
      <c r="AA463" s="438">
        <v>0</v>
      </c>
      <c r="AB463" s="438">
        <v>0</v>
      </c>
      <c r="AC463" s="438">
        <v>119000</v>
      </c>
      <c r="AD463" s="438">
        <v>82110</v>
      </c>
      <c r="AE463" s="438">
        <v>0</v>
      </c>
      <c r="AF463" s="438">
        <v>5950</v>
      </c>
      <c r="AG463" s="438">
        <v>113050</v>
      </c>
      <c r="AH463" s="438">
        <v>82110</v>
      </c>
      <c r="AI463" s="438">
        <v>28127</v>
      </c>
      <c r="AJ463" s="438">
        <v>2813</v>
      </c>
      <c r="AK463" s="438">
        <v>30940</v>
      </c>
      <c r="AL463" s="414" t="str">
        <f t="shared" si="42"/>
        <v>워커힐 시그니처 양념 본갈비 300g, 8개</v>
      </c>
      <c r="AM463" s="395">
        <f t="shared" si="43"/>
        <v>46063</v>
      </c>
      <c r="AN463" s="396">
        <f t="shared" si="44"/>
        <v>1</v>
      </c>
      <c r="AO463" s="109">
        <f t="shared" si="45"/>
        <v>119000</v>
      </c>
      <c r="AP463" s="109">
        <f t="shared" si="46"/>
        <v>108181.81818181818</v>
      </c>
      <c r="AQ463" s="397">
        <f t="shared" si="47"/>
        <v>108181.81818181818</v>
      </c>
    </row>
    <row r="464" spans="1:43" ht="24">
      <c r="A464" s="436" t="s">
        <v>4730</v>
      </c>
      <c r="B464" s="436" t="s">
        <v>3490</v>
      </c>
      <c r="C464" s="437" t="s">
        <v>3491</v>
      </c>
      <c r="D464" s="436" t="s">
        <v>4706</v>
      </c>
      <c r="E464" s="437" t="s">
        <v>4255</v>
      </c>
      <c r="F464" s="436" t="s">
        <v>3494</v>
      </c>
      <c r="G464" s="436" t="s">
        <v>3495</v>
      </c>
      <c r="H464" s="437" t="s">
        <v>3496</v>
      </c>
      <c r="I464" s="436" t="s">
        <v>3497</v>
      </c>
      <c r="J464" s="437" t="s">
        <v>3498</v>
      </c>
      <c r="K464" s="437" t="s">
        <v>3499</v>
      </c>
      <c r="L464" s="436" t="s">
        <v>3500</v>
      </c>
      <c r="M464" s="436" t="s">
        <v>4677</v>
      </c>
      <c r="N464" s="436" t="s">
        <v>3502</v>
      </c>
      <c r="O464" s="438">
        <v>119000</v>
      </c>
      <c r="P464" s="438">
        <v>82110</v>
      </c>
      <c r="Q464" s="438">
        <v>1</v>
      </c>
      <c r="R464" s="438">
        <v>0</v>
      </c>
      <c r="S464" s="438">
        <v>0</v>
      </c>
      <c r="T464" s="438">
        <v>0</v>
      </c>
      <c r="U464" s="438">
        <v>0</v>
      </c>
      <c r="V464" s="438">
        <v>0</v>
      </c>
      <c r="W464" s="438">
        <v>31</v>
      </c>
      <c r="X464" s="438">
        <v>0</v>
      </c>
      <c r="Y464" s="438">
        <v>0</v>
      </c>
      <c r="Z464" s="438">
        <v>0</v>
      </c>
      <c r="AA464" s="438">
        <v>0</v>
      </c>
      <c r="AB464" s="438">
        <v>0</v>
      </c>
      <c r="AC464" s="438">
        <v>119000</v>
      </c>
      <c r="AD464" s="438">
        <v>82110</v>
      </c>
      <c r="AE464" s="438">
        <v>0</v>
      </c>
      <c r="AF464" s="438">
        <v>0</v>
      </c>
      <c r="AG464" s="438">
        <v>119000</v>
      </c>
      <c r="AH464" s="438">
        <v>82110</v>
      </c>
      <c r="AI464" s="438">
        <v>33536</v>
      </c>
      <c r="AJ464" s="438">
        <v>3354</v>
      </c>
      <c r="AK464" s="438">
        <v>36890</v>
      </c>
      <c r="AL464" s="414" t="str">
        <f t="shared" si="42"/>
        <v>워커힐 시그니처 양념 본갈비 300g, 8개</v>
      </c>
      <c r="AM464" s="395">
        <f t="shared" si="43"/>
        <v>46063</v>
      </c>
      <c r="AN464" s="396">
        <f t="shared" si="44"/>
        <v>1</v>
      </c>
      <c r="AO464" s="109">
        <f t="shared" si="45"/>
        <v>119000</v>
      </c>
      <c r="AP464" s="109">
        <f t="shared" si="46"/>
        <v>108181.81818181818</v>
      </c>
      <c r="AQ464" s="397">
        <f t="shared" si="47"/>
        <v>108181.81818181818</v>
      </c>
    </row>
    <row r="465" spans="1:43" ht="24">
      <c r="A465" s="436" t="s">
        <v>4732</v>
      </c>
      <c r="B465" s="436" t="s">
        <v>3490</v>
      </c>
      <c r="C465" s="437" t="s">
        <v>3491</v>
      </c>
      <c r="D465" s="436" t="s">
        <v>4708</v>
      </c>
      <c r="E465" s="437" t="s">
        <v>4709</v>
      </c>
      <c r="F465" s="436" t="s">
        <v>3494</v>
      </c>
      <c r="G465" s="436" t="s">
        <v>3495</v>
      </c>
      <c r="H465" s="437" t="s">
        <v>3496</v>
      </c>
      <c r="I465" s="436" t="s">
        <v>3497</v>
      </c>
      <c r="J465" s="437" t="s">
        <v>3498</v>
      </c>
      <c r="K465" s="437" t="s">
        <v>163</v>
      </c>
      <c r="L465" s="436" t="s">
        <v>3500</v>
      </c>
      <c r="M465" s="436" t="s">
        <v>4677</v>
      </c>
      <c r="N465" s="436" t="s">
        <v>3502</v>
      </c>
      <c r="O465" s="438">
        <v>119000</v>
      </c>
      <c r="P465" s="438">
        <v>82110</v>
      </c>
      <c r="Q465" s="438">
        <v>1</v>
      </c>
      <c r="R465" s="438">
        <v>0</v>
      </c>
      <c r="S465" s="438">
        <v>0</v>
      </c>
      <c r="T465" s="438">
        <v>0</v>
      </c>
      <c r="U465" s="438">
        <v>0</v>
      </c>
      <c r="V465" s="438">
        <v>0</v>
      </c>
      <c r="W465" s="438">
        <v>31</v>
      </c>
      <c r="X465" s="438">
        <v>0</v>
      </c>
      <c r="Y465" s="438">
        <v>5950</v>
      </c>
      <c r="Z465" s="438">
        <v>0</v>
      </c>
      <c r="AA465" s="438">
        <v>0</v>
      </c>
      <c r="AB465" s="438">
        <v>0</v>
      </c>
      <c r="AC465" s="438">
        <v>119000</v>
      </c>
      <c r="AD465" s="438">
        <v>82110</v>
      </c>
      <c r="AE465" s="438">
        <v>0</v>
      </c>
      <c r="AF465" s="438">
        <v>5950</v>
      </c>
      <c r="AG465" s="438">
        <v>113050</v>
      </c>
      <c r="AH465" s="438">
        <v>82110</v>
      </c>
      <c r="AI465" s="438">
        <v>28127</v>
      </c>
      <c r="AJ465" s="438">
        <v>2813</v>
      </c>
      <c r="AK465" s="438">
        <v>30940</v>
      </c>
      <c r="AL465" s="414" t="str">
        <f t="shared" si="42"/>
        <v>워커힐 시그니처 양념 본갈비 300g, 8개</v>
      </c>
      <c r="AM465" s="395">
        <f t="shared" si="43"/>
        <v>46063</v>
      </c>
      <c r="AN465" s="396">
        <f t="shared" si="44"/>
        <v>1</v>
      </c>
      <c r="AO465" s="109">
        <f t="shared" si="45"/>
        <v>119000</v>
      </c>
      <c r="AP465" s="109">
        <f t="shared" si="46"/>
        <v>108181.81818181818</v>
      </c>
      <c r="AQ465" s="397">
        <f t="shared" si="47"/>
        <v>108181.81818181818</v>
      </c>
    </row>
    <row r="466" spans="1:43" ht="24">
      <c r="A466" s="436" t="s">
        <v>4734</v>
      </c>
      <c r="B466" s="436" t="s">
        <v>3490</v>
      </c>
      <c r="C466" s="437" t="s">
        <v>3491</v>
      </c>
      <c r="D466" s="436" t="s">
        <v>4711</v>
      </c>
      <c r="E466" s="437" t="s">
        <v>4709</v>
      </c>
      <c r="F466" s="436" t="s">
        <v>3494</v>
      </c>
      <c r="G466" s="436" t="s">
        <v>3495</v>
      </c>
      <c r="H466" s="437" t="s">
        <v>3496</v>
      </c>
      <c r="I466" s="436" t="s">
        <v>3497</v>
      </c>
      <c r="J466" s="437" t="s">
        <v>3498</v>
      </c>
      <c r="K466" s="437" t="s">
        <v>163</v>
      </c>
      <c r="L466" s="436" t="s">
        <v>3500</v>
      </c>
      <c r="M466" s="436" t="s">
        <v>4677</v>
      </c>
      <c r="N466" s="436" t="s">
        <v>3502</v>
      </c>
      <c r="O466" s="438">
        <v>119000</v>
      </c>
      <c r="P466" s="438">
        <v>82110</v>
      </c>
      <c r="Q466" s="438">
        <v>1</v>
      </c>
      <c r="R466" s="438">
        <v>0</v>
      </c>
      <c r="S466" s="438">
        <v>0</v>
      </c>
      <c r="T466" s="438">
        <v>0</v>
      </c>
      <c r="U466" s="438">
        <v>0</v>
      </c>
      <c r="V466" s="438">
        <v>0</v>
      </c>
      <c r="W466" s="438">
        <v>31</v>
      </c>
      <c r="X466" s="438">
        <v>0</v>
      </c>
      <c r="Y466" s="438">
        <v>5950</v>
      </c>
      <c r="Z466" s="438">
        <v>0</v>
      </c>
      <c r="AA466" s="438">
        <v>0</v>
      </c>
      <c r="AB466" s="438">
        <v>0</v>
      </c>
      <c r="AC466" s="438">
        <v>119000</v>
      </c>
      <c r="AD466" s="438">
        <v>82110</v>
      </c>
      <c r="AE466" s="438">
        <v>0</v>
      </c>
      <c r="AF466" s="438">
        <v>5950</v>
      </c>
      <c r="AG466" s="438">
        <v>113050</v>
      </c>
      <c r="AH466" s="438">
        <v>82110</v>
      </c>
      <c r="AI466" s="438">
        <v>28127</v>
      </c>
      <c r="AJ466" s="438">
        <v>2813</v>
      </c>
      <c r="AK466" s="438">
        <v>30940</v>
      </c>
      <c r="AL466" s="414" t="str">
        <f t="shared" si="42"/>
        <v>워커힐 시그니처 양념 본갈비 300g, 8개</v>
      </c>
      <c r="AM466" s="395">
        <f t="shared" si="43"/>
        <v>46063</v>
      </c>
      <c r="AN466" s="396">
        <f t="shared" si="44"/>
        <v>1</v>
      </c>
      <c r="AO466" s="109">
        <f t="shared" si="45"/>
        <v>119000</v>
      </c>
      <c r="AP466" s="109">
        <f t="shared" si="46"/>
        <v>108181.81818181818</v>
      </c>
      <c r="AQ466" s="397">
        <f t="shared" si="47"/>
        <v>108181.81818181818</v>
      </c>
    </row>
    <row r="467" spans="1:43" ht="24">
      <c r="A467" s="436" t="s">
        <v>4736</v>
      </c>
      <c r="B467" s="436" t="s">
        <v>3490</v>
      </c>
      <c r="C467" s="437" t="s">
        <v>3491</v>
      </c>
      <c r="D467" s="436" t="s">
        <v>4681</v>
      </c>
      <c r="E467" s="437" t="s">
        <v>4219</v>
      </c>
      <c r="F467" s="436" t="s">
        <v>3494</v>
      </c>
      <c r="G467" s="436" t="s">
        <v>3495</v>
      </c>
      <c r="H467" s="437" t="s">
        <v>3496</v>
      </c>
      <c r="I467" s="436" t="s">
        <v>3497</v>
      </c>
      <c r="J467" s="437" t="s">
        <v>3498</v>
      </c>
      <c r="K467" s="437" t="s">
        <v>163</v>
      </c>
      <c r="L467" s="436" t="s">
        <v>3500</v>
      </c>
      <c r="M467" s="436" t="s">
        <v>4677</v>
      </c>
      <c r="N467" s="436" t="s">
        <v>3502</v>
      </c>
      <c r="O467" s="438">
        <v>119000</v>
      </c>
      <c r="P467" s="438">
        <v>82110</v>
      </c>
      <c r="Q467" s="438">
        <v>1</v>
      </c>
      <c r="R467" s="438">
        <v>0</v>
      </c>
      <c r="S467" s="438">
        <v>0</v>
      </c>
      <c r="T467" s="438">
        <v>0</v>
      </c>
      <c r="U467" s="438">
        <v>0</v>
      </c>
      <c r="V467" s="438">
        <v>0</v>
      </c>
      <c r="W467" s="438">
        <v>31</v>
      </c>
      <c r="X467" s="438">
        <v>0</v>
      </c>
      <c r="Y467" s="438">
        <v>5950</v>
      </c>
      <c r="Z467" s="438">
        <v>0</v>
      </c>
      <c r="AA467" s="438">
        <v>0</v>
      </c>
      <c r="AB467" s="438">
        <v>0</v>
      </c>
      <c r="AC467" s="438">
        <v>119000</v>
      </c>
      <c r="AD467" s="438">
        <v>82110</v>
      </c>
      <c r="AE467" s="438">
        <v>0</v>
      </c>
      <c r="AF467" s="438">
        <v>5950</v>
      </c>
      <c r="AG467" s="438">
        <v>113050</v>
      </c>
      <c r="AH467" s="438">
        <v>82110</v>
      </c>
      <c r="AI467" s="438">
        <v>28127</v>
      </c>
      <c r="AJ467" s="438">
        <v>2813</v>
      </c>
      <c r="AK467" s="438">
        <v>30940</v>
      </c>
      <c r="AL467" s="414" t="str">
        <f t="shared" si="42"/>
        <v>워커힐 시그니처 양념 본갈비 300g, 8개</v>
      </c>
      <c r="AM467" s="395">
        <f t="shared" si="43"/>
        <v>46063</v>
      </c>
      <c r="AN467" s="396">
        <f t="shared" si="44"/>
        <v>1</v>
      </c>
      <c r="AO467" s="109">
        <f t="shared" si="45"/>
        <v>119000</v>
      </c>
      <c r="AP467" s="109">
        <f t="shared" si="46"/>
        <v>108181.81818181818</v>
      </c>
      <c r="AQ467" s="397">
        <f t="shared" si="47"/>
        <v>108181.81818181818</v>
      </c>
    </row>
    <row r="468" spans="1:43" ht="24">
      <c r="A468" s="436" t="s">
        <v>4739</v>
      </c>
      <c r="B468" s="436" t="s">
        <v>3490</v>
      </c>
      <c r="C468" s="437" t="s">
        <v>3491</v>
      </c>
      <c r="D468" s="436" t="s">
        <v>4751</v>
      </c>
      <c r="E468" s="437" t="s">
        <v>4752</v>
      </c>
      <c r="F468" s="436" t="s">
        <v>3494</v>
      </c>
      <c r="G468" s="436" t="s">
        <v>3495</v>
      </c>
      <c r="H468" s="437" t="s">
        <v>3496</v>
      </c>
      <c r="I468" s="436" t="s">
        <v>3497</v>
      </c>
      <c r="J468" s="437" t="s">
        <v>3498</v>
      </c>
      <c r="K468" s="437" t="s">
        <v>3548</v>
      </c>
      <c r="L468" s="436" t="s">
        <v>3500</v>
      </c>
      <c r="M468" s="436" t="s">
        <v>4677</v>
      </c>
      <c r="N468" s="436" t="s">
        <v>3502</v>
      </c>
      <c r="O468" s="438">
        <v>119000</v>
      </c>
      <c r="P468" s="438">
        <v>82110</v>
      </c>
      <c r="Q468" s="438">
        <v>1</v>
      </c>
      <c r="R468" s="438">
        <v>0</v>
      </c>
      <c r="S468" s="438">
        <v>0</v>
      </c>
      <c r="T468" s="438">
        <v>0</v>
      </c>
      <c r="U468" s="438">
        <v>0</v>
      </c>
      <c r="V468" s="438">
        <v>0</v>
      </c>
      <c r="W468" s="438">
        <v>31</v>
      </c>
      <c r="X468" s="438">
        <v>0</v>
      </c>
      <c r="Y468" s="438">
        <v>0</v>
      </c>
      <c r="Z468" s="438">
        <v>0</v>
      </c>
      <c r="AA468" s="438">
        <v>0</v>
      </c>
      <c r="AB468" s="438">
        <v>0</v>
      </c>
      <c r="AC468" s="438">
        <v>119000</v>
      </c>
      <c r="AD468" s="438">
        <v>82110</v>
      </c>
      <c r="AE468" s="438">
        <v>0</v>
      </c>
      <c r="AF468" s="438">
        <v>0</v>
      </c>
      <c r="AG468" s="438">
        <v>119000</v>
      </c>
      <c r="AH468" s="438">
        <v>82110</v>
      </c>
      <c r="AI468" s="438">
        <v>33536</v>
      </c>
      <c r="AJ468" s="438">
        <v>3354</v>
      </c>
      <c r="AK468" s="438">
        <v>36890</v>
      </c>
      <c r="AL468" s="414" t="str">
        <f t="shared" si="42"/>
        <v>워커힐 시그니처 양념 본갈비 300g, 8개</v>
      </c>
      <c r="AM468" s="395">
        <f t="shared" si="43"/>
        <v>46063</v>
      </c>
      <c r="AN468" s="396">
        <f t="shared" si="44"/>
        <v>1</v>
      </c>
      <c r="AO468" s="109">
        <f t="shared" si="45"/>
        <v>119000</v>
      </c>
      <c r="AP468" s="109">
        <f t="shared" si="46"/>
        <v>108181.81818181818</v>
      </c>
      <c r="AQ468" s="397">
        <f t="shared" si="47"/>
        <v>108181.81818181818</v>
      </c>
    </row>
    <row r="469" spans="1:43" ht="24">
      <c r="A469" s="436" t="s">
        <v>4741</v>
      </c>
      <c r="B469" s="436" t="s">
        <v>3490</v>
      </c>
      <c r="C469" s="437" t="s">
        <v>3491</v>
      </c>
      <c r="D469" s="436" t="s">
        <v>4742</v>
      </c>
      <c r="E469" s="437" t="s">
        <v>3493</v>
      </c>
      <c r="F469" s="436" t="s">
        <v>3494</v>
      </c>
      <c r="G469" s="436" t="s">
        <v>3495</v>
      </c>
      <c r="H469" s="437" t="s">
        <v>3496</v>
      </c>
      <c r="I469" s="436" t="s">
        <v>3497</v>
      </c>
      <c r="J469" s="437" t="s">
        <v>3498</v>
      </c>
      <c r="K469" s="437" t="s">
        <v>3548</v>
      </c>
      <c r="L469" s="436" t="s">
        <v>3500</v>
      </c>
      <c r="M469" s="436" t="s">
        <v>4677</v>
      </c>
      <c r="N469" s="436" t="s">
        <v>3502</v>
      </c>
      <c r="O469" s="438">
        <v>119000</v>
      </c>
      <c r="P469" s="438">
        <v>82110</v>
      </c>
      <c r="Q469" s="438">
        <v>3</v>
      </c>
      <c r="R469" s="438">
        <v>0</v>
      </c>
      <c r="S469" s="438">
        <v>0</v>
      </c>
      <c r="T469" s="438">
        <v>0</v>
      </c>
      <c r="U469" s="438">
        <v>0</v>
      </c>
      <c r="V469" s="438">
        <v>0</v>
      </c>
      <c r="W469" s="438">
        <v>31</v>
      </c>
      <c r="X469" s="438">
        <v>0</v>
      </c>
      <c r="Y469" s="438">
        <v>0</v>
      </c>
      <c r="Z469" s="438">
        <v>0</v>
      </c>
      <c r="AA469" s="438">
        <v>0</v>
      </c>
      <c r="AB469" s="438">
        <v>0</v>
      </c>
      <c r="AC469" s="438">
        <v>357000</v>
      </c>
      <c r="AD469" s="438">
        <v>246330</v>
      </c>
      <c r="AE469" s="438">
        <v>0</v>
      </c>
      <c r="AF469" s="438">
        <v>0</v>
      </c>
      <c r="AG469" s="438">
        <v>357000</v>
      </c>
      <c r="AH469" s="438">
        <v>246330</v>
      </c>
      <c r="AI469" s="438">
        <v>100609</v>
      </c>
      <c r="AJ469" s="438">
        <v>10061</v>
      </c>
      <c r="AK469" s="438">
        <v>110670</v>
      </c>
      <c r="AL469" s="414" t="str">
        <f t="shared" si="42"/>
        <v>워커힐 시그니처 양념 본갈비 300g, 8개</v>
      </c>
      <c r="AM469" s="395">
        <f t="shared" si="43"/>
        <v>46063</v>
      </c>
      <c r="AN469" s="396">
        <f t="shared" si="44"/>
        <v>3</v>
      </c>
      <c r="AO469" s="109">
        <f t="shared" si="45"/>
        <v>119000</v>
      </c>
      <c r="AP469" s="109">
        <f t="shared" si="46"/>
        <v>108181.81818181818</v>
      </c>
      <c r="AQ469" s="397">
        <f t="shared" si="47"/>
        <v>324545.45454545453</v>
      </c>
    </row>
    <row r="470" spans="1:43" ht="24">
      <c r="A470" s="436" t="s">
        <v>4743</v>
      </c>
      <c r="B470" s="436" t="s">
        <v>3490</v>
      </c>
      <c r="C470" s="437" t="s">
        <v>3491</v>
      </c>
      <c r="D470" s="436" t="s">
        <v>4676</v>
      </c>
      <c r="E470" s="437" t="s">
        <v>3636</v>
      </c>
      <c r="F470" s="436" t="s">
        <v>3494</v>
      </c>
      <c r="G470" s="436" t="s">
        <v>3495</v>
      </c>
      <c r="H470" s="437" t="s">
        <v>3496</v>
      </c>
      <c r="I470" s="436" t="s">
        <v>3497</v>
      </c>
      <c r="J470" s="437" t="s">
        <v>3498</v>
      </c>
      <c r="K470" s="437" t="s">
        <v>3548</v>
      </c>
      <c r="L470" s="436" t="s">
        <v>3500</v>
      </c>
      <c r="M470" s="436" t="s">
        <v>4677</v>
      </c>
      <c r="N470" s="436" t="s">
        <v>3502</v>
      </c>
      <c r="O470" s="438">
        <v>119000</v>
      </c>
      <c r="P470" s="438">
        <v>82110</v>
      </c>
      <c r="Q470" s="438">
        <v>1</v>
      </c>
      <c r="R470" s="438">
        <v>0</v>
      </c>
      <c r="S470" s="438">
        <v>0</v>
      </c>
      <c r="T470" s="438">
        <v>0</v>
      </c>
      <c r="U470" s="438">
        <v>0</v>
      </c>
      <c r="V470" s="438">
        <v>0</v>
      </c>
      <c r="W470" s="438">
        <v>31</v>
      </c>
      <c r="X470" s="438">
        <v>0</v>
      </c>
      <c r="Y470" s="438">
        <v>0</v>
      </c>
      <c r="Z470" s="438">
        <v>0</v>
      </c>
      <c r="AA470" s="438">
        <v>0</v>
      </c>
      <c r="AB470" s="438">
        <v>5950</v>
      </c>
      <c r="AC470" s="438">
        <v>119000</v>
      </c>
      <c r="AD470" s="438">
        <v>82110</v>
      </c>
      <c r="AE470" s="438">
        <v>0</v>
      </c>
      <c r="AF470" s="438">
        <v>5950</v>
      </c>
      <c r="AG470" s="438">
        <v>113050</v>
      </c>
      <c r="AH470" s="438">
        <v>82110</v>
      </c>
      <c r="AI470" s="438">
        <v>28127</v>
      </c>
      <c r="AJ470" s="438">
        <v>2813</v>
      </c>
      <c r="AK470" s="438">
        <v>30940</v>
      </c>
      <c r="AL470" s="414" t="str">
        <f t="shared" si="42"/>
        <v>워커힐 시그니처 양념 본갈비 300g, 8개</v>
      </c>
      <c r="AM470" s="395">
        <f t="shared" si="43"/>
        <v>46063</v>
      </c>
      <c r="AN470" s="396">
        <f t="shared" si="44"/>
        <v>1</v>
      </c>
      <c r="AO470" s="109">
        <f t="shared" si="45"/>
        <v>119000</v>
      </c>
      <c r="AP470" s="109">
        <f t="shared" si="46"/>
        <v>108181.81818181818</v>
      </c>
      <c r="AQ470" s="397">
        <f t="shared" si="47"/>
        <v>108181.81818181818</v>
      </c>
    </row>
    <row r="471" spans="1:43" ht="24">
      <c r="A471" s="436" t="s">
        <v>4745</v>
      </c>
      <c r="B471" s="436" t="s">
        <v>3490</v>
      </c>
      <c r="C471" s="437" t="s">
        <v>3491</v>
      </c>
      <c r="D471" s="436" t="s">
        <v>4744</v>
      </c>
      <c r="E471" s="437" t="s">
        <v>3541</v>
      </c>
      <c r="F471" s="436" t="s">
        <v>3494</v>
      </c>
      <c r="G471" s="436" t="s">
        <v>3495</v>
      </c>
      <c r="H471" s="437" t="s">
        <v>3496</v>
      </c>
      <c r="I471" s="436" t="s">
        <v>3497</v>
      </c>
      <c r="J471" s="437" t="s">
        <v>3498</v>
      </c>
      <c r="K471" s="437" t="s">
        <v>3548</v>
      </c>
      <c r="L471" s="436" t="s">
        <v>3500</v>
      </c>
      <c r="M471" s="436" t="s">
        <v>4677</v>
      </c>
      <c r="N471" s="436" t="s">
        <v>3502</v>
      </c>
      <c r="O471" s="438">
        <v>119000</v>
      </c>
      <c r="P471" s="438">
        <v>82110</v>
      </c>
      <c r="Q471" s="438">
        <v>1</v>
      </c>
      <c r="R471" s="438">
        <v>0</v>
      </c>
      <c r="S471" s="438">
        <v>0</v>
      </c>
      <c r="T471" s="438">
        <v>0</v>
      </c>
      <c r="U471" s="438">
        <v>0</v>
      </c>
      <c r="V471" s="438">
        <v>0</v>
      </c>
      <c r="W471" s="438">
        <v>31</v>
      </c>
      <c r="X471" s="438">
        <v>0</v>
      </c>
      <c r="Y471" s="438">
        <v>0</v>
      </c>
      <c r="Z471" s="438">
        <v>0</v>
      </c>
      <c r="AA471" s="438">
        <v>0</v>
      </c>
      <c r="AB471" s="438">
        <v>0</v>
      </c>
      <c r="AC471" s="438">
        <v>119000</v>
      </c>
      <c r="AD471" s="438">
        <v>82110</v>
      </c>
      <c r="AE471" s="438">
        <v>0</v>
      </c>
      <c r="AF471" s="438">
        <v>0</v>
      </c>
      <c r="AG471" s="438">
        <v>119000</v>
      </c>
      <c r="AH471" s="438">
        <v>82110</v>
      </c>
      <c r="AI471" s="438">
        <v>33536</v>
      </c>
      <c r="AJ471" s="438">
        <v>3354</v>
      </c>
      <c r="AK471" s="438">
        <v>36890</v>
      </c>
      <c r="AL471" s="414" t="str">
        <f t="shared" si="42"/>
        <v>워커힐 시그니처 양념 본갈비 300g, 8개</v>
      </c>
      <c r="AM471" s="395">
        <f t="shared" si="43"/>
        <v>46063</v>
      </c>
      <c r="AN471" s="396">
        <f t="shared" si="44"/>
        <v>1</v>
      </c>
      <c r="AO471" s="109">
        <f t="shared" si="45"/>
        <v>119000</v>
      </c>
      <c r="AP471" s="109">
        <f t="shared" si="46"/>
        <v>108181.81818181818</v>
      </c>
      <c r="AQ471" s="397">
        <f t="shared" si="47"/>
        <v>108181.81818181818</v>
      </c>
    </row>
    <row r="472" spans="1:43" ht="24">
      <c r="A472" s="436" t="s">
        <v>4747</v>
      </c>
      <c r="B472" s="436" t="s">
        <v>3490</v>
      </c>
      <c r="C472" s="437" t="s">
        <v>3491</v>
      </c>
      <c r="D472" s="436" t="s">
        <v>4746</v>
      </c>
      <c r="E472" s="437" t="s">
        <v>4225</v>
      </c>
      <c r="F472" s="436" t="s">
        <v>3494</v>
      </c>
      <c r="G472" s="436" t="s">
        <v>3495</v>
      </c>
      <c r="H472" s="437" t="s">
        <v>3496</v>
      </c>
      <c r="I472" s="436" t="s">
        <v>3497</v>
      </c>
      <c r="J472" s="437" t="s">
        <v>3498</v>
      </c>
      <c r="K472" s="437" t="s">
        <v>3548</v>
      </c>
      <c r="L472" s="436" t="s">
        <v>3500</v>
      </c>
      <c r="M472" s="436" t="s">
        <v>4677</v>
      </c>
      <c r="N472" s="436" t="s">
        <v>3502</v>
      </c>
      <c r="O472" s="438">
        <v>119000</v>
      </c>
      <c r="P472" s="438">
        <v>82110</v>
      </c>
      <c r="Q472" s="438">
        <v>1</v>
      </c>
      <c r="R472" s="438">
        <v>0</v>
      </c>
      <c r="S472" s="438">
        <v>0</v>
      </c>
      <c r="T472" s="438">
        <v>0</v>
      </c>
      <c r="U472" s="438">
        <v>0</v>
      </c>
      <c r="V472" s="438">
        <v>0</v>
      </c>
      <c r="W472" s="438">
        <v>31</v>
      </c>
      <c r="X472" s="438">
        <v>0</v>
      </c>
      <c r="Y472" s="438">
        <v>0</v>
      </c>
      <c r="Z472" s="438">
        <v>0</v>
      </c>
      <c r="AA472" s="438">
        <v>0</v>
      </c>
      <c r="AB472" s="438">
        <v>0</v>
      </c>
      <c r="AC472" s="438">
        <v>119000</v>
      </c>
      <c r="AD472" s="438">
        <v>82110</v>
      </c>
      <c r="AE472" s="438">
        <v>0</v>
      </c>
      <c r="AF472" s="438">
        <v>0</v>
      </c>
      <c r="AG472" s="438">
        <v>119000</v>
      </c>
      <c r="AH472" s="438">
        <v>82110</v>
      </c>
      <c r="AI472" s="438">
        <v>33536</v>
      </c>
      <c r="AJ472" s="438">
        <v>3354</v>
      </c>
      <c r="AK472" s="438">
        <v>36890</v>
      </c>
      <c r="AL472" s="414" t="str">
        <f t="shared" si="42"/>
        <v>워커힐 시그니처 양념 본갈비 300g, 8개</v>
      </c>
      <c r="AM472" s="395">
        <f t="shared" si="43"/>
        <v>46063</v>
      </c>
      <c r="AN472" s="396">
        <f t="shared" si="44"/>
        <v>1</v>
      </c>
      <c r="AO472" s="109">
        <f t="shared" si="45"/>
        <v>119000</v>
      </c>
      <c r="AP472" s="109">
        <f t="shared" si="46"/>
        <v>108181.81818181818</v>
      </c>
      <c r="AQ472" s="397">
        <f t="shared" si="47"/>
        <v>108181.81818181818</v>
      </c>
    </row>
    <row r="473" spans="1:43" ht="24">
      <c r="A473" s="436" t="s">
        <v>4750</v>
      </c>
      <c r="B473" s="436" t="s">
        <v>3490</v>
      </c>
      <c r="C473" s="437" t="s">
        <v>3491</v>
      </c>
      <c r="D473" s="436" t="s">
        <v>4688</v>
      </c>
      <c r="E473" s="437" t="s">
        <v>4689</v>
      </c>
      <c r="F473" s="436" t="s">
        <v>3494</v>
      </c>
      <c r="G473" s="436" t="s">
        <v>3495</v>
      </c>
      <c r="H473" s="437" t="s">
        <v>3496</v>
      </c>
      <c r="I473" s="436" t="s">
        <v>3497</v>
      </c>
      <c r="J473" s="437" t="s">
        <v>3498</v>
      </c>
      <c r="K473" s="437" t="s">
        <v>3548</v>
      </c>
      <c r="L473" s="436" t="s">
        <v>3500</v>
      </c>
      <c r="M473" s="436" t="s">
        <v>4677</v>
      </c>
      <c r="N473" s="436" t="s">
        <v>3502</v>
      </c>
      <c r="O473" s="438">
        <v>119000</v>
      </c>
      <c r="P473" s="438">
        <v>82110</v>
      </c>
      <c r="Q473" s="438">
        <v>1</v>
      </c>
      <c r="R473" s="438">
        <v>0</v>
      </c>
      <c r="S473" s="438">
        <v>0</v>
      </c>
      <c r="T473" s="438">
        <v>0</v>
      </c>
      <c r="U473" s="438">
        <v>0</v>
      </c>
      <c r="V473" s="438">
        <v>0</v>
      </c>
      <c r="W473" s="438">
        <v>31</v>
      </c>
      <c r="X473" s="438">
        <v>0</v>
      </c>
      <c r="Y473" s="438">
        <v>0</v>
      </c>
      <c r="Z473" s="438">
        <v>0</v>
      </c>
      <c r="AA473" s="438">
        <v>0</v>
      </c>
      <c r="AB473" s="438">
        <v>0</v>
      </c>
      <c r="AC473" s="438">
        <v>119000</v>
      </c>
      <c r="AD473" s="438">
        <v>82110</v>
      </c>
      <c r="AE473" s="438">
        <v>0</v>
      </c>
      <c r="AF473" s="438">
        <v>0</v>
      </c>
      <c r="AG473" s="438">
        <v>119000</v>
      </c>
      <c r="AH473" s="438">
        <v>82110</v>
      </c>
      <c r="AI473" s="438">
        <v>33536</v>
      </c>
      <c r="AJ473" s="438">
        <v>3354</v>
      </c>
      <c r="AK473" s="438">
        <v>36890</v>
      </c>
      <c r="AL473" s="414" t="str">
        <f t="shared" si="42"/>
        <v>워커힐 시그니처 양념 본갈비 300g, 8개</v>
      </c>
      <c r="AM473" s="395">
        <f t="shared" si="43"/>
        <v>46063</v>
      </c>
      <c r="AN473" s="396">
        <f t="shared" si="44"/>
        <v>1</v>
      </c>
      <c r="AO473" s="109">
        <f t="shared" si="45"/>
        <v>119000</v>
      </c>
      <c r="AP473" s="109">
        <f t="shared" si="46"/>
        <v>108181.81818181818</v>
      </c>
      <c r="AQ473" s="397">
        <f t="shared" si="47"/>
        <v>108181.81818181818</v>
      </c>
    </row>
    <row r="474" spans="1:43" ht="24">
      <c r="A474" s="436" t="s">
        <v>4753</v>
      </c>
      <c r="B474" s="436" t="s">
        <v>3490</v>
      </c>
      <c r="C474" s="437" t="s">
        <v>3491</v>
      </c>
      <c r="D474" s="436" t="s">
        <v>4728</v>
      </c>
      <c r="E474" s="437" t="s">
        <v>4729</v>
      </c>
      <c r="F474" s="436" t="s">
        <v>3494</v>
      </c>
      <c r="G474" s="436" t="s">
        <v>3495</v>
      </c>
      <c r="H474" s="437" t="s">
        <v>3496</v>
      </c>
      <c r="I474" s="436" t="s">
        <v>3497</v>
      </c>
      <c r="J474" s="437" t="s">
        <v>3498</v>
      </c>
      <c r="K474" s="437" t="s">
        <v>3548</v>
      </c>
      <c r="L474" s="436" t="s">
        <v>3500</v>
      </c>
      <c r="M474" s="436" t="s">
        <v>4677</v>
      </c>
      <c r="N474" s="436" t="s">
        <v>3502</v>
      </c>
      <c r="O474" s="438">
        <v>119000</v>
      </c>
      <c r="P474" s="438">
        <v>82110</v>
      </c>
      <c r="Q474" s="438">
        <v>1</v>
      </c>
      <c r="R474" s="438">
        <v>0</v>
      </c>
      <c r="S474" s="438">
        <v>0</v>
      </c>
      <c r="T474" s="438">
        <v>0</v>
      </c>
      <c r="U474" s="438">
        <v>0</v>
      </c>
      <c r="V474" s="438">
        <v>0</v>
      </c>
      <c r="W474" s="438">
        <v>31</v>
      </c>
      <c r="X474" s="438">
        <v>0</v>
      </c>
      <c r="Y474" s="438">
        <v>0</v>
      </c>
      <c r="Z474" s="438">
        <v>0</v>
      </c>
      <c r="AA474" s="438">
        <v>0</v>
      </c>
      <c r="AB474" s="438">
        <v>0</v>
      </c>
      <c r="AC474" s="438">
        <v>119000</v>
      </c>
      <c r="AD474" s="438">
        <v>82110</v>
      </c>
      <c r="AE474" s="438">
        <v>0</v>
      </c>
      <c r="AF474" s="438">
        <v>0</v>
      </c>
      <c r="AG474" s="438">
        <v>119000</v>
      </c>
      <c r="AH474" s="438">
        <v>82110</v>
      </c>
      <c r="AI474" s="438">
        <v>33536</v>
      </c>
      <c r="AJ474" s="438">
        <v>3354</v>
      </c>
      <c r="AK474" s="438">
        <v>36890</v>
      </c>
      <c r="AL474" s="414" t="str">
        <f t="shared" si="42"/>
        <v>워커힐 시그니처 양념 본갈비 300g, 8개</v>
      </c>
      <c r="AM474" s="395">
        <f t="shared" si="43"/>
        <v>46063</v>
      </c>
      <c r="AN474" s="396">
        <f t="shared" si="44"/>
        <v>1</v>
      </c>
      <c r="AO474" s="109">
        <f t="shared" si="45"/>
        <v>119000</v>
      </c>
      <c r="AP474" s="109">
        <f t="shared" si="46"/>
        <v>108181.81818181818</v>
      </c>
      <c r="AQ474" s="397">
        <f t="shared" si="47"/>
        <v>108181.81818181818</v>
      </c>
    </row>
    <row r="475" spans="1:43" ht="24">
      <c r="A475" s="436" t="s">
        <v>4756</v>
      </c>
      <c r="B475" s="436" t="s">
        <v>3490</v>
      </c>
      <c r="C475" s="437" t="s">
        <v>3491</v>
      </c>
      <c r="D475" s="436" t="s">
        <v>4748</v>
      </c>
      <c r="E475" s="437" t="s">
        <v>4749</v>
      </c>
      <c r="F475" s="436" t="s">
        <v>3494</v>
      </c>
      <c r="G475" s="436" t="s">
        <v>3495</v>
      </c>
      <c r="H475" s="437" t="s">
        <v>3496</v>
      </c>
      <c r="I475" s="436" t="s">
        <v>3497</v>
      </c>
      <c r="J475" s="437" t="s">
        <v>3498</v>
      </c>
      <c r="K475" s="437" t="s">
        <v>3499</v>
      </c>
      <c r="L475" s="436" t="s">
        <v>3500</v>
      </c>
      <c r="M475" s="436" t="s">
        <v>4677</v>
      </c>
      <c r="N475" s="436" t="s">
        <v>3502</v>
      </c>
      <c r="O475" s="438">
        <v>119000</v>
      </c>
      <c r="P475" s="438">
        <v>82110</v>
      </c>
      <c r="Q475" s="438">
        <v>1</v>
      </c>
      <c r="R475" s="438">
        <v>0</v>
      </c>
      <c r="S475" s="438">
        <v>0</v>
      </c>
      <c r="T475" s="438">
        <v>0</v>
      </c>
      <c r="U475" s="438">
        <v>0</v>
      </c>
      <c r="V475" s="438">
        <v>0</v>
      </c>
      <c r="W475" s="438">
        <v>31</v>
      </c>
      <c r="X475" s="438">
        <v>0</v>
      </c>
      <c r="Y475" s="438">
        <v>0</v>
      </c>
      <c r="Z475" s="438">
        <v>0</v>
      </c>
      <c r="AA475" s="438">
        <v>0</v>
      </c>
      <c r="AB475" s="438">
        <v>0</v>
      </c>
      <c r="AC475" s="438">
        <v>119000</v>
      </c>
      <c r="AD475" s="438">
        <v>82110</v>
      </c>
      <c r="AE475" s="438">
        <v>0</v>
      </c>
      <c r="AF475" s="438">
        <v>0</v>
      </c>
      <c r="AG475" s="438">
        <v>119000</v>
      </c>
      <c r="AH475" s="438">
        <v>82110</v>
      </c>
      <c r="AI475" s="438">
        <v>33536</v>
      </c>
      <c r="AJ475" s="438">
        <v>3354</v>
      </c>
      <c r="AK475" s="438">
        <v>36890</v>
      </c>
      <c r="AL475" s="414" t="str">
        <f t="shared" si="42"/>
        <v>워커힐 시그니처 양념 본갈비 300g, 8개</v>
      </c>
      <c r="AM475" s="395">
        <f t="shared" si="43"/>
        <v>46063</v>
      </c>
      <c r="AN475" s="396">
        <f t="shared" si="44"/>
        <v>1</v>
      </c>
      <c r="AO475" s="109">
        <f t="shared" si="45"/>
        <v>119000</v>
      </c>
      <c r="AP475" s="109">
        <f t="shared" si="46"/>
        <v>108181.81818181818</v>
      </c>
      <c r="AQ475" s="397">
        <f t="shared" si="47"/>
        <v>108181.81818181818</v>
      </c>
    </row>
    <row r="476" spans="1:43" ht="24">
      <c r="A476" s="436" t="s">
        <v>4758</v>
      </c>
      <c r="B476" s="436" t="s">
        <v>3490</v>
      </c>
      <c r="C476" s="437" t="s">
        <v>3491</v>
      </c>
      <c r="D476" s="436" t="s">
        <v>4713</v>
      </c>
      <c r="E476" s="437" t="s">
        <v>4219</v>
      </c>
      <c r="F476" s="436" t="s">
        <v>3494</v>
      </c>
      <c r="G476" s="436" t="s">
        <v>3495</v>
      </c>
      <c r="H476" s="437" t="s">
        <v>3496</v>
      </c>
      <c r="I476" s="436" t="s">
        <v>3497</v>
      </c>
      <c r="J476" s="437" t="s">
        <v>3498</v>
      </c>
      <c r="K476" s="437" t="s">
        <v>163</v>
      </c>
      <c r="L476" s="436" t="s">
        <v>3500</v>
      </c>
      <c r="M476" s="436" t="s">
        <v>4677</v>
      </c>
      <c r="N476" s="436" t="s">
        <v>3502</v>
      </c>
      <c r="O476" s="438">
        <v>119000</v>
      </c>
      <c r="P476" s="438">
        <v>82110</v>
      </c>
      <c r="Q476" s="438">
        <v>1</v>
      </c>
      <c r="R476" s="438">
        <v>0</v>
      </c>
      <c r="S476" s="438">
        <v>0</v>
      </c>
      <c r="T476" s="438">
        <v>0</v>
      </c>
      <c r="U476" s="438">
        <v>0</v>
      </c>
      <c r="V476" s="438">
        <v>0</v>
      </c>
      <c r="W476" s="438">
        <v>31</v>
      </c>
      <c r="X476" s="438">
        <v>0</v>
      </c>
      <c r="Y476" s="438">
        <v>5950</v>
      </c>
      <c r="Z476" s="438">
        <v>0</v>
      </c>
      <c r="AA476" s="438">
        <v>0</v>
      </c>
      <c r="AB476" s="438">
        <v>0</v>
      </c>
      <c r="AC476" s="438">
        <v>119000</v>
      </c>
      <c r="AD476" s="438">
        <v>82110</v>
      </c>
      <c r="AE476" s="438">
        <v>0</v>
      </c>
      <c r="AF476" s="438">
        <v>5950</v>
      </c>
      <c r="AG476" s="438">
        <v>113050</v>
      </c>
      <c r="AH476" s="438">
        <v>82110</v>
      </c>
      <c r="AI476" s="438">
        <v>28127</v>
      </c>
      <c r="AJ476" s="438">
        <v>2813</v>
      </c>
      <c r="AK476" s="438">
        <v>30940</v>
      </c>
      <c r="AL476" s="414" t="str">
        <f t="shared" si="42"/>
        <v>워커힐 시그니처 양념 본갈비 300g, 8개</v>
      </c>
      <c r="AM476" s="395">
        <f t="shared" si="43"/>
        <v>46063</v>
      </c>
      <c r="AN476" s="396">
        <f t="shared" si="44"/>
        <v>1</v>
      </c>
      <c r="AO476" s="109">
        <f t="shared" si="45"/>
        <v>119000</v>
      </c>
      <c r="AP476" s="109">
        <f t="shared" si="46"/>
        <v>108181.81818181818</v>
      </c>
      <c r="AQ476" s="397">
        <f>-AN476*AP476</f>
        <v>-108181.81818181818</v>
      </c>
    </row>
    <row r="477" spans="1:43" ht="24">
      <c r="A477" s="436" t="s">
        <v>4760</v>
      </c>
      <c r="B477" s="436" t="s">
        <v>3490</v>
      </c>
      <c r="C477" s="437" t="s">
        <v>3491</v>
      </c>
      <c r="D477" s="436" t="s">
        <v>4766</v>
      </c>
      <c r="E477" s="437" t="s">
        <v>3541</v>
      </c>
      <c r="F477" s="436" t="s">
        <v>4666</v>
      </c>
      <c r="G477" s="436" t="s">
        <v>3495</v>
      </c>
      <c r="H477" s="437" t="s">
        <v>4667</v>
      </c>
      <c r="I477" s="436" t="s">
        <v>3497</v>
      </c>
      <c r="J477" s="437" t="s">
        <v>3498</v>
      </c>
      <c r="K477" s="437" t="s">
        <v>163</v>
      </c>
      <c r="L477" s="436" t="s">
        <v>3500</v>
      </c>
      <c r="M477" s="436" t="s">
        <v>4677</v>
      </c>
      <c r="N477" s="436" t="s">
        <v>3502</v>
      </c>
      <c r="O477" s="438">
        <v>78000</v>
      </c>
      <c r="P477" s="438">
        <v>53820</v>
      </c>
      <c r="Q477" s="438">
        <v>1</v>
      </c>
      <c r="R477" s="438">
        <v>0</v>
      </c>
      <c r="S477" s="438">
        <v>0</v>
      </c>
      <c r="T477" s="438">
        <v>0</v>
      </c>
      <c r="U477" s="438">
        <v>0</v>
      </c>
      <c r="V477" s="438">
        <v>0</v>
      </c>
      <c r="W477" s="438">
        <v>31</v>
      </c>
      <c r="X477" s="438">
        <v>0</v>
      </c>
      <c r="Y477" s="438">
        <v>0</v>
      </c>
      <c r="Z477" s="438">
        <v>0</v>
      </c>
      <c r="AA477" s="438">
        <v>0</v>
      </c>
      <c r="AB477" s="438">
        <v>0</v>
      </c>
      <c r="AC477" s="438">
        <v>78000</v>
      </c>
      <c r="AD477" s="438">
        <v>53820</v>
      </c>
      <c r="AE477" s="438">
        <v>0</v>
      </c>
      <c r="AF477" s="438">
        <v>0</v>
      </c>
      <c r="AG477" s="438">
        <v>78000</v>
      </c>
      <c r="AH477" s="438">
        <v>53820</v>
      </c>
      <c r="AI477" s="438">
        <v>21982</v>
      </c>
      <c r="AJ477" s="438">
        <v>2198</v>
      </c>
      <c r="AK477" s="438">
        <v>24180</v>
      </c>
      <c r="AL477" s="414" t="str">
        <f t="shared" si="42"/>
        <v>워커힐 시그니처 양념 본갈비 300g, 4개</v>
      </c>
      <c r="AM477" s="395">
        <f t="shared" si="43"/>
        <v>46063</v>
      </c>
      <c r="AN477" s="396">
        <f t="shared" si="44"/>
        <v>1</v>
      </c>
      <c r="AO477" s="109">
        <f t="shared" si="45"/>
        <v>78000</v>
      </c>
      <c r="AP477" s="109">
        <f t="shared" si="46"/>
        <v>70909.090909090897</v>
      </c>
      <c r="AQ477" s="397">
        <f t="shared" ref="AQ477:AQ540" si="48">AN477*AP477</f>
        <v>70909.090909090897</v>
      </c>
    </row>
    <row r="478" spans="1:43" ht="24">
      <c r="A478" s="436" t="s">
        <v>4763</v>
      </c>
      <c r="B478" s="436" t="s">
        <v>3490</v>
      </c>
      <c r="C478" s="437" t="s">
        <v>3491</v>
      </c>
      <c r="D478" s="436" t="s">
        <v>4764</v>
      </c>
      <c r="E478" s="437" t="s">
        <v>4665</v>
      </c>
      <c r="F478" s="436" t="s">
        <v>4666</v>
      </c>
      <c r="G478" s="436" t="s">
        <v>3495</v>
      </c>
      <c r="H478" s="437" t="s">
        <v>4667</v>
      </c>
      <c r="I478" s="436" t="s">
        <v>3497</v>
      </c>
      <c r="J478" s="437" t="s">
        <v>3498</v>
      </c>
      <c r="K478" s="437" t="s">
        <v>3499</v>
      </c>
      <c r="L478" s="436" t="s">
        <v>3500</v>
      </c>
      <c r="M478" s="436" t="s">
        <v>4677</v>
      </c>
      <c r="N478" s="436" t="s">
        <v>3502</v>
      </c>
      <c r="O478" s="438">
        <v>78000</v>
      </c>
      <c r="P478" s="438">
        <v>53820</v>
      </c>
      <c r="Q478" s="438">
        <v>1</v>
      </c>
      <c r="R478" s="438">
        <v>0</v>
      </c>
      <c r="S478" s="438">
        <v>0</v>
      </c>
      <c r="T478" s="438">
        <v>0</v>
      </c>
      <c r="U478" s="438">
        <v>0</v>
      </c>
      <c r="V478" s="438">
        <v>0</v>
      </c>
      <c r="W478" s="438">
        <v>31</v>
      </c>
      <c r="X478" s="438">
        <v>11700</v>
      </c>
      <c r="Y478" s="438">
        <v>0</v>
      </c>
      <c r="Z478" s="438">
        <v>0</v>
      </c>
      <c r="AA478" s="438">
        <v>0</v>
      </c>
      <c r="AB478" s="438">
        <v>0</v>
      </c>
      <c r="AC478" s="438">
        <v>78000</v>
      </c>
      <c r="AD478" s="438">
        <v>53820</v>
      </c>
      <c r="AE478" s="438">
        <v>0</v>
      </c>
      <c r="AF478" s="438">
        <v>11700</v>
      </c>
      <c r="AG478" s="438">
        <v>66300</v>
      </c>
      <c r="AH478" s="438">
        <v>53820</v>
      </c>
      <c r="AI478" s="438">
        <v>11345</v>
      </c>
      <c r="AJ478" s="438">
        <v>1135</v>
      </c>
      <c r="AK478" s="438">
        <v>12480</v>
      </c>
      <c r="AL478" s="414" t="str">
        <f t="shared" si="42"/>
        <v>워커힐 시그니처 양념 본갈비 300g, 4개</v>
      </c>
      <c r="AM478" s="395">
        <f t="shared" si="43"/>
        <v>46063</v>
      </c>
      <c r="AN478" s="396">
        <f t="shared" si="44"/>
        <v>1</v>
      </c>
      <c r="AO478" s="109">
        <f t="shared" si="45"/>
        <v>78000</v>
      </c>
      <c r="AP478" s="109">
        <f t="shared" si="46"/>
        <v>70909.090909090897</v>
      </c>
      <c r="AQ478" s="397">
        <f t="shared" si="48"/>
        <v>70909.090909090897</v>
      </c>
    </row>
    <row r="479" spans="1:43" ht="24">
      <c r="A479" s="436" t="s">
        <v>4765</v>
      </c>
      <c r="B479" s="436" t="s">
        <v>3490</v>
      </c>
      <c r="C479" s="437" t="s">
        <v>3491</v>
      </c>
      <c r="D479" s="436" t="s">
        <v>4761</v>
      </c>
      <c r="E479" s="437" t="s">
        <v>4762</v>
      </c>
      <c r="F479" s="436" t="s">
        <v>4666</v>
      </c>
      <c r="G479" s="436" t="s">
        <v>3495</v>
      </c>
      <c r="H479" s="437" t="s">
        <v>4667</v>
      </c>
      <c r="I479" s="436" t="s">
        <v>3497</v>
      </c>
      <c r="J479" s="437" t="s">
        <v>3498</v>
      </c>
      <c r="K479" s="437" t="s">
        <v>3499</v>
      </c>
      <c r="L479" s="436" t="s">
        <v>3500</v>
      </c>
      <c r="M479" s="436" t="s">
        <v>4677</v>
      </c>
      <c r="N479" s="436" t="s">
        <v>3502</v>
      </c>
      <c r="O479" s="438">
        <v>78000</v>
      </c>
      <c r="P479" s="438">
        <v>53820</v>
      </c>
      <c r="Q479" s="438">
        <v>1</v>
      </c>
      <c r="R479" s="438">
        <v>0</v>
      </c>
      <c r="S479" s="438">
        <v>0</v>
      </c>
      <c r="T479" s="438">
        <v>0</v>
      </c>
      <c r="U479" s="438">
        <v>0</v>
      </c>
      <c r="V479" s="438">
        <v>0</v>
      </c>
      <c r="W479" s="438">
        <v>31</v>
      </c>
      <c r="X479" s="438">
        <v>12480</v>
      </c>
      <c r="Y479" s="438">
        <v>0</v>
      </c>
      <c r="Z479" s="438">
        <v>0</v>
      </c>
      <c r="AA479" s="438">
        <v>0</v>
      </c>
      <c r="AB479" s="438">
        <v>0</v>
      </c>
      <c r="AC479" s="438">
        <v>78000</v>
      </c>
      <c r="AD479" s="438">
        <v>53820</v>
      </c>
      <c r="AE479" s="438">
        <v>0</v>
      </c>
      <c r="AF479" s="438">
        <v>12480</v>
      </c>
      <c r="AG479" s="438">
        <v>65520</v>
      </c>
      <c r="AH479" s="438">
        <v>53820</v>
      </c>
      <c r="AI479" s="438">
        <v>10636</v>
      </c>
      <c r="AJ479" s="438">
        <v>1064</v>
      </c>
      <c r="AK479" s="438">
        <v>11700</v>
      </c>
      <c r="AL479" s="414" t="str">
        <f t="shared" si="42"/>
        <v>워커힐 시그니처 양념 본갈비 300g, 4개</v>
      </c>
      <c r="AM479" s="395">
        <f t="shared" si="43"/>
        <v>46063</v>
      </c>
      <c r="AN479" s="396">
        <f t="shared" si="44"/>
        <v>1</v>
      </c>
      <c r="AO479" s="109">
        <f t="shared" si="45"/>
        <v>78000</v>
      </c>
      <c r="AP479" s="109">
        <f t="shared" si="46"/>
        <v>70909.090909090897</v>
      </c>
      <c r="AQ479" s="397">
        <f t="shared" si="48"/>
        <v>70909.090909090897</v>
      </c>
    </row>
    <row r="480" spans="1:43" ht="24">
      <c r="A480" s="436" t="s">
        <v>4767</v>
      </c>
      <c r="B480" s="436" t="s">
        <v>3490</v>
      </c>
      <c r="C480" s="437" t="s">
        <v>3491</v>
      </c>
      <c r="D480" s="436" t="s">
        <v>4775</v>
      </c>
      <c r="E480" s="437" t="s">
        <v>3813</v>
      </c>
      <c r="F480" s="436" t="s">
        <v>3494</v>
      </c>
      <c r="G480" s="436" t="s">
        <v>3495</v>
      </c>
      <c r="H480" s="437" t="s">
        <v>3496</v>
      </c>
      <c r="I480" s="436" t="s">
        <v>3497</v>
      </c>
      <c r="J480" s="437" t="s">
        <v>3498</v>
      </c>
      <c r="K480" s="437" t="s">
        <v>163</v>
      </c>
      <c r="L480" s="436" t="s">
        <v>3500</v>
      </c>
      <c r="M480" s="436" t="s">
        <v>4769</v>
      </c>
      <c r="N480" s="436" t="s">
        <v>3502</v>
      </c>
      <c r="O480" s="438">
        <v>119000</v>
      </c>
      <c r="P480" s="438">
        <v>80920</v>
      </c>
      <c r="Q480" s="438">
        <v>1</v>
      </c>
      <c r="R480" s="438">
        <v>0</v>
      </c>
      <c r="S480" s="438">
        <v>0</v>
      </c>
      <c r="T480" s="438">
        <v>0</v>
      </c>
      <c r="U480" s="438">
        <v>0</v>
      </c>
      <c r="V480" s="438">
        <v>0</v>
      </c>
      <c r="W480" s="438">
        <v>32</v>
      </c>
      <c r="X480" s="438">
        <v>0</v>
      </c>
      <c r="Y480" s="438">
        <v>0</v>
      </c>
      <c r="Z480" s="438">
        <v>0</v>
      </c>
      <c r="AA480" s="438">
        <v>0</v>
      </c>
      <c r="AB480" s="438">
        <v>0</v>
      </c>
      <c r="AC480" s="438">
        <v>119000</v>
      </c>
      <c r="AD480" s="438">
        <v>80920</v>
      </c>
      <c r="AE480" s="438">
        <v>0</v>
      </c>
      <c r="AF480" s="438">
        <v>0</v>
      </c>
      <c r="AG480" s="438">
        <v>119000</v>
      </c>
      <c r="AH480" s="438">
        <v>80920</v>
      </c>
      <c r="AI480" s="438">
        <v>34618</v>
      </c>
      <c r="AJ480" s="438">
        <v>3462</v>
      </c>
      <c r="AK480" s="438">
        <v>38080</v>
      </c>
      <c r="AL480" s="414" t="str">
        <f t="shared" si="42"/>
        <v>워커힐 시그니처 양념 본갈비 300g, 8개</v>
      </c>
      <c r="AM480" s="395">
        <f t="shared" si="43"/>
        <v>46064</v>
      </c>
      <c r="AN480" s="396">
        <f t="shared" si="44"/>
        <v>1</v>
      </c>
      <c r="AO480" s="109">
        <f t="shared" si="45"/>
        <v>119000</v>
      </c>
      <c r="AP480" s="109">
        <f t="shared" si="46"/>
        <v>108181.81818181818</v>
      </c>
      <c r="AQ480" s="397">
        <f t="shared" si="48"/>
        <v>108181.81818181818</v>
      </c>
    </row>
    <row r="481" spans="1:43" ht="24">
      <c r="A481" s="436" t="s">
        <v>4770</v>
      </c>
      <c r="B481" s="436" t="s">
        <v>3490</v>
      </c>
      <c r="C481" s="437" t="s">
        <v>3491</v>
      </c>
      <c r="D481" s="436" t="s">
        <v>4771</v>
      </c>
      <c r="E481" s="437" t="s">
        <v>4772</v>
      </c>
      <c r="F481" s="436" t="s">
        <v>3494</v>
      </c>
      <c r="G481" s="436" t="s">
        <v>3495</v>
      </c>
      <c r="H481" s="437" t="s">
        <v>3496</v>
      </c>
      <c r="I481" s="436" t="s">
        <v>3497</v>
      </c>
      <c r="J481" s="437" t="s">
        <v>3498</v>
      </c>
      <c r="K481" s="437" t="s">
        <v>3499</v>
      </c>
      <c r="L481" s="436" t="s">
        <v>3500</v>
      </c>
      <c r="M481" s="436" t="s">
        <v>4769</v>
      </c>
      <c r="N481" s="436" t="s">
        <v>3510</v>
      </c>
      <c r="O481" s="438">
        <v>119000</v>
      </c>
      <c r="P481" s="438">
        <v>80920</v>
      </c>
      <c r="Q481" s="438">
        <v>-1</v>
      </c>
      <c r="R481" s="438">
        <v>0</v>
      </c>
      <c r="S481" s="438">
        <v>0</v>
      </c>
      <c r="T481" s="438">
        <v>0</v>
      </c>
      <c r="U481" s="438">
        <v>0</v>
      </c>
      <c r="V481" s="438">
        <v>0</v>
      </c>
      <c r="W481" s="438">
        <v>32</v>
      </c>
      <c r="X481" s="438">
        <v>0</v>
      </c>
      <c r="Y481" s="438">
        <v>0</v>
      </c>
      <c r="Z481" s="438">
        <v>0</v>
      </c>
      <c r="AA481" s="438">
        <v>0</v>
      </c>
      <c r="AB481" s="438">
        <v>0</v>
      </c>
      <c r="AC481" s="438">
        <v>-119000</v>
      </c>
      <c r="AD481" s="438">
        <v>-80920</v>
      </c>
      <c r="AE481" s="438">
        <v>0</v>
      </c>
      <c r="AF481" s="438">
        <v>0</v>
      </c>
      <c r="AG481" s="438">
        <v>-119000</v>
      </c>
      <c r="AH481" s="438">
        <v>-80920</v>
      </c>
      <c r="AI481" s="438">
        <v>-34618</v>
      </c>
      <c r="AJ481" s="438">
        <v>-3462</v>
      </c>
      <c r="AK481" s="438">
        <v>-38080</v>
      </c>
      <c r="AL481" s="414" t="str">
        <f t="shared" si="42"/>
        <v>워커힐 시그니처 양념 본갈비 300g, 8개</v>
      </c>
      <c r="AM481" s="395" t="str">
        <f t="shared" si="43"/>
        <v/>
      </c>
      <c r="AN481" s="396">
        <f t="shared" si="44"/>
        <v>-1</v>
      </c>
      <c r="AO481" s="109">
        <f t="shared" si="45"/>
        <v>119000</v>
      </c>
      <c r="AP481" s="109">
        <f t="shared" si="46"/>
        <v>108181.81818181818</v>
      </c>
      <c r="AQ481" s="397">
        <f t="shared" si="48"/>
        <v>-108181.81818181818</v>
      </c>
    </row>
    <row r="482" spans="1:43" ht="24">
      <c r="A482" s="436" t="s">
        <v>4773</v>
      </c>
      <c r="B482" s="436" t="s">
        <v>3490</v>
      </c>
      <c r="C482" s="437" t="s">
        <v>3491</v>
      </c>
      <c r="D482" s="436" t="s">
        <v>4768</v>
      </c>
      <c r="E482" s="437" t="s">
        <v>4522</v>
      </c>
      <c r="F482" s="436" t="s">
        <v>3494</v>
      </c>
      <c r="G482" s="436" t="s">
        <v>3495</v>
      </c>
      <c r="H482" s="437" t="s">
        <v>3496</v>
      </c>
      <c r="I482" s="436" t="s">
        <v>3497</v>
      </c>
      <c r="J482" s="437" t="s">
        <v>3498</v>
      </c>
      <c r="K482" s="437" t="s">
        <v>163</v>
      </c>
      <c r="L482" s="436" t="s">
        <v>3500</v>
      </c>
      <c r="M482" s="436" t="s">
        <v>4769</v>
      </c>
      <c r="N482" s="436" t="s">
        <v>3502</v>
      </c>
      <c r="O482" s="438">
        <v>119000</v>
      </c>
      <c r="P482" s="438">
        <v>82110</v>
      </c>
      <c r="Q482" s="438">
        <v>1</v>
      </c>
      <c r="R482" s="438">
        <v>0</v>
      </c>
      <c r="S482" s="438">
        <v>0</v>
      </c>
      <c r="T482" s="438">
        <v>0</v>
      </c>
      <c r="U482" s="438">
        <v>0</v>
      </c>
      <c r="V482" s="438">
        <v>0</v>
      </c>
      <c r="W482" s="438">
        <v>31</v>
      </c>
      <c r="X482" s="438">
        <v>0</v>
      </c>
      <c r="Y482" s="438">
        <v>5950</v>
      </c>
      <c r="Z482" s="438">
        <v>0</v>
      </c>
      <c r="AA482" s="438">
        <v>0</v>
      </c>
      <c r="AB482" s="438">
        <v>0</v>
      </c>
      <c r="AC482" s="438">
        <v>119000</v>
      </c>
      <c r="AD482" s="438">
        <v>82110</v>
      </c>
      <c r="AE482" s="438">
        <v>0</v>
      </c>
      <c r="AF482" s="438">
        <v>5950</v>
      </c>
      <c r="AG482" s="438">
        <v>113050</v>
      </c>
      <c r="AH482" s="438">
        <v>82110</v>
      </c>
      <c r="AI482" s="438">
        <v>28127</v>
      </c>
      <c r="AJ482" s="438">
        <v>2813</v>
      </c>
      <c r="AK482" s="438">
        <v>30940</v>
      </c>
      <c r="AL482" s="414" t="str">
        <f t="shared" si="42"/>
        <v>워커힐 시그니처 양념 본갈비 300g, 8개</v>
      </c>
      <c r="AM482" s="395">
        <f t="shared" si="43"/>
        <v>46064</v>
      </c>
      <c r="AN482" s="396">
        <f t="shared" si="44"/>
        <v>1</v>
      </c>
      <c r="AO482" s="109">
        <f t="shared" si="45"/>
        <v>119000</v>
      </c>
      <c r="AP482" s="109">
        <f t="shared" si="46"/>
        <v>108181.81818181818</v>
      </c>
      <c r="AQ482" s="397">
        <f t="shared" si="48"/>
        <v>108181.81818181818</v>
      </c>
    </row>
    <row r="483" spans="1:43" ht="24">
      <c r="A483" s="436" t="s">
        <v>4774</v>
      </c>
      <c r="B483" s="436" t="s">
        <v>3490</v>
      </c>
      <c r="C483" s="437" t="s">
        <v>3491</v>
      </c>
      <c r="D483" s="436" t="s">
        <v>4777</v>
      </c>
      <c r="E483" s="437" t="s">
        <v>4541</v>
      </c>
      <c r="F483" s="436" t="s">
        <v>3494</v>
      </c>
      <c r="G483" s="436" t="s">
        <v>3495</v>
      </c>
      <c r="H483" s="437" t="s">
        <v>3496</v>
      </c>
      <c r="I483" s="436" t="s">
        <v>3497</v>
      </c>
      <c r="J483" s="437" t="s">
        <v>3498</v>
      </c>
      <c r="K483" s="437" t="s">
        <v>163</v>
      </c>
      <c r="L483" s="436" t="s">
        <v>3500</v>
      </c>
      <c r="M483" s="436" t="s">
        <v>4769</v>
      </c>
      <c r="N483" s="436" t="s">
        <v>3502</v>
      </c>
      <c r="O483" s="438">
        <v>119000</v>
      </c>
      <c r="P483" s="438">
        <v>82110</v>
      </c>
      <c r="Q483" s="438">
        <v>4</v>
      </c>
      <c r="R483" s="438">
        <v>0</v>
      </c>
      <c r="S483" s="438">
        <v>0</v>
      </c>
      <c r="T483" s="438">
        <v>0</v>
      </c>
      <c r="U483" s="438">
        <v>0</v>
      </c>
      <c r="V483" s="438">
        <v>0</v>
      </c>
      <c r="W483" s="438">
        <v>31</v>
      </c>
      <c r="X483" s="438">
        <v>0</v>
      </c>
      <c r="Y483" s="438">
        <v>23800</v>
      </c>
      <c r="Z483" s="438">
        <v>0</v>
      </c>
      <c r="AA483" s="438">
        <v>0</v>
      </c>
      <c r="AB483" s="438">
        <v>0</v>
      </c>
      <c r="AC483" s="438">
        <v>476000</v>
      </c>
      <c r="AD483" s="438">
        <v>328440</v>
      </c>
      <c r="AE483" s="438">
        <v>0</v>
      </c>
      <c r="AF483" s="438">
        <v>23800</v>
      </c>
      <c r="AG483" s="438">
        <v>452200</v>
      </c>
      <c r="AH483" s="438">
        <v>328440</v>
      </c>
      <c r="AI483" s="438">
        <v>112509</v>
      </c>
      <c r="AJ483" s="438">
        <v>11251</v>
      </c>
      <c r="AK483" s="438">
        <v>123760</v>
      </c>
      <c r="AL483" s="414" t="str">
        <f t="shared" si="42"/>
        <v>워커힐 시그니처 양념 본갈비 300g, 8개</v>
      </c>
      <c r="AM483" s="395">
        <f t="shared" si="43"/>
        <v>46064</v>
      </c>
      <c r="AN483" s="396">
        <f t="shared" si="44"/>
        <v>4</v>
      </c>
      <c r="AO483" s="109">
        <f t="shared" si="45"/>
        <v>119000</v>
      </c>
      <c r="AP483" s="109">
        <f t="shared" si="46"/>
        <v>108181.81818181818</v>
      </c>
      <c r="AQ483" s="397">
        <f t="shared" si="48"/>
        <v>432727.27272727271</v>
      </c>
    </row>
    <row r="484" spans="1:43" ht="24">
      <c r="A484" s="436" t="s">
        <v>4776</v>
      </c>
      <c r="B484" s="436" t="s">
        <v>3490</v>
      </c>
      <c r="C484" s="437" t="s">
        <v>3491</v>
      </c>
      <c r="D484" s="436" t="s">
        <v>4788</v>
      </c>
      <c r="E484" s="437" t="s">
        <v>3760</v>
      </c>
      <c r="F484" s="436" t="s">
        <v>3494</v>
      </c>
      <c r="G484" s="436" t="s">
        <v>3495</v>
      </c>
      <c r="H484" s="437" t="s">
        <v>3496</v>
      </c>
      <c r="I484" s="436" t="s">
        <v>3497</v>
      </c>
      <c r="J484" s="437" t="s">
        <v>3498</v>
      </c>
      <c r="K484" s="437" t="s">
        <v>3499</v>
      </c>
      <c r="L484" s="436" t="s">
        <v>3500</v>
      </c>
      <c r="M484" s="436" t="s">
        <v>4769</v>
      </c>
      <c r="N484" s="436" t="s">
        <v>3502</v>
      </c>
      <c r="O484" s="438">
        <v>119000</v>
      </c>
      <c r="P484" s="438">
        <v>82110</v>
      </c>
      <c r="Q484" s="438">
        <v>1</v>
      </c>
      <c r="R484" s="438">
        <v>0</v>
      </c>
      <c r="S484" s="438">
        <v>0</v>
      </c>
      <c r="T484" s="438">
        <v>0</v>
      </c>
      <c r="U484" s="438">
        <v>0</v>
      </c>
      <c r="V484" s="438">
        <v>0</v>
      </c>
      <c r="W484" s="438">
        <v>31</v>
      </c>
      <c r="X484" s="438">
        <v>0</v>
      </c>
      <c r="Y484" s="438">
        <v>0</v>
      </c>
      <c r="Z484" s="438">
        <v>0</v>
      </c>
      <c r="AA484" s="438">
        <v>0</v>
      </c>
      <c r="AB484" s="438">
        <v>0</v>
      </c>
      <c r="AC484" s="438">
        <v>119000</v>
      </c>
      <c r="AD484" s="438">
        <v>82110</v>
      </c>
      <c r="AE484" s="438">
        <v>0</v>
      </c>
      <c r="AF484" s="438">
        <v>0</v>
      </c>
      <c r="AG484" s="438">
        <v>119000</v>
      </c>
      <c r="AH484" s="438">
        <v>82110</v>
      </c>
      <c r="AI484" s="438">
        <v>33536</v>
      </c>
      <c r="AJ484" s="438">
        <v>3354</v>
      </c>
      <c r="AK484" s="438">
        <v>36890</v>
      </c>
      <c r="AL484" s="414" t="str">
        <f t="shared" si="42"/>
        <v>워커힐 시그니처 양념 본갈비 300g, 8개</v>
      </c>
      <c r="AM484" s="395">
        <f t="shared" si="43"/>
        <v>46064</v>
      </c>
      <c r="AN484" s="396">
        <f t="shared" si="44"/>
        <v>1</v>
      </c>
      <c r="AO484" s="109">
        <f t="shared" si="45"/>
        <v>119000</v>
      </c>
      <c r="AP484" s="109">
        <f t="shared" si="46"/>
        <v>108181.81818181818</v>
      </c>
      <c r="AQ484" s="397">
        <f t="shared" si="48"/>
        <v>108181.81818181818</v>
      </c>
    </row>
    <row r="485" spans="1:43" ht="24">
      <c r="A485" s="436" t="s">
        <v>4778</v>
      </c>
      <c r="B485" s="436" t="s">
        <v>3490</v>
      </c>
      <c r="C485" s="437" t="s">
        <v>3491</v>
      </c>
      <c r="D485" s="436" t="s">
        <v>4795</v>
      </c>
      <c r="E485" s="437" t="s">
        <v>3677</v>
      </c>
      <c r="F485" s="436" t="s">
        <v>3494</v>
      </c>
      <c r="G485" s="436" t="s">
        <v>3495</v>
      </c>
      <c r="H485" s="437" t="s">
        <v>3496</v>
      </c>
      <c r="I485" s="436" t="s">
        <v>3497</v>
      </c>
      <c r="J485" s="437" t="s">
        <v>3498</v>
      </c>
      <c r="K485" s="437" t="s">
        <v>3548</v>
      </c>
      <c r="L485" s="436" t="s">
        <v>3500</v>
      </c>
      <c r="M485" s="436" t="s">
        <v>4769</v>
      </c>
      <c r="N485" s="436" t="s">
        <v>3502</v>
      </c>
      <c r="O485" s="438">
        <v>119000</v>
      </c>
      <c r="P485" s="438">
        <v>82110</v>
      </c>
      <c r="Q485" s="438">
        <v>1</v>
      </c>
      <c r="R485" s="438">
        <v>0</v>
      </c>
      <c r="S485" s="438">
        <v>0</v>
      </c>
      <c r="T485" s="438">
        <v>0</v>
      </c>
      <c r="U485" s="438">
        <v>0</v>
      </c>
      <c r="V485" s="438">
        <v>0</v>
      </c>
      <c r="W485" s="438">
        <v>31</v>
      </c>
      <c r="X485" s="438">
        <v>0</v>
      </c>
      <c r="Y485" s="438">
        <v>0</v>
      </c>
      <c r="Z485" s="438">
        <v>0</v>
      </c>
      <c r="AA485" s="438">
        <v>0</v>
      </c>
      <c r="AB485" s="438">
        <v>0</v>
      </c>
      <c r="AC485" s="438">
        <v>119000</v>
      </c>
      <c r="AD485" s="438">
        <v>82110</v>
      </c>
      <c r="AE485" s="438">
        <v>0</v>
      </c>
      <c r="AF485" s="438">
        <v>0</v>
      </c>
      <c r="AG485" s="438">
        <v>119000</v>
      </c>
      <c r="AH485" s="438">
        <v>82110</v>
      </c>
      <c r="AI485" s="438">
        <v>33536</v>
      </c>
      <c r="AJ485" s="438">
        <v>3354</v>
      </c>
      <c r="AK485" s="438">
        <v>36890</v>
      </c>
      <c r="AL485" s="414" t="str">
        <f t="shared" si="42"/>
        <v>워커힐 시그니처 양념 본갈비 300g, 8개</v>
      </c>
      <c r="AM485" s="395">
        <f t="shared" si="43"/>
        <v>46064</v>
      </c>
      <c r="AN485" s="396">
        <f t="shared" si="44"/>
        <v>1</v>
      </c>
      <c r="AO485" s="109">
        <f t="shared" si="45"/>
        <v>119000</v>
      </c>
      <c r="AP485" s="109">
        <f t="shared" si="46"/>
        <v>108181.81818181818</v>
      </c>
      <c r="AQ485" s="397">
        <f t="shared" si="48"/>
        <v>108181.81818181818</v>
      </c>
    </row>
    <row r="486" spans="1:43" ht="24">
      <c r="A486" s="436" t="s">
        <v>4781</v>
      </c>
      <c r="B486" s="436" t="s">
        <v>3490</v>
      </c>
      <c r="C486" s="437" t="s">
        <v>3491</v>
      </c>
      <c r="D486" s="436" t="s">
        <v>4785</v>
      </c>
      <c r="E486" s="437" t="s">
        <v>4786</v>
      </c>
      <c r="F486" s="436" t="s">
        <v>3494</v>
      </c>
      <c r="G486" s="436" t="s">
        <v>3495</v>
      </c>
      <c r="H486" s="437" t="s">
        <v>3496</v>
      </c>
      <c r="I486" s="436" t="s">
        <v>3497</v>
      </c>
      <c r="J486" s="437" t="s">
        <v>3498</v>
      </c>
      <c r="K486" s="437" t="s">
        <v>3499</v>
      </c>
      <c r="L486" s="436" t="s">
        <v>3500</v>
      </c>
      <c r="M486" s="436" t="s">
        <v>4769</v>
      </c>
      <c r="N486" s="436" t="s">
        <v>3502</v>
      </c>
      <c r="O486" s="438">
        <v>119000</v>
      </c>
      <c r="P486" s="438">
        <v>80920</v>
      </c>
      <c r="Q486" s="438">
        <v>1</v>
      </c>
      <c r="R486" s="438">
        <v>0</v>
      </c>
      <c r="S486" s="438">
        <v>0</v>
      </c>
      <c r="T486" s="438">
        <v>0</v>
      </c>
      <c r="U486" s="438">
        <v>0</v>
      </c>
      <c r="V486" s="438">
        <v>0</v>
      </c>
      <c r="W486" s="438">
        <v>32</v>
      </c>
      <c r="X486" s="438">
        <v>23800</v>
      </c>
      <c r="Y486" s="438">
        <v>0</v>
      </c>
      <c r="Z486" s="438">
        <v>0</v>
      </c>
      <c r="AA486" s="438">
        <v>0</v>
      </c>
      <c r="AB486" s="438">
        <v>0</v>
      </c>
      <c r="AC486" s="438">
        <v>119000</v>
      </c>
      <c r="AD486" s="438">
        <v>80920</v>
      </c>
      <c r="AE486" s="438">
        <v>0</v>
      </c>
      <c r="AF486" s="438">
        <v>23800</v>
      </c>
      <c r="AG486" s="438">
        <v>95200</v>
      </c>
      <c r="AH486" s="438">
        <v>80920</v>
      </c>
      <c r="AI486" s="438">
        <v>12982</v>
      </c>
      <c r="AJ486" s="438">
        <v>1298</v>
      </c>
      <c r="AK486" s="438">
        <v>14280</v>
      </c>
      <c r="AL486" s="414" t="str">
        <f t="shared" si="42"/>
        <v>워커힐 시그니처 양념 본갈비 300g, 8개</v>
      </c>
      <c r="AM486" s="395">
        <f t="shared" si="43"/>
        <v>46064</v>
      </c>
      <c r="AN486" s="396">
        <f t="shared" si="44"/>
        <v>1</v>
      </c>
      <c r="AO486" s="109">
        <f t="shared" si="45"/>
        <v>119000</v>
      </c>
      <c r="AP486" s="109">
        <f t="shared" si="46"/>
        <v>108181.81818181818</v>
      </c>
      <c r="AQ486" s="397">
        <f t="shared" si="48"/>
        <v>108181.81818181818</v>
      </c>
    </row>
    <row r="487" spans="1:43" ht="24">
      <c r="A487" s="436" t="s">
        <v>4784</v>
      </c>
      <c r="B487" s="436" t="s">
        <v>3490</v>
      </c>
      <c r="C487" s="437" t="s">
        <v>3491</v>
      </c>
      <c r="D487" s="436" t="s">
        <v>4779</v>
      </c>
      <c r="E487" s="437" t="s">
        <v>4780</v>
      </c>
      <c r="F487" s="436" t="s">
        <v>3494</v>
      </c>
      <c r="G487" s="436" t="s">
        <v>3495</v>
      </c>
      <c r="H487" s="437" t="s">
        <v>3496</v>
      </c>
      <c r="I487" s="436" t="s">
        <v>3497</v>
      </c>
      <c r="J487" s="437" t="s">
        <v>3498</v>
      </c>
      <c r="K487" s="437" t="s">
        <v>163</v>
      </c>
      <c r="L487" s="436" t="s">
        <v>3500</v>
      </c>
      <c r="M487" s="436" t="s">
        <v>4769</v>
      </c>
      <c r="N487" s="436" t="s">
        <v>3502</v>
      </c>
      <c r="O487" s="438">
        <v>119000</v>
      </c>
      <c r="P487" s="438">
        <v>82110</v>
      </c>
      <c r="Q487" s="438">
        <v>1</v>
      </c>
      <c r="R487" s="438">
        <v>0</v>
      </c>
      <c r="S487" s="438">
        <v>0</v>
      </c>
      <c r="T487" s="438">
        <v>0</v>
      </c>
      <c r="U487" s="438">
        <v>0</v>
      </c>
      <c r="V487" s="438">
        <v>0</v>
      </c>
      <c r="W487" s="438">
        <v>31</v>
      </c>
      <c r="X487" s="438">
        <v>0</v>
      </c>
      <c r="Y487" s="438">
        <v>5950</v>
      </c>
      <c r="Z487" s="438">
        <v>0</v>
      </c>
      <c r="AA487" s="438">
        <v>0</v>
      </c>
      <c r="AB487" s="438">
        <v>0</v>
      </c>
      <c r="AC487" s="438">
        <v>119000</v>
      </c>
      <c r="AD487" s="438">
        <v>82110</v>
      </c>
      <c r="AE487" s="438">
        <v>0</v>
      </c>
      <c r="AF487" s="438">
        <v>5950</v>
      </c>
      <c r="AG487" s="438">
        <v>113050</v>
      </c>
      <c r="AH487" s="438">
        <v>82110</v>
      </c>
      <c r="AI487" s="438">
        <v>28127</v>
      </c>
      <c r="AJ487" s="438">
        <v>2813</v>
      </c>
      <c r="AK487" s="438">
        <v>30940</v>
      </c>
      <c r="AL487" s="414" t="str">
        <f t="shared" si="42"/>
        <v>워커힐 시그니처 양념 본갈비 300g, 8개</v>
      </c>
      <c r="AM487" s="395">
        <f t="shared" si="43"/>
        <v>46064</v>
      </c>
      <c r="AN487" s="396">
        <f t="shared" si="44"/>
        <v>1</v>
      </c>
      <c r="AO487" s="109">
        <f t="shared" si="45"/>
        <v>119000</v>
      </c>
      <c r="AP487" s="109">
        <f t="shared" si="46"/>
        <v>108181.81818181818</v>
      </c>
      <c r="AQ487" s="397">
        <f t="shared" si="48"/>
        <v>108181.81818181818</v>
      </c>
    </row>
    <row r="488" spans="1:43" ht="24">
      <c r="A488" s="436" t="s">
        <v>4787</v>
      </c>
      <c r="B488" s="436" t="s">
        <v>3490</v>
      </c>
      <c r="C488" s="437" t="s">
        <v>3491</v>
      </c>
      <c r="D488" s="436" t="s">
        <v>4802</v>
      </c>
      <c r="E488" s="437" t="s">
        <v>4803</v>
      </c>
      <c r="F488" s="436" t="s">
        <v>3494</v>
      </c>
      <c r="G488" s="436" t="s">
        <v>3495</v>
      </c>
      <c r="H488" s="437" t="s">
        <v>3496</v>
      </c>
      <c r="I488" s="436" t="s">
        <v>3497</v>
      </c>
      <c r="J488" s="437" t="s">
        <v>3498</v>
      </c>
      <c r="K488" s="437" t="s">
        <v>3548</v>
      </c>
      <c r="L488" s="436" t="s">
        <v>3500</v>
      </c>
      <c r="M488" s="436" t="s">
        <v>4769</v>
      </c>
      <c r="N488" s="436" t="s">
        <v>3502</v>
      </c>
      <c r="O488" s="438">
        <v>119000</v>
      </c>
      <c r="P488" s="438">
        <v>82110</v>
      </c>
      <c r="Q488" s="438">
        <v>1</v>
      </c>
      <c r="R488" s="438">
        <v>0</v>
      </c>
      <c r="S488" s="438">
        <v>0</v>
      </c>
      <c r="T488" s="438">
        <v>0</v>
      </c>
      <c r="U488" s="438">
        <v>0</v>
      </c>
      <c r="V488" s="438">
        <v>0</v>
      </c>
      <c r="W488" s="438">
        <v>31</v>
      </c>
      <c r="X488" s="438">
        <v>0</v>
      </c>
      <c r="Y488" s="438">
        <v>0</v>
      </c>
      <c r="Z488" s="438">
        <v>0</v>
      </c>
      <c r="AA488" s="438">
        <v>0</v>
      </c>
      <c r="AB488" s="438">
        <v>0</v>
      </c>
      <c r="AC488" s="438">
        <v>119000</v>
      </c>
      <c r="AD488" s="438">
        <v>82110</v>
      </c>
      <c r="AE488" s="438">
        <v>0</v>
      </c>
      <c r="AF488" s="438">
        <v>0</v>
      </c>
      <c r="AG488" s="438">
        <v>119000</v>
      </c>
      <c r="AH488" s="438">
        <v>82110</v>
      </c>
      <c r="AI488" s="438">
        <v>33536</v>
      </c>
      <c r="AJ488" s="438">
        <v>3354</v>
      </c>
      <c r="AK488" s="438">
        <v>36890</v>
      </c>
      <c r="AL488" s="414" t="str">
        <f t="shared" si="42"/>
        <v>워커힐 시그니처 양념 본갈비 300g, 8개</v>
      </c>
      <c r="AM488" s="395">
        <f t="shared" si="43"/>
        <v>46064</v>
      </c>
      <c r="AN488" s="396">
        <f t="shared" si="44"/>
        <v>1</v>
      </c>
      <c r="AO488" s="109">
        <f t="shared" si="45"/>
        <v>119000</v>
      </c>
      <c r="AP488" s="109">
        <f t="shared" si="46"/>
        <v>108181.81818181818</v>
      </c>
      <c r="AQ488" s="397">
        <f t="shared" si="48"/>
        <v>108181.81818181818</v>
      </c>
    </row>
    <row r="489" spans="1:43" ht="24">
      <c r="A489" s="436" t="s">
        <v>4789</v>
      </c>
      <c r="B489" s="436" t="s">
        <v>3490</v>
      </c>
      <c r="C489" s="437" t="s">
        <v>3491</v>
      </c>
      <c r="D489" s="436" t="s">
        <v>4782</v>
      </c>
      <c r="E489" s="437" t="s">
        <v>4783</v>
      </c>
      <c r="F489" s="436" t="s">
        <v>3494</v>
      </c>
      <c r="G489" s="436" t="s">
        <v>3495</v>
      </c>
      <c r="H489" s="437" t="s">
        <v>3496</v>
      </c>
      <c r="I489" s="436" t="s">
        <v>3497</v>
      </c>
      <c r="J489" s="437" t="s">
        <v>3498</v>
      </c>
      <c r="K489" s="437" t="s">
        <v>3499</v>
      </c>
      <c r="L489" s="436" t="s">
        <v>3500</v>
      </c>
      <c r="M489" s="436" t="s">
        <v>4769</v>
      </c>
      <c r="N489" s="436" t="s">
        <v>3502</v>
      </c>
      <c r="O489" s="438">
        <v>119000</v>
      </c>
      <c r="P489" s="438">
        <v>80920</v>
      </c>
      <c r="Q489" s="438">
        <v>1</v>
      </c>
      <c r="R489" s="438">
        <v>0</v>
      </c>
      <c r="S489" s="438">
        <v>0</v>
      </c>
      <c r="T489" s="438">
        <v>0</v>
      </c>
      <c r="U489" s="438">
        <v>0</v>
      </c>
      <c r="V489" s="438">
        <v>0</v>
      </c>
      <c r="W489" s="438">
        <v>32</v>
      </c>
      <c r="X489" s="438">
        <v>20230</v>
      </c>
      <c r="Y489" s="438">
        <v>0</v>
      </c>
      <c r="Z489" s="438">
        <v>0</v>
      </c>
      <c r="AA489" s="438">
        <v>0</v>
      </c>
      <c r="AB489" s="438">
        <v>0</v>
      </c>
      <c r="AC489" s="438">
        <v>119000</v>
      </c>
      <c r="AD489" s="438">
        <v>80920</v>
      </c>
      <c r="AE489" s="438">
        <v>0</v>
      </c>
      <c r="AF489" s="438">
        <v>20230</v>
      </c>
      <c r="AG489" s="438">
        <v>98770</v>
      </c>
      <c r="AH489" s="438">
        <v>80920</v>
      </c>
      <c r="AI489" s="438">
        <v>16227</v>
      </c>
      <c r="AJ489" s="438">
        <v>1623</v>
      </c>
      <c r="AK489" s="438">
        <v>17850</v>
      </c>
      <c r="AL489" s="414" t="str">
        <f t="shared" si="42"/>
        <v>워커힐 시그니처 양념 본갈비 300g, 8개</v>
      </c>
      <c r="AM489" s="395">
        <f t="shared" si="43"/>
        <v>46064</v>
      </c>
      <c r="AN489" s="396">
        <f t="shared" si="44"/>
        <v>1</v>
      </c>
      <c r="AO489" s="109">
        <f t="shared" si="45"/>
        <v>119000</v>
      </c>
      <c r="AP489" s="109">
        <f t="shared" si="46"/>
        <v>108181.81818181818</v>
      </c>
      <c r="AQ489" s="397">
        <f t="shared" si="48"/>
        <v>108181.81818181818</v>
      </c>
    </row>
    <row r="490" spans="1:43" ht="24">
      <c r="A490" s="436" t="s">
        <v>4792</v>
      </c>
      <c r="B490" s="436" t="s">
        <v>3490</v>
      </c>
      <c r="C490" s="437" t="s">
        <v>3491</v>
      </c>
      <c r="D490" s="436" t="s">
        <v>4793</v>
      </c>
      <c r="E490" s="437" t="s">
        <v>4720</v>
      </c>
      <c r="F490" s="436" t="s">
        <v>3494</v>
      </c>
      <c r="G490" s="436" t="s">
        <v>3495</v>
      </c>
      <c r="H490" s="437" t="s">
        <v>3496</v>
      </c>
      <c r="I490" s="436" t="s">
        <v>3497</v>
      </c>
      <c r="J490" s="437" t="s">
        <v>3498</v>
      </c>
      <c r="K490" s="437" t="s">
        <v>3499</v>
      </c>
      <c r="L490" s="436" t="s">
        <v>3500</v>
      </c>
      <c r="M490" s="436" t="s">
        <v>4769</v>
      </c>
      <c r="N490" s="436" t="s">
        <v>3502</v>
      </c>
      <c r="O490" s="438">
        <v>119000</v>
      </c>
      <c r="P490" s="438">
        <v>82110</v>
      </c>
      <c r="Q490" s="438">
        <v>1</v>
      </c>
      <c r="R490" s="438">
        <v>0</v>
      </c>
      <c r="S490" s="438">
        <v>0</v>
      </c>
      <c r="T490" s="438">
        <v>0</v>
      </c>
      <c r="U490" s="438">
        <v>0</v>
      </c>
      <c r="V490" s="438">
        <v>0</v>
      </c>
      <c r="W490" s="438">
        <v>31</v>
      </c>
      <c r="X490" s="438">
        <v>0</v>
      </c>
      <c r="Y490" s="438">
        <v>10000</v>
      </c>
      <c r="Z490" s="438">
        <v>0</v>
      </c>
      <c r="AA490" s="438">
        <v>0</v>
      </c>
      <c r="AB490" s="438">
        <v>0</v>
      </c>
      <c r="AC490" s="438">
        <v>119000</v>
      </c>
      <c r="AD490" s="438">
        <v>82110</v>
      </c>
      <c r="AE490" s="438">
        <v>0</v>
      </c>
      <c r="AF490" s="438">
        <v>10000</v>
      </c>
      <c r="AG490" s="438">
        <v>109000</v>
      </c>
      <c r="AH490" s="438">
        <v>82110</v>
      </c>
      <c r="AI490" s="438">
        <v>24445</v>
      </c>
      <c r="AJ490" s="438">
        <v>2445</v>
      </c>
      <c r="AK490" s="438">
        <v>26890</v>
      </c>
      <c r="AL490" s="414" t="str">
        <f t="shared" si="42"/>
        <v>워커힐 시그니처 양념 본갈비 300g, 8개</v>
      </c>
      <c r="AM490" s="395">
        <f t="shared" si="43"/>
        <v>46064</v>
      </c>
      <c r="AN490" s="396">
        <f t="shared" si="44"/>
        <v>1</v>
      </c>
      <c r="AO490" s="109">
        <f t="shared" si="45"/>
        <v>119000</v>
      </c>
      <c r="AP490" s="109">
        <f t="shared" si="46"/>
        <v>108181.81818181818</v>
      </c>
      <c r="AQ490" s="397">
        <f t="shared" si="48"/>
        <v>108181.81818181818</v>
      </c>
    </row>
    <row r="491" spans="1:43" ht="24">
      <c r="A491" s="436" t="s">
        <v>4794</v>
      </c>
      <c r="B491" s="436" t="s">
        <v>3490</v>
      </c>
      <c r="C491" s="437" t="s">
        <v>3491</v>
      </c>
      <c r="D491" s="436" t="s">
        <v>4771</v>
      </c>
      <c r="E491" s="437" t="s">
        <v>4772</v>
      </c>
      <c r="F491" s="436" t="s">
        <v>3494</v>
      </c>
      <c r="G491" s="436" t="s">
        <v>3495</v>
      </c>
      <c r="H491" s="437" t="s">
        <v>3496</v>
      </c>
      <c r="I491" s="436" t="s">
        <v>3497</v>
      </c>
      <c r="J491" s="437" t="s">
        <v>3498</v>
      </c>
      <c r="K491" s="437" t="s">
        <v>3499</v>
      </c>
      <c r="L491" s="436" t="s">
        <v>3500</v>
      </c>
      <c r="M491" s="436" t="s">
        <v>4769</v>
      </c>
      <c r="N491" s="436" t="s">
        <v>3502</v>
      </c>
      <c r="O491" s="438">
        <v>119000</v>
      </c>
      <c r="P491" s="438">
        <v>80920</v>
      </c>
      <c r="Q491" s="438">
        <v>1</v>
      </c>
      <c r="R491" s="438">
        <v>0</v>
      </c>
      <c r="S491" s="438">
        <v>0</v>
      </c>
      <c r="T491" s="438">
        <v>0</v>
      </c>
      <c r="U491" s="438">
        <v>0</v>
      </c>
      <c r="V491" s="438">
        <v>0</v>
      </c>
      <c r="W491" s="438">
        <v>32</v>
      </c>
      <c r="X491" s="438">
        <v>0</v>
      </c>
      <c r="Y491" s="438">
        <v>0</v>
      </c>
      <c r="Z491" s="438">
        <v>0</v>
      </c>
      <c r="AA491" s="438">
        <v>0</v>
      </c>
      <c r="AB491" s="438">
        <v>0</v>
      </c>
      <c r="AC491" s="438">
        <v>119000</v>
      </c>
      <c r="AD491" s="438">
        <v>80920</v>
      </c>
      <c r="AE491" s="438">
        <v>0</v>
      </c>
      <c r="AF491" s="438">
        <v>0</v>
      </c>
      <c r="AG491" s="438">
        <v>119000</v>
      </c>
      <c r="AH491" s="438">
        <v>80920</v>
      </c>
      <c r="AI491" s="438">
        <v>34618</v>
      </c>
      <c r="AJ491" s="438">
        <v>3462</v>
      </c>
      <c r="AK491" s="438">
        <v>38080</v>
      </c>
      <c r="AL491" s="414" t="str">
        <f t="shared" si="42"/>
        <v>워커힐 시그니처 양념 본갈비 300g, 8개</v>
      </c>
      <c r="AM491" s="395">
        <f t="shared" si="43"/>
        <v>46064</v>
      </c>
      <c r="AN491" s="396">
        <f t="shared" si="44"/>
        <v>1</v>
      </c>
      <c r="AO491" s="109">
        <f t="shared" si="45"/>
        <v>119000</v>
      </c>
      <c r="AP491" s="109">
        <f t="shared" si="46"/>
        <v>108181.81818181818</v>
      </c>
      <c r="AQ491" s="397">
        <f t="shared" si="48"/>
        <v>108181.81818181818</v>
      </c>
    </row>
    <row r="492" spans="1:43" ht="24">
      <c r="A492" s="436" t="s">
        <v>4796</v>
      </c>
      <c r="B492" s="436" t="s">
        <v>3490</v>
      </c>
      <c r="C492" s="437" t="s">
        <v>3491</v>
      </c>
      <c r="D492" s="436" t="s">
        <v>4797</v>
      </c>
      <c r="E492" s="437" t="s">
        <v>4798</v>
      </c>
      <c r="F492" s="436" t="s">
        <v>3494</v>
      </c>
      <c r="G492" s="436" t="s">
        <v>3495</v>
      </c>
      <c r="H492" s="437" t="s">
        <v>3496</v>
      </c>
      <c r="I492" s="436" t="s">
        <v>3497</v>
      </c>
      <c r="J492" s="437" t="s">
        <v>3498</v>
      </c>
      <c r="K492" s="437" t="s">
        <v>3499</v>
      </c>
      <c r="L492" s="436" t="s">
        <v>3500</v>
      </c>
      <c r="M492" s="436" t="s">
        <v>4769</v>
      </c>
      <c r="N492" s="436" t="s">
        <v>3502</v>
      </c>
      <c r="O492" s="438">
        <v>119000</v>
      </c>
      <c r="P492" s="438">
        <v>82110</v>
      </c>
      <c r="Q492" s="438">
        <v>1</v>
      </c>
      <c r="R492" s="438">
        <v>0</v>
      </c>
      <c r="S492" s="438">
        <v>0</v>
      </c>
      <c r="T492" s="438">
        <v>0</v>
      </c>
      <c r="U492" s="438">
        <v>0</v>
      </c>
      <c r="V492" s="438">
        <v>0</v>
      </c>
      <c r="W492" s="438">
        <v>31</v>
      </c>
      <c r="X492" s="438">
        <v>0</v>
      </c>
      <c r="Y492" s="438">
        <v>0</v>
      </c>
      <c r="Z492" s="438">
        <v>0</v>
      </c>
      <c r="AA492" s="438">
        <v>0</v>
      </c>
      <c r="AB492" s="438">
        <v>820</v>
      </c>
      <c r="AC492" s="438">
        <v>119000</v>
      </c>
      <c r="AD492" s="438">
        <v>82110</v>
      </c>
      <c r="AE492" s="438">
        <v>0</v>
      </c>
      <c r="AF492" s="438">
        <v>820</v>
      </c>
      <c r="AG492" s="438">
        <v>118180</v>
      </c>
      <c r="AH492" s="438">
        <v>82110</v>
      </c>
      <c r="AI492" s="438">
        <v>32791</v>
      </c>
      <c r="AJ492" s="438">
        <v>3279</v>
      </c>
      <c r="AK492" s="438">
        <v>36070</v>
      </c>
      <c r="AL492" s="414" t="str">
        <f t="shared" si="42"/>
        <v>워커힐 시그니처 양념 본갈비 300g, 8개</v>
      </c>
      <c r="AM492" s="395">
        <f t="shared" si="43"/>
        <v>46064</v>
      </c>
      <c r="AN492" s="396">
        <f t="shared" si="44"/>
        <v>1</v>
      </c>
      <c r="AO492" s="109">
        <f t="shared" si="45"/>
        <v>119000</v>
      </c>
      <c r="AP492" s="109">
        <f t="shared" si="46"/>
        <v>108181.81818181818</v>
      </c>
      <c r="AQ492" s="397">
        <f t="shared" si="48"/>
        <v>108181.81818181818</v>
      </c>
    </row>
    <row r="493" spans="1:43" ht="24">
      <c r="A493" s="436" t="s">
        <v>4799</v>
      </c>
      <c r="B493" s="436" t="s">
        <v>3490</v>
      </c>
      <c r="C493" s="437" t="s">
        <v>3491</v>
      </c>
      <c r="D493" s="436" t="s">
        <v>4800</v>
      </c>
      <c r="E493" s="437" t="s">
        <v>3541</v>
      </c>
      <c r="F493" s="436" t="s">
        <v>3494</v>
      </c>
      <c r="G493" s="436" t="s">
        <v>3495</v>
      </c>
      <c r="H493" s="437" t="s">
        <v>3496</v>
      </c>
      <c r="I493" s="436" t="s">
        <v>3497</v>
      </c>
      <c r="J493" s="437" t="s">
        <v>3498</v>
      </c>
      <c r="K493" s="437" t="s">
        <v>3548</v>
      </c>
      <c r="L493" s="436" t="s">
        <v>3500</v>
      </c>
      <c r="M493" s="436" t="s">
        <v>4769</v>
      </c>
      <c r="N493" s="436" t="s">
        <v>3502</v>
      </c>
      <c r="O493" s="438">
        <v>119000</v>
      </c>
      <c r="P493" s="438">
        <v>82110</v>
      </c>
      <c r="Q493" s="438">
        <v>1</v>
      </c>
      <c r="R493" s="438">
        <v>0</v>
      </c>
      <c r="S493" s="438">
        <v>0</v>
      </c>
      <c r="T493" s="438">
        <v>0</v>
      </c>
      <c r="U493" s="438">
        <v>0</v>
      </c>
      <c r="V493" s="438">
        <v>0</v>
      </c>
      <c r="W493" s="438">
        <v>31</v>
      </c>
      <c r="X493" s="438">
        <v>0</v>
      </c>
      <c r="Y493" s="438">
        <v>0</v>
      </c>
      <c r="Z493" s="438">
        <v>0</v>
      </c>
      <c r="AA493" s="438">
        <v>0</v>
      </c>
      <c r="AB493" s="438">
        <v>0</v>
      </c>
      <c r="AC493" s="438">
        <v>119000</v>
      </c>
      <c r="AD493" s="438">
        <v>82110</v>
      </c>
      <c r="AE493" s="438">
        <v>0</v>
      </c>
      <c r="AF493" s="438">
        <v>0</v>
      </c>
      <c r="AG493" s="438">
        <v>119000</v>
      </c>
      <c r="AH493" s="438">
        <v>82110</v>
      </c>
      <c r="AI493" s="438">
        <v>33536</v>
      </c>
      <c r="AJ493" s="438">
        <v>3354</v>
      </c>
      <c r="AK493" s="438">
        <v>36890</v>
      </c>
      <c r="AL493" s="414" t="str">
        <f t="shared" si="42"/>
        <v>워커힐 시그니처 양념 본갈비 300g, 8개</v>
      </c>
      <c r="AM493" s="395">
        <f t="shared" si="43"/>
        <v>46064</v>
      </c>
      <c r="AN493" s="396">
        <f t="shared" si="44"/>
        <v>1</v>
      </c>
      <c r="AO493" s="109">
        <f t="shared" si="45"/>
        <v>119000</v>
      </c>
      <c r="AP493" s="109">
        <f t="shared" si="46"/>
        <v>108181.81818181818</v>
      </c>
      <c r="AQ493" s="397">
        <f t="shared" si="48"/>
        <v>108181.81818181818</v>
      </c>
    </row>
    <row r="494" spans="1:43" ht="24">
      <c r="A494" s="436" t="s">
        <v>4801</v>
      </c>
      <c r="B494" s="436" t="s">
        <v>3490</v>
      </c>
      <c r="C494" s="437" t="s">
        <v>3491</v>
      </c>
      <c r="D494" s="436" t="s">
        <v>4790</v>
      </c>
      <c r="E494" s="437" t="s">
        <v>4791</v>
      </c>
      <c r="F494" s="436" t="s">
        <v>3494</v>
      </c>
      <c r="G494" s="436" t="s">
        <v>3495</v>
      </c>
      <c r="H494" s="437" t="s">
        <v>3496</v>
      </c>
      <c r="I494" s="436" t="s">
        <v>3497</v>
      </c>
      <c r="J494" s="437" t="s">
        <v>3498</v>
      </c>
      <c r="K494" s="437" t="s">
        <v>3548</v>
      </c>
      <c r="L494" s="436" t="s">
        <v>3500</v>
      </c>
      <c r="M494" s="436" t="s">
        <v>4769</v>
      </c>
      <c r="N494" s="436" t="s">
        <v>3502</v>
      </c>
      <c r="O494" s="438">
        <v>119000</v>
      </c>
      <c r="P494" s="438">
        <v>82110</v>
      </c>
      <c r="Q494" s="438">
        <v>1</v>
      </c>
      <c r="R494" s="438">
        <v>0</v>
      </c>
      <c r="S494" s="438">
        <v>0</v>
      </c>
      <c r="T494" s="438">
        <v>0</v>
      </c>
      <c r="U494" s="438">
        <v>0</v>
      </c>
      <c r="V494" s="438">
        <v>0</v>
      </c>
      <c r="W494" s="438">
        <v>31</v>
      </c>
      <c r="X494" s="438">
        <v>0</v>
      </c>
      <c r="Y494" s="438">
        <v>0</v>
      </c>
      <c r="Z494" s="438">
        <v>0</v>
      </c>
      <c r="AA494" s="438">
        <v>0</v>
      </c>
      <c r="AB494" s="438">
        <v>0</v>
      </c>
      <c r="AC494" s="438">
        <v>119000</v>
      </c>
      <c r="AD494" s="438">
        <v>82110</v>
      </c>
      <c r="AE494" s="438">
        <v>0</v>
      </c>
      <c r="AF494" s="438">
        <v>0</v>
      </c>
      <c r="AG494" s="438">
        <v>119000</v>
      </c>
      <c r="AH494" s="438">
        <v>82110</v>
      </c>
      <c r="AI494" s="438">
        <v>33536</v>
      </c>
      <c r="AJ494" s="438">
        <v>3354</v>
      </c>
      <c r="AK494" s="438">
        <v>36890</v>
      </c>
      <c r="AL494" s="414" t="str">
        <f t="shared" si="42"/>
        <v>워커힐 시그니처 양념 본갈비 300g, 8개</v>
      </c>
      <c r="AM494" s="395">
        <f t="shared" si="43"/>
        <v>46064</v>
      </c>
      <c r="AN494" s="396">
        <f t="shared" si="44"/>
        <v>1</v>
      </c>
      <c r="AO494" s="109">
        <f t="shared" si="45"/>
        <v>119000</v>
      </c>
      <c r="AP494" s="109">
        <f t="shared" si="46"/>
        <v>108181.81818181818</v>
      </c>
      <c r="AQ494" s="397">
        <f t="shared" si="48"/>
        <v>108181.81818181818</v>
      </c>
    </row>
    <row r="495" spans="1:43" ht="24">
      <c r="A495" s="436" t="s">
        <v>4804</v>
      </c>
      <c r="B495" s="436" t="s">
        <v>3490</v>
      </c>
      <c r="C495" s="437" t="s">
        <v>3491</v>
      </c>
      <c r="D495" s="436" t="s">
        <v>4805</v>
      </c>
      <c r="E495" s="437" t="s">
        <v>4806</v>
      </c>
      <c r="F495" s="436" t="s">
        <v>4666</v>
      </c>
      <c r="G495" s="436" t="s">
        <v>3495</v>
      </c>
      <c r="H495" s="437" t="s">
        <v>4667</v>
      </c>
      <c r="I495" s="436" t="s">
        <v>3497</v>
      </c>
      <c r="J495" s="437" t="s">
        <v>3498</v>
      </c>
      <c r="K495" s="437" t="s">
        <v>3499</v>
      </c>
      <c r="L495" s="436" t="s">
        <v>3500</v>
      </c>
      <c r="M495" s="436" t="s">
        <v>4769</v>
      </c>
      <c r="N495" s="436" t="s">
        <v>3502</v>
      </c>
      <c r="O495" s="438">
        <v>78000</v>
      </c>
      <c r="P495" s="438">
        <v>53820</v>
      </c>
      <c r="Q495" s="438">
        <v>1</v>
      </c>
      <c r="R495" s="438">
        <v>0</v>
      </c>
      <c r="S495" s="438">
        <v>0</v>
      </c>
      <c r="T495" s="438">
        <v>0</v>
      </c>
      <c r="U495" s="438">
        <v>0</v>
      </c>
      <c r="V495" s="438">
        <v>0</v>
      </c>
      <c r="W495" s="438">
        <v>31</v>
      </c>
      <c r="X495" s="438">
        <v>3900</v>
      </c>
      <c r="Y495" s="438">
        <v>0</v>
      </c>
      <c r="Z495" s="438">
        <v>0</v>
      </c>
      <c r="AA495" s="438">
        <v>0</v>
      </c>
      <c r="AB495" s="438">
        <v>0</v>
      </c>
      <c r="AC495" s="438">
        <v>78000</v>
      </c>
      <c r="AD495" s="438">
        <v>53820</v>
      </c>
      <c r="AE495" s="438">
        <v>0</v>
      </c>
      <c r="AF495" s="438">
        <v>3900</v>
      </c>
      <c r="AG495" s="438">
        <v>74100</v>
      </c>
      <c r="AH495" s="438">
        <v>53820</v>
      </c>
      <c r="AI495" s="438">
        <v>18436</v>
      </c>
      <c r="AJ495" s="438">
        <v>1844</v>
      </c>
      <c r="AK495" s="438">
        <v>20280</v>
      </c>
      <c r="AL495" s="414" t="str">
        <f t="shared" si="42"/>
        <v>워커힐 시그니처 양념 본갈비 300g, 4개</v>
      </c>
      <c r="AM495" s="395">
        <f t="shared" si="43"/>
        <v>46064</v>
      </c>
      <c r="AN495" s="396">
        <f t="shared" si="44"/>
        <v>1</v>
      </c>
      <c r="AO495" s="109">
        <f t="shared" si="45"/>
        <v>78000</v>
      </c>
      <c r="AP495" s="109">
        <f t="shared" si="46"/>
        <v>70909.090909090897</v>
      </c>
      <c r="AQ495" s="397">
        <f t="shared" si="48"/>
        <v>70909.090909090897</v>
      </c>
    </row>
    <row r="496" spans="1:43" ht="24">
      <c r="A496" s="436" t="s">
        <v>4807</v>
      </c>
      <c r="B496" s="436" t="s">
        <v>3490</v>
      </c>
      <c r="C496" s="437" t="s">
        <v>3491</v>
      </c>
      <c r="D496" s="436" t="s">
        <v>4972</v>
      </c>
      <c r="E496" s="437" t="s">
        <v>4946</v>
      </c>
      <c r="F496" s="436" t="s">
        <v>3494</v>
      </c>
      <c r="G496" s="436" t="s">
        <v>3495</v>
      </c>
      <c r="H496" s="437" t="s">
        <v>3496</v>
      </c>
      <c r="I496" s="436" t="s">
        <v>3497</v>
      </c>
      <c r="J496" s="437" t="s">
        <v>3498</v>
      </c>
      <c r="K496" s="437" t="s">
        <v>3499</v>
      </c>
      <c r="L496" s="436" t="s">
        <v>3500</v>
      </c>
      <c r="M496" s="436" t="s">
        <v>4809</v>
      </c>
      <c r="N496" s="436" t="s">
        <v>3502</v>
      </c>
      <c r="O496" s="438">
        <v>119000</v>
      </c>
      <c r="P496" s="438">
        <v>80920</v>
      </c>
      <c r="Q496" s="438">
        <v>1</v>
      </c>
      <c r="R496" s="438">
        <v>0</v>
      </c>
      <c r="S496" s="438">
        <v>0</v>
      </c>
      <c r="T496" s="438">
        <v>0</v>
      </c>
      <c r="U496" s="438">
        <v>0</v>
      </c>
      <c r="V496" s="438">
        <v>0</v>
      </c>
      <c r="W496" s="438">
        <v>32</v>
      </c>
      <c r="X496" s="438">
        <v>0</v>
      </c>
      <c r="Y496" s="438">
        <v>0</v>
      </c>
      <c r="Z496" s="438">
        <v>0</v>
      </c>
      <c r="AA496" s="438">
        <v>0</v>
      </c>
      <c r="AB496" s="438">
        <v>0</v>
      </c>
      <c r="AC496" s="438">
        <v>119000</v>
      </c>
      <c r="AD496" s="438">
        <v>80920</v>
      </c>
      <c r="AE496" s="438">
        <v>0</v>
      </c>
      <c r="AF496" s="438">
        <v>0</v>
      </c>
      <c r="AG496" s="438">
        <v>119000</v>
      </c>
      <c r="AH496" s="438">
        <v>80920</v>
      </c>
      <c r="AI496" s="438">
        <v>34618</v>
      </c>
      <c r="AJ496" s="438">
        <v>3462</v>
      </c>
      <c r="AK496" s="438">
        <v>38080</v>
      </c>
      <c r="AL496" s="414" t="str">
        <f t="shared" si="42"/>
        <v>워커힐 시그니처 양념 본갈비 300g, 8개</v>
      </c>
      <c r="AM496" s="395">
        <f t="shared" si="43"/>
        <v>46065</v>
      </c>
      <c r="AN496" s="396">
        <f t="shared" si="44"/>
        <v>1</v>
      </c>
      <c r="AO496" s="109">
        <f t="shared" si="45"/>
        <v>119000</v>
      </c>
      <c r="AP496" s="109">
        <f t="shared" si="46"/>
        <v>108181.81818181818</v>
      </c>
      <c r="AQ496" s="397">
        <f t="shared" si="48"/>
        <v>108181.81818181818</v>
      </c>
    </row>
    <row r="497" spans="1:43" ht="24">
      <c r="A497" s="436" t="s">
        <v>4810</v>
      </c>
      <c r="B497" s="436" t="s">
        <v>3490</v>
      </c>
      <c r="C497" s="437" t="s">
        <v>3491</v>
      </c>
      <c r="D497" s="436" t="s">
        <v>4945</v>
      </c>
      <c r="E497" s="437" t="s">
        <v>4946</v>
      </c>
      <c r="F497" s="436" t="s">
        <v>3494</v>
      </c>
      <c r="G497" s="436" t="s">
        <v>3495</v>
      </c>
      <c r="H497" s="437" t="s">
        <v>3496</v>
      </c>
      <c r="I497" s="436" t="s">
        <v>3497</v>
      </c>
      <c r="J497" s="437" t="s">
        <v>3498</v>
      </c>
      <c r="K497" s="437" t="s">
        <v>3499</v>
      </c>
      <c r="L497" s="436" t="s">
        <v>3500</v>
      </c>
      <c r="M497" s="436" t="s">
        <v>4809</v>
      </c>
      <c r="N497" s="436" t="s">
        <v>3502</v>
      </c>
      <c r="O497" s="438">
        <v>119000</v>
      </c>
      <c r="P497" s="438">
        <v>80920</v>
      </c>
      <c r="Q497" s="438">
        <v>1</v>
      </c>
      <c r="R497" s="438">
        <v>0</v>
      </c>
      <c r="S497" s="438">
        <v>0</v>
      </c>
      <c r="T497" s="438">
        <v>0</v>
      </c>
      <c r="U497" s="438">
        <v>0</v>
      </c>
      <c r="V497" s="438">
        <v>0</v>
      </c>
      <c r="W497" s="438">
        <v>32</v>
      </c>
      <c r="X497" s="438">
        <v>0</v>
      </c>
      <c r="Y497" s="438">
        <v>0</v>
      </c>
      <c r="Z497" s="438">
        <v>0</v>
      </c>
      <c r="AA497" s="438">
        <v>0</v>
      </c>
      <c r="AB497" s="438">
        <v>0</v>
      </c>
      <c r="AC497" s="438">
        <v>119000</v>
      </c>
      <c r="AD497" s="438">
        <v>80920</v>
      </c>
      <c r="AE497" s="438">
        <v>0</v>
      </c>
      <c r="AF497" s="438">
        <v>0</v>
      </c>
      <c r="AG497" s="438">
        <v>119000</v>
      </c>
      <c r="AH497" s="438">
        <v>80920</v>
      </c>
      <c r="AI497" s="438">
        <v>34618</v>
      </c>
      <c r="AJ497" s="438">
        <v>3462</v>
      </c>
      <c r="AK497" s="438">
        <v>38080</v>
      </c>
      <c r="AL497" s="414" t="str">
        <f t="shared" si="42"/>
        <v>워커힐 시그니처 양념 본갈비 300g, 8개</v>
      </c>
      <c r="AM497" s="395">
        <f t="shared" si="43"/>
        <v>46065</v>
      </c>
      <c r="AN497" s="396">
        <f t="shared" si="44"/>
        <v>1</v>
      </c>
      <c r="AO497" s="109">
        <f t="shared" si="45"/>
        <v>119000</v>
      </c>
      <c r="AP497" s="109">
        <f t="shared" si="46"/>
        <v>108181.81818181818</v>
      </c>
      <c r="AQ497" s="397">
        <f t="shared" si="48"/>
        <v>108181.81818181818</v>
      </c>
    </row>
    <row r="498" spans="1:43" ht="24">
      <c r="A498" s="436" t="s">
        <v>4813</v>
      </c>
      <c r="B498" s="436" t="s">
        <v>3490</v>
      </c>
      <c r="C498" s="437" t="s">
        <v>3491</v>
      </c>
      <c r="D498" s="436" t="s">
        <v>5051</v>
      </c>
      <c r="E498" s="437" t="s">
        <v>3541</v>
      </c>
      <c r="F498" s="436" t="s">
        <v>3494</v>
      </c>
      <c r="G498" s="436" t="s">
        <v>3495</v>
      </c>
      <c r="H498" s="437" t="s">
        <v>3496</v>
      </c>
      <c r="I498" s="436" t="s">
        <v>3497</v>
      </c>
      <c r="J498" s="437" t="s">
        <v>3498</v>
      </c>
      <c r="K498" s="437" t="s">
        <v>3499</v>
      </c>
      <c r="L498" s="436" t="s">
        <v>3500</v>
      </c>
      <c r="M498" s="436" t="s">
        <v>4809</v>
      </c>
      <c r="N498" s="436" t="s">
        <v>3502</v>
      </c>
      <c r="O498" s="438">
        <v>119000</v>
      </c>
      <c r="P498" s="438">
        <v>80920</v>
      </c>
      <c r="Q498" s="438">
        <v>1</v>
      </c>
      <c r="R498" s="438">
        <v>0</v>
      </c>
      <c r="S498" s="438">
        <v>0</v>
      </c>
      <c r="T498" s="438">
        <v>0</v>
      </c>
      <c r="U498" s="438">
        <v>0</v>
      </c>
      <c r="V498" s="438">
        <v>0</v>
      </c>
      <c r="W498" s="438">
        <v>32</v>
      </c>
      <c r="X498" s="438">
        <v>0</v>
      </c>
      <c r="Y498" s="438">
        <v>0</v>
      </c>
      <c r="Z498" s="438">
        <v>0</v>
      </c>
      <c r="AA498" s="438">
        <v>0</v>
      </c>
      <c r="AB498" s="438">
        <v>5950</v>
      </c>
      <c r="AC498" s="438">
        <v>119000</v>
      </c>
      <c r="AD498" s="438">
        <v>80920</v>
      </c>
      <c r="AE498" s="438">
        <v>0</v>
      </c>
      <c r="AF498" s="438">
        <v>5950</v>
      </c>
      <c r="AG498" s="438">
        <v>113050</v>
      </c>
      <c r="AH498" s="438">
        <v>80920</v>
      </c>
      <c r="AI498" s="438">
        <v>29209</v>
      </c>
      <c r="AJ498" s="438">
        <v>2921</v>
      </c>
      <c r="AK498" s="438">
        <v>32130</v>
      </c>
      <c r="AL498" s="414" t="str">
        <f t="shared" si="42"/>
        <v>워커힐 시그니처 양념 본갈비 300g, 8개</v>
      </c>
      <c r="AM498" s="395">
        <f t="shared" si="43"/>
        <v>46065</v>
      </c>
      <c r="AN498" s="396">
        <f t="shared" si="44"/>
        <v>1</v>
      </c>
      <c r="AO498" s="109">
        <f t="shared" si="45"/>
        <v>119000</v>
      </c>
      <c r="AP498" s="109">
        <f t="shared" si="46"/>
        <v>108181.81818181818</v>
      </c>
      <c r="AQ498" s="397">
        <f t="shared" si="48"/>
        <v>108181.81818181818</v>
      </c>
    </row>
    <row r="499" spans="1:43" ht="24">
      <c r="A499" s="436" t="s">
        <v>4815</v>
      </c>
      <c r="B499" s="436" t="s">
        <v>3490</v>
      </c>
      <c r="C499" s="437" t="s">
        <v>3491</v>
      </c>
      <c r="D499" s="436" t="s">
        <v>5053</v>
      </c>
      <c r="E499" s="437" t="s">
        <v>5054</v>
      </c>
      <c r="F499" s="436" t="s">
        <v>3494</v>
      </c>
      <c r="G499" s="436" t="s">
        <v>3495</v>
      </c>
      <c r="H499" s="437" t="s">
        <v>3496</v>
      </c>
      <c r="I499" s="436" t="s">
        <v>3497</v>
      </c>
      <c r="J499" s="437" t="s">
        <v>3498</v>
      </c>
      <c r="K499" s="437" t="s">
        <v>163</v>
      </c>
      <c r="L499" s="436" t="s">
        <v>3500</v>
      </c>
      <c r="M499" s="436" t="s">
        <v>4809</v>
      </c>
      <c r="N499" s="436" t="s">
        <v>3502</v>
      </c>
      <c r="O499" s="438">
        <v>119000</v>
      </c>
      <c r="P499" s="438">
        <v>80920</v>
      </c>
      <c r="Q499" s="438">
        <v>1</v>
      </c>
      <c r="R499" s="438">
        <v>0</v>
      </c>
      <c r="S499" s="438">
        <v>0</v>
      </c>
      <c r="T499" s="438">
        <v>0</v>
      </c>
      <c r="U499" s="438">
        <v>0</v>
      </c>
      <c r="V499" s="438">
        <v>0</v>
      </c>
      <c r="W499" s="438">
        <v>32</v>
      </c>
      <c r="X499" s="438">
        <v>0</v>
      </c>
      <c r="Y499" s="438">
        <v>5950</v>
      </c>
      <c r="Z499" s="438">
        <v>0</v>
      </c>
      <c r="AA499" s="438">
        <v>0</v>
      </c>
      <c r="AB499" s="438">
        <v>0</v>
      </c>
      <c r="AC499" s="438">
        <v>119000</v>
      </c>
      <c r="AD499" s="438">
        <v>80920</v>
      </c>
      <c r="AE499" s="438">
        <v>0</v>
      </c>
      <c r="AF499" s="438">
        <v>5950</v>
      </c>
      <c r="AG499" s="438">
        <v>113050</v>
      </c>
      <c r="AH499" s="438">
        <v>80920</v>
      </c>
      <c r="AI499" s="438">
        <v>29209</v>
      </c>
      <c r="AJ499" s="438">
        <v>2921</v>
      </c>
      <c r="AK499" s="438">
        <v>32130</v>
      </c>
      <c r="AL499" s="414" t="str">
        <f t="shared" si="42"/>
        <v>워커힐 시그니처 양념 본갈비 300g, 8개</v>
      </c>
      <c r="AM499" s="395">
        <f t="shared" si="43"/>
        <v>46065</v>
      </c>
      <c r="AN499" s="396">
        <f t="shared" si="44"/>
        <v>1</v>
      </c>
      <c r="AO499" s="109">
        <f t="shared" si="45"/>
        <v>119000</v>
      </c>
      <c r="AP499" s="109">
        <f t="shared" si="46"/>
        <v>108181.81818181818</v>
      </c>
      <c r="AQ499" s="397">
        <f t="shared" si="48"/>
        <v>108181.81818181818</v>
      </c>
    </row>
    <row r="500" spans="1:43" ht="24">
      <c r="A500" s="436" t="s">
        <v>4818</v>
      </c>
      <c r="B500" s="436" t="s">
        <v>3490</v>
      </c>
      <c r="C500" s="437" t="s">
        <v>3491</v>
      </c>
      <c r="D500" s="436" t="s">
        <v>5106</v>
      </c>
      <c r="E500" s="437" t="s">
        <v>3848</v>
      </c>
      <c r="F500" s="436" t="s">
        <v>3494</v>
      </c>
      <c r="G500" s="436" t="s">
        <v>3495</v>
      </c>
      <c r="H500" s="437" t="s">
        <v>3496</v>
      </c>
      <c r="I500" s="436" t="s">
        <v>3497</v>
      </c>
      <c r="J500" s="437" t="s">
        <v>3498</v>
      </c>
      <c r="K500" s="437" t="s">
        <v>3499</v>
      </c>
      <c r="L500" s="436" t="s">
        <v>3500</v>
      </c>
      <c r="M500" s="436" t="s">
        <v>4809</v>
      </c>
      <c r="N500" s="436" t="s">
        <v>3502</v>
      </c>
      <c r="O500" s="438">
        <v>119000</v>
      </c>
      <c r="P500" s="438">
        <v>80920</v>
      </c>
      <c r="Q500" s="438">
        <v>1</v>
      </c>
      <c r="R500" s="438">
        <v>0</v>
      </c>
      <c r="S500" s="438">
        <v>0</v>
      </c>
      <c r="T500" s="438">
        <v>0</v>
      </c>
      <c r="U500" s="438">
        <v>0</v>
      </c>
      <c r="V500" s="438">
        <v>0</v>
      </c>
      <c r="W500" s="438">
        <v>32</v>
      </c>
      <c r="X500" s="438">
        <v>0</v>
      </c>
      <c r="Y500" s="438">
        <v>0</v>
      </c>
      <c r="Z500" s="438">
        <v>0</v>
      </c>
      <c r="AA500" s="438">
        <v>0</v>
      </c>
      <c r="AB500" s="438">
        <v>0</v>
      </c>
      <c r="AC500" s="438">
        <v>119000</v>
      </c>
      <c r="AD500" s="438">
        <v>80920</v>
      </c>
      <c r="AE500" s="438">
        <v>0</v>
      </c>
      <c r="AF500" s="438">
        <v>0</v>
      </c>
      <c r="AG500" s="438">
        <v>119000</v>
      </c>
      <c r="AH500" s="438">
        <v>80920</v>
      </c>
      <c r="AI500" s="438">
        <v>34618</v>
      </c>
      <c r="AJ500" s="438">
        <v>3462</v>
      </c>
      <c r="AK500" s="438">
        <v>38080</v>
      </c>
      <c r="AL500" s="414" t="str">
        <f t="shared" si="42"/>
        <v>워커힐 시그니처 양념 본갈비 300g, 8개</v>
      </c>
      <c r="AM500" s="395">
        <f t="shared" si="43"/>
        <v>46065</v>
      </c>
      <c r="AN500" s="396">
        <f t="shared" si="44"/>
        <v>1</v>
      </c>
      <c r="AO500" s="109">
        <f t="shared" si="45"/>
        <v>119000</v>
      </c>
      <c r="AP500" s="109">
        <f t="shared" si="46"/>
        <v>108181.81818181818</v>
      </c>
      <c r="AQ500" s="397">
        <f t="shared" si="48"/>
        <v>108181.81818181818</v>
      </c>
    </row>
    <row r="501" spans="1:43" ht="24">
      <c r="A501" s="436" t="s">
        <v>4821</v>
      </c>
      <c r="B501" s="436" t="s">
        <v>3490</v>
      </c>
      <c r="C501" s="437" t="s">
        <v>3491</v>
      </c>
      <c r="D501" s="436" t="s">
        <v>5113</v>
      </c>
      <c r="E501" s="437" t="s">
        <v>5114</v>
      </c>
      <c r="F501" s="436" t="s">
        <v>3494</v>
      </c>
      <c r="G501" s="436" t="s">
        <v>3495</v>
      </c>
      <c r="H501" s="437" t="s">
        <v>3496</v>
      </c>
      <c r="I501" s="436" t="s">
        <v>3497</v>
      </c>
      <c r="J501" s="437" t="s">
        <v>3498</v>
      </c>
      <c r="K501" s="437" t="s">
        <v>3499</v>
      </c>
      <c r="L501" s="436" t="s">
        <v>3500</v>
      </c>
      <c r="M501" s="436" t="s">
        <v>4809</v>
      </c>
      <c r="N501" s="436" t="s">
        <v>3502</v>
      </c>
      <c r="O501" s="438">
        <v>119000</v>
      </c>
      <c r="P501" s="438">
        <v>80920</v>
      </c>
      <c r="Q501" s="438">
        <v>1</v>
      </c>
      <c r="R501" s="438">
        <v>0</v>
      </c>
      <c r="S501" s="438">
        <v>0</v>
      </c>
      <c r="T501" s="438">
        <v>0</v>
      </c>
      <c r="U501" s="438">
        <v>0</v>
      </c>
      <c r="V501" s="438">
        <v>0</v>
      </c>
      <c r="W501" s="438">
        <v>32</v>
      </c>
      <c r="X501" s="438">
        <v>0</v>
      </c>
      <c r="Y501" s="438">
        <v>0</v>
      </c>
      <c r="Z501" s="438">
        <v>0</v>
      </c>
      <c r="AA501" s="438">
        <v>0</v>
      </c>
      <c r="AB501" s="438">
        <v>0</v>
      </c>
      <c r="AC501" s="438">
        <v>119000</v>
      </c>
      <c r="AD501" s="438">
        <v>80920</v>
      </c>
      <c r="AE501" s="438">
        <v>0</v>
      </c>
      <c r="AF501" s="438">
        <v>0</v>
      </c>
      <c r="AG501" s="438">
        <v>119000</v>
      </c>
      <c r="AH501" s="438">
        <v>80920</v>
      </c>
      <c r="AI501" s="438">
        <v>34618</v>
      </c>
      <c r="AJ501" s="438">
        <v>3462</v>
      </c>
      <c r="AK501" s="438">
        <v>38080</v>
      </c>
      <c r="AL501" s="414" t="str">
        <f t="shared" si="42"/>
        <v>워커힐 시그니처 양념 본갈비 300g, 8개</v>
      </c>
      <c r="AM501" s="395">
        <f t="shared" si="43"/>
        <v>46065</v>
      </c>
      <c r="AN501" s="396">
        <f t="shared" si="44"/>
        <v>1</v>
      </c>
      <c r="AO501" s="109">
        <f t="shared" si="45"/>
        <v>119000</v>
      </c>
      <c r="AP501" s="109">
        <f t="shared" si="46"/>
        <v>108181.81818181818</v>
      </c>
      <c r="AQ501" s="397">
        <f t="shared" si="48"/>
        <v>108181.81818181818</v>
      </c>
    </row>
    <row r="502" spans="1:43" ht="24">
      <c r="A502" s="436" t="s">
        <v>4823</v>
      </c>
      <c r="B502" s="436" t="s">
        <v>3490</v>
      </c>
      <c r="C502" s="437" t="s">
        <v>3491</v>
      </c>
      <c r="D502" s="436" t="s">
        <v>5008</v>
      </c>
      <c r="E502" s="437" t="s">
        <v>3541</v>
      </c>
      <c r="F502" s="436" t="s">
        <v>3494</v>
      </c>
      <c r="G502" s="436" t="s">
        <v>3495</v>
      </c>
      <c r="H502" s="437" t="s">
        <v>3496</v>
      </c>
      <c r="I502" s="436" t="s">
        <v>3497</v>
      </c>
      <c r="J502" s="437" t="s">
        <v>3498</v>
      </c>
      <c r="K502" s="437" t="s">
        <v>3499</v>
      </c>
      <c r="L502" s="436" t="s">
        <v>3500</v>
      </c>
      <c r="M502" s="436" t="s">
        <v>4809</v>
      </c>
      <c r="N502" s="436" t="s">
        <v>3502</v>
      </c>
      <c r="O502" s="438">
        <v>119000</v>
      </c>
      <c r="P502" s="438">
        <v>80920</v>
      </c>
      <c r="Q502" s="438">
        <v>1</v>
      </c>
      <c r="R502" s="438">
        <v>0</v>
      </c>
      <c r="S502" s="438">
        <v>0</v>
      </c>
      <c r="T502" s="438">
        <v>0</v>
      </c>
      <c r="U502" s="438">
        <v>0</v>
      </c>
      <c r="V502" s="438">
        <v>0</v>
      </c>
      <c r="W502" s="438">
        <v>32</v>
      </c>
      <c r="X502" s="438">
        <v>0</v>
      </c>
      <c r="Y502" s="438">
        <v>0</v>
      </c>
      <c r="Z502" s="438">
        <v>0</v>
      </c>
      <c r="AA502" s="438">
        <v>0</v>
      </c>
      <c r="AB502" s="438">
        <v>0</v>
      </c>
      <c r="AC502" s="438">
        <v>119000</v>
      </c>
      <c r="AD502" s="438">
        <v>80920</v>
      </c>
      <c r="AE502" s="438">
        <v>0</v>
      </c>
      <c r="AF502" s="438">
        <v>0</v>
      </c>
      <c r="AG502" s="438">
        <v>119000</v>
      </c>
      <c r="AH502" s="438">
        <v>80920</v>
      </c>
      <c r="AI502" s="438">
        <v>34618</v>
      </c>
      <c r="AJ502" s="438">
        <v>3462</v>
      </c>
      <c r="AK502" s="438">
        <v>38080</v>
      </c>
      <c r="AL502" s="414" t="str">
        <f t="shared" si="42"/>
        <v>워커힐 시그니처 양념 본갈비 300g, 8개</v>
      </c>
      <c r="AM502" s="395">
        <f t="shared" si="43"/>
        <v>46065</v>
      </c>
      <c r="AN502" s="396">
        <f t="shared" si="44"/>
        <v>1</v>
      </c>
      <c r="AO502" s="109">
        <f t="shared" si="45"/>
        <v>119000</v>
      </c>
      <c r="AP502" s="109">
        <f t="shared" si="46"/>
        <v>108181.81818181818</v>
      </c>
      <c r="AQ502" s="397">
        <f t="shared" si="48"/>
        <v>108181.81818181818</v>
      </c>
    </row>
    <row r="503" spans="1:43" ht="24">
      <c r="A503" s="436" t="s">
        <v>4826</v>
      </c>
      <c r="B503" s="436" t="s">
        <v>3490</v>
      </c>
      <c r="C503" s="437" t="s">
        <v>3491</v>
      </c>
      <c r="D503" s="436" t="s">
        <v>4873</v>
      </c>
      <c r="E503" s="437" t="s">
        <v>4874</v>
      </c>
      <c r="F503" s="436" t="s">
        <v>3494</v>
      </c>
      <c r="G503" s="436" t="s">
        <v>3495</v>
      </c>
      <c r="H503" s="437" t="s">
        <v>3496</v>
      </c>
      <c r="I503" s="436" t="s">
        <v>3497</v>
      </c>
      <c r="J503" s="437" t="s">
        <v>3498</v>
      </c>
      <c r="K503" s="437" t="s">
        <v>3499</v>
      </c>
      <c r="L503" s="436" t="s">
        <v>3500</v>
      </c>
      <c r="M503" s="436" t="s">
        <v>4809</v>
      </c>
      <c r="N503" s="436" t="s">
        <v>3502</v>
      </c>
      <c r="O503" s="438">
        <v>119000</v>
      </c>
      <c r="P503" s="438">
        <v>80920</v>
      </c>
      <c r="Q503" s="438">
        <v>1</v>
      </c>
      <c r="R503" s="438">
        <v>0</v>
      </c>
      <c r="S503" s="438">
        <v>0</v>
      </c>
      <c r="T503" s="438">
        <v>0</v>
      </c>
      <c r="U503" s="438">
        <v>0</v>
      </c>
      <c r="V503" s="438">
        <v>0</v>
      </c>
      <c r="W503" s="438">
        <v>32</v>
      </c>
      <c r="X503" s="438">
        <v>0</v>
      </c>
      <c r="Y503" s="438">
        <v>0</v>
      </c>
      <c r="Z503" s="438">
        <v>0</v>
      </c>
      <c r="AA503" s="438">
        <v>0</v>
      </c>
      <c r="AB503" s="438">
        <v>0</v>
      </c>
      <c r="AC503" s="438">
        <v>119000</v>
      </c>
      <c r="AD503" s="438">
        <v>80920</v>
      </c>
      <c r="AE503" s="438">
        <v>0</v>
      </c>
      <c r="AF503" s="438">
        <v>0</v>
      </c>
      <c r="AG503" s="438">
        <v>119000</v>
      </c>
      <c r="AH503" s="438">
        <v>80920</v>
      </c>
      <c r="AI503" s="438">
        <v>34618</v>
      </c>
      <c r="AJ503" s="438">
        <v>3462</v>
      </c>
      <c r="AK503" s="438">
        <v>38080</v>
      </c>
      <c r="AL503" s="414" t="str">
        <f t="shared" si="42"/>
        <v>워커힐 시그니처 양념 본갈비 300g, 8개</v>
      </c>
      <c r="AM503" s="395">
        <f t="shared" si="43"/>
        <v>46065</v>
      </c>
      <c r="AN503" s="396">
        <f t="shared" si="44"/>
        <v>1</v>
      </c>
      <c r="AO503" s="109">
        <f t="shared" si="45"/>
        <v>119000</v>
      </c>
      <c r="AP503" s="109">
        <f t="shared" si="46"/>
        <v>108181.81818181818</v>
      </c>
      <c r="AQ503" s="397">
        <f t="shared" si="48"/>
        <v>108181.81818181818</v>
      </c>
    </row>
    <row r="504" spans="1:43" ht="24">
      <c r="A504" s="436" t="s">
        <v>4828</v>
      </c>
      <c r="B504" s="436" t="s">
        <v>3490</v>
      </c>
      <c r="C504" s="437" t="s">
        <v>3491</v>
      </c>
      <c r="D504" s="436" t="s">
        <v>4897</v>
      </c>
      <c r="E504" s="437" t="s">
        <v>4599</v>
      </c>
      <c r="F504" s="436" t="s">
        <v>3494</v>
      </c>
      <c r="G504" s="436" t="s">
        <v>3495</v>
      </c>
      <c r="H504" s="437" t="s">
        <v>3496</v>
      </c>
      <c r="I504" s="436" t="s">
        <v>3497</v>
      </c>
      <c r="J504" s="437" t="s">
        <v>3498</v>
      </c>
      <c r="K504" s="437" t="s">
        <v>3499</v>
      </c>
      <c r="L504" s="436" t="s">
        <v>3500</v>
      </c>
      <c r="M504" s="436" t="s">
        <v>4809</v>
      </c>
      <c r="N504" s="436" t="s">
        <v>3502</v>
      </c>
      <c r="O504" s="438">
        <v>119000</v>
      </c>
      <c r="P504" s="438">
        <v>80920</v>
      </c>
      <c r="Q504" s="438">
        <v>1</v>
      </c>
      <c r="R504" s="438">
        <v>0</v>
      </c>
      <c r="S504" s="438">
        <v>0</v>
      </c>
      <c r="T504" s="438">
        <v>0</v>
      </c>
      <c r="U504" s="438">
        <v>0</v>
      </c>
      <c r="V504" s="438">
        <v>0</v>
      </c>
      <c r="W504" s="438">
        <v>32</v>
      </c>
      <c r="X504" s="438">
        <v>0</v>
      </c>
      <c r="Y504" s="438">
        <v>0</v>
      </c>
      <c r="Z504" s="438">
        <v>0</v>
      </c>
      <c r="AA504" s="438">
        <v>0</v>
      </c>
      <c r="AB504" s="438">
        <v>0</v>
      </c>
      <c r="AC504" s="438">
        <v>119000</v>
      </c>
      <c r="AD504" s="438">
        <v>80920</v>
      </c>
      <c r="AE504" s="438">
        <v>0</v>
      </c>
      <c r="AF504" s="438">
        <v>0</v>
      </c>
      <c r="AG504" s="438">
        <v>119000</v>
      </c>
      <c r="AH504" s="438">
        <v>80920</v>
      </c>
      <c r="AI504" s="438">
        <v>34618</v>
      </c>
      <c r="AJ504" s="438">
        <v>3462</v>
      </c>
      <c r="AK504" s="438">
        <v>38080</v>
      </c>
      <c r="AL504" s="414" t="str">
        <f t="shared" si="42"/>
        <v>워커힐 시그니처 양념 본갈비 300g, 8개</v>
      </c>
      <c r="AM504" s="395">
        <f t="shared" si="43"/>
        <v>46065</v>
      </c>
      <c r="AN504" s="396">
        <f t="shared" si="44"/>
        <v>1</v>
      </c>
      <c r="AO504" s="109">
        <f t="shared" si="45"/>
        <v>119000</v>
      </c>
      <c r="AP504" s="109">
        <f t="shared" si="46"/>
        <v>108181.81818181818</v>
      </c>
      <c r="AQ504" s="397">
        <f t="shared" si="48"/>
        <v>108181.81818181818</v>
      </c>
    </row>
    <row r="505" spans="1:43" ht="24">
      <c r="A505" s="436" t="s">
        <v>4830</v>
      </c>
      <c r="B505" s="436" t="s">
        <v>3490</v>
      </c>
      <c r="C505" s="437" t="s">
        <v>3491</v>
      </c>
      <c r="D505" s="436" t="s">
        <v>5059</v>
      </c>
      <c r="E505" s="437" t="s">
        <v>5002</v>
      </c>
      <c r="F505" s="436" t="s">
        <v>3494</v>
      </c>
      <c r="G505" s="436" t="s">
        <v>3495</v>
      </c>
      <c r="H505" s="437" t="s">
        <v>3496</v>
      </c>
      <c r="I505" s="436" t="s">
        <v>3497</v>
      </c>
      <c r="J505" s="437" t="s">
        <v>3498</v>
      </c>
      <c r="K505" s="437" t="s">
        <v>3548</v>
      </c>
      <c r="L505" s="436" t="s">
        <v>3500</v>
      </c>
      <c r="M505" s="436" t="s">
        <v>4809</v>
      </c>
      <c r="N505" s="436" t="s">
        <v>3502</v>
      </c>
      <c r="O505" s="438">
        <v>119000</v>
      </c>
      <c r="P505" s="438">
        <v>80920</v>
      </c>
      <c r="Q505" s="438">
        <v>1</v>
      </c>
      <c r="R505" s="438">
        <v>0</v>
      </c>
      <c r="S505" s="438">
        <v>0</v>
      </c>
      <c r="T505" s="438">
        <v>0</v>
      </c>
      <c r="U505" s="438">
        <v>0</v>
      </c>
      <c r="V505" s="438">
        <v>0</v>
      </c>
      <c r="W505" s="438">
        <v>32</v>
      </c>
      <c r="X505" s="438">
        <v>23800</v>
      </c>
      <c r="Y505" s="438">
        <v>0</v>
      </c>
      <c r="Z505" s="438">
        <v>0</v>
      </c>
      <c r="AA505" s="438">
        <v>0</v>
      </c>
      <c r="AB505" s="438">
        <v>0</v>
      </c>
      <c r="AC505" s="438">
        <v>119000</v>
      </c>
      <c r="AD505" s="438">
        <v>80920</v>
      </c>
      <c r="AE505" s="438">
        <v>0</v>
      </c>
      <c r="AF505" s="438">
        <v>23800</v>
      </c>
      <c r="AG505" s="438">
        <v>95200</v>
      </c>
      <c r="AH505" s="438">
        <v>80920</v>
      </c>
      <c r="AI505" s="438">
        <v>12982</v>
      </c>
      <c r="AJ505" s="438">
        <v>1298</v>
      </c>
      <c r="AK505" s="438">
        <v>14280</v>
      </c>
      <c r="AL505" s="414" t="str">
        <f t="shared" si="42"/>
        <v>워커힐 시그니처 양념 본갈비 300g, 8개</v>
      </c>
      <c r="AM505" s="395">
        <f t="shared" si="43"/>
        <v>46065</v>
      </c>
      <c r="AN505" s="396">
        <f t="shared" si="44"/>
        <v>1</v>
      </c>
      <c r="AO505" s="109">
        <f t="shared" si="45"/>
        <v>119000</v>
      </c>
      <c r="AP505" s="109">
        <f t="shared" si="46"/>
        <v>108181.81818181818</v>
      </c>
      <c r="AQ505" s="397">
        <f t="shared" si="48"/>
        <v>108181.81818181818</v>
      </c>
    </row>
    <row r="506" spans="1:43" ht="24">
      <c r="A506" s="436" t="s">
        <v>4833</v>
      </c>
      <c r="B506" s="436" t="s">
        <v>3490</v>
      </c>
      <c r="C506" s="437" t="s">
        <v>3491</v>
      </c>
      <c r="D506" s="436" t="s">
        <v>5061</v>
      </c>
      <c r="E506" s="437" t="s">
        <v>5062</v>
      </c>
      <c r="F506" s="436" t="s">
        <v>3494</v>
      </c>
      <c r="G506" s="436" t="s">
        <v>3495</v>
      </c>
      <c r="H506" s="437" t="s">
        <v>3496</v>
      </c>
      <c r="I506" s="436" t="s">
        <v>3497</v>
      </c>
      <c r="J506" s="437" t="s">
        <v>3498</v>
      </c>
      <c r="K506" s="437" t="s">
        <v>3499</v>
      </c>
      <c r="L506" s="436" t="s">
        <v>3500</v>
      </c>
      <c r="M506" s="436" t="s">
        <v>4809</v>
      </c>
      <c r="N506" s="436" t="s">
        <v>3502</v>
      </c>
      <c r="O506" s="438">
        <v>119000</v>
      </c>
      <c r="P506" s="438">
        <v>80920</v>
      </c>
      <c r="Q506" s="438">
        <v>1</v>
      </c>
      <c r="R506" s="438">
        <v>0</v>
      </c>
      <c r="S506" s="438">
        <v>0</v>
      </c>
      <c r="T506" s="438">
        <v>0</v>
      </c>
      <c r="U506" s="438">
        <v>0</v>
      </c>
      <c r="V506" s="438">
        <v>0</v>
      </c>
      <c r="W506" s="438">
        <v>32</v>
      </c>
      <c r="X506" s="438">
        <v>23800</v>
      </c>
      <c r="Y506" s="438">
        <v>0</v>
      </c>
      <c r="Z506" s="438">
        <v>0</v>
      </c>
      <c r="AA506" s="438">
        <v>0</v>
      </c>
      <c r="AB506" s="438">
        <v>0</v>
      </c>
      <c r="AC506" s="438">
        <v>119000</v>
      </c>
      <c r="AD506" s="438">
        <v>80920</v>
      </c>
      <c r="AE506" s="438">
        <v>0</v>
      </c>
      <c r="AF506" s="438">
        <v>23800</v>
      </c>
      <c r="AG506" s="438">
        <v>95200</v>
      </c>
      <c r="AH506" s="438">
        <v>80920</v>
      </c>
      <c r="AI506" s="438">
        <v>12982</v>
      </c>
      <c r="AJ506" s="438">
        <v>1298</v>
      </c>
      <c r="AK506" s="438">
        <v>14280</v>
      </c>
      <c r="AL506" s="414" t="str">
        <f t="shared" si="42"/>
        <v>워커힐 시그니처 양념 본갈비 300g, 8개</v>
      </c>
      <c r="AM506" s="395">
        <f t="shared" si="43"/>
        <v>46065</v>
      </c>
      <c r="AN506" s="396">
        <f t="shared" si="44"/>
        <v>1</v>
      </c>
      <c r="AO506" s="109">
        <f t="shared" si="45"/>
        <v>119000</v>
      </c>
      <c r="AP506" s="109">
        <f t="shared" si="46"/>
        <v>108181.81818181818</v>
      </c>
      <c r="AQ506" s="397">
        <f t="shared" si="48"/>
        <v>108181.81818181818</v>
      </c>
    </row>
    <row r="507" spans="1:43" ht="24">
      <c r="A507" s="436" t="s">
        <v>4836</v>
      </c>
      <c r="B507" s="436" t="s">
        <v>3490</v>
      </c>
      <c r="C507" s="437" t="s">
        <v>3491</v>
      </c>
      <c r="D507" s="436" t="s">
        <v>5064</v>
      </c>
      <c r="E507" s="437" t="s">
        <v>5065</v>
      </c>
      <c r="F507" s="436" t="s">
        <v>3494</v>
      </c>
      <c r="G507" s="436" t="s">
        <v>3495</v>
      </c>
      <c r="H507" s="437" t="s">
        <v>3496</v>
      </c>
      <c r="I507" s="436" t="s">
        <v>3497</v>
      </c>
      <c r="J507" s="437" t="s">
        <v>3498</v>
      </c>
      <c r="K507" s="437" t="s">
        <v>163</v>
      </c>
      <c r="L507" s="436" t="s">
        <v>3500</v>
      </c>
      <c r="M507" s="436" t="s">
        <v>4809</v>
      </c>
      <c r="N507" s="436" t="s">
        <v>3502</v>
      </c>
      <c r="O507" s="438">
        <v>119000</v>
      </c>
      <c r="P507" s="438">
        <v>80920</v>
      </c>
      <c r="Q507" s="438">
        <v>1</v>
      </c>
      <c r="R507" s="438">
        <v>0</v>
      </c>
      <c r="S507" s="438">
        <v>0</v>
      </c>
      <c r="T507" s="438">
        <v>0</v>
      </c>
      <c r="U507" s="438">
        <v>0</v>
      </c>
      <c r="V507" s="438">
        <v>0</v>
      </c>
      <c r="W507" s="438">
        <v>32</v>
      </c>
      <c r="X507" s="438">
        <v>0</v>
      </c>
      <c r="Y507" s="438">
        <v>5950</v>
      </c>
      <c r="Z507" s="438">
        <v>0</v>
      </c>
      <c r="AA507" s="438">
        <v>0</v>
      </c>
      <c r="AB507" s="438">
        <v>0</v>
      </c>
      <c r="AC507" s="438">
        <v>119000</v>
      </c>
      <c r="AD507" s="438">
        <v>80920</v>
      </c>
      <c r="AE507" s="438">
        <v>0</v>
      </c>
      <c r="AF507" s="438">
        <v>5950</v>
      </c>
      <c r="AG507" s="438">
        <v>113050</v>
      </c>
      <c r="AH507" s="438">
        <v>80920</v>
      </c>
      <c r="AI507" s="438">
        <v>29209</v>
      </c>
      <c r="AJ507" s="438">
        <v>2921</v>
      </c>
      <c r="AK507" s="438">
        <v>32130</v>
      </c>
      <c r="AL507" s="414" t="str">
        <f t="shared" si="42"/>
        <v>워커힐 시그니처 양념 본갈비 300g, 8개</v>
      </c>
      <c r="AM507" s="395">
        <f t="shared" si="43"/>
        <v>46065</v>
      </c>
      <c r="AN507" s="396">
        <f t="shared" si="44"/>
        <v>1</v>
      </c>
      <c r="AO507" s="109">
        <f t="shared" si="45"/>
        <v>119000</v>
      </c>
      <c r="AP507" s="109">
        <f t="shared" si="46"/>
        <v>108181.81818181818</v>
      </c>
      <c r="AQ507" s="397">
        <f t="shared" si="48"/>
        <v>108181.81818181818</v>
      </c>
    </row>
    <row r="508" spans="1:43" ht="24">
      <c r="A508" s="436" t="s">
        <v>4839</v>
      </c>
      <c r="B508" s="436" t="s">
        <v>3490</v>
      </c>
      <c r="C508" s="437" t="s">
        <v>3491</v>
      </c>
      <c r="D508" s="436" t="s">
        <v>4960</v>
      </c>
      <c r="E508" s="437" t="s">
        <v>4961</v>
      </c>
      <c r="F508" s="436" t="s">
        <v>3494</v>
      </c>
      <c r="G508" s="436" t="s">
        <v>3495</v>
      </c>
      <c r="H508" s="437" t="s">
        <v>3496</v>
      </c>
      <c r="I508" s="436" t="s">
        <v>3497</v>
      </c>
      <c r="J508" s="437" t="s">
        <v>3498</v>
      </c>
      <c r="K508" s="437" t="s">
        <v>3499</v>
      </c>
      <c r="L508" s="436" t="s">
        <v>3500</v>
      </c>
      <c r="M508" s="436" t="s">
        <v>4809</v>
      </c>
      <c r="N508" s="436" t="s">
        <v>3502</v>
      </c>
      <c r="O508" s="438">
        <v>119000</v>
      </c>
      <c r="P508" s="438">
        <v>80920</v>
      </c>
      <c r="Q508" s="438">
        <v>1</v>
      </c>
      <c r="R508" s="438">
        <v>0</v>
      </c>
      <c r="S508" s="438">
        <v>0</v>
      </c>
      <c r="T508" s="438">
        <v>0</v>
      </c>
      <c r="U508" s="438">
        <v>0</v>
      </c>
      <c r="V508" s="438">
        <v>0</v>
      </c>
      <c r="W508" s="438">
        <v>32</v>
      </c>
      <c r="X508" s="438">
        <v>0</v>
      </c>
      <c r="Y508" s="438">
        <v>0</v>
      </c>
      <c r="Z508" s="438">
        <v>0</v>
      </c>
      <c r="AA508" s="438">
        <v>0</v>
      </c>
      <c r="AB508" s="438">
        <v>0</v>
      </c>
      <c r="AC508" s="438">
        <v>119000</v>
      </c>
      <c r="AD508" s="438">
        <v>80920</v>
      </c>
      <c r="AE508" s="438">
        <v>0</v>
      </c>
      <c r="AF508" s="438">
        <v>0</v>
      </c>
      <c r="AG508" s="438">
        <v>119000</v>
      </c>
      <c r="AH508" s="438">
        <v>80920</v>
      </c>
      <c r="AI508" s="438">
        <v>34618</v>
      </c>
      <c r="AJ508" s="438">
        <v>3462</v>
      </c>
      <c r="AK508" s="438">
        <v>38080</v>
      </c>
      <c r="AL508" s="414" t="str">
        <f t="shared" si="42"/>
        <v>워커힐 시그니처 양념 본갈비 300g, 8개</v>
      </c>
      <c r="AM508" s="395">
        <f t="shared" si="43"/>
        <v>46065</v>
      </c>
      <c r="AN508" s="396">
        <f t="shared" si="44"/>
        <v>1</v>
      </c>
      <c r="AO508" s="109">
        <f t="shared" si="45"/>
        <v>119000</v>
      </c>
      <c r="AP508" s="109">
        <f t="shared" si="46"/>
        <v>108181.81818181818</v>
      </c>
      <c r="AQ508" s="397">
        <f t="shared" si="48"/>
        <v>108181.81818181818</v>
      </c>
    </row>
    <row r="509" spans="1:43" ht="24">
      <c r="A509" s="436" t="s">
        <v>4842</v>
      </c>
      <c r="B509" s="436" t="s">
        <v>3490</v>
      </c>
      <c r="C509" s="437" t="s">
        <v>3491</v>
      </c>
      <c r="D509" s="436" t="s">
        <v>5118</v>
      </c>
      <c r="E509" s="437" t="s">
        <v>5119</v>
      </c>
      <c r="F509" s="436" t="s">
        <v>3494</v>
      </c>
      <c r="G509" s="436" t="s">
        <v>3495</v>
      </c>
      <c r="H509" s="437" t="s">
        <v>3496</v>
      </c>
      <c r="I509" s="436" t="s">
        <v>3497</v>
      </c>
      <c r="J509" s="437" t="s">
        <v>3498</v>
      </c>
      <c r="K509" s="437" t="s">
        <v>3499</v>
      </c>
      <c r="L509" s="436" t="s">
        <v>3500</v>
      </c>
      <c r="M509" s="436" t="s">
        <v>4809</v>
      </c>
      <c r="N509" s="436" t="s">
        <v>3502</v>
      </c>
      <c r="O509" s="438">
        <v>119000</v>
      </c>
      <c r="P509" s="438">
        <v>80920</v>
      </c>
      <c r="Q509" s="438">
        <v>1</v>
      </c>
      <c r="R509" s="438">
        <v>0</v>
      </c>
      <c r="S509" s="438">
        <v>0</v>
      </c>
      <c r="T509" s="438">
        <v>0</v>
      </c>
      <c r="U509" s="438">
        <v>0</v>
      </c>
      <c r="V509" s="438">
        <v>0</v>
      </c>
      <c r="W509" s="438">
        <v>32</v>
      </c>
      <c r="X509" s="438">
        <v>0</v>
      </c>
      <c r="Y509" s="438">
        <v>0</v>
      </c>
      <c r="Z509" s="438">
        <v>0</v>
      </c>
      <c r="AA509" s="438">
        <v>0</v>
      </c>
      <c r="AB509" s="438">
        <v>0</v>
      </c>
      <c r="AC509" s="438">
        <v>119000</v>
      </c>
      <c r="AD509" s="438">
        <v>80920</v>
      </c>
      <c r="AE509" s="438">
        <v>0</v>
      </c>
      <c r="AF509" s="438">
        <v>0</v>
      </c>
      <c r="AG509" s="438">
        <v>119000</v>
      </c>
      <c r="AH509" s="438">
        <v>80920</v>
      </c>
      <c r="AI509" s="438">
        <v>34618</v>
      </c>
      <c r="AJ509" s="438">
        <v>3462</v>
      </c>
      <c r="AK509" s="438">
        <v>38080</v>
      </c>
      <c r="AL509" s="414" t="str">
        <f t="shared" si="42"/>
        <v>워커힐 시그니처 양념 본갈비 300g, 8개</v>
      </c>
      <c r="AM509" s="395">
        <f t="shared" si="43"/>
        <v>46065</v>
      </c>
      <c r="AN509" s="396">
        <f t="shared" si="44"/>
        <v>1</v>
      </c>
      <c r="AO509" s="109">
        <f t="shared" si="45"/>
        <v>119000</v>
      </c>
      <c r="AP509" s="109">
        <f t="shared" si="46"/>
        <v>108181.81818181818</v>
      </c>
      <c r="AQ509" s="397">
        <f t="shared" si="48"/>
        <v>108181.81818181818</v>
      </c>
    </row>
    <row r="510" spans="1:43" ht="24">
      <c r="A510" s="436" t="s">
        <v>4844</v>
      </c>
      <c r="B510" s="436" t="s">
        <v>3490</v>
      </c>
      <c r="C510" s="437" t="s">
        <v>3491</v>
      </c>
      <c r="D510" s="436" t="s">
        <v>5010</v>
      </c>
      <c r="E510" s="437" t="s">
        <v>3668</v>
      </c>
      <c r="F510" s="436" t="s">
        <v>3494</v>
      </c>
      <c r="G510" s="436" t="s">
        <v>3495</v>
      </c>
      <c r="H510" s="437" t="s">
        <v>3496</v>
      </c>
      <c r="I510" s="436" t="s">
        <v>3497</v>
      </c>
      <c r="J510" s="437" t="s">
        <v>3498</v>
      </c>
      <c r="K510" s="437" t="s">
        <v>3499</v>
      </c>
      <c r="L510" s="436" t="s">
        <v>3500</v>
      </c>
      <c r="M510" s="436" t="s">
        <v>4809</v>
      </c>
      <c r="N510" s="436" t="s">
        <v>3502</v>
      </c>
      <c r="O510" s="438">
        <v>119000</v>
      </c>
      <c r="P510" s="438">
        <v>80920</v>
      </c>
      <c r="Q510" s="438">
        <v>1</v>
      </c>
      <c r="R510" s="438">
        <v>0</v>
      </c>
      <c r="S510" s="438">
        <v>0</v>
      </c>
      <c r="T510" s="438">
        <v>0</v>
      </c>
      <c r="U510" s="438">
        <v>0</v>
      </c>
      <c r="V510" s="438">
        <v>0</v>
      </c>
      <c r="W510" s="438">
        <v>32</v>
      </c>
      <c r="X510" s="438">
        <v>0</v>
      </c>
      <c r="Y510" s="438">
        <v>0</v>
      </c>
      <c r="Z510" s="438">
        <v>0</v>
      </c>
      <c r="AA510" s="438">
        <v>0</v>
      </c>
      <c r="AB510" s="438">
        <v>0</v>
      </c>
      <c r="AC510" s="438">
        <v>119000</v>
      </c>
      <c r="AD510" s="438">
        <v>80920</v>
      </c>
      <c r="AE510" s="438">
        <v>0</v>
      </c>
      <c r="AF510" s="438">
        <v>0</v>
      </c>
      <c r="AG510" s="438">
        <v>119000</v>
      </c>
      <c r="AH510" s="438">
        <v>80920</v>
      </c>
      <c r="AI510" s="438">
        <v>34618</v>
      </c>
      <c r="AJ510" s="438">
        <v>3462</v>
      </c>
      <c r="AK510" s="438">
        <v>38080</v>
      </c>
      <c r="AL510" s="414" t="str">
        <f t="shared" si="42"/>
        <v>워커힐 시그니처 양념 본갈비 300g, 8개</v>
      </c>
      <c r="AM510" s="395">
        <f t="shared" si="43"/>
        <v>46065</v>
      </c>
      <c r="AN510" s="396">
        <f t="shared" si="44"/>
        <v>1</v>
      </c>
      <c r="AO510" s="109">
        <f t="shared" si="45"/>
        <v>119000</v>
      </c>
      <c r="AP510" s="109">
        <f t="shared" si="46"/>
        <v>108181.81818181818</v>
      </c>
      <c r="AQ510" s="397">
        <f t="shared" si="48"/>
        <v>108181.81818181818</v>
      </c>
    </row>
    <row r="511" spans="1:43" ht="24">
      <c r="A511" s="436" t="s">
        <v>4847</v>
      </c>
      <c r="B511" s="436" t="s">
        <v>3490</v>
      </c>
      <c r="C511" s="437" t="s">
        <v>3491</v>
      </c>
      <c r="D511" s="436" t="s">
        <v>5012</v>
      </c>
      <c r="E511" s="437" t="s">
        <v>3493</v>
      </c>
      <c r="F511" s="436" t="s">
        <v>3494</v>
      </c>
      <c r="G511" s="436" t="s">
        <v>3495</v>
      </c>
      <c r="H511" s="437" t="s">
        <v>3496</v>
      </c>
      <c r="I511" s="436" t="s">
        <v>3497</v>
      </c>
      <c r="J511" s="437" t="s">
        <v>3498</v>
      </c>
      <c r="K511" s="437" t="s">
        <v>3499</v>
      </c>
      <c r="L511" s="436" t="s">
        <v>3500</v>
      </c>
      <c r="M511" s="436" t="s">
        <v>4809</v>
      </c>
      <c r="N511" s="436" t="s">
        <v>3502</v>
      </c>
      <c r="O511" s="438">
        <v>119000</v>
      </c>
      <c r="P511" s="438">
        <v>80920</v>
      </c>
      <c r="Q511" s="438">
        <v>1</v>
      </c>
      <c r="R511" s="438">
        <v>0</v>
      </c>
      <c r="S511" s="438">
        <v>0</v>
      </c>
      <c r="T511" s="438">
        <v>0</v>
      </c>
      <c r="U511" s="438">
        <v>0</v>
      </c>
      <c r="V511" s="438">
        <v>0</v>
      </c>
      <c r="W511" s="438">
        <v>32</v>
      </c>
      <c r="X511" s="438">
        <v>0</v>
      </c>
      <c r="Y511" s="438">
        <v>0</v>
      </c>
      <c r="Z511" s="438">
        <v>0</v>
      </c>
      <c r="AA511" s="438">
        <v>0</v>
      </c>
      <c r="AB511" s="438">
        <v>0</v>
      </c>
      <c r="AC511" s="438">
        <v>119000</v>
      </c>
      <c r="AD511" s="438">
        <v>80920</v>
      </c>
      <c r="AE511" s="438">
        <v>0</v>
      </c>
      <c r="AF511" s="438">
        <v>0</v>
      </c>
      <c r="AG511" s="438">
        <v>119000</v>
      </c>
      <c r="AH511" s="438">
        <v>80920</v>
      </c>
      <c r="AI511" s="438">
        <v>34618</v>
      </c>
      <c r="AJ511" s="438">
        <v>3462</v>
      </c>
      <c r="AK511" s="438">
        <v>38080</v>
      </c>
      <c r="AL511" s="414" t="str">
        <f t="shared" si="42"/>
        <v>워커힐 시그니처 양념 본갈비 300g, 8개</v>
      </c>
      <c r="AM511" s="395">
        <f t="shared" si="43"/>
        <v>46065</v>
      </c>
      <c r="AN511" s="396">
        <f t="shared" si="44"/>
        <v>1</v>
      </c>
      <c r="AO511" s="109">
        <f t="shared" si="45"/>
        <v>119000</v>
      </c>
      <c r="AP511" s="109">
        <f t="shared" si="46"/>
        <v>108181.81818181818</v>
      </c>
      <c r="AQ511" s="397">
        <f t="shared" si="48"/>
        <v>108181.81818181818</v>
      </c>
    </row>
    <row r="512" spans="1:43" ht="24">
      <c r="A512" s="436" t="s">
        <v>4849</v>
      </c>
      <c r="B512" s="436" t="s">
        <v>3490</v>
      </c>
      <c r="C512" s="437" t="s">
        <v>3491</v>
      </c>
      <c r="D512" s="436" t="s">
        <v>5125</v>
      </c>
      <c r="E512" s="437" t="s">
        <v>3615</v>
      </c>
      <c r="F512" s="436" t="s">
        <v>3494</v>
      </c>
      <c r="G512" s="436" t="s">
        <v>3495</v>
      </c>
      <c r="H512" s="437" t="s">
        <v>3496</v>
      </c>
      <c r="I512" s="436" t="s">
        <v>3497</v>
      </c>
      <c r="J512" s="437" t="s">
        <v>3498</v>
      </c>
      <c r="K512" s="437" t="s">
        <v>3499</v>
      </c>
      <c r="L512" s="436" t="s">
        <v>3500</v>
      </c>
      <c r="M512" s="436" t="s">
        <v>4809</v>
      </c>
      <c r="N512" s="436" t="s">
        <v>3502</v>
      </c>
      <c r="O512" s="438">
        <v>119000</v>
      </c>
      <c r="P512" s="438">
        <v>80920</v>
      </c>
      <c r="Q512" s="438">
        <v>1</v>
      </c>
      <c r="R512" s="438">
        <v>0</v>
      </c>
      <c r="S512" s="438">
        <v>0</v>
      </c>
      <c r="T512" s="438">
        <v>0</v>
      </c>
      <c r="U512" s="438">
        <v>0</v>
      </c>
      <c r="V512" s="438">
        <v>0</v>
      </c>
      <c r="W512" s="438">
        <v>32</v>
      </c>
      <c r="X512" s="438">
        <v>0</v>
      </c>
      <c r="Y512" s="438">
        <v>0</v>
      </c>
      <c r="Z512" s="438">
        <v>0</v>
      </c>
      <c r="AA512" s="438">
        <v>0</v>
      </c>
      <c r="AB512" s="438">
        <v>0</v>
      </c>
      <c r="AC512" s="438">
        <v>119000</v>
      </c>
      <c r="AD512" s="438">
        <v>80920</v>
      </c>
      <c r="AE512" s="438">
        <v>0</v>
      </c>
      <c r="AF512" s="438">
        <v>0</v>
      </c>
      <c r="AG512" s="438">
        <v>119000</v>
      </c>
      <c r="AH512" s="438">
        <v>80920</v>
      </c>
      <c r="AI512" s="438">
        <v>34618</v>
      </c>
      <c r="AJ512" s="438">
        <v>3462</v>
      </c>
      <c r="AK512" s="438">
        <v>38080</v>
      </c>
      <c r="AL512" s="414" t="str">
        <f t="shared" si="42"/>
        <v>워커힐 시그니처 양념 본갈비 300g, 8개</v>
      </c>
      <c r="AM512" s="395">
        <f t="shared" si="43"/>
        <v>46065</v>
      </c>
      <c r="AN512" s="396">
        <f t="shared" si="44"/>
        <v>1</v>
      </c>
      <c r="AO512" s="109">
        <f t="shared" si="45"/>
        <v>119000</v>
      </c>
      <c r="AP512" s="109">
        <f t="shared" si="46"/>
        <v>108181.81818181818</v>
      </c>
      <c r="AQ512" s="397">
        <f t="shared" si="48"/>
        <v>108181.81818181818</v>
      </c>
    </row>
    <row r="513" spans="1:43" ht="24">
      <c r="A513" s="436" t="s">
        <v>4852</v>
      </c>
      <c r="B513" s="436" t="s">
        <v>3490</v>
      </c>
      <c r="C513" s="437" t="s">
        <v>3491</v>
      </c>
      <c r="D513" s="436" t="s">
        <v>4811</v>
      </c>
      <c r="E513" s="437" t="s">
        <v>4812</v>
      </c>
      <c r="F513" s="436" t="s">
        <v>3494</v>
      </c>
      <c r="G513" s="436" t="s">
        <v>3495</v>
      </c>
      <c r="H513" s="437" t="s">
        <v>3496</v>
      </c>
      <c r="I513" s="436" t="s">
        <v>3497</v>
      </c>
      <c r="J513" s="437" t="s">
        <v>3498</v>
      </c>
      <c r="K513" s="437" t="s">
        <v>3499</v>
      </c>
      <c r="L513" s="436" t="s">
        <v>3500</v>
      </c>
      <c r="M513" s="436" t="s">
        <v>4809</v>
      </c>
      <c r="N513" s="436" t="s">
        <v>3502</v>
      </c>
      <c r="O513" s="438">
        <v>119000</v>
      </c>
      <c r="P513" s="438">
        <v>80920</v>
      </c>
      <c r="Q513" s="438">
        <v>1</v>
      </c>
      <c r="R513" s="438">
        <v>0</v>
      </c>
      <c r="S513" s="438">
        <v>0</v>
      </c>
      <c r="T513" s="438">
        <v>0</v>
      </c>
      <c r="U513" s="438">
        <v>0</v>
      </c>
      <c r="V513" s="438">
        <v>0</v>
      </c>
      <c r="W513" s="438">
        <v>32</v>
      </c>
      <c r="X513" s="438">
        <v>0</v>
      </c>
      <c r="Y513" s="438">
        <v>0</v>
      </c>
      <c r="Z513" s="438">
        <v>0</v>
      </c>
      <c r="AA513" s="438">
        <v>0</v>
      </c>
      <c r="AB513" s="438">
        <v>0</v>
      </c>
      <c r="AC513" s="438">
        <v>119000</v>
      </c>
      <c r="AD513" s="438">
        <v>80920</v>
      </c>
      <c r="AE513" s="438">
        <v>0</v>
      </c>
      <c r="AF513" s="438">
        <v>0</v>
      </c>
      <c r="AG513" s="438">
        <v>119000</v>
      </c>
      <c r="AH513" s="438">
        <v>80920</v>
      </c>
      <c r="AI513" s="438">
        <v>34618</v>
      </c>
      <c r="AJ513" s="438">
        <v>3462</v>
      </c>
      <c r="AK513" s="438">
        <v>38080</v>
      </c>
      <c r="AL513" s="414" t="str">
        <f t="shared" si="42"/>
        <v>워커힐 시그니처 양념 본갈비 300g, 8개</v>
      </c>
      <c r="AM513" s="395">
        <f t="shared" si="43"/>
        <v>46065</v>
      </c>
      <c r="AN513" s="396">
        <f t="shared" si="44"/>
        <v>1</v>
      </c>
      <c r="AO513" s="109">
        <f t="shared" si="45"/>
        <v>119000</v>
      </c>
      <c r="AP513" s="109">
        <f t="shared" si="46"/>
        <v>108181.81818181818</v>
      </c>
      <c r="AQ513" s="397">
        <f t="shared" si="48"/>
        <v>108181.81818181818</v>
      </c>
    </row>
    <row r="514" spans="1:43" ht="24">
      <c r="A514" s="436" t="s">
        <v>4854</v>
      </c>
      <c r="B514" s="436" t="s">
        <v>3490</v>
      </c>
      <c r="C514" s="437" t="s">
        <v>3491</v>
      </c>
      <c r="D514" s="436" t="s">
        <v>4814</v>
      </c>
      <c r="E514" s="437" t="s">
        <v>3533</v>
      </c>
      <c r="F514" s="436" t="s">
        <v>3494</v>
      </c>
      <c r="G514" s="436" t="s">
        <v>3495</v>
      </c>
      <c r="H514" s="437" t="s">
        <v>3496</v>
      </c>
      <c r="I514" s="436" t="s">
        <v>3497</v>
      </c>
      <c r="J514" s="437" t="s">
        <v>3498</v>
      </c>
      <c r="K514" s="437" t="s">
        <v>3499</v>
      </c>
      <c r="L514" s="436" t="s">
        <v>3500</v>
      </c>
      <c r="M514" s="436" t="s">
        <v>4809</v>
      </c>
      <c r="N514" s="436" t="s">
        <v>3502</v>
      </c>
      <c r="O514" s="438">
        <v>119000</v>
      </c>
      <c r="P514" s="438">
        <v>80920</v>
      </c>
      <c r="Q514" s="438">
        <v>1</v>
      </c>
      <c r="R514" s="438">
        <v>0</v>
      </c>
      <c r="S514" s="438">
        <v>0</v>
      </c>
      <c r="T514" s="438">
        <v>0</v>
      </c>
      <c r="U514" s="438">
        <v>0</v>
      </c>
      <c r="V514" s="438">
        <v>0</v>
      </c>
      <c r="W514" s="438">
        <v>32</v>
      </c>
      <c r="X514" s="438">
        <v>0</v>
      </c>
      <c r="Y514" s="438">
        <v>0</v>
      </c>
      <c r="Z514" s="438">
        <v>0</v>
      </c>
      <c r="AA514" s="438">
        <v>0</v>
      </c>
      <c r="AB514" s="438">
        <v>0</v>
      </c>
      <c r="AC514" s="438">
        <v>119000</v>
      </c>
      <c r="AD514" s="438">
        <v>80920</v>
      </c>
      <c r="AE514" s="438">
        <v>0</v>
      </c>
      <c r="AF514" s="438">
        <v>0</v>
      </c>
      <c r="AG514" s="438">
        <v>119000</v>
      </c>
      <c r="AH514" s="438">
        <v>80920</v>
      </c>
      <c r="AI514" s="438">
        <v>34618</v>
      </c>
      <c r="AJ514" s="438">
        <v>3462</v>
      </c>
      <c r="AK514" s="438">
        <v>38080</v>
      </c>
      <c r="AL514" s="414" t="str">
        <f t="shared" si="42"/>
        <v>워커힐 시그니처 양념 본갈비 300g, 8개</v>
      </c>
      <c r="AM514" s="395">
        <f t="shared" si="43"/>
        <v>46065</v>
      </c>
      <c r="AN514" s="396">
        <f t="shared" si="44"/>
        <v>1</v>
      </c>
      <c r="AO514" s="109">
        <f t="shared" si="45"/>
        <v>119000</v>
      </c>
      <c r="AP514" s="109">
        <f t="shared" si="46"/>
        <v>108181.81818181818</v>
      </c>
      <c r="AQ514" s="397">
        <f t="shared" si="48"/>
        <v>108181.81818181818</v>
      </c>
    </row>
    <row r="515" spans="1:43" ht="24">
      <c r="A515" s="436" t="s">
        <v>4856</v>
      </c>
      <c r="B515" s="436" t="s">
        <v>3490</v>
      </c>
      <c r="C515" s="437" t="s">
        <v>3491</v>
      </c>
      <c r="D515" s="436" t="s">
        <v>4816</v>
      </c>
      <c r="E515" s="437" t="s">
        <v>4817</v>
      </c>
      <c r="F515" s="436" t="s">
        <v>3494</v>
      </c>
      <c r="G515" s="436" t="s">
        <v>3495</v>
      </c>
      <c r="H515" s="437" t="s">
        <v>3496</v>
      </c>
      <c r="I515" s="436" t="s">
        <v>3497</v>
      </c>
      <c r="J515" s="437" t="s">
        <v>3498</v>
      </c>
      <c r="K515" s="437" t="s">
        <v>3499</v>
      </c>
      <c r="L515" s="436" t="s">
        <v>3500</v>
      </c>
      <c r="M515" s="436" t="s">
        <v>4809</v>
      </c>
      <c r="N515" s="436" t="s">
        <v>3502</v>
      </c>
      <c r="O515" s="438">
        <v>119000</v>
      </c>
      <c r="P515" s="438">
        <v>80920</v>
      </c>
      <c r="Q515" s="438">
        <v>1</v>
      </c>
      <c r="R515" s="438">
        <v>0</v>
      </c>
      <c r="S515" s="438">
        <v>0</v>
      </c>
      <c r="T515" s="438">
        <v>0</v>
      </c>
      <c r="U515" s="438">
        <v>0</v>
      </c>
      <c r="V515" s="438">
        <v>0</v>
      </c>
      <c r="W515" s="438">
        <v>32</v>
      </c>
      <c r="X515" s="438">
        <v>0</v>
      </c>
      <c r="Y515" s="438">
        <v>0</v>
      </c>
      <c r="Z515" s="438">
        <v>0</v>
      </c>
      <c r="AA515" s="438">
        <v>0</v>
      </c>
      <c r="AB515" s="438">
        <v>0</v>
      </c>
      <c r="AC515" s="438">
        <v>119000</v>
      </c>
      <c r="AD515" s="438">
        <v>80920</v>
      </c>
      <c r="AE515" s="438">
        <v>0</v>
      </c>
      <c r="AF515" s="438">
        <v>0</v>
      </c>
      <c r="AG515" s="438">
        <v>119000</v>
      </c>
      <c r="AH515" s="438">
        <v>80920</v>
      </c>
      <c r="AI515" s="438">
        <v>34618</v>
      </c>
      <c r="AJ515" s="438">
        <v>3462</v>
      </c>
      <c r="AK515" s="438">
        <v>38080</v>
      </c>
      <c r="AL515" s="414" t="str">
        <f t="shared" ref="AL515:AL578" si="49">SUBSTITUTE(SUBSTITUTE(H515,"[워커힐]워커힐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515" s="395">
        <f t="shared" ref="AM515:AM578" si="50">IF(N515="배송완료", DATE(LEFT(M515,4), MID(M515,6,2), MID(M515,9,2)), "")</f>
        <v>46065</v>
      </c>
      <c r="AN515" s="396">
        <f t="shared" ref="AN515:AN578" si="51">IF(OR(N515="배송완료", Q515&lt;0), Q515, 0)</f>
        <v>1</v>
      </c>
      <c r="AO515" s="109">
        <f t="shared" ref="AO515:AO578" si="52">IF(AL515="워커힐 시그니처 양념 본갈비 300g, 8개",119000,IF(AL515="워커힐 시그니처 양념 본갈비 300g, 4개",78000,""))</f>
        <v>119000</v>
      </c>
      <c r="AP515" s="109">
        <f t="shared" ref="AP515:AP578" si="53">AO515/1.1</f>
        <v>108181.81818181818</v>
      </c>
      <c r="AQ515" s="397">
        <f t="shared" si="48"/>
        <v>108181.81818181818</v>
      </c>
    </row>
    <row r="516" spans="1:43" ht="24">
      <c r="A516" s="436" t="s">
        <v>4858</v>
      </c>
      <c r="B516" s="436" t="s">
        <v>3490</v>
      </c>
      <c r="C516" s="437" t="s">
        <v>3491</v>
      </c>
      <c r="D516" s="436" t="s">
        <v>4819</v>
      </c>
      <c r="E516" s="437" t="s">
        <v>4820</v>
      </c>
      <c r="F516" s="436" t="s">
        <v>3494</v>
      </c>
      <c r="G516" s="436" t="s">
        <v>3495</v>
      </c>
      <c r="H516" s="437" t="s">
        <v>3496</v>
      </c>
      <c r="I516" s="436" t="s">
        <v>3497</v>
      </c>
      <c r="J516" s="437" t="s">
        <v>3498</v>
      </c>
      <c r="K516" s="437" t="s">
        <v>3499</v>
      </c>
      <c r="L516" s="436" t="s">
        <v>3500</v>
      </c>
      <c r="M516" s="436" t="s">
        <v>4809</v>
      </c>
      <c r="N516" s="436" t="s">
        <v>3502</v>
      </c>
      <c r="O516" s="438">
        <v>119000</v>
      </c>
      <c r="P516" s="438">
        <v>80920</v>
      </c>
      <c r="Q516" s="438">
        <v>1</v>
      </c>
      <c r="R516" s="438">
        <v>0</v>
      </c>
      <c r="S516" s="438">
        <v>0</v>
      </c>
      <c r="T516" s="438">
        <v>0</v>
      </c>
      <c r="U516" s="438">
        <v>0</v>
      </c>
      <c r="V516" s="438">
        <v>0</v>
      </c>
      <c r="W516" s="438">
        <v>32</v>
      </c>
      <c r="X516" s="438">
        <v>0</v>
      </c>
      <c r="Y516" s="438">
        <v>0</v>
      </c>
      <c r="Z516" s="438">
        <v>0</v>
      </c>
      <c r="AA516" s="438">
        <v>0</v>
      </c>
      <c r="AB516" s="438">
        <v>0</v>
      </c>
      <c r="AC516" s="438">
        <v>119000</v>
      </c>
      <c r="AD516" s="438">
        <v>80920</v>
      </c>
      <c r="AE516" s="438">
        <v>0</v>
      </c>
      <c r="AF516" s="438">
        <v>0</v>
      </c>
      <c r="AG516" s="438">
        <v>119000</v>
      </c>
      <c r="AH516" s="438">
        <v>80920</v>
      </c>
      <c r="AI516" s="438">
        <v>34618</v>
      </c>
      <c r="AJ516" s="438">
        <v>3462</v>
      </c>
      <c r="AK516" s="438">
        <v>38080</v>
      </c>
      <c r="AL516" s="414" t="str">
        <f t="shared" si="49"/>
        <v>워커힐 시그니처 양념 본갈비 300g, 8개</v>
      </c>
      <c r="AM516" s="395">
        <f t="shared" si="50"/>
        <v>46065</v>
      </c>
      <c r="AN516" s="396">
        <f t="shared" si="51"/>
        <v>1</v>
      </c>
      <c r="AO516" s="109">
        <f t="shared" si="52"/>
        <v>119000</v>
      </c>
      <c r="AP516" s="109">
        <f t="shared" si="53"/>
        <v>108181.81818181818</v>
      </c>
      <c r="AQ516" s="397">
        <f t="shared" si="48"/>
        <v>108181.81818181818</v>
      </c>
    </row>
    <row r="517" spans="1:43" ht="24">
      <c r="A517" s="436" t="s">
        <v>4860</v>
      </c>
      <c r="B517" s="436" t="s">
        <v>3490</v>
      </c>
      <c r="C517" s="437" t="s">
        <v>3491</v>
      </c>
      <c r="D517" s="436" t="s">
        <v>4822</v>
      </c>
      <c r="E517" s="437" t="s">
        <v>3541</v>
      </c>
      <c r="F517" s="436" t="s">
        <v>3494</v>
      </c>
      <c r="G517" s="436" t="s">
        <v>3495</v>
      </c>
      <c r="H517" s="437" t="s">
        <v>3496</v>
      </c>
      <c r="I517" s="436" t="s">
        <v>3497</v>
      </c>
      <c r="J517" s="437" t="s">
        <v>3498</v>
      </c>
      <c r="K517" s="437" t="s">
        <v>3499</v>
      </c>
      <c r="L517" s="436" t="s">
        <v>3500</v>
      </c>
      <c r="M517" s="436" t="s">
        <v>4809</v>
      </c>
      <c r="N517" s="436" t="s">
        <v>3502</v>
      </c>
      <c r="O517" s="438">
        <v>119000</v>
      </c>
      <c r="P517" s="438">
        <v>80920</v>
      </c>
      <c r="Q517" s="438">
        <v>1</v>
      </c>
      <c r="R517" s="438">
        <v>0</v>
      </c>
      <c r="S517" s="438">
        <v>0</v>
      </c>
      <c r="T517" s="438">
        <v>0</v>
      </c>
      <c r="U517" s="438">
        <v>0</v>
      </c>
      <c r="V517" s="438">
        <v>0</v>
      </c>
      <c r="W517" s="438">
        <v>32</v>
      </c>
      <c r="X517" s="438">
        <v>0</v>
      </c>
      <c r="Y517" s="438">
        <v>0</v>
      </c>
      <c r="Z517" s="438">
        <v>0</v>
      </c>
      <c r="AA517" s="438">
        <v>0</v>
      </c>
      <c r="AB517" s="438">
        <v>0</v>
      </c>
      <c r="AC517" s="438">
        <v>119000</v>
      </c>
      <c r="AD517" s="438">
        <v>80920</v>
      </c>
      <c r="AE517" s="438">
        <v>0</v>
      </c>
      <c r="AF517" s="438">
        <v>0</v>
      </c>
      <c r="AG517" s="438">
        <v>119000</v>
      </c>
      <c r="AH517" s="438">
        <v>80920</v>
      </c>
      <c r="AI517" s="438">
        <v>34618</v>
      </c>
      <c r="AJ517" s="438">
        <v>3462</v>
      </c>
      <c r="AK517" s="438">
        <v>38080</v>
      </c>
      <c r="AL517" s="414" t="str">
        <f t="shared" si="49"/>
        <v>워커힐 시그니처 양념 본갈비 300g, 8개</v>
      </c>
      <c r="AM517" s="395">
        <f t="shared" si="50"/>
        <v>46065</v>
      </c>
      <c r="AN517" s="396">
        <f t="shared" si="51"/>
        <v>1</v>
      </c>
      <c r="AO517" s="109">
        <f t="shared" si="52"/>
        <v>119000</v>
      </c>
      <c r="AP517" s="109">
        <f t="shared" si="53"/>
        <v>108181.81818181818</v>
      </c>
      <c r="AQ517" s="397">
        <f t="shared" si="48"/>
        <v>108181.81818181818</v>
      </c>
    </row>
    <row r="518" spans="1:43" ht="24">
      <c r="A518" s="436" t="s">
        <v>4862</v>
      </c>
      <c r="B518" s="436" t="s">
        <v>3490</v>
      </c>
      <c r="C518" s="437" t="s">
        <v>3491</v>
      </c>
      <c r="D518" s="436" t="s">
        <v>4827</v>
      </c>
      <c r="E518" s="437" t="s">
        <v>3541</v>
      </c>
      <c r="F518" s="436" t="s">
        <v>3494</v>
      </c>
      <c r="G518" s="436" t="s">
        <v>3495</v>
      </c>
      <c r="H518" s="437" t="s">
        <v>3496</v>
      </c>
      <c r="I518" s="436" t="s">
        <v>3497</v>
      </c>
      <c r="J518" s="437" t="s">
        <v>3498</v>
      </c>
      <c r="K518" s="437" t="s">
        <v>3499</v>
      </c>
      <c r="L518" s="436" t="s">
        <v>3500</v>
      </c>
      <c r="M518" s="436" t="s">
        <v>4809</v>
      </c>
      <c r="N518" s="436" t="s">
        <v>3502</v>
      </c>
      <c r="O518" s="438">
        <v>119000</v>
      </c>
      <c r="P518" s="438">
        <v>80920</v>
      </c>
      <c r="Q518" s="438">
        <v>1</v>
      </c>
      <c r="R518" s="438">
        <v>0</v>
      </c>
      <c r="S518" s="438">
        <v>0</v>
      </c>
      <c r="T518" s="438">
        <v>0</v>
      </c>
      <c r="U518" s="438">
        <v>0</v>
      </c>
      <c r="V518" s="438">
        <v>0</v>
      </c>
      <c r="W518" s="438">
        <v>32</v>
      </c>
      <c r="X518" s="438">
        <v>0</v>
      </c>
      <c r="Y518" s="438">
        <v>0</v>
      </c>
      <c r="Z518" s="438">
        <v>0</v>
      </c>
      <c r="AA518" s="438">
        <v>0</v>
      </c>
      <c r="AB518" s="438">
        <v>0</v>
      </c>
      <c r="AC518" s="438">
        <v>119000</v>
      </c>
      <c r="AD518" s="438">
        <v>80920</v>
      </c>
      <c r="AE518" s="438">
        <v>0</v>
      </c>
      <c r="AF518" s="438">
        <v>0</v>
      </c>
      <c r="AG518" s="438">
        <v>119000</v>
      </c>
      <c r="AH518" s="438">
        <v>80920</v>
      </c>
      <c r="AI518" s="438">
        <v>34618</v>
      </c>
      <c r="AJ518" s="438">
        <v>3462</v>
      </c>
      <c r="AK518" s="438">
        <v>38080</v>
      </c>
      <c r="AL518" s="414" t="str">
        <f t="shared" si="49"/>
        <v>워커힐 시그니처 양념 본갈비 300g, 8개</v>
      </c>
      <c r="AM518" s="395">
        <f t="shared" si="50"/>
        <v>46065</v>
      </c>
      <c r="AN518" s="396">
        <f t="shared" si="51"/>
        <v>1</v>
      </c>
      <c r="AO518" s="109">
        <f t="shared" si="52"/>
        <v>119000</v>
      </c>
      <c r="AP518" s="109">
        <f t="shared" si="53"/>
        <v>108181.81818181818</v>
      </c>
      <c r="AQ518" s="397">
        <f t="shared" si="48"/>
        <v>108181.81818181818</v>
      </c>
    </row>
    <row r="519" spans="1:43" ht="24">
      <c r="A519" s="436" t="s">
        <v>4864</v>
      </c>
      <c r="B519" s="436" t="s">
        <v>3490</v>
      </c>
      <c r="C519" s="437" t="s">
        <v>3491</v>
      </c>
      <c r="D519" s="436" t="s">
        <v>4829</v>
      </c>
      <c r="E519" s="437" t="s">
        <v>4576</v>
      </c>
      <c r="F519" s="436" t="s">
        <v>3494</v>
      </c>
      <c r="G519" s="436" t="s">
        <v>3495</v>
      </c>
      <c r="H519" s="437" t="s">
        <v>3496</v>
      </c>
      <c r="I519" s="436" t="s">
        <v>3497</v>
      </c>
      <c r="J519" s="437" t="s">
        <v>3498</v>
      </c>
      <c r="K519" s="437" t="s">
        <v>3499</v>
      </c>
      <c r="L519" s="436" t="s">
        <v>3500</v>
      </c>
      <c r="M519" s="436" t="s">
        <v>4809</v>
      </c>
      <c r="N519" s="436" t="s">
        <v>3502</v>
      </c>
      <c r="O519" s="438">
        <v>119000</v>
      </c>
      <c r="P519" s="438">
        <v>80920</v>
      </c>
      <c r="Q519" s="438">
        <v>1</v>
      </c>
      <c r="R519" s="438">
        <v>0</v>
      </c>
      <c r="S519" s="438">
        <v>0</v>
      </c>
      <c r="T519" s="438">
        <v>0</v>
      </c>
      <c r="U519" s="438">
        <v>0</v>
      </c>
      <c r="V519" s="438">
        <v>0</v>
      </c>
      <c r="W519" s="438">
        <v>32</v>
      </c>
      <c r="X519" s="438">
        <v>0</v>
      </c>
      <c r="Y519" s="438">
        <v>0</v>
      </c>
      <c r="Z519" s="438">
        <v>0</v>
      </c>
      <c r="AA519" s="438">
        <v>0</v>
      </c>
      <c r="AB519" s="438">
        <v>0</v>
      </c>
      <c r="AC519" s="438">
        <v>119000</v>
      </c>
      <c r="AD519" s="438">
        <v>80920</v>
      </c>
      <c r="AE519" s="438">
        <v>0</v>
      </c>
      <c r="AF519" s="438">
        <v>0</v>
      </c>
      <c r="AG519" s="438">
        <v>119000</v>
      </c>
      <c r="AH519" s="438">
        <v>80920</v>
      </c>
      <c r="AI519" s="438">
        <v>34618</v>
      </c>
      <c r="AJ519" s="438">
        <v>3462</v>
      </c>
      <c r="AK519" s="438">
        <v>38080</v>
      </c>
      <c r="AL519" s="414" t="str">
        <f t="shared" si="49"/>
        <v>워커힐 시그니처 양념 본갈비 300g, 8개</v>
      </c>
      <c r="AM519" s="395">
        <f t="shared" si="50"/>
        <v>46065</v>
      </c>
      <c r="AN519" s="396">
        <f t="shared" si="51"/>
        <v>1</v>
      </c>
      <c r="AO519" s="109">
        <f t="shared" si="52"/>
        <v>119000</v>
      </c>
      <c r="AP519" s="109">
        <f t="shared" si="53"/>
        <v>108181.81818181818</v>
      </c>
      <c r="AQ519" s="397">
        <f t="shared" si="48"/>
        <v>108181.81818181818</v>
      </c>
    </row>
    <row r="520" spans="1:43" ht="24">
      <c r="A520" s="436" t="s">
        <v>4867</v>
      </c>
      <c r="B520" s="436" t="s">
        <v>3490</v>
      </c>
      <c r="C520" s="437" t="s">
        <v>3491</v>
      </c>
      <c r="D520" s="436" t="s">
        <v>4831</v>
      </c>
      <c r="E520" s="437" t="s">
        <v>4832</v>
      </c>
      <c r="F520" s="436" t="s">
        <v>3494</v>
      </c>
      <c r="G520" s="436" t="s">
        <v>3495</v>
      </c>
      <c r="H520" s="437" t="s">
        <v>3496</v>
      </c>
      <c r="I520" s="436" t="s">
        <v>3497</v>
      </c>
      <c r="J520" s="437" t="s">
        <v>3498</v>
      </c>
      <c r="K520" s="437" t="s">
        <v>3499</v>
      </c>
      <c r="L520" s="436" t="s">
        <v>3500</v>
      </c>
      <c r="M520" s="436" t="s">
        <v>4809</v>
      </c>
      <c r="N520" s="436" t="s">
        <v>3502</v>
      </c>
      <c r="O520" s="438">
        <v>119000</v>
      </c>
      <c r="P520" s="438">
        <v>80920</v>
      </c>
      <c r="Q520" s="438">
        <v>1</v>
      </c>
      <c r="R520" s="438">
        <v>0</v>
      </c>
      <c r="S520" s="438">
        <v>0</v>
      </c>
      <c r="T520" s="438">
        <v>0</v>
      </c>
      <c r="U520" s="438">
        <v>0</v>
      </c>
      <c r="V520" s="438">
        <v>0</v>
      </c>
      <c r="W520" s="438">
        <v>32</v>
      </c>
      <c r="X520" s="438">
        <v>0</v>
      </c>
      <c r="Y520" s="438">
        <v>0</v>
      </c>
      <c r="Z520" s="438">
        <v>0</v>
      </c>
      <c r="AA520" s="438">
        <v>0</v>
      </c>
      <c r="AB520" s="438">
        <v>0</v>
      </c>
      <c r="AC520" s="438">
        <v>119000</v>
      </c>
      <c r="AD520" s="438">
        <v>80920</v>
      </c>
      <c r="AE520" s="438">
        <v>0</v>
      </c>
      <c r="AF520" s="438">
        <v>0</v>
      </c>
      <c r="AG520" s="438">
        <v>119000</v>
      </c>
      <c r="AH520" s="438">
        <v>80920</v>
      </c>
      <c r="AI520" s="438">
        <v>34618</v>
      </c>
      <c r="AJ520" s="438">
        <v>3462</v>
      </c>
      <c r="AK520" s="438">
        <v>38080</v>
      </c>
      <c r="AL520" s="414" t="str">
        <f t="shared" si="49"/>
        <v>워커힐 시그니처 양념 본갈비 300g, 8개</v>
      </c>
      <c r="AM520" s="395">
        <f t="shared" si="50"/>
        <v>46065</v>
      </c>
      <c r="AN520" s="396">
        <f t="shared" si="51"/>
        <v>1</v>
      </c>
      <c r="AO520" s="109">
        <f t="shared" si="52"/>
        <v>119000</v>
      </c>
      <c r="AP520" s="109">
        <f t="shared" si="53"/>
        <v>108181.81818181818</v>
      </c>
      <c r="AQ520" s="397">
        <f t="shared" si="48"/>
        <v>108181.81818181818</v>
      </c>
    </row>
    <row r="521" spans="1:43" ht="24">
      <c r="A521" s="436" t="s">
        <v>4869</v>
      </c>
      <c r="B521" s="436" t="s">
        <v>3490</v>
      </c>
      <c r="C521" s="437" t="s">
        <v>3491</v>
      </c>
      <c r="D521" s="436" t="s">
        <v>5018</v>
      </c>
      <c r="E521" s="437" t="s">
        <v>5019</v>
      </c>
      <c r="F521" s="436" t="s">
        <v>3494</v>
      </c>
      <c r="G521" s="436" t="s">
        <v>3495</v>
      </c>
      <c r="H521" s="437" t="s">
        <v>3496</v>
      </c>
      <c r="I521" s="436" t="s">
        <v>3497</v>
      </c>
      <c r="J521" s="437" t="s">
        <v>3498</v>
      </c>
      <c r="K521" s="437" t="s">
        <v>3499</v>
      </c>
      <c r="L521" s="436" t="s">
        <v>3500</v>
      </c>
      <c r="M521" s="436" t="s">
        <v>4809</v>
      </c>
      <c r="N521" s="436" t="s">
        <v>3502</v>
      </c>
      <c r="O521" s="438">
        <v>119000</v>
      </c>
      <c r="P521" s="438">
        <v>80920</v>
      </c>
      <c r="Q521" s="438">
        <v>1</v>
      </c>
      <c r="R521" s="438">
        <v>0</v>
      </c>
      <c r="S521" s="438">
        <v>0</v>
      </c>
      <c r="T521" s="438">
        <v>0</v>
      </c>
      <c r="U521" s="438">
        <v>0</v>
      </c>
      <c r="V521" s="438">
        <v>0</v>
      </c>
      <c r="W521" s="438">
        <v>32</v>
      </c>
      <c r="X521" s="438">
        <v>0</v>
      </c>
      <c r="Y521" s="438">
        <v>0</v>
      </c>
      <c r="Z521" s="438">
        <v>0</v>
      </c>
      <c r="AA521" s="438">
        <v>0</v>
      </c>
      <c r="AB521" s="438">
        <v>5950</v>
      </c>
      <c r="AC521" s="438">
        <v>119000</v>
      </c>
      <c r="AD521" s="438">
        <v>80920</v>
      </c>
      <c r="AE521" s="438">
        <v>0</v>
      </c>
      <c r="AF521" s="438">
        <v>5950</v>
      </c>
      <c r="AG521" s="438">
        <v>113050</v>
      </c>
      <c r="AH521" s="438">
        <v>80920</v>
      </c>
      <c r="AI521" s="438">
        <v>29209</v>
      </c>
      <c r="AJ521" s="438">
        <v>2921</v>
      </c>
      <c r="AK521" s="438">
        <v>32130</v>
      </c>
      <c r="AL521" s="414" t="str">
        <f t="shared" si="49"/>
        <v>워커힐 시그니처 양념 본갈비 300g, 8개</v>
      </c>
      <c r="AM521" s="395">
        <f t="shared" si="50"/>
        <v>46065</v>
      </c>
      <c r="AN521" s="396">
        <f t="shared" si="51"/>
        <v>1</v>
      </c>
      <c r="AO521" s="109">
        <f t="shared" si="52"/>
        <v>119000</v>
      </c>
      <c r="AP521" s="109">
        <f t="shared" si="53"/>
        <v>108181.81818181818</v>
      </c>
      <c r="AQ521" s="397">
        <f t="shared" si="48"/>
        <v>108181.81818181818</v>
      </c>
    </row>
    <row r="522" spans="1:43" ht="24">
      <c r="A522" s="436" t="s">
        <v>4872</v>
      </c>
      <c r="B522" s="436" t="s">
        <v>3490</v>
      </c>
      <c r="C522" s="437" t="s">
        <v>3491</v>
      </c>
      <c r="D522" s="436" t="s">
        <v>4834</v>
      </c>
      <c r="E522" s="437" t="s">
        <v>4835</v>
      </c>
      <c r="F522" s="436" t="s">
        <v>3494</v>
      </c>
      <c r="G522" s="436" t="s">
        <v>3495</v>
      </c>
      <c r="H522" s="437" t="s">
        <v>3496</v>
      </c>
      <c r="I522" s="436" t="s">
        <v>3497</v>
      </c>
      <c r="J522" s="437" t="s">
        <v>3498</v>
      </c>
      <c r="K522" s="437" t="s">
        <v>3499</v>
      </c>
      <c r="L522" s="436" t="s">
        <v>3500</v>
      </c>
      <c r="M522" s="436" t="s">
        <v>4809</v>
      </c>
      <c r="N522" s="436" t="s">
        <v>3502</v>
      </c>
      <c r="O522" s="438">
        <v>119000</v>
      </c>
      <c r="P522" s="438">
        <v>80920</v>
      </c>
      <c r="Q522" s="438">
        <v>1</v>
      </c>
      <c r="R522" s="438">
        <v>0</v>
      </c>
      <c r="S522" s="438">
        <v>0</v>
      </c>
      <c r="T522" s="438">
        <v>0</v>
      </c>
      <c r="U522" s="438">
        <v>0</v>
      </c>
      <c r="V522" s="438">
        <v>0</v>
      </c>
      <c r="W522" s="438">
        <v>32</v>
      </c>
      <c r="X522" s="438">
        <v>0</v>
      </c>
      <c r="Y522" s="438">
        <v>0</v>
      </c>
      <c r="Z522" s="438">
        <v>0</v>
      </c>
      <c r="AA522" s="438">
        <v>0</v>
      </c>
      <c r="AB522" s="438">
        <v>0</v>
      </c>
      <c r="AC522" s="438">
        <v>119000</v>
      </c>
      <c r="AD522" s="438">
        <v>80920</v>
      </c>
      <c r="AE522" s="438">
        <v>0</v>
      </c>
      <c r="AF522" s="438">
        <v>0</v>
      </c>
      <c r="AG522" s="438">
        <v>119000</v>
      </c>
      <c r="AH522" s="438">
        <v>80920</v>
      </c>
      <c r="AI522" s="438">
        <v>34618</v>
      </c>
      <c r="AJ522" s="438">
        <v>3462</v>
      </c>
      <c r="AK522" s="438">
        <v>38080</v>
      </c>
      <c r="AL522" s="414" t="str">
        <f t="shared" si="49"/>
        <v>워커힐 시그니처 양념 본갈비 300g, 8개</v>
      </c>
      <c r="AM522" s="395">
        <f t="shared" si="50"/>
        <v>46065</v>
      </c>
      <c r="AN522" s="396">
        <f t="shared" si="51"/>
        <v>1</v>
      </c>
      <c r="AO522" s="109">
        <f t="shared" si="52"/>
        <v>119000</v>
      </c>
      <c r="AP522" s="109">
        <f t="shared" si="53"/>
        <v>108181.81818181818</v>
      </c>
      <c r="AQ522" s="397">
        <f t="shared" si="48"/>
        <v>108181.81818181818</v>
      </c>
    </row>
    <row r="523" spans="1:43" ht="24">
      <c r="A523" s="436" t="s">
        <v>4875</v>
      </c>
      <c r="B523" s="436" t="s">
        <v>3490</v>
      </c>
      <c r="C523" s="437" t="s">
        <v>3491</v>
      </c>
      <c r="D523" s="436" t="s">
        <v>5036</v>
      </c>
      <c r="E523" s="437" t="s">
        <v>3724</v>
      </c>
      <c r="F523" s="436" t="s">
        <v>3494</v>
      </c>
      <c r="G523" s="436" t="s">
        <v>3495</v>
      </c>
      <c r="H523" s="437" t="s">
        <v>3496</v>
      </c>
      <c r="I523" s="436" t="s">
        <v>3497</v>
      </c>
      <c r="J523" s="437" t="s">
        <v>3498</v>
      </c>
      <c r="K523" s="437" t="s">
        <v>3499</v>
      </c>
      <c r="L523" s="436" t="s">
        <v>3500</v>
      </c>
      <c r="M523" s="436" t="s">
        <v>4809</v>
      </c>
      <c r="N523" s="436" t="s">
        <v>3502</v>
      </c>
      <c r="O523" s="438">
        <v>119000</v>
      </c>
      <c r="P523" s="438">
        <v>80920</v>
      </c>
      <c r="Q523" s="438">
        <v>1</v>
      </c>
      <c r="R523" s="438">
        <v>0</v>
      </c>
      <c r="S523" s="438">
        <v>0</v>
      </c>
      <c r="T523" s="438">
        <v>0</v>
      </c>
      <c r="U523" s="438">
        <v>0</v>
      </c>
      <c r="V523" s="438">
        <v>0</v>
      </c>
      <c r="W523" s="438">
        <v>32</v>
      </c>
      <c r="X523" s="438">
        <v>0</v>
      </c>
      <c r="Y523" s="438">
        <v>0</v>
      </c>
      <c r="Z523" s="438">
        <v>0</v>
      </c>
      <c r="AA523" s="438">
        <v>0</v>
      </c>
      <c r="AB523" s="438">
        <v>0</v>
      </c>
      <c r="AC523" s="438">
        <v>119000</v>
      </c>
      <c r="AD523" s="438">
        <v>80920</v>
      </c>
      <c r="AE523" s="438">
        <v>0</v>
      </c>
      <c r="AF523" s="438">
        <v>0</v>
      </c>
      <c r="AG523" s="438">
        <v>119000</v>
      </c>
      <c r="AH523" s="438">
        <v>80920</v>
      </c>
      <c r="AI523" s="438">
        <v>34618</v>
      </c>
      <c r="AJ523" s="438">
        <v>3462</v>
      </c>
      <c r="AK523" s="438">
        <v>38080</v>
      </c>
      <c r="AL523" s="414" t="str">
        <f t="shared" si="49"/>
        <v>워커힐 시그니처 양념 본갈비 300g, 8개</v>
      </c>
      <c r="AM523" s="395">
        <f t="shared" si="50"/>
        <v>46065</v>
      </c>
      <c r="AN523" s="396">
        <f t="shared" si="51"/>
        <v>1</v>
      </c>
      <c r="AO523" s="109">
        <f t="shared" si="52"/>
        <v>119000</v>
      </c>
      <c r="AP523" s="109">
        <f t="shared" si="53"/>
        <v>108181.81818181818</v>
      </c>
      <c r="AQ523" s="397">
        <f t="shared" si="48"/>
        <v>108181.81818181818</v>
      </c>
    </row>
    <row r="524" spans="1:43" ht="24">
      <c r="A524" s="436" t="s">
        <v>4877</v>
      </c>
      <c r="B524" s="436" t="s">
        <v>3490</v>
      </c>
      <c r="C524" s="437" t="s">
        <v>3491</v>
      </c>
      <c r="D524" s="436" t="s">
        <v>4837</v>
      </c>
      <c r="E524" s="437" t="s">
        <v>4838</v>
      </c>
      <c r="F524" s="436" t="s">
        <v>3494</v>
      </c>
      <c r="G524" s="436" t="s">
        <v>3495</v>
      </c>
      <c r="H524" s="437" t="s">
        <v>3496</v>
      </c>
      <c r="I524" s="436" t="s">
        <v>3497</v>
      </c>
      <c r="J524" s="437" t="s">
        <v>3498</v>
      </c>
      <c r="K524" s="437" t="s">
        <v>3499</v>
      </c>
      <c r="L524" s="436" t="s">
        <v>3500</v>
      </c>
      <c r="M524" s="436" t="s">
        <v>4809</v>
      </c>
      <c r="N524" s="436" t="s">
        <v>3502</v>
      </c>
      <c r="O524" s="438">
        <v>119000</v>
      </c>
      <c r="P524" s="438">
        <v>80920</v>
      </c>
      <c r="Q524" s="438">
        <v>1</v>
      </c>
      <c r="R524" s="438">
        <v>0</v>
      </c>
      <c r="S524" s="438">
        <v>0</v>
      </c>
      <c r="T524" s="438">
        <v>0</v>
      </c>
      <c r="U524" s="438">
        <v>0</v>
      </c>
      <c r="V524" s="438">
        <v>0</v>
      </c>
      <c r="W524" s="438">
        <v>32</v>
      </c>
      <c r="X524" s="438">
        <v>0</v>
      </c>
      <c r="Y524" s="438">
        <v>0</v>
      </c>
      <c r="Z524" s="438">
        <v>0</v>
      </c>
      <c r="AA524" s="438">
        <v>0</v>
      </c>
      <c r="AB524" s="438">
        <v>0</v>
      </c>
      <c r="AC524" s="438">
        <v>119000</v>
      </c>
      <c r="AD524" s="438">
        <v>80920</v>
      </c>
      <c r="AE524" s="438">
        <v>0</v>
      </c>
      <c r="AF524" s="438">
        <v>0</v>
      </c>
      <c r="AG524" s="438">
        <v>119000</v>
      </c>
      <c r="AH524" s="438">
        <v>80920</v>
      </c>
      <c r="AI524" s="438">
        <v>34618</v>
      </c>
      <c r="AJ524" s="438">
        <v>3462</v>
      </c>
      <c r="AK524" s="438">
        <v>38080</v>
      </c>
      <c r="AL524" s="414" t="str">
        <f t="shared" si="49"/>
        <v>워커힐 시그니처 양념 본갈비 300g, 8개</v>
      </c>
      <c r="AM524" s="395">
        <f t="shared" si="50"/>
        <v>46065</v>
      </c>
      <c r="AN524" s="396">
        <f t="shared" si="51"/>
        <v>1</v>
      </c>
      <c r="AO524" s="109">
        <f t="shared" si="52"/>
        <v>119000</v>
      </c>
      <c r="AP524" s="109">
        <f t="shared" si="53"/>
        <v>108181.81818181818</v>
      </c>
      <c r="AQ524" s="397">
        <f t="shared" si="48"/>
        <v>108181.81818181818</v>
      </c>
    </row>
    <row r="525" spans="1:43" ht="24">
      <c r="A525" s="436" t="s">
        <v>4879</v>
      </c>
      <c r="B525" s="436" t="s">
        <v>3490</v>
      </c>
      <c r="C525" s="437" t="s">
        <v>3491</v>
      </c>
      <c r="D525" s="436" t="s">
        <v>4840</v>
      </c>
      <c r="E525" s="437" t="s">
        <v>4841</v>
      </c>
      <c r="F525" s="436" t="s">
        <v>3494</v>
      </c>
      <c r="G525" s="436" t="s">
        <v>3495</v>
      </c>
      <c r="H525" s="437" t="s">
        <v>3496</v>
      </c>
      <c r="I525" s="436" t="s">
        <v>3497</v>
      </c>
      <c r="J525" s="437" t="s">
        <v>3498</v>
      </c>
      <c r="K525" s="437" t="s">
        <v>3499</v>
      </c>
      <c r="L525" s="436" t="s">
        <v>3500</v>
      </c>
      <c r="M525" s="436" t="s">
        <v>4809</v>
      </c>
      <c r="N525" s="436" t="s">
        <v>3502</v>
      </c>
      <c r="O525" s="438">
        <v>119000</v>
      </c>
      <c r="P525" s="438">
        <v>80920</v>
      </c>
      <c r="Q525" s="438">
        <v>1</v>
      </c>
      <c r="R525" s="438">
        <v>0</v>
      </c>
      <c r="S525" s="438">
        <v>0</v>
      </c>
      <c r="T525" s="438">
        <v>0</v>
      </c>
      <c r="U525" s="438">
        <v>0</v>
      </c>
      <c r="V525" s="438">
        <v>0</v>
      </c>
      <c r="W525" s="438">
        <v>32</v>
      </c>
      <c r="X525" s="438">
        <v>0</v>
      </c>
      <c r="Y525" s="438">
        <v>0</v>
      </c>
      <c r="Z525" s="438">
        <v>0</v>
      </c>
      <c r="AA525" s="438">
        <v>0</v>
      </c>
      <c r="AB525" s="438">
        <v>0</v>
      </c>
      <c r="AC525" s="438">
        <v>119000</v>
      </c>
      <c r="AD525" s="438">
        <v>80920</v>
      </c>
      <c r="AE525" s="438">
        <v>0</v>
      </c>
      <c r="AF525" s="438">
        <v>0</v>
      </c>
      <c r="AG525" s="438">
        <v>119000</v>
      </c>
      <c r="AH525" s="438">
        <v>80920</v>
      </c>
      <c r="AI525" s="438">
        <v>34618</v>
      </c>
      <c r="AJ525" s="438">
        <v>3462</v>
      </c>
      <c r="AK525" s="438">
        <v>38080</v>
      </c>
      <c r="AL525" s="414" t="str">
        <f t="shared" si="49"/>
        <v>워커힐 시그니처 양념 본갈비 300g, 8개</v>
      </c>
      <c r="AM525" s="395">
        <f t="shared" si="50"/>
        <v>46065</v>
      </c>
      <c r="AN525" s="396">
        <f t="shared" si="51"/>
        <v>1</v>
      </c>
      <c r="AO525" s="109">
        <f t="shared" si="52"/>
        <v>119000</v>
      </c>
      <c r="AP525" s="109">
        <f t="shared" si="53"/>
        <v>108181.81818181818</v>
      </c>
      <c r="AQ525" s="397">
        <f t="shared" si="48"/>
        <v>108181.81818181818</v>
      </c>
    </row>
    <row r="526" spans="1:43" ht="24">
      <c r="A526" s="436" t="s">
        <v>4881</v>
      </c>
      <c r="B526" s="436" t="s">
        <v>3490</v>
      </c>
      <c r="C526" s="437" t="s">
        <v>3491</v>
      </c>
      <c r="D526" s="436" t="s">
        <v>4845</v>
      </c>
      <c r="E526" s="437" t="s">
        <v>4846</v>
      </c>
      <c r="F526" s="436" t="s">
        <v>3494</v>
      </c>
      <c r="G526" s="436" t="s">
        <v>3495</v>
      </c>
      <c r="H526" s="437" t="s">
        <v>3496</v>
      </c>
      <c r="I526" s="436" t="s">
        <v>3497</v>
      </c>
      <c r="J526" s="437" t="s">
        <v>3498</v>
      </c>
      <c r="K526" s="437" t="s">
        <v>3499</v>
      </c>
      <c r="L526" s="436" t="s">
        <v>3500</v>
      </c>
      <c r="M526" s="436" t="s">
        <v>4809</v>
      </c>
      <c r="N526" s="436" t="s">
        <v>3502</v>
      </c>
      <c r="O526" s="438">
        <v>119000</v>
      </c>
      <c r="P526" s="438">
        <v>80920</v>
      </c>
      <c r="Q526" s="438">
        <v>1</v>
      </c>
      <c r="R526" s="438">
        <v>0</v>
      </c>
      <c r="S526" s="438">
        <v>0</v>
      </c>
      <c r="T526" s="438">
        <v>0</v>
      </c>
      <c r="U526" s="438">
        <v>0</v>
      </c>
      <c r="V526" s="438">
        <v>0</v>
      </c>
      <c r="W526" s="438">
        <v>32</v>
      </c>
      <c r="X526" s="438">
        <v>0</v>
      </c>
      <c r="Y526" s="438">
        <v>0</v>
      </c>
      <c r="Z526" s="438">
        <v>0</v>
      </c>
      <c r="AA526" s="438">
        <v>0</v>
      </c>
      <c r="AB526" s="438">
        <v>0</v>
      </c>
      <c r="AC526" s="438">
        <v>119000</v>
      </c>
      <c r="AD526" s="438">
        <v>80920</v>
      </c>
      <c r="AE526" s="438">
        <v>0</v>
      </c>
      <c r="AF526" s="438">
        <v>0</v>
      </c>
      <c r="AG526" s="438">
        <v>119000</v>
      </c>
      <c r="AH526" s="438">
        <v>80920</v>
      </c>
      <c r="AI526" s="438">
        <v>34618</v>
      </c>
      <c r="AJ526" s="438">
        <v>3462</v>
      </c>
      <c r="AK526" s="438">
        <v>38080</v>
      </c>
      <c r="AL526" s="414" t="str">
        <f t="shared" si="49"/>
        <v>워커힐 시그니처 양념 본갈비 300g, 8개</v>
      </c>
      <c r="AM526" s="395">
        <f t="shared" si="50"/>
        <v>46065</v>
      </c>
      <c r="AN526" s="396">
        <f t="shared" si="51"/>
        <v>1</v>
      </c>
      <c r="AO526" s="109">
        <f t="shared" si="52"/>
        <v>119000</v>
      </c>
      <c r="AP526" s="109">
        <f t="shared" si="53"/>
        <v>108181.81818181818</v>
      </c>
      <c r="AQ526" s="397">
        <f t="shared" si="48"/>
        <v>108181.81818181818</v>
      </c>
    </row>
    <row r="527" spans="1:43" ht="24">
      <c r="A527" s="436" t="s">
        <v>4884</v>
      </c>
      <c r="B527" s="436" t="s">
        <v>3490</v>
      </c>
      <c r="C527" s="437" t="s">
        <v>3491</v>
      </c>
      <c r="D527" s="436" t="s">
        <v>4848</v>
      </c>
      <c r="E527" s="437" t="s">
        <v>3829</v>
      </c>
      <c r="F527" s="436" t="s">
        <v>3494</v>
      </c>
      <c r="G527" s="436" t="s">
        <v>3495</v>
      </c>
      <c r="H527" s="437" t="s">
        <v>3496</v>
      </c>
      <c r="I527" s="436" t="s">
        <v>3497</v>
      </c>
      <c r="J527" s="437" t="s">
        <v>3498</v>
      </c>
      <c r="K527" s="437" t="s">
        <v>3499</v>
      </c>
      <c r="L527" s="436" t="s">
        <v>3500</v>
      </c>
      <c r="M527" s="436" t="s">
        <v>4809</v>
      </c>
      <c r="N527" s="436" t="s">
        <v>3502</v>
      </c>
      <c r="O527" s="438">
        <v>119000</v>
      </c>
      <c r="P527" s="438">
        <v>80920</v>
      </c>
      <c r="Q527" s="438">
        <v>1</v>
      </c>
      <c r="R527" s="438">
        <v>0</v>
      </c>
      <c r="S527" s="438">
        <v>0</v>
      </c>
      <c r="T527" s="438">
        <v>0</v>
      </c>
      <c r="U527" s="438">
        <v>0</v>
      </c>
      <c r="V527" s="438">
        <v>0</v>
      </c>
      <c r="W527" s="438">
        <v>32</v>
      </c>
      <c r="X527" s="438">
        <v>0</v>
      </c>
      <c r="Y527" s="438">
        <v>0</v>
      </c>
      <c r="Z527" s="438">
        <v>0</v>
      </c>
      <c r="AA527" s="438">
        <v>0</v>
      </c>
      <c r="AB527" s="438">
        <v>0</v>
      </c>
      <c r="AC527" s="438">
        <v>119000</v>
      </c>
      <c r="AD527" s="438">
        <v>80920</v>
      </c>
      <c r="AE527" s="438">
        <v>0</v>
      </c>
      <c r="AF527" s="438">
        <v>0</v>
      </c>
      <c r="AG527" s="438">
        <v>119000</v>
      </c>
      <c r="AH527" s="438">
        <v>80920</v>
      </c>
      <c r="AI527" s="438">
        <v>34618</v>
      </c>
      <c r="AJ527" s="438">
        <v>3462</v>
      </c>
      <c r="AK527" s="438">
        <v>38080</v>
      </c>
      <c r="AL527" s="414" t="str">
        <f t="shared" si="49"/>
        <v>워커힐 시그니처 양념 본갈비 300g, 8개</v>
      </c>
      <c r="AM527" s="395">
        <f t="shared" si="50"/>
        <v>46065</v>
      </c>
      <c r="AN527" s="396">
        <f t="shared" si="51"/>
        <v>1</v>
      </c>
      <c r="AO527" s="109">
        <f t="shared" si="52"/>
        <v>119000</v>
      </c>
      <c r="AP527" s="109">
        <f t="shared" si="53"/>
        <v>108181.81818181818</v>
      </c>
      <c r="AQ527" s="397">
        <f t="shared" si="48"/>
        <v>108181.81818181818</v>
      </c>
    </row>
    <row r="528" spans="1:43" ht="24">
      <c r="A528" s="436" t="s">
        <v>4887</v>
      </c>
      <c r="B528" s="436" t="s">
        <v>3490</v>
      </c>
      <c r="C528" s="437" t="s">
        <v>3491</v>
      </c>
      <c r="D528" s="436" t="s">
        <v>4850</v>
      </c>
      <c r="E528" s="437" t="s">
        <v>4851</v>
      </c>
      <c r="F528" s="436" t="s">
        <v>3494</v>
      </c>
      <c r="G528" s="436" t="s">
        <v>3495</v>
      </c>
      <c r="H528" s="437" t="s">
        <v>3496</v>
      </c>
      <c r="I528" s="436" t="s">
        <v>3497</v>
      </c>
      <c r="J528" s="437" t="s">
        <v>3498</v>
      </c>
      <c r="K528" s="437" t="s">
        <v>3499</v>
      </c>
      <c r="L528" s="436" t="s">
        <v>3500</v>
      </c>
      <c r="M528" s="436" t="s">
        <v>4809</v>
      </c>
      <c r="N528" s="436" t="s">
        <v>3502</v>
      </c>
      <c r="O528" s="438">
        <v>119000</v>
      </c>
      <c r="P528" s="438">
        <v>80920</v>
      </c>
      <c r="Q528" s="438">
        <v>1</v>
      </c>
      <c r="R528" s="438">
        <v>0</v>
      </c>
      <c r="S528" s="438">
        <v>0</v>
      </c>
      <c r="T528" s="438">
        <v>0</v>
      </c>
      <c r="U528" s="438">
        <v>0</v>
      </c>
      <c r="V528" s="438">
        <v>0</v>
      </c>
      <c r="W528" s="438">
        <v>32</v>
      </c>
      <c r="X528" s="438">
        <v>0</v>
      </c>
      <c r="Y528" s="438">
        <v>0</v>
      </c>
      <c r="Z528" s="438">
        <v>0</v>
      </c>
      <c r="AA528" s="438">
        <v>0</v>
      </c>
      <c r="AB528" s="438">
        <v>0</v>
      </c>
      <c r="AC528" s="438">
        <v>119000</v>
      </c>
      <c r="AD528" s="438">
        <v>80920</v>
      </c>
      <c r="AE528" s="438">
        <v>0</v>
      </c>
      <c r="AF528" s="438">
        <v>0</v>
      </c>
      <c r="AG528" s="438">
        <v>119000</v>
      </c>
      <c r="AH528" s="438">
        <v>80920</v>
      </c>
      <c r="AI528" s="438">
        <v>34618</v>
      </c>
      <c r="AJ528" s="438">
        <v>3462</v>
      </c>
      <c r="AK528" s="438">
        <v>38080</v>
      </c>
      <c r="AL528" s="414" t="str">
        <f t="shared" si="49"/>
        <v>워커힐 시그니처 양념 본갈비 300g, 8개</v>
      </c>
      <c r="AM528" s="395">
        <f t="shared" si="50"/>
        <v>46065</v>
      </c>
      <c r="AN528" s="396">
        <f t="shared" si="51"/>
        <v>1</v>
      </c>
      <c r="AO528" s="109">
        <f t="shared" si="52"/>
        <v>119000</v>
      </c>
      <c r="AP528" s="109">
        <f t="shared" si="53"/>
        <v>108181.81818181818</v>
      </c>
      <c r="AQ528" s="397">
        <f t="shared" si="48"/>
        <v>108181.81818181818</v>
      </c>
    </row>
    <row r="529" spans="1:43" ht="24">
      <c r="A529" s="436" t="s">
        <v>4890</v>
      </c>
      <c r="B529" s="436" t="s">
        <v>3490</v>
      </c>
      <c r="C529" s="437" t="s">
        <v>3491</v>
      </c>
      <c r="D529" s="436" t="s">
        <v>4853</v>
      </c>
      <c r="E529" s="437" t="s">
        <v>4155</v>
      </c>
      <c r="F529" s="436" t="s">
        <v>3494</v>
      </c>
      <c r="G529" s="436" t="s">
        <v>3495</v>
      </c>
      <c r="H529" s="437" t="s">
        <v>3496</v>
      </c>
      <c r="I529" s="436" t="s">
        <v>3497</v>
      </c>
      <c r="J529" s="437" t="s">
        <v>3498</v>
      </c>
      <c r="K529" s="437" t="s">
        <v>3499</v>
      </c>
      <c r="L529" s="436" t="s">
        <v>3500</v>
      </c>
      <c r="M529" s="436" t="s">
        <v>4809</v>
      </c>
      <c r="N529" s="436" t="s">
        <v>3502</v>
      </c>
      <c r="O529" s="438">
        <v>119000</v>
      </c>
      <c r="P529" s="438">
        <v>80920</v>
      </c>
      <c r="Q529" s="438">
        <v>1</v>
      </c>
      <c r="R529" s="438">
        <v>0</v>
      </c>
      <c r="S529" s="438">
        <v>0</v>
      </c>
      <c r="T529" s="438">
        <v>0</v>
      </c>
      <c r="U529" s="438">
        <v>0</v>
      </c>
      <c r="V529" s="438">
        <v>0</v>
      </c>
      <c r="W529" s="438">
        <v>32</v>
      </c>
      <c r="X529" s="438">
        <v>0</v>
      </c>
      <c r="Y529" s="438">
        <v>0</v>
      </c>
      <c r="Z529" s="438">
        <v>0</v>
      </c>
      <c r="AA529" s="438">
        <v>0</v>
      </c>
      <c r="AB529" s="438">
        <v>0</v>
      </c>
      <c r="AC529" s="438">
        <v>119000</v>
      </c>
      <c r="AD529" s="438">
        <v>80920</v>
      </c>
      <c r="AE529" s="438">
        <v>0</v>
      </c>
      <c r="AF529" s="438">
        <v>0</v>
      </c>
      <c r="AG529" s="438">
        <v>119000</v>
      </c>
      <c r="AH529" s="438">
        <v>80920</v>
      </c>
      <c r="AI529" s="438">
        <v>34618</v>
      </c>
      <c r="AJ529" s="438">
        <v>3462</v>
      </c>
      <c r="AK529" s="438">
        <v>38080</v>
      </c>
      <c r="AL529" s="414" t="str">
        <f t="shared" si="49"/>
        <v>워커힐 시그니처 양념 본갈비 300g, 8개</v>
      </c>
      <c r="AM529" s="395">
        <f t="shared" si="50"/>
        <v>46065</v>
      </c>
      <c r="AN529" s="396">
        <f t="shared" si="51"/>
        <v>1</v>
      </c>
      <c r="AO529" s="109">
        <f t="shared" si="52"/>
        <v>119000</v>
      </c>
      <c r="AP529" s="109">
        <f t="shared" si="53"/>
        <v>108181.81818181818</v>
      </c>
      <c r="AQ529" s="397">
        <f t="shared" si="48"/>
        <v>108181.81818181818</v>
      </c>
    </row>
    <row r="530" spans="1:43" ht="24">
      <c r="A530" s="436" t="s">
        <v>4893</v>
      </c>
      <c r="B530" s="436" t="s">
        <v>3490</v>
      </c>
      <c r="C530" s="437" t="s">
        <v>3491</v>
      </c>
      <c r="D530" s="436" t="s">
        <v>4855</v>
      </c>
      <c r="E530" s="437" t="s">
        <v>3523</v>
      </c>
      <c r="F530" s="436" t="s">
        <v>3494</v>
      </c>
      <c r="G530" s="436" t="s">
        <v>3495</v>
      </c>
      <c r="H530" s="437" t="s">
        <v>3496</v>
      </c>
      <c r="I530" s="436" t="s">
        <v>3497</v>
      </c>
      <c r="J530" s="437" t="s">
        <v>3498</v>
      </c>
      <c r="K530" s="437" t="s">
        <v>3499</v>
      </c>
      <c r="L530" s="436" t="s">
        <v>3500</v>
      </c>
      <c r="M530" s="436" t="s">
        <v>4809</v>
      </c>
      <c r="N530" s="436" t="s">
        <v>3502</v>
      </c>
      <c r="O530" s="438">
        <v>119000</v>
      </c>
      <c r="P530" s="438">
        <v>80920</v>
      </c>
      <c r="Q530" s="438">
        <v>1</v>
      </c>
      <c r="R530" s="438">
        <v>0</v>
      </c>
      <c r="S530" s="438">
        <v>0</v>
      </c>
      <c r="T530" s="438">
        <v>0</v>
      </c>
      <c r="U530" s="438">
        <v>0</v>
      </c>
      <c r="V530" s="438">
        <v>0</v>
      </c>
      <c r="W530" s="438">
        <v>32</v>
      </c>
      <c r="X530" s="438">
        <v>0</v>
      </c>
      <c r="Y530" s="438">
        <v>0</v>
      </c>
      <c r="Z530" s="438">
        <v>0</v>
      </c>
      <c r="AA530" s="438">
        <v>0</v>
      </c>
      <c r="AB530" s="438">
        <v>0</v>
      </c>
      <c r="AC530" s="438">
        <v>119000</v>
      </c>
      <c r="AD530" s="438">
        <v>80920</v>
      </c>
      <c r="AE530" s="438">
        <v>0</v>
      </c>
      <c r="AF530" s="438">
        <v>0</v>
      </c>
      <c r="AG530" s="438">
        <v>119000</v>
      </c>
      <c r="AH530" s="438">
        <v>80920</v>
      </c>
      <c r="AI530" s="438">
        <v>34618</v>
      </c>
      <c r="AJ530" s="438">
        <v>3462</v>
      </c>
      <c r="AK530" s="438">
        <v>38080</v>
      </c>
      <c r="AL530" s="414" t="str">
        <f t="shared" si="49"/>
        <v>워커힐 시그니처 양념 본갈비 300g, 8개</v>
      </c>
      <c r="AM530" s="395">
        <f t="shared" si="50"/>
        <v>46065</v>
      </c>
      <c r="AN530" s="396">
        <f t="shared" si="51"/>
        <v>1</v>
      </c>
      <c r="AO530" s="109">
        <f t="shared" si="52"/>
        <v>119000</v>
      </c>
      <c r="AP530" s="109">
        <f t="shared" si="53"/>
        <v>108181.81818181818</v>
      </c>
      <c r="AQ530" s="397">
        <f t="shared" si="48"/>
        <v>108181.81818181818</v>
      </c>
    </row>
    <row r="531" spans="1:43" ht="24">
      <c r="A531" s="436" t="s">
        <v>4896</v>
      </c>
      <c r="B531" s="436" t="s">
        <v>3490</v>
      </c>
      <c r="C531" s="437" t="s">
        <v>3491</v>
      </c>
      <c r="D531" s="436" t="s">
        <v>5023</v>
      </c>
      <c r="E531" s="437" t="s">
        <v>4255</v>
      </c>
      <c r="F531" s="436" t="s">
        <v>3494</v>
      </c>
      <c r="G531" s="436" t="s">
        <v>3495</v>
      </c>
      <c r="H531" s="437" t="s">
        <v>3496</v>
      </c>
      <c r="I531" s="436" t="s">
        <v>3497</v>
      </c>
      <c r="J531" s="437" t="s">
        <v>3498</v>
      </c>
      <c r="K531" s="437" t="s">
        <v>3499</v>
      </c>
      <c r="L531" s="436" t="s">
        <v>3500</v>
      </c>
      <c r="M531" s="436" t="s">
        <v>4809</v>
      </c>
      <c r="N531" s="436" t="s">
        <v>3502</v>
      </c>
      <c r="O531" s="438">
        <v>119000</v>
      </c>
      <c r="P531" s="438">
        <v>80920</v>
      </c>
      <c r="Q531" s="438">
        <v>1</v>
      </c>
      <c r="R531" s="438">
        <v>0</v>
      </c>
      <c r="S531" s="438">
        <v>0</v>
      </c>
      <c r="T531" s="438">
        <v>0</v>
      </c>
      <c r="U531" s="438">
        <v>0</v>
      </c>
      <c r="V531" s="438">
        <v>0</v>
      </c>
      <c r="W531" s="438">
        <v>32</v>
      </c>
      <c r="X531" s="438">
        <v>0</v>
      </c>
      <c r="Y531" s="438">
        <v>0</v>
      </c>
      <c r="Z531" s="438">
        <v>0</v>
      </c>
      <c r="AA531" s="438">
        <v>0</v>
      </c>
      <c r="AB531" s="438">
        <v>0</v>
      </c>
      <c r="AC531" s="438">
        <v>119000</v>
      </c>
      <c r="AD531" s="438">
        <v>80920</v>
      </c>
      <c r="AE531" s="438">
        <v>0</v>
      </c>
      <c r="AF531" s="438">
        <v>0</v>
      </c>
      <c r="AG531" s="438">
        <v>119000</v>
      </c>
      <c r="AH531" s="438">
        <v>80920</v>
      </c>
      <c r="AI531" s="438">
        <v>34618</v>
      </c>
      <c r="AJ531" s="438">
        <v>3462</v>
      </c>
      <c r="AK531" s="438">
        <v>38080</v>
      </c>
      <c r="AL531" s="414" t="str">
        <f t="shared" si="49"/>
        <v>워커힐 시그니처 양념 본갈비 300g, 8개</v>
      </c>
      <c r="AM531" s="395">
        <f t="shared" si="50"/>
        <v>46065</v>
      </c>
      <c r="AN531" s="396">
        <f t="shared" si="51"/>
        <v>1</v>
      </c>
      <c r="AO531" s="109">
        <f t="shared" si="52"/>
        <v>119000</v>
      </c>
      <c r="AP531" s="109">
        <f t="shared" si="53"/>
        <v>108181.81818181818</v>
      </c>
      <c r="AQ531" s="397">
        <f t="shared" si="48"/>
        <v>108181.81818181818</v>
      </c>
    </row>
    <row r="532" spans="1:43" ht="24">
      <c r="A532" s="436" t="s">
        <v>4898</v>
      </c>
      <c r="B532" s="436" t="s">
        <v>3490</v>
      </c>
      <c r="C532" s="437" t="s">
        <v>3491</v>
      </c>
      <c r="D532" s="436" t="s">
        <v>4857</v>
      </c>
      <c r="E532" s="437" t="s">
        <v>3778</v>
      </c>
      <c r="F532" s="436" t="s">
        <v>3494</v>
      </c>
      <c r="G532" s="436" t="s">
        <v>3495</v>
      </c>
      <c r="H532" s="437" t="s">
        <v>3496</v>
      </c>
      <c r="I532" s="436" t="s">
        <v>3497</v>
      </c>
      <c r="J532" s="437" t="s">
        <v>3498</v>
      </c>
      <c r="K532" s="437" t="s">
        <v>3499</v>
      </c>
      <c r="L532" s="436" t="s">
        <v>3500</v>
      </c>
      <c r="M532" s="436" t="s">
        <v>4809</v>
      </c>
      <c r="N532" s="436" t="s">
        <v>3502</v>
      </c>
      <c r="O532" s="438">
        <v>119000</v>
      </c>
      <c r="P532" s="438">
        <v>80920</v>
      </c>
      <c r="Q532" s="438">
        <v>1</v>
      </c>
      <c r="R532" s="438">
        <v>0</v>
      </c>
      <c r="S532" s="438">
        <v>0</v>
      </c>
      <c r="T532" s="438">
        <v>0</v>
      </c>
      <c r="U532" s="438">
        <v>0</v>
      </c>
      <c r="V532" s="438">
        <v>0</v>
      </c>
      <c r="W532" s="438">
        <v>32</v>
      </c>
      <c r="X532" s="438">
        <v>0</v>
      </c>
      <c r="Y532" s="438">
        <v>0</v>
      </c>
      <c r="Z532" s="438">
        <v>0</v>
      </c>
      <c r="AA532" s="438">
        <v>0</v>
      </c>
      <c r="AB532" s="438">
        <v>0</v>
      </c>
      <c r="AC532" s="438">
        <v>119000</v>
      </c>
      <c r="AD532" s="438">
        <v>80920</v>
      </c>
      <c r="AE532" s="438">
        <v>0</v>
      </c>
      <c r="AF532" s="438">
        <v>0</v>
      </c>
      <c r="AG532" s="438">
        <v>119000</v>
      </c>
      <c r="AH532" s="438">
        <v>80920</v>
      </c>
      <c r="AI532" s="438">
        <v>34618</v>
      </c>
      <c r="AJ532" s="438">
        <v>3462</v>
      </c>
      <c r="AK532" s="438">
        <v>38080</v>
      </c>
      <c r="AL532" s="414" t="str">
        <f t="shared" si="49"/>
        <v>워커힐 시그니처 양념 본갈비 300g, 8개</v>
      </c>
      <c r="AM532" s="395">
        <f t="shared" si="50"/>
        <v>46065</v>
      </c>
      <c r="AN532" s="396">
        <f t="shared" si="51"/>
        <v>1</v>
      </c>
      <c r="AO532" s="109">
        <f t="shared" si="52"/>
        <v>119000</v>
      </c>
      <c r="AP532" s="109">
        <f t="shared" si="53"/>
        <v>108181.81818181818</v>
      </c>
      <c r="AQ532" s="397">
        <f t="shared" si="48"/>
        <v>108181.81818181818</v>
      </c>
    </row>
    <row r="533" spans="1:43" ht="24">
      <c r="A533" s="436" t="s">
        <v>4901</v>
      </c>
      <c r="B533" s="436" t="s">
        <v>3490</v>
      </c>
      <c r="C533" s="437" t="s">
        <v>3491</v>
      </c>
      <c r="D533" s="436" t="s">
        <v>4859</v>
      </c>
      <c r="E533" s="437" t="s">
        <v>3724</v>
      </c>
      <c r="F533" s="436" t="s">
        <v>3494</v>
      </c>
      <c r="G533" s="436" t="s">
        <v>3495</v>
      </c>
      <c r="H533" s="437" t="s">
        <v>3496</v>
      </c>
      <c r="I533" s="436" t="s">
        <v>3497</v>
      </c>
      <c r="J533" s="437" t="s">
        <v>3498</v>
      </c>
      <c r="K533" s="437" t="s">
        <v>3499</v>
      </c>
      <c r="L533" s="436" t="s">
        <v>3500</v>
      </c>
      <c r="M533" s="436" t="s">
        <v>4809</v>
      </c>
      <c r="N533" s="436" t="s">
        <v>3502</v>
      </c>
      <c r="O533" s="438">
        <v>119000</v>
      </c>
      <c r="P533" s="438">
        <v>80920</v>
      </c>
      <c r="Q533" s="438">
        <v>1</v>
      </c>
      <c r="R533" s="438">
        <v>0</v>
      </c>
      <c r="S533" s="438">
        <v>0</v>
      </c>
      <c r="T533" s="438">
        <v>0</v>
      </c>
      <c r="U533" s="438">
        <v>0</v>
      </c>
      <c r="V533" s="438">
        <v>0</v>
      </c>
      <c r="W533" s="438">
        <v>32</v>
      </c>
      <c r="X533" s="438">
        <v>0</v>
      </c>
      <c r="Y533" s="438">
        <v>0</v>
      </c>
      <c r="Z533" s="438">
        <v>0</v>
      </c>
      <c r="AA533" s="438">
        <v>0</v>
      </c>
      <c r="AB533" s="438">
        <v>0</v>
      </c>
      <c r="AC533" s="438">
        <v>119000</v>
      </c>
      <c r="AD533" s="438">
        <v>80920</v>
      </c>
      <c r="AE533" s="438">
        <v>0</v>
      </c>
      <c r="AF533" s="438">
        <v>0</v>
      </c>
      <c r="AG533" s="438">
        <v>119000</v>
      </c>
      <c r="AH533" s="438">
        <v>80920</v>
      </c>
      <c r="AI533" s="438">
        <v>34618</v>
      </c>
      <c r="AJ533" s="438">
        <v>3462</v>
      </c>
      <c r="AK533" s="438">
        <v>38080</v>
      </c>
      <c r="AL533" s="414" t="str">
        <f t="shared" si="49"/>
        <v>워커힐 시그니처 양념 본갈비 300g, 8개</v>
      </c>
      <c r="AM533" s="395">
        <f t="shared" si="50"/>
        <v>46065</v>
      </c>
      <c r="AN533" s="396">
        <f t="shared" si="51"/>
        <v>1</v>
      </c>
      <c r="AO533" s="109">
        <f t="shared" si="52"/>
        <v>119000</v>
      </c>
      <c r="AP533" s="109">
        <f t="shared" si="53"/>
        <v>108181.81818181818</v>
      </c>
      <c r="AQ533" s="397">
        <f t="shared" si="48"/>
        <v>108181.81818181818</v>
      </c>
    </row>
    <row r="534" spans="1:43" ht="24">
      <c r="A534" s="436" t="s">
        <v>4904</v>
      </c>
      <c r="B534" s="436" t="s">
        <v>3490</v>
      </c>
      <c r="C534" s="437" t="s">
        <v>3491</v>
      </c>
      <c r="D534" s="436" t="s">
        <v>4863</v>
      </c>
      <c r="E534" s="437" t="s">
        <v>3551</v>
      </c>
      <c r="F534" s="436" t="s">
        <v>3494</v>
      </c>
      <c r="G534" s="436" t="s">
        <v>3495</v>
      </c>
      <c r="H534" s="437" t="s">
        <v>3496</v>
      </c>
      <c r="I534" s="436" t="s">
        <v>3497</v>
      </c>
      <c r="J534" s="437" t="s">
        <v>3498</v>
      </c>
      <c r="K534" s="437" t="s">
        <v>3499</v>
      </c>
      <c r="L534" s="436" t="s">
        <v>3500</v>
      </c>
      <c r="M534" s="436" t="s">
        <v>4809</v>
      </c>
      <c r="N534" s="436" t="s">
        <v>3502</v>
      </c>
      <c r="O534" s="438">
        <v>119000</v>
      </c>
      <c r="P534" s="438">
        <v>80920</v>
      </c>
      <c r="Q534" s="438">
        <v>1</v>
      </c>
      <c r="R534" s="438">
        <v>0</v>
      </c>
      <c r="S534" s="438">
        <v>0</v>
      </c>
      <c r="T534" s="438">
        <v>0</v>
      </c>
      <c r="U534" s="438">
        <v>0</v>
      </c>
      <c r="V534" s="438">
        <v>0</v>
      </c>
      <c r="W534" s="438">
        <v>32</v>
      </c>
      <c r="X534" s="438">
        <v>0</v>
      </c>
      <c r="Y534" s="438">
        <v>0</v>
      </c>
      <c r="Z534" s="438">
        <v>0</v>
      </c>
      <c r="AA534" s="438">
        <v>0</v>
      </c>
      <c r="AB534" s="438">
        <v>0</v>
      </c>
      <c r="AC534" s="438">
        <v>119000</v>
      </c>
      <c r="AD534" s="438">
        <v>80920</v>
      </c>
      <c r="AE534" s="438">
        <v>0</v>
      </c>
      <c r="AF534" s="438">
        <v>0</v>
      </c>
      <c r="AG534" s="438">
        <v>119000</v>
      </c>
      <c r="AH534" s="438">
        <v>80920</v>
      </c>
      <c r="AI534" s="438">
        <v>34618</v>
      </c>
      <c r="AJ534" s="438">
        <v>3462</v>
      </c>
      <c r="AK534" s="438">
        <v>38080</v>
      </c>
      <c r="AL534" s="414" t="str">
        <f t="shared" si="49"/>
        <v>워커힐 시그니처 양념 본갈비 300g, 8개</v>
      </c>
      <c r="AM534" s="395">
        <f t="shared" si="50"/>
        <v>46065</v>
      </c>
      <c r="AN534" s="396">
        <f t="shared" si="51"/>
        <v>1</v>
      </c>
      <c r="AO534" s="109">
        <f t="shared" si="52"/>
        <v>119000</v>
      </c>
      <c r="AP534" s="109">
        <f t="shared" si="53"/>
        <v>108181.81818181818</v>
      </c>
      <c r="AQ534" s="397">
        <f t="shared" si="48"/>
        <v>108181.81818181818</v>
      </c>
    </row>
    <row r="535" spans="1:43" ht="24">
      <c r="A535" s="436" t="s">
        <v>4906</v>
      </c>
      <c r="B535" s="436" t="s">
        <v>3490</v>
      </c>
      <c r="C535" s="437" t="s">
        <v>3491</v>
      </c>
      <c r="D535" s="436" t="s">
        <v>5030</v>
      </c>
      <c r="E535" s="437" t="s">
        <v>5031</v>
      </c>
      <c r="F535" s="436" t="s">
        <v>3494</v>
      </c>
      <c r="G535" s="436" t="s">
        <v>3495</v>
      </c>
      <c r="H535" s="437" t="s">
        <v>3496</v>
      </c>
      <c r="I535" s="436" t="s">
        <v>3497</v>
      </c>
      <c r="J535" s="437" t="s">
        <v>3498</v>
      </c>
      <c r="K535" s="437" t="s">
        <v>3499</v>
      </c>
      <c r="L535" s="436" t="s">
        <v>3500</v>
      </c>
      <c r="M535" s="436" t="s">
        <v>4809</v>
      </c>
      <c r="N535" s="436" t="s">
        <v>3502</v>
      </c>
      <c r="O535" s="438">
        <v>119000</v>
      </c>
      <c r="P535" s="438">
        <v>80920</v>
      </c>
      <c r="Q535" s="438">
        <v>1</v>
      </c>
      <c r="R535" s="438">
        <v>0</v>
      </c>
      <c r="S535" s="438">
        <v>0</v>
      </c>
      <c r="T535" s="438">
        <v>0</v>
      </c>
      <c r="U535" s="438">
        <v>0</v>
      </c>
      <c r="V535" s="438">
        <v>0</v>
      </c>
      <c r="W535" s="438">
        <v>32</v>
      </c>
      <c r="X535" s="438">
        <v>0</v>
      </c>
      <c r="Y535" s="438">
        <v>0</v>
      </c>
      <c r="Z535" s="438">
        <v>0</v>
      </c>
      <c r="AA535" s="438">
        <v>0</v>
      </c>
      <c r="AB535" s="438">
        <v>0</v>
      </c>
      <c r="AC535" s="438">
        <v>119000</v>
      </c>
      <c r="AD535" s="438">
        <v>80920</v>
      </c>
      <c r="AE535" s="438">
        <v>0</v>
      </c>
      <c r="AF535" s="438">
        <v>0</v>
      </c>
      <c r="AG535" s="438">
        <v>119000</v>
      </c>
      <c r="AH535" s="438">
        <v>80920</v>
      </c>
      <c r="AI535" s="438">
        <v>34618</v>
      </c>
      <c r="AJ535" s="438">
        <v>3462</v>
      </c>
      <c r="AK535" s="438">
        <v>38080</v>
      </c>
      <c r="AL535" s="414" t="str">
        <f t="shared" si="49"/>
        <v>워커힐 시그니처 양념 본갈비 300g, 8개</v>
      </c>
      <c r="AM535" s="395">
        <f t="shared" si="50"/>
        <v>46065</v>
      </c>
      <c r="AN535" s="396">
        <f t="shared" si="51"/>
        <v>1</v>
      </c>
      <c r="AO535" s="109">
        <f t="shared" si="52"/>
        <v>119000</v>
      </c>
      <c r="AP535" s="109">
        <f t="shared" si="53"/>
        <v>108181.81818181818</v>
      </c>
      <c r="AQ535" s="397">
        <f t="shared" si="48"/>
        <v>108181.81818181818</v>
      </c>
    </row>
    <row r="536" spans="1:43" ht="24">
      <c r="A536" s="436" t="s">
        <v>4908</v>
      </c>
      <c r="B536" s="436" t="s">
        <v>3490</v>
      </c>
      <c r="C536" s="437" t="s">
        <v>3491</v>
      </c>
      <c r="D536" s="436" t="s">
        <v>4865</v>
      </c>
      <c r="E536" s="437" t="s">
        <v>4866</v>
      </c>
      <c r="F536" s="436" t="s">
        <v>3494</v>
      </c>
      <c r="G536" s="436" t="s">
        <v>3495</v>
      </c>
      <c r="H536" s="437" t="s">
        <v>3496</v>
      </c>
      <c r="I536" s="436" t="s">
        <v>3497</v>
      </c>
      <c r="J536" s="437" t="s">
        <v>3498</v>
      </c>
      <c r="K536" s="437" t="s">
        <v>3499</v>
      </c>
      <c r="L536" s="436" t="s">
        <v>3500</v>
      </c>
      <c r="M536" s="436" t="s">
        <v>4809</v>
      </c>
      <c r="N536" s="436" t="s">
        <v>3502</v>
      </c>
      <c r="O536" s="438">
        <v>119000</v>
      </c>
      <c r="P536" s="438">
        <v>80920</v>
      </c>
      <c r="Q536" s="438">
        <v>1</v>
      </c>
      <c r="R536" s="438">
        <v>0</v>
      </c>
      <c r="S536" s="438">
        <v>0</v>
      </c>
      <c r="T536" s="438">
        <v>0</v>
      </c>
      <c r="U536" s="438">
        <v>0</v>
      </c>
      <c r="V536" s="438">
        <v>0</v>
      </c>
      <c r="W536" s="438">
        <v>32</v>
      </c>
      <c r="X536" s="438">
        <v>0</v>
      </c>
      <c r="Y536" s="438">
        <v>0</v>
      </c>
      <c r="Z536" s="438">
        <v>0</v>
      </c>
      <c r="AA536" s="438">
        <v>0</v>
      </c>
      <c r="AB536" s="438">
        <v>0</v>
      </c>
      <c r="AC536" s="438">
        <v>119000</v>
      </c>
      <c r="AD536" s="438">
        <v>80920</v>
      </c>
      <c r="AE536" s="438">
        <v>0</v>
      </c>
      <c r="AF536" s="438">
        <v>0</v>
      </c>
      <c r="AG536" s="438">
        <v>119000</v>
      </c>
      <c r="AH536" s="438">
        <v>80920</v>
      </c>
      <c r="AI536" s="438">
        <v>34618</v>
      </c>
      <c r="AJ536" s="438">
        <v>3462</v>
      </c>
      <c r="AK536" s="438">
        <v>38080</v>
      </c>
      <c r="AL536" s="414" t="str">
        <f t="shared" si="49"/>
        <v>워커힐 시그니처 양념 본갈비 300g, 8개</v>
      </c>
      <c r="AM536" s="395">
        <f t="shared" si="50"/>
        <v>46065</v>
      </c>
      <c r="AN536" s="396">
        <f t="shared" si="51"/>
        <v>1</v>
      </c>
      <c r="AO536" s="109">
        <f t="shared" si="52"/>
        <v>119000</v>
      </c>
      <c r="AP536" s="109">
        <f t="shared" si="53"/>
        <v>108181.81818181818</v>
      </c>
      <c r="AQ536" s="397">
        <f t="shared" si="48"/>
        <v>108181.81818181818</v>
      </c>
    </row>
    <row r="537" spans="1:43" ht="24">
      <c r="A537" s="436" t="s">
        <v>4911</v>
      </c>
      <c r="B537" s="436" t="s">
        <v>3490</v>
      </c>
      <c r="C537" s="437" t="s">
        <v>3491</v>
      </c>
      <c r="D537" s="436" t="s">
        <v>4868</v>
      </c>
      <c r="E537" s="437" t="s">
        <v>3709</v>
      </c>
      <c r="F537" s="436" t="s">
        <v>3494</v>
      </c>
      <c r="G537" s="436" t="s">
        <v>3495</v>
      </c>
      <c r="H537" s="437" t="s">
        <v>3496</v>
      </c>
      <c r="I537" s="436" t="s">
        <v>3497</v>
      </c>
      <c r="J537" s="437" t="s">
        <v>3498</v>
      </c>
      <c r="K537" s="437" t="s">
        <v>3499</v>
      </c>
      <c r="L537" s="436" t="s">
        <v>3500</v>
      </c>
      <c r="M537" s="436" t="s">
        <v>4809</v>
      </c>
      <c r="N537" s="436" t="s">
        <v>3502</v>
      </c>
      <c r="O537" s="438">
        <v>119000</v>
      </c>
      <c r="P537" s="438">
        <v>80920</v>
      </c>
      <c r="Q537" s="438">
        <v>1</v>
      </c>
      <c r="R537" s="438">
        <v>0</v>
      </c>
      <c r="S537" s="438">
        <v>0</v>
      </c>
      <c r="T537" s="438">
        <v>0</v>
      </c>
      <c r="U537" s="438">
        <v>0</v>
      </c>
      <c r="V537" s="438">
        <v>0</v>
      </c>
      <c r="W537" s="438">
        <v>32</v>
      </c>
      <c r="X537" s="438">
        <v>0</v>
      </c>
      <c r="Y537" s="438">
        <v>0</v>
      </c>
      <c r="Z537" s="438">
        <v>0</v>
      </c>
      <c r="AA537" s="438">
        <v>0</v>
      </c>
      <c r="AB537" s="438">
        <v>0</v>
      </c>
      <c r="AC537" s="438">
        <v>119000</v>
      </c>
      <c r="AD537" s="438">
        <v>80920</v>
      </c>
      <c r="AE537" s="438">
        <v>0</v>
      </c>
      <c r="AF537" s="438">
        <v>0</v>
      </c>
      <c r="AG537" s="438">
        <v>119000</v>
      </c>
      <c r="AH537" s="438">
        <v>80920</v>
      </c>
      <c r="AI537" s="438">
        <v>34618</v>
      </c>
      <c r="AJ537" s="438">
        <v>3462</v>
      </c>
      <c r="AK537" s="438">
        <v>38080</v>
      </c>
      <c r="AL537" s="414" t="str">
        <f t="shared" si="49"/>
        <v>워커힐 시그니처 양념 본갈비 300g, 8개</v>
      </c>
      <c r="AM537" s="395">
        <f t="shared" si="50"/>
        <v>46065</v>
      </c>
      <c r="AN537" s="396">
        <f t="shared" si="51"/>
        <v>1</v>
      </c>
      <c r="AO537" s="109">
        <f t="shared" si="52"/>
        <v>119000</v>
      </c>
      <c r="AP537" s="109">
        <f t="shared" si="53"/>
        <v>108181.81818181818</v>
      </c>
      <c r="AQ537" s="397">
        <f t="shared" si="48"/>
        <v>108181.81818181818</v>
      </c>
    </row>
    <row r="538" spans="1:43" ht="24">
      <c r="A538" s="436" t="s">
        <v>4914</v>
      </c>
      <c r="B538" s="436" t="s">
        <v>3490</v>
      </c>
      <c r="C538" s="437" t="s">
        <v>3491</v>
      </c>
      <c r="D538" s="436" t="s">
        <v>4915</v>
      </c>
      <c r="E538" s="437" t="s">
        <v>3813</v>
      </c>
      <c r="F538" s="436" t="s">
        <v>3494</v>
      </c>
      <c r="G538" s="436" t="s">
        <v>3495</v>
      </c>
      <c r="H538" s="437" t="s">
        <v>3496</v>
      </c>
      <c r="I538" s="436" t="s">
        <v>3497</v>
      </c>
      <c r="J538" s="437" t="s">
        <v>3498</v>
      </c>
      <c r="K538" s="437" t="s">
        <v>3548</v>
      </c>
      <c r="L538" s="436" t="s">
        <v>3500</v>
      </c>
      <c r="M538" s="436" t="s">
        <v>4809</v>
      </c>
      <c r="N538" s="436" t="s">
        <v>3502</v>
      </c>
      <c r="O538" s="438">
        <v>119000</v>
      </c>
      <c r="P538" s="438">
        <v>80920</v>
      </c>
      <c r="Q538" s="438">
        <v>1</v>
      </c>
      <c r="R538" s="438">
        <v>0</v>
      </c>
      <c r="S538" s="438">
        <v>0</v>
      </c>
      <c r="T538" s="438">
        <v>0</v>
      </c>
      <c r="U538" s="438">
        <v>0</v>
      </c>
      <c r="V538" s="438">
        <v>0</v>
      </c>
      <c r="W538" s="438">
        <v>32</v>
      </c>
      <c r="X538" s="438">
        <v>0</v>
      </c>
      <c r="Y538" s="438">
        <v>0</v>
      </c>
      <c r="Z538" s="438">
        <v>0</v>
      </c>
      <c r="AA538" s="438">
        <v>0</v>
      </c>
      <c r="AB538" s="438">
        <v>0</v>
      </c>
      <c r="AC538" s="438">
        <v>119000</v>
      </c>
      <c r="AD538" s="438">
        <v>80920</v>
      </c>
      <c r="AE538" s="438">
        <v>0</v>
      </c>
      <c r="AF538" s="438">
        <v>0</v>
      </c>
      <c r="AG538" s="438">
        <v>119000</v>
      </c>
      <c r="AH538" s="438">
        <v>80920</v>
      </c>
      <c r="AI538" s="438">
        <v>34618</v>
      </c>
      <c r="AJ538" s="438">
        <v>3462</v>
      </c>
      <c r="AK538" s="438">
        <v>38080</v>
      </c>
      <c r="AL538" s="414" t="str">
        <f t="shared" si="49"/>
        <v>워커힐 시그니처 양념 본갈비 300g, 8개</v>
      </c>
      <c r="AM538" s="395">
        <f t="shared" si="50"/>
        <v>46065</v>
      </c>
      <c r="AN538" s="396">
        <f t="shared" si="51"/>
        <v>1</v>
      </c>
      <c r="AO538" s="109">
        <f t="shared" si="52"/>
        <v>119000</v>
      </c>
      <c r="AP538" s="109">
        <f t="shared" si="53"/>
        <v>108181.81818181818</v>
      </c>
      <c r="AQ538" s="397">
        <f t="shared" si="48"/>
        <v>108181.81818181818</v>
      </c>
    </row>
    <row r="539" spans="1:43" ht="24">
      <c r="A539" s="436" t="s">
        <v>4916</v>
      </c>
      <c r="B539" s="436" t="s">
        <v>3490</v>
      </c>
      <c r="C539" s="437" t="s">
        <v>3491</v>
      </c>
      <c r="D539" s="436" t="s">
        <v>4882</v>
      </c>
      <c r="E539" s="437" t="s">
        <v>4883</v>
      </c>
      <c r="F539" s="436" t="s">
        <v>3494</v>
      </c>
      <c r="G539" s="436" t="s">
        <v>3495</v>
      </c>
      <c r="H539" s="437" t="s">
        <v>3496</v>
      </c>
      <c r="I539" s="436" t="s">
        <v>3497</v>
      </c>
      <c r="J539" s="437" t="s">
        <v>3498</v>
      </c>
      <c r="K539" s="437" t="s">
        <v>3499</v>
      </c>
      <c r="L539" s="436" t="s">
        <v>3500</v>
      </c>
      <c r="M539" s="436" t="s">
        <v>4809</v>
      </c>
      <c r="N539" s="436" t="s">
        <v>3502</v>
      </c>
      <c r="O539" s="438">
        <v>119000</v>
      </c>
      <c r="P539" s="438">
        <v>80920</v>
      </c>
      <c r="Q539" s="438">
        <v>1</v>
      </c>
      <c r="R539" s="438">
        <v>0</v>
      </c>
      <c r="S539" s="438">
        <v>0</v>
      </c>
      <c r="T539" s="438">
        <v>0</v>
      </c>
      <c r="U539" s="438">
        <v>0</v>
      </c>
      <c r="V539" s="438">
        <v>0</v>
      </c>
      <c r="W539" s="438">
        <v>32</v>
      </c>
      <c r="X539" s="438">
        <v>0</v>
      </c>
      <c r="Y539" s="438">
        <v>0</v>
      </c>
      <c r="Z539" s="438">
        <v>0</v>
      </c>
      <c r="AA539" s="438">
        <v>0</v>
      </c>
      <c r="AB539" s="438">
        <v>0</v>
      </c>
      <c r="AC539" s="438">
        <v>119000</v>
      </c>
      <c r="AD539" s="438">
        <v>80920</v>
      </c>
      <c r="AE539" s="438">
        <v>0</v>
      </c>
      <c r="AF539" s="438">
        <v>0</v>
      </c>
      <c r="AG539" s="438">
        <v>119000</v>
      </c>
      <c r="AH539" s="438">
        <v>80920</v>
      </c>
      <c r="AI539" s="438">
        <v>34618</v>
      </c>
      <c r="AJ539" s="438">
        <v>3462</v>
      </c>
      <c r="AK539" s="438">
        <v>38080</v>
      </c>
      <c r="AL539" s="414" t="str">
        <f t="shared" si="49"/>
        <v>워커힐 시그니처 양념 본갈비 300g, 8개</v>
      </c>
      <c r="AM539" s="395">
        <f t="shared" si="50"/>
        <v>46065</v>
      </c>
      <c r="AN539" s="396">
        <f t="shared" si="51"/>
        <v>1</v>
      </c>
      <c r="AO539" s="109">
        <f t="shared" si="52"/>
        <v>119000</v>
      </c>
      <c r="AP539" s="109">
        <f t="shared" si="53"/>
        <v>108181.81818181818</v>
      </c>
      <c r="AQ539" s="397">
        <f t="shared" si="48"/>
        <v>108181.81818181818</v>
      </c>
    </row>
    <row r="540" spans="1:43" ht="24">
      <c r="A540" s="436" t="s">
        <v>4919</v>
      </c>
      <c r="B540" s="436" t="s">
        <v>3490</v>
      </c>
      <c r="C540" s="437" t="s">
        <v>3491</v>
      </c>
      <c r="D540" s="436" t="s">
        <v>4923</v>
      </c>
      <c r="E540" s="437" t="s">
        <v>4924</v>
      </c>
      <c r="F540" s="436" t="s">
        <v>3494</v>
      </c>
      <c r="G540" s="436" t="s">
        <v>3495</v>
      </c>
      <c r="H540" s="437" t="s">
        <v>3496</v>
      </c>
      <c r="I540" s="436" t="s">
        <v>3497</v>
      </c>
      <c r="J540" s="437" t="s">
        <v>3498</v>
      </c>
      <c r="K540" s="437" t="s">
        <v>3499</v>
      </c>
      <c r="L540" s="436" t="s">
        <v>3500</v>
      </c>
      <c r="M540" s="436" t="s">
        <v>4809</v>
      </c>
      <c r="N540" s="436" t="s">
        <v>3502</v>
      </c>
      <c r="O540" s="438">
        <v>119000</v>
      </c>
      <c r="P540" s="438">
        <v>80920</v>
      </c>
      <c r="Q540" s="438">
        <v>1</v>
      </c>
      <c r="R540" s="438">
        <v>0</v>
      </c>
      <c r="S540" s="438">
        <v>0</v>
      </c>
      <c r="T540" s="438">
        <v>0</v>
      </c>
      <c r="U540" s="438">
        <v>0</v>
      </c>
      <c r="V540" s="438">
        <v>0</v>
      </c>
      <c r="W540" s="438">
        <v>32</v>
      </c>
      <c r="X540" s="438">
        <v>0</v>
      </c>
      <c r="Y540" s="438">
        <v>0</v>
      </c>
      <c r="Z540" s="438">
        <v>0</v>
      </c>
      <c r="AA540" s="438">
        <v>0</v>
      </c>
      <c r="AB540" s="438">
        <v>5950</v>
      </c>
      <c r="AC540" s="438">
        <v>119000</v>
      </c>
      <c r="AD540" s="438">
        <v>80920</v>
      </c>
      <c r="AE540" s="438">
        <v>0</v>
      </c>
      <c r="AF540" s="438">
        <v>5950</v>
      </c>
      <c r="AG540" s="438">
        <v>113050</v>
      </c>
      <c r="AH540" s="438">
        <v>80920</v>
      </c>
      <c r="AI540" s="438">
        <v>29209</v>
      </c>
      <c r="AJ540" s="438">
        <v>2921</v>
      </c>
      <c r="AK540" s="438">
        <v>32130</v>
      </c>
      <c r="AL540" s="414" t="str">
        <f t="shared" si="49"/>
        <v>워커힐 시그니처 양념 본갈비 300g, 8개</v>
      </c>
      <c r="AM540" s="395">
        <f t="shared" si="50"/>
        <v>46065</v>
      </c>
      <c r="AN540" s="396">
        <f t="shared" si="51"/>
        <v>1</v>
      </c>
      <c r="AO540" s="109">
        <f t="shared" si="52"/>
        <v>119000</v>
      </c>
      <c r="AP540" s="109">
        <f t="shared" si="53"/>
        <v>108181.81818181818</v>
      </c>
      <c r="AQ540" s="397">
        <f t="shared" si="48"/>
        <v>108181.81818181818</v>
      </c>
    </row>
    <row r="541" spans="1:43" ht="24">
      <c r="A541" s="436" t="s">
        <v>4922</v>
      </c>
      <c r="B541" s="436" t="s">
        <v>3490</v>
      </c>
      <c r="C541" s="437" t="s">
        <v>3491</v>
      </c>
      <c r="D541" s="436" t="s">
        <v>4926</v>
      </c>
      <c r="E541" s="437" t="s">
        <v>3555</v>
      </c>
      <c r="F541" s="436" t="s">
        <v>3494</v>
      </c>
      <c r="G541" s="436" t="s">
        <v>3495</v>
      </c>
      <c r="H541" s="437" t="s">
        <v>3496</v>
      </c>
      <c r="I541" s="436" t="s">
        <v>3497</v>
      </c>
      <c r="J541" s="437" t="s">
        <v>3498</v>
      </c>
      <c r="K541" s="437" t="s">
        <v>3499</v>
      </c>
      <c r="L541" s="436" t="s">
        <v>3500</v>
      </c>
      <c r="M541" s="436" t="s">
        <v>4809</v>
      </c>
      <c r="N541" s="436" t="s">
        <v>3502</v>
      </c>
      <c r="O541" s="438">
        <v>119000</v>
      </c>
      <c r="P541" s="438">
        <v>80920</v>
      </c>
      <c r="Q541" s="438">
        <v>1</v>
      </c>
      <c r="R541" s="438">
        <v>0</v>
      </c>
      <c r="S541" s="438">
        <v>0</v>
      </c>
      <c r="T541" s="438">
        <v>0</v>
      </c>
      <c r="U541" s="438">
        <v>0</v>
      </c>
      <c r="V541" s="438">
        <v>0</v>
      </c>
      <c r="W541" s="438">
        <v>32</v>
      </c>
      <c r="X541" s="438">
        <v>5950</v>
      </c>
      <c r="Y541" s="438">
        <v>0</v>
      </c>
      <c r="Z541" s="438">
        <v>0</v>
      </c>
      <c r="AA541" s="438">
        <v>0</v>
      </c>
      <c r="AB541" s="438">
        <v>0</v>
      </c>
      <c r="AC541" s="438">
        <v>119000</v>
      </c>
      <c r="AD541" s="438">
        <v>80920</v>
      </c>
      <c r="AE541" s="438">
        <v>0</v>
      </c>
      <c r="AF541" s="438">
        <v>5950</v>
      </c>
      <c r="AG541" s="438">
        <v>113050</v>
      </c>
      <c r="AH541" s="438">
        <v>80920</v>
      </c>
      <c r="AI541" s="438">
        <v>29209</v>
      </c>
      <c r="AJ541" s="438">
        <v>2921</v>
      </c>
      <c r="AK541" s="438">
        <v>32130</v>
      </c>
      <c r="AL541" s="414" t="str">
        <f t="shared" si="49"/>
        <v>워커힐 시그니처 양념 본갈비 300g, 8개</v>
      </c>
      <c r="AM541" s="395">
        <f t="shared" si="50"/>
        <v>46065</v>
      </c>
      <c r="AN541" s="396">
        <f t="shared" si="51"/>
        <v>1</v>
      </c>
      <c r="AO541" s="109">
        <f t="shared" si="52"/>
        <v>119000</v>
      </c>
      <c r="AP541" s="109">
        <f t="shared" si="53"/>
        <v>108181.81818181818</v>
      </c>
      <c r="AQ541" s="397">
        <f t="shared" ref="AQ541:AQ604" si="54">AN541*AP541</f>
        <v>108181.81818181818</v>
      </c>
    </row>
    <row r="542" spans="1:43" ht="24">
      <c r="A542" s="436" t="s">
        <v>4925</v>
      </c>
      <c r="B542" s="436" t="s">
        <v>3490</v>
      </c>
      <c r="C542" s="437" t="s">
        <v>3491</v>
      </c>
      <c r="D542" s="436" t="s">
        <v>4885</v>
      </c>
      <c r="E542" s="437" t="s">
        <v>4886</v>
      </c>
      <c r="F542" s="436" t="s">
        <v>3494</v>
      </c>
      <c r="G542" s="436" t="s">
        <v>3495</v>
      </c>
      <c r="H542" s="437" t="s">
        <v>3496</v>
      </c>
      <c r="I542" s="436" t="s">
        <v>3497</v>
      </c>
      <c r="J542" s="437" t="s">
        <v>3498</v>
      </c>
      <c r="K542" s="437" t="s">
        <v>3499</v>
      </c>
      <c r="L542" s="436" t="s">
        <v>3500</v>
      </c>
      <c r="M542" s="436" t="s">
        <v>4809</v>
      </c>
      <c r="N542" s="436" t="s">
        <v>3502</v>
      </c>
      <c r="O542" s="438">
        <v>119000</v>
      </c>
      <c r="P542" s="438">
        <v>80920</v>
      </c>
      <c r="Q542" s="438">
        <v>1</v>
      </c>
      <c r="R542" s="438">
        <v>0</v>
      </c>
      <c r="S542" s="438">
        <v>0</v>
      </c>
      <c r="T542" s="438">
        <v>0</v>
      </c>
      <c r="U542" s="438">
        <v>0</v>
      </c>
      <c r="V542" s="438">
        <v>0</v>
      </c>
      <c r="W542" s="438">
        <v>32</v>
      </c>
      <c r="X542" s="438">
        <v>0</v>
      </c>
      <c r="Y542" s="438">
        <v>0</v>
      </c>
      <c r="Z542" s="438">
        <v>0</v>
      </c>
      <c r="AA542" s="438">
        <v>0</v>
      </c>
      <c r="AB542" s="438">
        <v>0</v>
      </c>
      <c r="AC542" s="438">
        <v>119000</v>
      </c>
      <c r="AD542" s="438">
        <v>80920</v>
      </c>
      <c r="AE542" s="438">
        <v>0</v>
      </c>
      <c r="AF542" s="438">
        <v>0</v>
      </c>
      <c r="AG542" s="438">
        <v>119000</v>
      </c>
      <c r="AH542" s="438">
        <v>80920</v>
      </c>
      <c r="AI542" s="438">
        <v>34618</v>
      </c>
      <c r="AJ542" s="438">
        <v>3462</v>
      </c>
      <c r="AK542" s="438">
        <v>38080</v>
      </c>
      <c r="AL542" s="414" t="str">
        <f t="shared" si="49"/>
        <v>워커힐 시그니처 양념 본갈비 300g, 8개</v>
      </c>
      <c r="AM542" s="395">
        <f t="shared" si="50"/>
        <v>46065</v>
      </c>
      <c r="AN542" s="396">
        <f t="shared" si="51"/>
        <v>1</v>
      </c>
      <c r="AO542" s="109">
        <f t="shared" si="52"/>
        <v>119000</v>
      </c>
      <c r="AP542" s="109">
        <f t="shared" si="53"/>
        <v>108181.81818181818</v>
      </c>
      <c r="AQ542" s="397">
        <f t="shared" si="54"/>
        <v>108181.81818181818</v>
      </c>
    </row>
    <row r="543" spans="1:43" ht="24">
      <c r="A543" s="436" t="s">
        <v>4927</v>
      </c>
      <c r="B543" s="436" t="s">
        <v>3490</v>
      </c>
      <c r="C543" s="437" t="s">
        <v>3491</v>
      </c>
      <c r="D543" s="436" t="s">
        <v>4905</v>
      </c>
      <c r="E543" s="437" t="s">
        <v>4470</v>
      </c>
      <c r="F543" s="436" t="s">
        <v>3494</v>
      </c>
      <c r="G543" s="436" t="s">
        <v>3495</v>
      </c>
      <c r="H543" s="437" t="s">
        <v>3496</v>
      </c>
      <c r="I543" s="436" t="s">
        <v>3497</v>
      </c>
      <c r="J543" s="437" t="s">
        <v>3498</v>
      </c>
      <c r="K543" s="437" t="s">
        <v>3499</v>
      </c>
      <c r="L543" s="436" t="s">
        <v>3500</v>
      </c>
      <c r="M543" s="436" t="s">
        <v>4809</v>
      </c>
      <c r="N543" s="436" t="s">
        <v>3502</v>
      </c>
      <c r="O543" s="438">
        <v>119000</v>
      </c>
      <c r="P543" s="438">
        <v>80920</v>
      </c>
      <c r="Q543" s="438">
        <v>1</v>
      </c>
      <c r="R543" s="438">
        <v>0</v>
      </c>
      <c r="S543" s="438">
        <v>0</v>
      </c>
      <c r="T543" s="438">
        <v>0</v>
      </c>
      <c r="U543" s="438">
        <v>0</v>
      </c>
      <c r="V543" s="438">
        <v>0</v>
      </c>
      <c r="W543" s="438">
        <v>32</v>
      </c>
      <c r="X543" s="438">
        <v>0</v>
      </c>
      <c r="Y543" s="438">
        <v>0</v>
      </c>
      <c r="Z543" s="438">
        <v>0</v>
      </c>
      <c r="AA543" s="438">
        <v>0</v>
      </c>
      <c r="AB543" s="438">
        <v>0</v>
      </c>
      <c r="AC543" s="438">
        <v>119000</v>
      </c>
      <c r="AD543" s="438">
        <v>80920</v>
      </c>
      <c r="AE543" s="438">
        <v>0</v>
      </c>
      <c r="AF543" s="438">
        <v>0</v>
      </c>
      <c r="AG543" s="438">
        <v>119000</v>
      </c>
      <c r="AH543" s="438">
        <v>80920</v>
      </c>
      <c r="AI543" s="438">
        <v>34618</v>
      </c>
      <c r="AJ543" s="438">
        <v>3462</v>
      </c>
      <c r="AK543" s="438">
        <v>38080</v>
      </c>
      <c r="AL543" s="414" t="str">
        <f t="shared" si="49"/>
        <v>워커힐 시그니처 양념 본갈비 300g, 8개</v>
      </c>
      <c r="AM543" s="395">
        <f t="shared" si="50"/>
        <v>46065</v>
      </c>
      <c r="AN543" s="396">
        <f t="shared" si="51"/>
        <v>1</v>
      </c>
      <c r="AO543" s="109">
        <f t="shared" si="52"/>
        <v>119000</v>
      </c>
      <c r="AP543" s="109">
        <f t="shared" si="53"/>
        <v>108181.81818181818</v>
      </c>
      <c r="AQ543" s="397">
        <f t="shared" si="54"/>
        <v>108181.81818181818</v>
      </c>
    </row>
    <row r="544" spans="1:43" ht="24">
      <c r="A544" s="436" t="s">
        <v>4930</v>
      </c>
      <c r="B544" s="436" t="s">
        <v>3490</v>
      </c>
      <c r="C544" s="437" t="s">
        <v>3491</v>
      </c>
      <c r="D544" s="436" t="s">
        <v>4931</v>
      </c>
      <c r="E544" s="437" t="s">
        <v>4932</v>
      </c>
      <c r="F544" s="436" t="s">
        <v>3494</v>
      </c>
      <c r="G544" s="436" t="s">
        <v>3495</v>
      </c>
      <c r="H544" s="437" t="s">
        <v>3496</v>
      </c>
      <c r="I544" s="436" t="s">
        <v>3497</v>
      </c>
      <c r="J544" s="437" t="s">
        <v>3498</v>
      </c>
      <c r="K544" s="437" t="s">
        <v>3499</v>
      </c>
      <c r="L544" s="436" t="s">
        <v>3500</v>
      </c>
      <c r="M544" s="436" t="s">
        <v>4809</v>
      </c>
      <c r="N544" s="436" t="s">
        <v>3502</v>
      </c>
      <c r="O544" s="438">
        <v>119000</v>
      </c>
      <c r="P544" s="438">
        <v>80920</v>
      </c>
      <c r="Q544" s="438">
        <v>1</v>
      </c>
      <c r="R544" s="438">
        <v>0</v>
      </c>
      <c r="S544" s="438">
        <v>0</v>
      </c>
      <c r="T544" s="438">
        <v>0</v>
      </c>
      <c r="U544" s="438">
        <v>0</v>
      </c>
      <c r="V544" s="438">
        <v>0</v>
      </c>
      <c r="W544" s="438">
        <v>32</v>
      </c>
      <c r="X544" s="438">
        <v>0</v>
      </c>
      <c r="Y544" s="438">
        <v>0</v>
      </c>
      <c r="Z544" s="438">
        <v>0</v>
      </c>
      <c r="AA544" s="438">
        <v>0</v>
      </c>
      <c r="AB544" s="438">
        <v>0</v>
      </c>
      <c r="AC544" s="438">
        <v>119000</v>
      </c>
      <c r="AD544" s="438">
        <v>80920</v>
      </c>
      <c r="AE544" s="438">
        <v>0</v>
      </c>
      <c r="AF544" s="438">
        <v>0</v>
      </c>
      <c r="AG544" s="438">
        <v>119000</v>
      </c>
      <c r="AH544" s="438">
        <v>80920</v>
      </c>
      <c r="AI544" s="438">
        <v>34618</v>
      </c>
      <c r="AJ544" s="438">
        <v>3462</v>
      </c>
      <c r="AK544" s="438">
        <v>38080</v>
      </c>
      <c r="AL544" s="414" t="str">
        <f t="shared" si="49"/>
        <v>워커힐 시그니처 양념 본갈비 300g, 8개</v>
      </c>
      <c r="AM544" s="395">
        <f t="shared" si="50"/>
        <v>46065</v>
      </c>
      <c r="AN544" s="396">
        <f t="shared" si="51"/>
        <v>1</v>
      </c>
      <c r="AO544" s="109">
        <f t="shared" si="52"/>
        <v>119000</v>
      </c>
      <c r="AP544" s="109">
        <f t="shared" si="53"/>
        <v>108181.81818181818</v>
      </c>
      <c r="AQ544" s="397">
        <f t="shared" si="54"/>
        <v>108181.81818181818</v>
      </c>
    </row>
    <row r="545" spans="1:43" ht="24">
      <c r="A545" s="436" t="s">
        <v>4933</v>
      </c>
      <c r="B545" s="436" t="s">
        <v>3490</v>
      </c>
      <c r="C545" s="437" t="s">
        <v>3491</v>
      </c>
      <c r="D545" s="436" t="s">
        <v>4891</v>
      </c>
      <c r="E545" s="437" t="s">
        <v>4892</v>
      </c>
      <c r="F545" s="436" t="s">
        <v>3494</v>
      </c>
      <c r="G545" s="436" t="s">
        <v>3495</v>
      </c>
      <c r="H545" s="437" t="s">
        <v>3496</v>
      </c>
      <c r="I545" s="436" t="s">
        <v>3497</v>
      </c>
      <c r="J545" s="437" t="s">
        <v>3498</v>
      </c>
      <c r="K545" s="437" t="s">
        <v>3499</v>
      </c>
      <c r="L545" s="436" t="s">
        <v>3500</v>
      </c>
      <c r="M545" s="436" t="s">
        <v>4809</v>
      </c>
      <c r="N545" s="436" t="s">
        <v>3502</v>
      </c>
      <c r="O545" s="438">
        <v>119000</v>
      </c>
      <c r="P545" s="438">
        <v>80920</v>
      </c>
      <c r="Q545" s="438">
        <v>1</v>
      </c>
      <c r="R545" s="438">
        <v>0</v>
      </c>
      <c r="S545" s="438">
        <v>0</v>
      </c>
      <c r="T545" s="438">
        <v>0</v>
      </c>
      <c r="U545" s="438">
        <v>0</v>
      </c>
      <c r="V545" s="438">
        <v>0</v>
      </c>
      <c r="W545" s="438">
        <v>32</v>
      </c>
      <c r="X545" s="438">
        <v>0</v>
      </c>
      <c r="Y545" s="438">
        <v>0</v>
      </c>
      <c r="Z545" s="438">
        <v>0</v>
      </c>
      <c r="AA545" s="438">
        <v>0</v>
      </c>
      <c r="AB545" s="438">
        <v>0</v>
      </c>
      <c r="AC545" s="438">
        <v>119000</v>
      </c>
      <c r="AD545" s="438">
        <v>80920</v>
      </c>
      <c r="AE545" s="438">
        <v>0</v>
      </c>
      <c r="AF545" s="438">
        <v>0</v>
      </c>
      <c r="AG545" s="438">
        <v>119000</v>
      </c>
      <c r="AH545" s="438">
        <v>80920</v>
      </c>
      <c r="AI545" s="438">
        <v>34618</v>
      </c>
      <c r="AJ545" s="438">
        <v>3462</v>
      </c>
      <c r="AK545" s="438">
        <v>38080</v>
      </c>
      <c r="AL545" s="414" t="str">
        <f t="shared" si="49"/>
        <v>워커힐 시그니처 양념 본갈비 300g, 8개</v>
      </c>
      <c r="AM545" s="395">
        <f t="shared" si="50"/>
        <v>46065</v>
      </c>
      <c r="AN545" s="396">
        <f t="shared" si="51"/>
        <v>1</v>
      </c>
      <c r="AO545" s="109">
        <f t="shared" si="52"/>
        <v>119000</v>
      </c>
      <c r="AP545" s="109">
        <f t="shared" si="53"/>
        <v>108181.81818181818</v>
      </c>
      <c r="AQ545" s="397">
        <f t="shared" si="54"/>
        <v>108181.81818181818</v>
      </c>
    </row>
    <row r="546" spans="1:43" ht="24">
      <c r="A546" s="436" t="s">
        <v>4936</v>
      </c>
      <c r="B546" s="436" t="s">
        <v>3490</v>
      </c>
      <c r="C546" s="437" t="s">
        <v>3491</v>
      </c>
      <c r="D546" s="436" t="s">
        <v>4937</v>
      </c>
      <c r="E546" s="437" t="s">
        <v>4938</v>
      </c>
      <c r="F546" s="436" t="s">
        <v>3494</v>
      </c>
      <c r="G546" s="436" t="s">
        <v>3495</v>
      </c>
      <c r="H546" s="437" t="s">
        <v>3496</v>
      </c>
      <c r="I546" s="436" t="s">
        <v>3497</v>
      </c>
      <c r="J546" s="437" t="s">
        <v>3498</v>
      </c>
      <c r="K546" s="437" t="s">
        <v>3499</v>
      </c>
      <c r="L546" s="436" t="s">
        <v>3500</v>
      </c>
      <c r="M546" s="436" t="s">
        <v>4809</v>
      </c>
      <c r="N546" s="436" t="s">
        <v>3502</v>
      </c>
      <c r="O546" s="438">
        <v>119000</v>
      </c>
      <c r="P546" s="438">
        <v>80920</v>
      </c>
      <c r="Q546" s="438">
        <v>1</v>
      </c>
      <c r="R546" s="438">
        <v>0</v>
      </c>
      <c r="S546" s="438">
        <v>0</v>
      </c>
      <c r="T546" s="438">
        <v>0</v>
      </c>
      <c r="U546" s="438">
        <v>0</v>
      </c>
      <c r="V546" s="438">
        <v>0</v>
      </c>
      <c r="W546" s="438">
        <v>32</v>
      </c>
      <c r="X546" s="438">
        <v>0</v>
      </c>
      <c r="Y546" s="438">
        <v>0</v>
      </c>
      <c r="Z546" s="438">
        <v>0</v>
      </c>
      <c r="AA546" s="438">
        <v>0</v>
      </c>
      <c r="AB546" s="438">
        <v>0</v>
      </c>
      <c r="AC546" s="438">
        <v>119000</v>
      </c>
      <c r="AD546" s="438">
        <v>80920</v>
      </c>
      <c r="AE546" s="438">
        <v>0</v>
      </c>
      <c r="AF546" s="438">
        <v>0</v>
      </c>
      <c r="AG546" s="438">
        <v>119000</v>
      </c>
      <c r="AH546" s="438">
        <v>80920</v>
      </c>
      <c r="AI546" s="438">
        <v>34618</v>
      </c>
      <c r="AJ546" s="438">
        <v>3462</v>
      </c>
      <c r="AK546" s="438">
        <v>38080</v>
      </c>
      <c r="AL546" s="414" t="str">
        <f t="shared" si="49"/>
        <v>워커힐 시그니처 양념 본갈비 300g, 8개</v>
      </c>
      <c r="AM546" s="395">
        <f t="shared" si="50"/>
        <v>46065</v>
      </c>
      <c r="AN546" s="396">
        <f t="shared" si="51"/>
        <v>1</v>
      </c>
      <c r="AO546" s="109">
        <f t="shared" si="52"/>
        <v>119000</v>
      </c>
      <c r="AP546" s="109">
        <f t="shared" si="53"/>
        <v>108181.81818181818</v>
      </c>
      <c r="AQ546" s="397">
        <f t="shared" si="54"/>
        <v>108181.81818181818</v>
      </c>
    </row>
    <row r="547" spans="1:43" ht="24">
      <c r="A547" s="436" t="s">
        <v>4939</v>
      </c>
      <c r="B547" s="436" t="s">
        <v>3490</v>
      </c>
      <c r="C547" s="437" t="s">
        <v>3491</v>
      </c>
      <c r="D547" s="436" t="s">
        <v>4948</v>
      </c>
      <c r="E547" s="437" t="s">
        <v>4083</v>
      </c>
      <c r="F547" s="436" t="s">
        <v>3494</v>
      </c>
      <c r="G547" s="436" t="s">
        <v>3495</v>
      </c>
      <c r="H547" s="437" t="s">
        <v>3496</v>
      </c>
      <c r="I547" s="436" t="s">
        <v>3497</v>
      </c>
      <c r="J547" s="437" t="s">
        <v>3498</v>
      </c>
      <c r="K547" s="437" t="s">
        <v>3499</v>
      </c>
      <c r="L547" s="436" t="s">
        <v>3500</v>
      </c>
      <c r="M547" s="436" t="s">
        <v>4809</v>
      </c>
      <c r="N547" s="436" t="s">
        <v>3502</v>
      </c>
      <c r="O547" s="438">
        <v>119000</v>
      </c>
      <c r="P547" s="438">
        <v>80920</v>
      </c>
      <c r="Q547" s="438">
        <v>1</v>
      </c>
      <c r="R547" s="438">
        <v>0</v>
      </c>
      <c r="S547" s="438">
        <v>0</v>
      </c>
      <c r="T547" s="438">
        <v>0</v>
      </c>
      <c r="U547" s="438">
        <v>0</v>
      </c>
      <c r="V547" s="438">
        <v>0</v>
      </c>
      <c r="W547" s="438">
        <v>32</v>
      </c>
      <c r="X547" s="438">
        <v>23800</v>
      </c>
      <c r="Y547" s="438">
        <v>0</v>
      </c>
      <c r="Z547" s="438">
        <v>0</v>
      </c>
      <c r="AA547" s="438">
        <v>0</v>
      </c>
      <c r="AB547" s="438">
        <v>0</v>
      </c>
      <c r="AC547" s="438">
        <v>119000</v>
      </c>
      <c r="AD547" s="438">
        <v>80920</v>
      </c>
      <c r="AE547" s="438">
        <v>0</v>
      </c>
      <c r="AF547" s="438">
        <v>23800</v>
      </c>
      <c r="AG547" s="438">
        <v>95200</v>
      </c>
      <c r="AH547" s="438">
        <v>80920</v>
      </c>
      <c r="AI547" s="438">
        <v>12982</v>
      </c>
      <c r="AJ547" s="438">
        <v>1298</v>
      </c>
      <c r="AK547" s="438">
        <v>14280</v>
      </c>
      <c r="AL547" s="414" t="str">
        <f t="shared" si="49"/>
        <v>워커힐 시그니처 양념 본갈비 300g, 8개</v>
      </c>
      <c r="AM547" s="395">
        <f t="shared" si="50"/>
        <v>46065</v>
      </c>
      <c r="AN547" s="396">
        <f t="shared" si="51"/>
        <v>1</v>
      </c>
      <c r="AO547" s="109">
        <f t="shared" si="52"/>
        <v>119000</v>
      </c>
      <c r="AP547" s="109">
        <f t="shared" si="53"/>
        <v>108181.81818181818</v>
      </c>
      <c r="AQ547" s="397">
        <f t="shared" si="54"/>
        <v>108181.81818181818</v>
      </c>
    </row>
    <row r="548" spans="1:43" ht="24">
      <c r="A548" s="436" t="s">
        <v>4941</v>
      </c>
      <c r="B548" s="436" t="s">
        <v>3490</v>
      </c>
      <c r="C548" s="437" t="s">
        <v>3491</v>
      </c>
      <c r="D548" s="436" t="s">
        <v>4953</v>
      </c>
      <c r="E548" s="437" t="s">
        <v>4065</v>
      </c>
      <c r="F548" s="436" t="s">
        <v>3494</v>
      </c>
      <c r="G548" s="436" t="s">
        <v>3495</v>
      </c>
      <c r="H548" s="437" t="s">
        <v>3496</v>
      </c>
      <c r="I548" s="436" t="s">
        <v>3497</v>
      </c>
      <c r="J548" s="437" t="s">
        <v>3498</v>
      </c>
      <c r="K548" s="437" t="s">
        <v>3499</v>
      </c>
      <c r="L548" s="436" t="s">
        <v>3500</v>
      </c>
      <c r="M548" s="436" t="s">
        <v>4809</v>
      </c>
      <c r="N548" s="436" t="s">
        <v>3502</v>
      </c>
      <c r="O548" s="438">
        <v>119000</v>
      </c>
      <c r="P548" s="438">
        <v>80920</v>
      </c>
      <c r="Q548" s="438">
        <v>1</v>
      </c>
      <c r="R548" s="438">
        <v>0</v>
      </c>
      <c r="S548" s="438">
        <v>0</v>
      </c>
      <c r="T548" s="438">
        <v>0</v>
      </c>
      <c r="U548" s="438">
        <v>0</v>
      </c>
      <c r="V548" s="438">
        <v>0</v>
      </c>
      <c r="W548" s="438">
        <v>32</v>
      </c>
      <c r="X548" s="438">
        <v>0</v>
      </c>
      <c r="Y548" s="438">
        <v>0</v>
      </c>
      <c r="Z548" s="438">
        <v>0</v>
      </c>
      <c r="AA548" s="438">
        <v>0</v>
      </c>
      <c r="AB548" s="438">
        <v>0</v>
      </c>
      <c r="AC548" s="438">
        <v>119000</v>
      </c>
      <c r="AD548" s="438">
        <v>80920</v>
      </c>
      <c r="AE548" s="438">
        <v>0</v>
      </c>
      <c r="AF548" s="438">
        <v>0</v>
      </c>
      <c r="AG548" s="438">
        <v>119000</v>
      </c>
      <c r="AH548" s="438">
        <v>80920</v>
      </c>
      <c r="AI548" s="438">
        <v>34618</v>
      </c>
      <c r="AJ548" s="438">
        <v>3462</v>
      </c>
      <c r="AK548" s="438">
        <v>38080</v>
      </c>
      <c r="AL548" s="414" t="str">
        <f t="shared" si="49"/>
        <v>워커힐 시그니처 양념 본갈비 300g, 8개</v>
      </c>
      <c r="AM548" s="395">
        <f t="shared" si="50"/>
        <v>46065</v>
      </c>
      <c r="AN548" s="396">
        <f t="shared" si="51"/>
        <v>1</v>
      </c>
      <c r="AO548" s="109">
        <f t="shared" si="52"/>
        <v>119000</v>
      </c>
      <c r="AP548" s="109">
        <f t="shared" si="53"/>
        <v>108181.81818181818</v>
      </c>
      <c r="AQ548" s="397">
        <f t="shared" si="54"/>
        <v>108181.81818181818</v>
      </c>
    </row>
    <row r="549" spans="1:43" ht="24">
      <c r="A549" s="436" t="s">
        <v>4944</v>
      </c>
      <c r="B549" s="436" t="s">
        <v>3490</v>
      </c>
      <c r="C549" s="437" t="s">
        <v>3491</v>
      </c>
      <c r="D549" s="436" t="s">
        <v>4955</v>
      </c>
      <c r="E549" s="437" t="s">
        <v>3533</v>
      </c>
      <c r="F549" s="436" t="s">
        <v>3494</v>
      </c>
      <c r="G549" s="436" t="s">
        <v>3495</v>
      </c>
      <c r="H549" s="437" t="s">
        <v>3496</v>
      </c>
      <c r="I549" s="436" t="s">
        <v>3497</v>
      </c>
      <c r="J549" s="437" t="s">
        <v>3498</v>
      </c>
      <c r="K549" s="437" t="s">
        <v>3499</v>
      </c>
      <c r="L549" s="436" t="s">
        <v>3500</v>
      </c>
      <c r="M549" s="436" t="s">
        <v>4809</v>
      </c>
      <c r="N549" s="436" t="s">
        <v>3502</v>
      </c>
      <c r="O549" s="438">
        <v>119000</v>
      </c>
      <c r="P549" s="438">
        <v>80920</v>
      </c>
      <c r="Q549" s="438">
        <v>1</v>
      </c>
      <c r="R549" s="438">
        <v>0</v>
      </c>
      <c r="S549" s="438">
        <v>0</v>
      </c>
      <c r="T549" s="438">
        <v>0</v>
      </c>
      <c r="U549" s="438">
        <v>0</v>
      </c>
      <c r="V549" s="438">
        <v>0</v>
      </c>
      <c r="W549" s="438">
        <v>32</v>
      </c>
      <c r="X549" s="438">
        <v>0</v>
      </c>
      <c r="Y549" s="438">
        <v>0</v>
      </c>
      <c r="Z549" s="438">
        <v>0</v>
      </c>
      <c r="AA549" s="438">
        <v>0</v>
      </c>
      <c r="AB549" s="438">
        <v>0</v>
      </c>
      <c r="AC549" s="438">
        <v>119000</v>
      </c>
      <c r="AD549" s="438">
        <v>80920</v>
      </c>
      <c r="AE549" s="438">
        <v>0</v>
      </c>
      <c r="AF549" s="438">
        <v>0</v>
      </c>
      <c r="AG549" s="438">
        <v>119000</v>
      </c>
      <c r="AH549" s="438">
        <v>80920</v>
      </c>
      <c r="AI549" s="438">
        <v>34618</v>
      </c>
      <c r="AJ549" s="438">
        <v>3462</v>
      </c>
      <c r="AK549" s="438">
        <v>38080</v>
      </c>
      <c r="AL549" s="414" t="str">
        <f t="shared" si="49"/>
        <v>워커힐 시그니처 양념 본갈비 300g, 8개</v>
      </c>
      <c r="AM549" s="395">
        <f t="shared" si="50"/>
        <v>46065</v>
      </c>
      <c r="AN549" s="396">
        <f t="shared" si="51"/>
        <v>1</v>
      </c>
      <c r="AO549" s="109">
        <f t="shared" si="52"/>
        <v>119000</v>
      </c>
      <c r="AP549" s="109">
        <f t="shared" si="53"/>
        <v>108181.81818181818</v>
      </c>
      <c r="AQ549" s="397">
        <f t="shared" si="54"/>
        <v>108181.81818181818</v>
      </c>
    </row>
    <row r="550" spans="1:43" ht="24">
      <c r="A550" s="436" t="s">
        <v>4947</v>
      </c>
      <c r="B550" s="436" t="s">
        <v>3490</v>
      </c>
      <c r="C550" s="437" t="s">
        <v>3491</v>
      </c>
      <c r="D550" s="436" t="s">
        <v>4957</v>
      </c>
      <c r="E550" s="437" t="s">
        <v>4958</v>
      </c>
      <c r="F550" s="436" t="s">
        <v>3494</v>
      </c>
      <c r="G550" s="436" t="s">
        <v>3495</v>
      </c>
      <c r="H550" s="437" t="s">
        <v>3496</v>
      </c>
      <c r="I550" s="436" t="s">
        <v>3497</v>
      </c>
      <c r="J550" s="437" t="s">
        <v>3498</v>
      </c>
      <c r="K550" s="437" t="s">
        <v>3499</v>
      </c>
      <c r="L550" s="436" t="s">
        <v>3500</v>
      </c>
      <c r="M550" s="436" t="s">
        <v>4809</v>
      </c>
      <c r="N550" s="436" t="s">
        <v>3502</v>
      </c>
      <c r="O550" s="438">
        <v>119000</v>
      </c>
      <c r="P550" s="438">
        <v>80920</v>
      </c>
      <c r="Q550" s="438">
        <v>1</v>
      </c>
      <c r="R550" s="438">
        <v>0</v>
      </c>
      <c r="S550" s="438">
        <v>0</v>
      </c>
      <c r="T550" s="438">
        <v>0</v>
      </c>
      <c r="U550" s="438">
        <v>0</v>
      </c>
      <c r="V550" s="438">
        <v>0</v>
      </c>
      <c r="W550" s="438">
        <v>32</v>
      </c>
      <c r="X550" s="438">
        <v>5950</v>
      </c>
      <c r="Y550" s="438">
        <v>0</v>
      </c>
      <c r="Z550" s="438">
        <v>0</v>
      </c>
      <c r="AA550" s="438">
        <v>0</v>
      </c>
      <c r="AB550" s="438">
        <v>0</v>
      </c>
      <c r="AC550" s="438">
        <v>119000</v>
      </c>
      <c r="AD550" s="438">
        <v>80920</v>
      </c>
      <c r="AE550" s="438">
        <v>0</v>
      </c>
      <c r="AF550" s="438">
        <v>5950</v>
      </c>
      <c r="AG550" s="438">
        <v>113050</v>
      </c>
      <c r="AH550" s="438">
        <v>80920</v>
      </c>
      <c r="AI550" s="438">
        <v>29209</v>
      </c>
      <c r="AJ550" s="438">
        <v>2921</v>
      </c>
      <c r="AK550" s="438">
        <v>32130</v>
      </c>
      <c r="AL550" s="414" t="str">
        <f t="shared" si="49"/>
        <v>워커힐 시그니처 양념 본갈비 300g, 8개</v>
      </c>
      <c r="AM550" s="395">
        <f t="shared" si="50"/>
        <v>46065</v>
      </c>
      <c r="AN550" s="396">
        <f t="shared" si="51"/>
        <v>1</v>
      </c>
      <c r="AO550" s="109">
        <f t="shared" si="52"/>
        <v>119000</v>
      </c>
      <c r="AP550" s="109">
        <f t="shared" si="53"/>
        <v>108181.81818181818</v>
      </c>
      <c r="AQ550" s="397">
        <f t="shared" si="54"/>
        <v>108181.81818181818</v>
      </c>
    </row>
    <row r="551" spans="1:43" ht="24">
      <c r="A551" s="436" t="s">
        <v>4949</v>
      </c>
      <c r="B551" s="436" t="s">
        <v>3490</v>
      </c>
      <c r="C551" s="437" t="s">
        <v>3491</v>
      </c>
      <c r="D551" s="436" t="s">
        <v>4894</v>
      </c>
      <c r="E551" s="437" t="s">
        <v>4895</v>
      </c>
      <c r="F551" s="436" t="s">
        <v>3494</v>
      </c>
      <c r="G551" s="436" t="s">
        <v>3495</v>
      </c>
      <c r="H551" s="437" t="s">
        <v>3496</v>
      </c>
      <c r="I551" s="436" t="s">
        <v>3497</v>
      </c>
      <c r="J551" s="437" t="s">
        <v>3498</v>
      </c>
      <c r="K551" s="437" t="s">
        <v>3499</v>
      </c>
      <c r="L551" s="436" t="s">
        <v>3500</v>
      </c>
      <c r="M551" s="436" t="s">
        <v>4809</v>
      </c>
      <c r="N551" s="436" t="s">
        <v>3502</v>
      </c>
      <c r="O551" s="438">
        <v>119000</v>
      </c>
      <c r="P551" s="438">
        <v>80920</v>
      </c>
      <c r="Q551" s="438">
        <v>1</v>
      </c>
      <c r="R551" s="438">
        <v>0</v>
      </c>
      <c r="S551" s="438">
        <v>0</v>
      </c>
      <c r="T551" s="438">
        <v>0</v>
      </c>
      <c r="U551" s="438">
        <v>0</v>
      </c>
      <c r="V551" s="438">
        <v>0</v>
      </c>
      <c r="W551" s="438">
        <v>32</v>
      </c>
      <c r="X551" s="438">
        <v>0</v>
      </c>
      <c r="Y551" s="438">
        <v>0</v>
      </c>
      <c r="Z551" s="438">
        <v>0</v>
      </c>
      <c r="AA551" s="438">
        <v>0</v>
      </c>
      <c r="AB551" s="438">
        <v>0</v>
      </c>
      <c r="AC551" s="438">
        <v>119000</v>
      </c>
      <c r="AD551" s="438">
        <v>80920</v>
      </c>
      <c r="AE551" s="438">
        <v>0</v>
      </c>
      <c r="AF551" s="438">
        <v>0</v>
      </c>
      <c r="AG551" s="438">
        <v>119000</v>
      </c>
      <c r="AH551" s="438">
        <v>80920</v>
      </c>
      <c r="AI551" s="438">
        <v>34618</v>
      </c>
      <c r="AJ551" s="438">
        <v>3462</v>
      </c>
      <c r="AK551" s="438">
        <v>38080</v>
      </c>
      <c r="AL551" s="414" t="str">
        <f t="shared" si="49"/>
        <v>워커힐 시그니처 양념 본갈비 300g, 8개</v>
      </c>
      <c r="AM551" s="395">
        <f t="shared" si="50"/>
        <v>46065</v>
      </c>
      <c r="AN551" s="396">
        <f t="shared" si="51"/>
        <v>1</v>
      </c>
      <c r="AO551" s="109">
        <f t="shared" si="52"/>
        <v>119000</v>
      </c>
      <c r="AP551" s="109">
        <f t="shared" si="53"/>
        <v>108181.81818181818</v>
      </c>
      <c r="AQ551" s="397">
        <f t="shared" si="54"/>
        <v>108181.81818181818</v>
      </c>
    </row>
    <row r="552" spans="1:43" ht="24">
      <c r="A552" s="436" t="s">
        <v>4952</v>
      </c>
      <c r="B552" s="436" t="s">
        <v>3490</v>
      </c>
      <c r="C552" s="437" t="s">
        <v>3491</v>
      </c>
      <c r="D552" s="436" t="s">
        <v>5056</v>
      </c>
      <c r="E552" s="437" t="s">
        <v>5057</v>
      </c>
      <c r="F552" s="436" t="s">
        <v>3494</v>
      </c>
      <c r="G552" s="436" t="s">
        <v>3495</v>
      </c>
      <c r="H552" s="437" t="s">
        <v>3496</v>
      </c>
      <c r="I552" s="436" t="s">
        <v>3497</v>
      </c>
      <c r="J552" s="437" t="s">
        <v>3498</v>
      </c>
      <c r="K552" s="437" t="s">
        <v>3499</v>
      </c>
      <c r="L552" s="436" t="s">
        <v>3500</v>
      </c>
      <c r="M552" s="436" t="s">
        <v>4809</v>
      </c>
      <c r="N552" s="436" t="s">
        <v>3502</v>
      </c>
      <c r="O552" s="438">
        <v>119000</v>
      </c>
      <c r="P552" s="438">
        <v>80920</v>
      </c>
      <c r="Q552" s="438">
        <v>1</v>
      </c>
      <c r="R552" s="438">
        <v>0</v>
      </c>
      <c r="S552" s="438">
        <v>0</v>
      </c>
      <c r="T552" s="438">
        <v>0</v>
      </c>
      <c r="U552" s="438">
        <v>0</v>
      </c>
      <c r="V552" s="438">
        <v>0</v>
      </c>
      <c r="W552" s="438">
        <v>32</v>
      </c>
      <c r="X552" s="438">
        <v>0</v>
      </c>
      <c r="Y552" s="438">
        <v>0</v>
      </c>
      <c r="Z552" s="438">
        <v>0</v>
      </c>
      <c r="AA552" s="438">
        <v>0</v>
      </c>
      <c r="AB552" s="438">
        <v>0</v>
      </c>
      <c r="AC552" s="438">
        <v>119000</v>
      </c>
      <c r="AD552" s="438">
        <v>80920</v>
      </c>
      <c r="AE552" s="438">
        <v>0</v>
      </c>
      <c r="AF552" s="438">
        <v>0</v>
      </c>
      <c r="AG552" s="438">
        <v>119000</v>
      </c>
      <c r="AH552" s="438">
        <v>80920</v>
      </c>
      <c r="AI552" s="438">
        <v>34618</v>
      </c>
      <c r="AJ552" s="438">
        <v>3462</v>
      </c>
      <c r="AK552" s="438">
        <v>38080</v>
      </c>
      <c r="AL552" s="414" t="str">
        <f t="shared" si="49"/>
        <v>워커힐 시그니처 양념 본갈비 300g, 8개</v>
      </c>
      <c r="AM552" s="395">
        <f t="shared" si="50"/>
        <v>46065</v>
      </c>
      <c r="AN552" s="396">
        <f t="shared" si="51"/>
        <v>1</v>
      </c>
      <c r="AO552" s="109">
        <f t="shared" si="52"/>
        <v>119000</v>
      </c>
      <c r="AP552" s="109">
        <f t="shared" si="53"/>
        <v>108181.81818181818</v>
      </c>
      <c r="AQ552" s="397">
        <f t="shared" si="54"/>
        <v>108181.81818181818</v>
      </c>
    </row>
    <row r="553" spans="1:43" ht="24">
      <c r="A553" s="436" t="s">
        <v>4954</v>
      </c>
      <c r="B553" s="436" t="s">
        <v>3490</v>
      </c>
      <c r="C553" s="437" t="s">
        <v>3491</v>
      </c>
      <c r="D553" s="436" t="s">
        <v>4899</v>
      </c>
      <c r="E553" s="437" t="s">
        <v>4900</v>
      </c>
      <c r="F553" s="436" t="s">
        <v>3494</v>
      </c>
      <c r="G553" s="436" t="s">
        <v>3495</v>
      </c>
      <c r="H553" s="437" t="s">
        <v>3496</v>
      </c>
      <c r="I553" s="436" t="s">
        <v>3497</v>
      </c>
      <c r="J553" s="437" t="s">
        <v>3498</v>
      </c>
      <c r="K553" s="437" t="s">
        <v>3499</v>
      </c>
      <c r="L553" s="436" t="s">
        <v>3500</v>
      </c>
      <c r="M553" s="436" t="s">
        <v>4809</v>
      </c>
      <c r="N553" s="436" t="s">
        <v>3502</v>
      </c>
      <c r="O553" s="438">
        <v>119000</v>
      </c>
      <c r="P553" s="438">
        <v>80920</v>
      </c>
      <c r="Q553" s="438">
        <v>1</v>
      </c>
      <c r="R553" s="438">
        <v>0</v>
      </c>
      <c r="S553" s="438">
        <v>0</v>
      </c>
      <c r="T553" s="438">
        <v>0</v>
      </c>
      <c r="U553" s="438">
        <v>0</v>
      </c>
      <c r="V553" s="438">
        <v>0</v>
      </c>
      <c r="W553" s="438">
        <v>32</v>
      </c>
      <c r="X553" s="438">
        <v>0</v>
      </c>
      <c r="Y553" s="438">
        <v>10000</v>
      </c>
      <c r="Z553" s="438">
        <v>0</v>
      </c>
      <c r="AA553" s="438">
        <v>0</v>
      </c>
      <c r="AB553" s="438">
        <v>0</v>
      </c>
      <c r="AC553" s="438">
        <v>119000</v>
      </c>
      <c r="AD553" s="438">
        <v>80920</v>
      </c>
      <c r="AE553" s="438">
        <v>0</v>
      </c>
      <c r="AF553" s="438">
        <v>10000</v>
      </c>
      <c r="AG553" s="438">
        <v>109000</v>
      </c>
      <c r="AH553" s="438">
        <v>80920</v>
      </c>
      <c r="AI553" s="438">
        <v>25527</v>
      </c>
      <c r="AJ553" s="438">
        <v>2553</v>
      </c>
      <c r="AK553" s="438">
        <v>28080</v>
      </c>
      <c r="AL553" s="414" t="str">
        <f t="shared" si="49"/>
        <v>워커힐 시그니처 양념 본갈비 300g, 8개</v>
      </c>
      <c r="AM553" s="395">
        <f t="shared" si="50"/>
        <v>46065</v>
      </c>
      <c r="AN553" s="396">
        <f t="shared" si="51"/>
        <v>1</v>
      </c>
      <c r="AO553" s="109">
        <f t="shared" si="52"/>
        <v>119000</v>
      </c>
      <c r="AP553" s="109">
        <f t="shared" si="53"/>
        <v>108181.81818181818</v>
      </c>
      <c r="AQ553" s="397">
        <f t="shared" si="54"/>
        <v>108181.81818181818</v>
      </c>
    </row>
    <row r="554" spans="1:43" ht="24">
      <c r="A554" s="436" t="s">
        <v>4956</v>
      </c>
      <c r="B554" s="436" t="s">
        <v>3490</v>
      </c>
      <c r="C554" s="437" t="s">
        <v>3491</v>
      </c>
      <c r="D554" s="436" t="s">
        <v>4969</v>
      </c>
      <c r="E554" s="437" t="s">
        <v>4970</v>
      </c>
      <c r="F554" s="436" t="s">
        <v>3494</v>
      </c>
      <c r="G554" s="436" t="s">
        <v>3495</v>
      </c>
      <c r="H554" s="437" t="s">
        <v>3496</v>
      </c>
      <c r="I554" s="436" t="s">
        <v>3497</v>
      </c>
      <c r="J554" s="437" t="s">
        <v>3498</v>
      </c>
      <c r="K554" s="437" t="s">
        <v>3499</v>
      </c>
      <c r="L554" s="436" t="s">
        <v>3500</v>
      </c>
      <c r="M554" s="436" t="s">
        <v>4809</v>
      </c>
      <c r="N554" s="436" t="s">
        <v>3502</v>
      </c>
      <c r="O554" s="438">
        <v>119000</v>
      </c>
      <c r="P554" s="438">
        <v>80920</v>
      </c>
      <c r="Q554" s="438">
        <v>1</v>
      </c>
      <c r="R554" s="438">
        <v>0</v>
      </c>
      <c r="S554" s="438">
        <v>0</v>
      </c>
      <c r="T554" s="438">
        <v>0</v>
      </c>
      <c r="U554" s="438">
        <v>0</v>
      </c>
      <c r="V554" s="438">
        <v>0</v>
      </c>
      <c r="W554" s="438">
        <v>32</v>
      </c>
      <c r="X554" s="438">
        <v>0</v>
      </c>
      <c r="Y554" s="438">
        <v>0</v>
      </c>
      <c r="Z554" s="438">
        <v>0</v>
      </c>
      <c r="AA554" s="438">
        <v>0</v>
      </c>
      <c r="AB554" s="438">
        <v>5950</v>
      </c>
      <c r="AC554" s="438">
        <v>119000</v>
      </c>
      <c r="AD554" s="438">
        <v>80920</v>
      </c>
      <c r="AE554" s="438">
        <v>0</v>
      </c>
      <c r="AF554" s="438">
        <v>5950</v>
      </c>
      <c r="AG554" s="438">
        <v>113050</v>
      </c>
      <c r="AH554" s="438">
        <v>80920</v>
      </c>
      <c r="AI554" s="438">
        <v>29209</v>
      </c>
      <c r="AJ554" s="438">
        <v>2921</v>
      </c>
      <c r="AK554" s="438">
        <v>32130</v>
      </c>
      <c r="AL554" s="414" t="str">
        <f t="shared" si="49"/>
        <v>워커힐 시그니처 양념 본갈비 300g, 8개</v>
      </c>
      <c r="AM554" s="395">
        <f t="shared" si="50"/>
        <v>46065</v>
      </c>
      <c r="AN554" s="396">
        <f t="shared" si="51"/>
        <v>1</v>
      </c>
      <c r="AO554" s="109">
        <f t="shared" si="52"/>
        <v>119000</v>
      </c>
      <c r="AP554" s="109">
        <f t="shared" si="53"/>
        <v>108181.81818181818</v>
      </c>
      <c r="AQ554" s="397">
        <f t="shared" si="54"/>
        <v>108181.81818181818</v>
      </c>
    </row>
    <row r="555" spans="1:43" ht="24">
      <c r="A555" s="436" t="s">
        <v>4959</v>
      </c>
      <c r="B555" s="436" t="s">
        <v>3490</v>
      </c>
      <c r="C555" s="437" t="s">
        <v>3491</v>
      </c>
      <c r="D555" s="436" t="s">
        <v>5067</v>
      </c>
      <c r="E555" s="437" t="s">
        <v>5068</v>
      </c>
      <c r="F555" s="436" t="s">
        <v>3494</v>
      </c>
      <c r="G555" s="436" t="s">
        <v>3495</v>
      </c>
      <c r="H555" s="437" t="s">
        <v>3496</v>
      </c>
      <c r="I555" s="436" t="s">
        <v>3497</v>
      </c>
      <c r="J555" s="437" t="s">
        <v>3498</v>
      </c>
      <c r="K555" s="437" t="s">
        <v>3499</v>
      </c>
      <c r="L555" s="436" t="s">
        <v>3500</v>
      </c>
      <c r="M555" s="436" t="s">
        <v>4809</v>
      </c>
      <c r="N555" s="436" t="s">
        <v>3502</v>
      </c>
      <c r="O555" s="438">
        <v>119000</v>
      </c>
      <c r="P555" s="438">
        <v>80920</v>
      </c>
      <c r="Q555" s="438">
        <v>1</v>
      </c>
      <c r="R555" s="438">
        <v>0</v>
      </c>
      <c r="S555" s="438">
        <v>0</v>
      </c>
      <c r="T555" s="438">
        <v>0</v>
      </c>
      <c r="U555" s="438">
        <v>0</v>
      </c>
      <c r="V555" s="438">
        <v>0</v>
      </c>
      <c r="W555" s="438">
        <v>32</v>
      </c>
      <c r="X555" s="438">
        <v>0</v>
      </c>
      <c r="Y555" s="438">
        <v>0</v>
      </c>
      <c r="Z555" s="438">
        <v>0</v>
      </c>
      <c r="AA555" s="438">
        <v>0</v>
      </c>
      <c r="AB555" s="438">
        <v>0</v>
      </c>
      <c r="AC555" s="438">
        <v>119000</v>
      </c>
      <c r="AD555" s="438">
        <v>80920</v>
      </c>
      <c r="AE555" s="438">
        <v>0</v>
      </c>
      <c r="AF555" s="438">
        <v>0</v>
      </c>
      <c r="AG555" s="438">
        <v>119000</v>
      </c>
      <c r="AH555" s="438">
        <v>80920</v>
      </c>
      <c r="AI555" s="438">
        <v>34618</v>
      </c>
      <c r="AJ555" s="438">
        <v>3462</v>
      </c>
      <c r="AK555" s="438">
        <v>38080</v>
      </c>
      <c r="AL555" s="414" t="str">
        <f t="shared" si="49"/>
        <v>워커힐 시그니처 양념 본갈비 300g, 8개</v>
      </c>
      <c r="AM555" s="395">
        <f t="shared" si="50"/>
        <v>46065</v>
      </c>
      <c r="AN555" s="396">
        <f t="shared" si="51"/>
        <v>1</v>
      </c>
      <c r="AO555" s="109">
        <f t="shared" si="52"/>
        <v>119000</v>
      </c>
      <c r="AP555" s="109">
        <f t="shared" si="53"/>
        <v>108181.81818181818</v>
      </c>
      <c r="AQ555" s="397">
        <f t="shared" si="54"/>
        <v>108181.81818181818</v>
      </c>
    </row>
    <row r="556" spans="1:43" ht="24">
      <c r="A556" s="436" t="s">
        <v>4962</v>
      </c>
      <c r="B556" s="436" t="s">
        <v>3490</v>
      </c>
      <c r="C556" s="437" t="s">
        <v>3491</v>
      </c>
      <c r="D556" s="436" t="s">
        <v>4808</v>
      </c>
      <c r="E556" s="437" t="s">
        <v>3523</v>
      </c>
      <c r="F556" s="436" t="s">
        <v>3494</v>
      </c>
      <c r="G556" s="436" t="s">
        <v>3495</v>
      </c>
      <c r="H556" s="437" t="s">
        <v>3496</v>
      </c>
      <c r="I556" s="436" t="s">
        <v>3497</v>
      </c>
      <c r="J556" s="437" t="s">
        <v>3498</v>
      </c>
      <c r="K556" s="437" t="s">
        <v>3499</v>
      </c>
      <c r="L556" s="436" t="s">
        <v>3500</v>
      </c>
      <c r="M556" s="436" t="s">
        <v>4809</v>
      </c>
      <c r="N556" s="436" t="s">
        <v>3502</v>
      </c>
      <c r="O556" s="438">
        <v>119000</v>
      </c>
      <c r="P556" s="438">
        <v>80920</v>
      </c>
      <c r="Q556" s="438">
        <v>1</v>
      </c>
      <c r="R556" s="438">
        <v>0</v>
      </c>
      <c r="S556" s="438">
        <v>0</v>
      </c>
      <c r="T556" s="438">
        <v>0</v>
      </c>
      <c r="U556" s="438">
        <v>0</v>
      </c>
      <c r="V556" s="438">
        <v>0</v>
      </c>
      <c r="W556" s="438">
        <v>32</v>
      </c>
      <c r="X556" s="438">
        <v>0</v>
      </c>
      <c r="Y556" s="438">
        <v>0</v>
      </c>
      <c r="Z556" s="438">
        <v>0</v>
      </c>
      <c r="AA556" s="438">
        <v>0</v>
      </c>
      <c r="AB556" s="438">
        <v>0</v>
      </c>
      <c r="AC556" s="438">
        <v>119000</v>
      </c>
      <c r="AD556" s="438">
        <v>80920</v>
      </c>
      <c r="AE556" s="438">
        <v>0</v>
      </c>
      <c r="AF556" s="438">
        <v>0</v>
      </c>
      <c r="AG556" s="438">
        <v>119000</v>
      </c>
      <c r="AH556" s="438">
        <v>80920</v>
      </c>
      <c r="AI556" s="438">
        <v>34618</v>
      </c>
      <c r="AJ556" s="438">
        <v>3462</v>
      </c>
      <c r="AK556" s="438">
        <v>38080</v>
      </c>
      <c r="AL556" s="414" t="str">
        <f t="shared" si="49"/>
        <v>워커힐 시그니처 양념 본갈비 300g, 8개</v>
      </c>
      <c r="AM556" s="395">
        <f t="shared" si="50"/>
        <v>46065</v>
      </c>
      <c r="AN556" s="396">
        <f t="shared" si="51"/>
        <v>1</v>
      </c>
      <c r="AO556" s="109">
        <f t="shared" si="52"/>
        <v>119000</v>
      </c>
      <c r="AP556" s="109">
        <f t="shared" si="53"/>
        <v>108181.81818181818</v>
      </c>
      <c r="AQ556" s="397">
        <f t="shared" si="54"/>
        <v>108181.81818181818</v>
      </c>
    </row>
    <row r="557" spans="1:43" ht="24">
      <c r="A557" s="436" t="s">
        <v>4964</v>
      </c>
      <c r="B557" s="436" t="s">
        <v>3490</v>
      </c>
      <c r="C557" s="437" t="s">
        <v>3491</v>
      </c>
      <c r="D557" s="436" t="s">
        <v>4963</v>
      </c>
      <c r="E557" s="437" t="s">
        <v>3541</v>
      </c>
      <c r="F557" s="436" t="s">
        <v>3494</v>
      </c>
      <c r="G557" s="436" t="s">
        <v>3495</v>
      </c>
      <c r="H557" s="437" t="s">
        <v>3496</v>
      </c>
      <c r="I557" s="436" t="s">
        <v>3497</v>
      </c>
      <c r="J557" s="437" t="s">
        <v>3498</v>
      </c>
      <c r="K557" s="437" t="s">
        <v>3499</v>
      </c>
      <c r="L557" s="436" t="s">
        <v>3500</v>
      </c>
      <c r="M557" s="436" t="s">
        <v>4809</v>
      </c>
      <c r="N557" s="436" t="s">
        <v>3502</v>
      </c>
      <c r="O557" s="438">
        <v>119000</v>
      </c>
      <c r="P557" s="438">
        <v>80920</v>
      </c>
      <c r="Q557" s="438">
        <v>1</v>
      </c>
      <c r="R557" s="438">
        <v>0</v>
      </c>
      <c r="S557" s="438">
        <v>0</v>
      </c>
      <c r="T557" s="438">
        <v>0</v>
      </c>
      <c r="U557" s="438">
        <v>0</v>
      </c>
      <c r="V557" s="438">
        <v>0</v>
      </c>
      <c r="W557" s="438">
        <v>32</v>
      </c>
      <c r="X557" s="438">
        <v>0</v>
      </c>
      <c r="Y557" s="438">
        <v>0</v>
      </c>
      <c r="Z557" s="438">
        <v>0</v>
      </c>
      <c r="AA557" s="438">
        <v>0</v>
      </c>
      <c r="AB557" s="438">
        <v>0</v>
      </c>
      <c r="AC557" s="438">
        <v>119000</v>
      </c>
      <c r="AD557" s="438">
        <v>80920</v>
      </c>
      <c r="AE557" s="438">
        <v>0</v>
      </c>
      <c r="AF557" s="438">
        <v>0</v>
      </c>
      <c r="AG557" s="438">
        <v>119000</v>
      </c>
      <c r="AH557" s="438">
        <v>80920</v>
      </c>
      <c r="AI557" s="438">
        <v>34618</v>
      </c>
      <c r="AJ557" s="438">
        <v>3462</v>
      </c>
      <c r="AK557" s="438">
        <v>38080</v>
      </c>
      <c r="AL557" s="414" t="str">
        <f t="shared" si="49"/>
        <v>워커힐 시그니처 양념 본갈비 300g, 8개</v>
      </c>
      <c r="AM557" s="395">
        <f t="shared" si="50"/>
        <v>46065</v>
      </c>
      <c r="AN557" s="396">
        <f t="shared" si="51"/>
        <v>1</v>
      </c>
      <c r="AO557" s="109">
        <f t="shared" si="52"/>
        <v>119000</v>
      </c>
      <c r="AP557" s="109">
        <f t="shared" si="53"/>
        <v>108181.81818181818</v>
      </c>
      <c r="AQ557" s="397">
        <f t="shared" si="54"/>
        <v>108181.81818181818</v>
      </c>
    </row>
    <row r="558" spans="1:43" ht="24">
      <c r="A558" s="436" t="s">
        <v>4966</v>
      </c>
      <c r="B558" s="436" t="s">
        <v>3490</v>
      </c>
      <c r="C558" s="437" t="s">
        <v>3491</v>
      </c>
      <c r="D558" s="436" t="s">
        <v>4909</v>
      </c>
      <c r="E558" s="437" t="s">
        <v>4910</v>
      </c>
      <c r="F558" s="436" t="s">
        <v>3494</v>
      </c>
      <c r="G558" s="436" t="s">
        <v>3495</v>
      </c>
      <c r="H558" s="437" t="s">
        <v>3496</v>
      </c>
      <c r="I558" s="436" t="s">
        <v>3497</v>
      </c>
      <c r="J558" s="437" t="s">
        <v>3498</v>
      </c>
      <c r="K558" s="437" t="s">
        <v>3499</v>
      </c>
      <c r="L558" s="436" t="s">
        <v>3500</v>
      </c>
      <c r="M558" s="436" t="s">
        <v>4809</v>
      </c>
      <c r="N558" s="436" t="s">
        <v>3502</v>
      </c>
      <c r="O558" s="438">
        <v>119000</v>
      </c>
      <c r="P558" s="438">
        <v>80920</v>
      </c>
      <c r="Q558" s="438">
        <v>1</v>
      </c>
      <c r="R558" s="438">
        <v>0</v>
      </c>
      <c r="S558" s="438">
        <v>0</v>
      </c>
      <c r="T558" s="438">
        <v>0</v>
      </c>
      <c r="U558" s="438">
        <v>0</v>
      </c>
      <c r="V558" s="438">
        <v>0</v>
      </c>
      <c r="W558" s="438">
        <v>32</v>
      </c>
      <c r="X558" s="438">
        <v>0</v>
      </c>
      <c r="Y558" s="438">
        <v>0</v>
      </c>
      <c r="Z558" s="438">
        <v>0</v>
      </c>
      <c r="AA558" s="438">
        <v>0</v>
      </c>
      <c r="AB558" s="438">
        <v>5950</v>
      </c>
      <c r="AC558" s="438">
        <v>119000</v>
      </c>
      <c r="AD558" s="438">
        <v>80920</v>
      </c>
      <c r="AE558" s="438">
        <v>0</v>
      </c>
      <c r="AF558" s="438">
        <v>5950</v>
      </c>
      <c r="AG558" s="438">
        <v>113050</v>
      </c>
      <c r="AH558" s="438">
        <v>80920</v>
      </c>
      <c r="AI558" s="438">
        <v>29209</v>
      </c>
      <c r="AJ558" s="438">
        <v>2921</v>
      </c>
      <c r="AK558" s="438">
        <v>32130</v>
      </c>
      <c r="AL558" s="414" t="str">
        <f t="shared" si="49"/>
        <v>워커힐 시그니처 양념 본갈비 300g, 8개</v>
      </c>
      <c r="AM558" s="395">
        <f t="shared" si="50"/>
        <v>46065</v>
      </c>
      <c r="AN558" s="396">
        <f t="shared" si="51"/>
        <v>1</v>
      </c>
      <c r="AO558" s="109">
        <f t="shared" si="52"/>
        <v>119000</v>
      </c>
      <c r="AP558" s="109">
        <f t="shared" si="53"/>
        <v>108181.81818181818</v>
      </c>
      <c r="AQ558" s="397">
        <f t="shared" si="54"/>
        <v>108181.81818181818</v>
      </c>
    </row>
    <row r="559" spans="1:43" ht="24">
      <c r="A559" s="436" t="s">
        <v>4968</v>
      </c>
      <c r="B559" s="436" t="s">
        <v>3490</v>
      </c>
      <c r="C559" s="437" t="s">
        <v>3491</v>
      </c>
      <c r="D559" s="436" t="s">
        <v>4965</v>
      </c>
      <c r="E559" s="437" t="s">
        <v>3829</v>
      </c>
      <c r="F559" s="436" t="s">
        <v>3494</v>
      </c>
      <c r="G559" s="436" t="s">
        <v>3495</v>
      </c>
      <c r="H559" s="437" t="s">
        <v>3496</v>
      </c>
      <c r="I559" s="436" t="s">
        <v>3497</v>
      </c>
      <c r="J559" s="437" t="s">
        <v>3498</v>
      </c>
      <c r="K559" s="437" t="s">
        <v>3499</v>
      </c>
      <c r="L559" s="436" t="s">
        <v>3500</v>
      </c>
      <c r="M559" s="436" t="s">
        <v>4809</v>
      </c>
      <c r="N559" s="436" t="s">
        <v>3502</v>
      </c>
      <c r="O559" s="438">
        <v>119000</v>
      </c>
      <c r="P559" s="438">
        <v>80920</v>
      </c>
      <c r="Q559" s="438">
        <v>1</v>
      </c>
      <c r="R559" s="438">
        <v>0</v>
      </c>
      <c r="S559" s="438">
        <v>0</v>
      </c>
      <c r="T559" s="438">
        <v>0</v>
      </c>
      <c r="U559" s="438">
        <v>0</v>
      </c>
      <c r="V559" s="438">
        <v>0</v>
      </c>
      <c r="W559" s="438">
        <v>32</v>
      </c>
      <c r="X559" s="438">
        <v>0</v>
      </c>
      <c r="Y559" s="438">
        <v>0</v>
      </c>
      <c r="Z559" s="438">
        <v>0</v>
      </c>
      <c r="AA559" s="438">
        <v>0</v>
      </c>
      <c r="AB559" s="438">
        <v>0</v>
      </c>
      <c r="AC559" s="438">
        <v>119000</v>
      </c>
      <c r="AD559" s="438">
        <v>80920</v>
      </c>
      <c r="AE559" s="438">
        <v>0</v>
      </c>
      <c r="AF559" s="438">
        <v>0</v>
      </c>
      <c r="AG559" s="438">
        <v>119000</v>
      </c>
      <c r="AH559" s="438">
        <v>80920</v>
      </c>
      <c r="AI559" s="438">
        <v>34618</v>
      </c>
      <c r="AJ559" s="438">
        <v>3462</v>
      </c>
      <c r="AK559" s="438">
        <v>38080</v>
      </c>
      <c r="AL559" s="414" t="str">
        <f t="shared" si="49"/>
        <v>워커힐 시그니처 양념 본갈비 300g, 8개</v>
      </c>
      <c r="AM559" s="395">
        <f t="shared" si="50"/>
        <v>46065</v>
      </c>
      <c r="AN559" s="396">
        <f t="shared" si="51"/>
        <v>1</v>
      </c>
      <c r="AO559" s="109">
        <f t="shared" si="52"/>
        <v>119000</v>
      </c>
      <c r="AP559" s="109">
        <f t="shared" si="53"/>
        <v>108181.81818181818</v>
      </c>
      <c r="AQ559" s="397">
        <f t="shared" si="54"/>
        <v>108181.81818181818</v>
      </c>
    </row>
    <row r="560" spans="1:43" ht="24">
      <c r="A560" s="436" t="s">
        <v>4971</v>
      </c>
      <c r="B560" s="436" t="s">
        <v>3490</v>
      </c>
      <c r="C560" s="437" t="s">
        <v>3491</v>
      </c>
      <c r="D560" s="436" t="s">
        <v>4967</v>
      </c>
      <c r="E560" s="437" t="s">
        <v>3724</v>
      </c>
      <c r="F560" s="436" t="s">
        <v>3494</v>
      </c>
      <c r="G560" s="436" t="s">
        <v>3495</v>
      </c>
      <c r="H560" s="437" t="s">
        <v>3496</v>
      </c>
      <c r="I560" s="436" t="s">
        <v>3497</v>
      </c>
      <c r="J560" s="437" t="s">
        <v>3498</v>
      </c>
      <c r="K560" s="437" t="s">
        <v>3499</v>
      </c>
      <c r="L560" s="436" t="s">
        <v>3500</v>
      </c>
      <c r="M560" s="436" t="s">
        <v>4809</v>
      </c>
      <c r="N560" s="436" t="s">
        <v>3502</v>
      </c>
      <c r="O560" s="438">
        <v>119000</v>
      </c>
      <c r="P560" s="438">
        <v>80920</v>
      </c>
      <c r="Q560" s="438">
        <v>1</v>
      </c>
      <c r="R560" s="438">
        <v>0</v>
      </c>
      <c r="S560" s="438">
        <v>0</v>
      </c>
      <c r="T560" s="438">
        <v>0</v>
      </c>
      <c r="U560" s="438">
        <v>0</v>
      </c>
      <c r="V560" s="438">
        <v>0</v>
      </c>
      <c r="W560" s="438">
        <v>32</v>
      </c>
      <c r="X560" s="438">
        <v>0</v>
      </c>
      <c r="Y560" s="438">
        <v>0</v>
      </c>
      <c r="Z560" s="438">
        <v>0</v>
      </c>
      <c r="AA560" s="438">
        <v>0</v>
      </c>
      <c r="AB560" s="438">
        <v>5950</v>
      </c>
      <c r="AC560" s="438">
        <v>119000</v>
      </c>
      <c r="AD560" s="438">
        <v>80920</v>
      </c>
      <c r="AE560" s="438">
        <v>0</v>
      </c>
      <c r="AF560" s="438">
        <v>5950</v>
      </c>
      <c r="AG560" s="438">
        <v>113050</v>
      </c>
      <c r="AH560" s="438">
        <v>80920</v>
      </c>
      <c r="AI560" s="438">
        <v>29209</v>
      </c>
      <c r="AJ560" s="438">
        <v>2921</v>
      </c>
      <c r="AK560" s="438">
        <v>32130</v>
      </c>
      <c r="AL560" s="414" t="str">
        <f t="shared" si="49"/>
        <v>워커힐 시그니처 양념 본갈비 300g, 8개</v>
      </c>
      <c r="AM560" s="395">
        <f t="shared" si="50"/>
        <v>46065</v>
      </c>
      <c r="AN560" s="396">
        <f t="shared" si="51"/>
        <v>1</v>
      </c>
      <c r="AO560" s="109">
        <f t="shared" si="52"/>
        <v>119000</v>
      </c>
      <c r="AP560" s="109">
        <f t="shared" si="53"/>
        <v>108181.81818181818</v>
      </c>
      <c r="AQ560" s="397">
        <f t="shared" si="54"/>
        <v>108181.81818181818</v>
      </c>
    </row>
    <row r="561" spans="1:43" ht="24">
      <c r="A561" s="436" t="s">
        <v>4973</v>
      </c>
      <c r="B561" s="436" t="s">
        <v>3490</v>
      </c>
      <c r="C561" s="437" t="s">
        <v>3491</v>
      </c>
      <c r="D561" s="436" t="s">
        <v>5234</v>
      </c>
      <c r="E561" s="437" t="s">
        <v>3999</v>
      </c>
      <c r="F561" s="436" t="s">
        <v>3494</v>
      </c>
      <c r="G561" s="436" t="s">
        <v>3495</v>
      </c>
      <c r="H561" s="437" t="s">
        <v>3496</v>
      </c>
      <c r="I561" s="436" t="s">
        <v>3497</v>
      </c>
      <c r="J561" s="437" t="s">
        <v>3498</v>
      </c>
      <c r="K561" s="437" t="s">
        <v>3499</v>
      </c>
      <c r="L561" s="436" t="s">
        <v>3500</v>
      </c>
      <c r="M561" s="436" t="s">
        <v>4809</v>
      </c>
      <c r="N561" s="436" t="s">
        <v>3502</v>
      </c>
      <c r="O561" s="438">
        <v>119000</v>
      </c>
      <c r="P561" s="438">
        <v>80920</v>
      </c>
      <c r="Q561" s="438">
        <v>1</v>
      </c>
      <c r="R561" s="438">
        <v>0</v>
      </c>
      <c r="S561" s="438">
        <v>0</v>
      </c>
      <c r="T561" s="438">
        <v>0</v>
      </c>
      <c r="U561" s="438">
        <v>0</v>
      </c>
      <c r="V561" s="438">
        <v>0</v>
      </c>
      <c r="W561" s="438">
        <v>32</v>
      </c>
      <c r="X561" s="438">
        <v>0</v>
      </c>
      <c r="Y561" s="438">
        <v>0</v>
      </c>
      <c r="Z561" s="438">
        <v>0</v>
      </c>
      <c r="AA561" s="438">
        <v>0</v>
      </c>
      <c r="AB561" s="438">
        <v>0</v>
      </c>
      <c r="AC561" s="438">
        <v>119000</v>
      </c>
      <c r="AD561" s="438">
        <v>80920</v>
      </c>
      <c r="AE561" s="438">
        <v>0</v>
      </c>
      <c r="AF561" s="438">
        <v>0</v>
      </c>
      <c r="AG561" s="438">
        <v>119000</v>
      </c>
      <c r="AH561" s="438">
        <v>80920</v>
      </c>
      <c r="AI561" s="438">
        <v>34618</v>
      </c>
      <c r="AJ561" s="438">
        <v>3462</v>
      </c>
      <c r="AK561" s="438">
        <v>38080</v>
      </c>
      <c r="AL561" s="414" t="str">
        <f t="shared" si="49"/>
        <v>워커힐 시그니처 양념 본갈비 300g, 8개</v>
      </c>
      <c r="AM561" s="395">
        <f t="shared" si="50"/>
        <v>46065</v>
      </c>
      <c r="AN561" s="396">
        <f t="shared" si="51"/>
        <v>1</v>
      </c>
      <c r="AO561" s="109">
        <f t="shared" si="52"/>
        <v>119000</v>
      </c>
      <c r="AP561" s="109">
        <f t="shared" si="53"/>
        <v>108181.81818181818</v>
      </c>
      <c r="AQ561" s="397">
        <f t="shared" si="54"/>
        <v>108181.81818181818</v>
      </c>
    </row>
    <row r="562" spans="1:43" ht="24">
      <c r="A562" s="436" t="s">
        <v>4975</v>
      </c>
      <c r="B562" s="436" t="s">
        <v>3490</v>
      </c>
      <c r="C562" s="437" t="s">
        <v>3491</v>
      </c>
      <c r="D562" s="436" t="s">
        <v>5236</v>
      </c>
      <c r="E562" s="437" t="s">
        <v>5237</v>
      </c>
      <c r="F562" s="436" t="s">
        <v>3494</v>
      </c>
      <c r="G562" s="436" t="s">
        <v>3495</v>
      </c>
      <c r="H562" s="437" t="s">
        <v>3496</v>
      </c>
      <c r="I562" s="436" t="s">
        <v>3497</v>
      </c>
      <c r="J562" s="437" t="s">
        <v>3498</v>
      </c>
      <c r="K562" s="437" t="s">
        <v>3499</v>
      </c>
      <c r="L562" s="436" t="s">
        <v>3500</v>
      </c>
      <c r="M562" s="436" t="s">
        <v>4809</v>
      </c>
      <c r="N562" s="436" t="s">
        <v>3502</v>
      </c>
      <c r="O562" s="438">
        <v>119000</v>
      </c>
      <c r="P562" s="438">
        <v>80920</v>
      </c>
      <c r="Q562" s="438">
        <v>1</v>
      </c>
      <c r="R562" s="438">
        <v>0</v>
      </c>
      <c r="S562" s="438">
        <v>0</v>
      </c>
      <c r="T562" s="438">
        <v>0</v>
      </c>
      <c r="U562" s="438">
        <v>0</v>
      </c>
      <c r="V562" s="438">
        <v>0</v>
      </c>
      <c r="W562" s="438">
        <v>32</v>
      </c>
      <c r="X562" s="438">
        <v>0</v>
      </c>
      <c r="Y562" s="438">
        <v>0</v>
      </c>
      <c r="Z562" s="438">
        <v>0</v>
      </c>
      <c r="AA562" s="438">
        <v>0</v>
      </c>
      <c r="AB562" s="438">
        <v>0</v>
      </c>
      <c r="AC562" s="438">
        <v>119000</v>
      </c>
      <c r="AD562" s="438">
        <v>80920</v>
      </c>
      <c r="AE562" s="438">
        <v>0</v>
      </c>
      <c r="AF562" s="438">
        <v>0</v>
      </c>
      <c r="AG562" s="438">
        <v>119000</v>
      </c>
      <c r="AH562" s="438">
        <v>80920</v>
      </c>
      <c r="AI562" s="438">
        <v>34618</v>
      </c>
      <c r="AJ562" s="438">
        <v>3462</v>
      </c>
      <c r="AK562" s="438">
        <v>38080</v>
      </c>
      <c r="AL562" s="414" t="str">
        <f t="shared" si="49"/>
        <v>워커힐 시그니처 양념 본갈비 300g, 8개</v>
      </c>
      <c r="AM562" s="395">
        <f t="shared" si="50"/>
        <v>46065</v>
      </c>
      <c r="AN562" s="396">
        <f t="shared" si="51"/>
        <v>1</v>
      </c>
      <c r="AO562" s="109">
        <f t="shared" si="52"/>
        <v>119000</v>
      </c>
      <c r="AP562" s="109">
        <f t="shared" si="53"/>
        <v>108181.81818181818</v>
      </c>
      <c r="AQ562" s="397">
        <f t="shared" si="54"/>
        <v>108181.81818181818</v>
      </c>
    </row>
    <row r="563" spans="1:43" ht="24">
      <c r="A563" s="436" t="s">
        <v>4977</v>
      </c>
      <c r="B563" s="436" t="s">
        <v>3490</v>
      </c>
      <c r="C563" s="437" t="s">
        <v>3491</v>
      </c>
      <c r="D563" s="436" t="s">
        <v>5394</v>
      </c>
      <c r="E563" s="437" t="s">
        <v>5395</v>
      </c>
      <c r="F563" s="436" t="s">
        <v>3494</v>
      </c>
      <c r="G563" s="436" t="s">
        <v>3495</v>
      </c>
      <c r="H563" s="437" t="s">
        <v>3496</v>
      </c>
      <c r="I563" s="436" t="s">
        <v>3497</v>
      </c>
      <c r="J563" s="437" t="s">
        <v>3498</v>
      </c>
      <c r="K563" s="437" t="s">
        <v>3499</v>
      </c>
      <c r="L563" s="436" t="s">
        <v>3500</v>
      </c>
      <c r="M563" s="436" t="s">
        <v>4809</v>
      </c>
      <c r="N563" s="436" t="s">
        <v>3502</v>
      </c>
      <c r="O563" s="438">
        <v>119000</v>
      </c>
      <c r="P563" s="438">
        <v>80920</v>
      </c>
      <c r="Q563" s="438">
        <v>1</v>
      </c>
      <c r="R563" s="438">
        <v>0</v>
      </c>
      <c r="S563" s="438">
        <v>0</v>
      </c>
      <c r="T563" s="438">
        <v>0</v>
      </c>
      <c r="U563" s="438">
        <v>0</v>
      </c>
      <c r="V563" s="438">
        <v>0</v>
      </c>
      <c r="W563" s="438">
        <v>32</v>
      </c>
      <c r="X563" s="438">
        <v>0</v>
      </c>
      <c r="Y563" s="438">
        <v>0</v>
      </c>
      <c r="Z563" s="438">
        <v>0</v>
      </c>
      <c r="AA563" s="438">
        <v>0</v>
      </c>
      <c r="AB563" s="438">
        <v>0</v>
      </c>
      <c r="AC563" s="438">
        <v>119000</v>
      </c>
      <c r="AD563" s="438">
        <v>80920</v>
      </c>
      <c r="AE563" s="438">
        <v>0</v>
      </c>
      <c r="AF563" s="438">
        <v>0</v>
      </c>
      <c r="AG563" s="438">
        <v>119000</v>
      </c>
      <c r="AH563" s="438">
        <v>80920</v>
      </c>
      <c r="AI563" s="438">
        <v>34618</v>
      </c>
      <c r="AJ563" s="438">
        <v>3462</v>
      </c>
      <c r="AK563" s="438">
        <v>38080</v>
      </c>
      <c r="AL563" s="414" t="str">
        <f t="shared" si="49"/>
        <v>워커힐 시그니처 양념 본갈비 300g, 8개</v>
      </c>
      <c r="AM563" s="395">
        <f t="shared" si="50"/>
        <v>46065</v>
      </c>
      <c r="AN563" s="396">
        <f t="shared" si="51"/>
        <v>1</v>
      </c>
      <c r="AO563" s="109">
        <f t="shared" si="52"/>
        <v>119000</v>
      </c>
      <c r="AP563" s="109">
        <f t="shared" si="53"/>
        <v>108181.81818181818</v>
      </c>
      <c r="AQ563" s="397">
        <f t="shared" si="54"/>
        <v>108181.81818181818</v>
      </c>
    </row>
    <row r="564" spans="1:43" ht="24">
      <c r="A564" s="436" t="s">
        <v>4979</v>
      </c>
      <c r="B564" s="436" t="s">
        <v>3490</v>
      </c>
      <c r="C564" s="437" t="s">
        <v>3491</v>
      </c>
      <c r="D564" s="436" t="s">
        <v>5522</v>
      </c>
      <c r="E564" s="437" t="s">
        <v>5523</v>
      </c>
      <c r="F564" s="436" t="s">
        <v>3494</v>
      </c>
      <c r="G564" s="436" t="s">
        <v>3495</v>
      </c>
      <c r="H564" s="437" t="s">
        <v>3496</v>
      </c>
      <c r="I564" s="436" t="s">
        <v>3497</v>
      </c>
      <c r="J564" s="437" t="s">
        <v>3498</v>
      </c>
      <c r="K564" s="437" t="s">
        <v>3499</v>
      </c>
      <c r="L564" s="436" t="s">
        <v>3500</v>
      </c>
      <c r="M564" s="436" t="s">
        <v>4809</v>
      </c>
      <c r="N564" s="436" t="s">
        <v>3502</v>
      </c>
      <c r="O564" s="438">
        <v>119000</v>
      </c>
      <c r="P564" s="438">
        <v>80920</v>
      </c>
      <c r="Q564" s="438">
        <v>1</v>
      </c>
      <c r="R564" s="438">
        <v>0</v>
      </c>
      <c r="S564" s="438">
        <v>0</v>
      </c>
      <c r="T564" s="438">
        <v>0</v>
      </c>
      <c r="U564" s="438">
        <v>0</v>
      </c>
      <c r="V564" s="438">
        <v>0</v>
      </c>
      <c r="W564" s="438">
        <v>32</v>
      </c>
      <c r="X564" s="438">
        <v>0</v>
      </c>
      <c r="Y564" s="438">
        <v>0</v>
      </c>
      <c r="Z564" s="438">
        <v>0</v>
      </c>
      <c r="AA564" s="438">
        <v>0</v>
      </c>
      <c r="AB564" s="438">
        <v>0</v>
      </c>
      <c r="AC564" s="438">
        <v>119000</v>
      </c>
      <c r="AD564" s="438">
        <v>80920</v>
      </c>
      <c r="AE564" s="438">
        <v>0</v>
      </c>
      <c r="AF564" s="438">
        <v>0</v>
      </c>
      <c r="AG564" s="438">
        <v>119000</v>
      </c>
      <c r="AH564" s="438">
        <v>80920</v>
      </c>
      <c r="AI564" s="438">
        <v>34618</v>
      </c>
      <c r="AJ564" s="438">
        <v>3462</v>
      </c>
      <c r="AK564" s="438">
        <v>38080</v>
      </c>
      <c r="AL564" s="414" t="str">
        <f t="shared" si="49"/>
        <v>워커힐 시그니처 양념 본갈비 300g, 8개</v>
      </c>
      <c r="AM564" s="395">
        <f t="shared" si="50"/>
        <v>46065</v>
      </c>
      <c r="AN564" s="396">
        <f t="shared" si="51"/>
        <v>1</v>
      </c>
      <c r="AO564" s="109">
        <f t="shared" si="52"/>
        <v>119000</v>
      </c>
      <c r="AP564" s="109">
        <f t="shared" si="53"/>
        <v>108181.81818181818</v>
      </c>
      <c r="AQ564" s="397">
        <f t="shared" si="54"/>
        <v>108181.81818181818</v>
      </c>
    </row>
    <row r="565" spans="1:43" ht="24">
      <c r="A565" s="436" t="s">
        <v>4982</v>
      </c>
      <c r="B565" s="436" t="s">
        <v>3490</v>
      </c>
      <c r="C565" s="437" t="s">
        <v>3491</v>
      </c>
      <c r="D565" s="436" t="s">
        <v>5244</v>
      </c>
      <c r="E565" s="437" t="s">
        <v>5245</v>
      </c>
      <c r="F565" s="436" t="s">
        <v>3494</v>
      </c>
      <c r="G565" s="436" t="s">
        <v>3495</v>
      </c>
      <c r="H565" s="437" t="s">
        <v>3496</v>
      </c>
      <c r="I565" s="436" t="s">
        <v>3497</v>
      </c>
      <c r="J565" s="437" t="s">
        <v>3498</v>
      </c>
      <c r="K565" s="437" t="s">
        <v>3499</v>
      </c>
      <c r="L565" s="436" t="s">
        <v>3500</v>
      </c>
      <c r="M565" s="436" t="s">
        <v>4809</v>
      </c>
      <c r="N565" s="436" t="s">
        <v>3502</v>
      </c>
      <c r="O565" s="438">
        <v>119000</v>
      </c>
      <c r="P565" s="438">
        <v>80920</v>
      </c>
      <c r="Q565" s="438">
        <v>1</v>
      </c>
      <c r="R565" s="438">
        <v>0</v>
      </c>
      <c r="S565" s="438">
        <v>0</v>
      </c>
      <c r="T565" s="438">
        <v>0</v>
      </c>
      <c r="U565" s="438">
        <v>0</v>
      </c>
      <c r="V565" s="438">
        <v>0</v>
      </c>
      <c r="W565" s="438">
        <v>32</v>
      </c>
      <c r="X565" s="438">
        <v>0</v>
      </c>
      <c r="Y565" s="438">
        <v>0</v>
      </c>
      <c r="Z565" s="438">
        <v>0</v>
      </c>
      <c r="AA565" s="438">
        <v>0</v>
      </c>
      <c r="AB565" s="438">
        <v>0</v>
      </c>
      <c r="AC565" s="438">
        <v>119000</v>
      </c>
      <c r="AD565" s="438">
        <v>80920</v>
      </c>
      <c r="AE565" s="438">
        <v>0</v>
      </c>
      <c r="AF565" s="438">
        <v>0</v>
      </c>
      <c r="AG565" s="438">
        <v>119000</v>
      </c>
      <c r="AH565" s="438">
        <v>80920</v>
      </c>
      <c r="AI565" s="438">
        <v>34618</v>
      </c>
      <c r="AJ565" s="438">
        <v>3462</v>
      </c>
      <c r="AK565" s="438">
        <v>38080</v>
      </c>
      <c r="AL565" s="414" t="str">
        <f t="shared" si="49"/>
        <v>워커힐 시그니처 양념 본갈비 300g, 8개</v>
      </c>
      <c r="AM565" s="395">
        <f t="shared" si="50"/>
        <v>46065</v>
      </c>
      <c r="AN565" s="396">
        <f t="shared" si="51"/>
        <v>1</v>
      </c>
      <c r="AO565" s="109">
        <f t="shared" si="52"/>
        <v>119000</v>
      </c>
      <c r="AP565" s="109">
        <f t="shared" si="53"/>
        <v>108181.81818181818</v>
      </c>
      <c r="AQ565" s="397">
        <f t="shared" si="54"/>
        <v>108181.81818181818</v>
      </c>
    </row>
    <row r="566" spans="1:43" ht="24">
      <c r="A566" s="436" t="s">
        <v>4984</v>
      </c>
      <c r="B566" s="436" t="s">
        <v>3490</v>
      </c>
      <c r="C566" s="437" t="s">
        <v>3491</v>
      </c>
      <c r="D566" s="436" t="s">
        <v>5402</v>
      </c>
      <c r="E566" s="437" t="s">
        <v>5403</v>
      </c>
      <c r="F566" s="436" t="s">
        <v>3494</v>
      </c>
      <c r="G566" s="436" t="s">
        <v>3495</v>
      </c>
      <c r="H566" s="437" t="s">
        <v>3496</v>
      </c>
      <c r="I566" s="436" t="s">
        <v>3497</v>
      </c>
      <c r="J566" s="437" t="s">
        <v>3498</v>
      </c>
      <c r="K566" s="437" t="s">
        <v>3499</v>
      </c>
      <c r="L566" s="436" t="s">
        <v>3500</v>
      </c>
      <c r="M566" s="436" t="s">
        <v>4809</v>
      </c>
      <c r="N566" s="436" t="s">
        <v>3502</v>
      </c>
      <c r="O566" s="438">
        <v>119000</v>
      </c>
      <c r="P566" s="438">
        <v>80920</v>
      </c>
      <c r="Q566" s="438">
        <v>1</v>
      </c>
      <c r="R566" s="438">
        <v>0</v>
      </c>
      <c r="S566" s="438">
        <v>0</v>
      </c>
      <c r="T566" s="438">
        <v>0</v>
      </c>
      <c r="U566" s="438">
        <v>0</v>
      </c>
      <c r="V566" s="438">
        <v>0</v>
      </c>
      <c r="W566" s="438">
        <v>32</v>
      </c>
      <c r="X566" s="438">
        <v>0</v>
      </c>
      <c r="Y566" s="438">
        <v>0</v>
      </c>
      <c r="Z566" s="438">
        <v>0</v>
      </c>
      <c r="AA566" s="438">
        <v>0</v>
      </c>
      <c r="AB566" s="438">
        <v>0</v>
      </c>
      <c r="AC566" s="438">
        <v>119000</v>
      </c>
      <c r="AD566" s="438">
        <v>80920</v>
      </c>
      <c r="AE566" s="438">
        <v>0</v>
      </c>
      <c r="AF566" s="438">
        <v>0</v>
      </c>
      <c r="AG566" s="438">
        <v>119000</v>
      </c>
      <c r="AH566" s="438">
        <v>80920</v>
      </c>
      <c r="AI566" s="438">
        <v>34618</v>
      </c>
      <c r="AJ566" s="438">
        <v>3462</v>
      </c>
      <c r="AK566" s="438">
        <v>38080</v>
      </c>
      <c r="AL566" s="414" t="str">
        <f t="shared" si="49"/>
        <v>워커힐 시그니처 양념 본갈비 300g, 8개</v>
      </c>
      <c r="AM566" s="395">
        <f t="shared" si="50"/>
        <v>46065</v>
      </c>
      <c r="AN566" s="396">
        <f t="shared" si="51"/>
        <v>1</v>
      </c>
      <c r="AO566" s="109">
        <f t="shared" si="52"/>
        <v>119000</v>
      </c>
      <c r="AP566" s="109">
        <f t="shared" si="53"/>
        <v>108181.81818181818</v>
      </c>
      <c r="AQ566" s="397">
        <f t="shared" si="54"/>
        <v>108181.81818181818</v>
      </c>
    </row>
    <row r="567" spans="1:43" ht="24">
      <c r="A567" s="436" t="s">
        <v>4986</v>
      </c>
      <c r="B567" s="436" t="s">
        <v>3490</v>
      </c>
      <c r="C567" s="437" t="s">
        <v>3491</v>
      </c>
      <c r="D567" s="436" t="s">
        <v>5530</v>
      </c>
      <c r="E567" s="437" t="s">
        <v>5531</v>
      </c>
      <c r="F567" s="436" t="s">
        <v>3494</v>
      </c>
      <c r="G567" s="436" t="s">
        <v>3495</v>
      </c>
      <c r="H567" s="437" t="s">
        <v>3496</v>
      </c>
      <c r="I567" s="436" t="s">
        <v>3497</v>
      </c>
      <c r="J567" s="437" t="s">
        <v>3498</v>
      </c>
      <c r="K567" s="437" t="s">
        <v>3499</v>
      </c>
      <c r="L567" s="436" t="s">
        <v>3500</v>
      </c>
      <c r="M567" s="436" t="s">
        <v>4809</v>
      </c>
      <c r="N567" s="436" t="s">
        <v>3502</v>
      </c>
      <c r="O567" s="438">
        <v>119000</v>
      </c>
      <c r="P567" s="438">
        <v>82110</v>
      </c>
      <c r="Q567" s="438">
        <v>1</v>
      </c>
      <c r="R567" s="438">
        <v>0</v>
      </c>
      <c r="S567" s="438">
        <v>0</v>
      </c>
      <c r="T567" s="438">
        <v>0</v>
      </c>
      <c r="U567" s="438">
        <v>0</v>
      </c>
      <c r="V567" s="438">
        <v>0</v>
      </c>
      <c r="W567" s="438">
        <v>31</v>
      </c>
      <c r="X567" s="438">
        <v>0</v>
      </c>
      <c r="Y567" s="438">
        <v>0</v>
      </c>
      <c r="Z567" s="438">
        <v>0</v>
      </c>
      <c r="AA567" s="438">
        <v>0</v>
      </c>
      <c r="AB567" s="438">
        <v>0</v>
      </c>
      <c r="AC567" s="438">
        <v>119000</v>
      </c>
      <c r="AD567" s="438">
        <v>82110</v>
      </c>
      <c r="AE567" s="438">
        <v>0</v>
      </c>
      <c r="AF567" s="438">
        <v>0</v>
      </c>
      <c r="AG567" s="438">
        <v>119000</v>
      </c>
      <c r="AH567" s="438">
        <v>82110</v>
      </c>
      <c r="AI567" s="438">
        <v>33536</v>
      </c>
      <c r="AJ567" s="438">
        <v>3354</v>
      </c>
      <c r="AK567" s="438">
        <v>36890</v>
      </c>
      <c r="AL567" s="414" t="str">
        <f t="shared" si="49"/>
        <v>워커힐 시그니처 양념 본갈비 300g, 8개</v>
      </c>
      <c r="AM567" s="395">
        <f t="shared" si="50"/>
        <v>46065</v>
      </c>
      <c r="AN567" s="396">
        <f t="shared" si="51"/>
        <v>1</v>
      </c>
      <c r="AO567" s="109">
        <f t="shared" si="52"/>
        <v>119000</v>
      </c>
      <c r="AP567" s="109">
        <f t="shared" si="53"/>
        <v>108181.81818181818</v>
      </c>
      <c r="AQ567" s="397">
        <f t="shared" si="54"/>
        <v>108181.81818181818</v>
      </c>
    </row>
    <row r="568" spans="1:43" ht="24">
      <c r="A568" s="436" t="s">
        <v>4988</v>
      </c>
      <c r="B568" s="436" t="s">
        <v>3490</v>
      </c>
      <c r="C568" s="437" t="s">
        <v>3491</v>
      </c>
      <c r="D568" s="436" t="s">
        <v>5251</v>
      </c>
      <c r="E568" s="437" t="s">
        <v>5252</v>
      </c>
      <c r="F568" s="436" t="s">
        <v>3494</v>
      </c>
      <c r="G568" s="436" t="s">
        <v>3495</v>
      </c>
      <c r="H568" s="437" t="s">
        <v>3496</v>
      </c>
      <c r="I568" s="436" t="s">
        <v>3497</v>
      </c>
      <c r="J568" s="437" t="s">
        <v>3498</v>
      </c>
      <c r="K568" s="437" t="s">
        <v>3499</v>
      </c>
      <c r="L568" s="436" t="s">
        <v>3500</v>
      </c>
      <c r="M568" s="436" t="s">
        <v>4809</v>
      </c>
      <c r="N568" s="436" t="s">
        <v>3502</v>
      </c>
      <c r="O568" s="438">
        <v>119000</v>
      </c>
      <c r="P568" s="438">
        <v>80920</v>
      </c>
      <c r="Q568" s="438">
        <v>1</v>
      </c>
      <c r="R568" s="438">
        <v>0</v>
      </c>
      <c r="S568" s="438">
        <v>0</v>
      </c>
      <c r="T568" s="438">
        <v>0</v>
      </c>
      <c r="U568" s="438">
        <v>0</v>
      </c>
      <c r="V568" s="438">
        <v>0</v>
      </c>
      <c r="W568" s="438">
        <v>32</v>
      </c>
      <c r="X568" s="438">
        <v>0</v>
      </c>
      <c r="Y568" s="438">
        <v>0</v>
      </c>
      <c r="Z568" s="438">
        <v>0</v>
      </c>
      <c r="AA568" s="438">
        <v>0</v>
      </c>
      <c r="AB568" s="438">
        <v>0</v>
      </c>
      <c r="AC568" s="438">
        <v>119000</v>
      </c>
      <c r="AD568" s="438">
        <v>80920</v>
      </c>
      <c r="AE568" s="438">
        <v>0</v>
      </c>
      <c r="AF568" s="438">
        <v>0</v>
      </c>
      <c r="AG568" s="438">
        <v>119000</v>
      </c>
      <c r="AH568" s="438">
        <v>80920</v>
      </c>
      <c r="AI568" s="438">
        <v>34618</v>
      </c>
      <c r="AJ568" s="438">
        <v>3462</v>
      </c>
      <c r="AK568" s="438">
        <v>38080</v>
      </c>
      <c r="AL568" s="414" t="str">
        <f t="shared" si="49"/>
        <v>워커힐 시그니처 양념 본갈비 300g, 8개</v>
      </c>
      <c r="AM568" s="395">
        <f t="shared" si="50"/>
        <v>46065</v>
      </c>
      <c r="AN568" s="396">
        <f t="shared" si="51"/>
        <v>1</v>
      </c>
      <c r="AO568" s="109">
        <f t="shared" si="52"/>
        <v>119000</v>
      </c>
      <c r="AP568" s="109">
        <f t="shared" si="53"/>
        <v>108181.81818181818</v>
      </c>
      <c r="AQ568" s="397">
        <f t="shared" si="54"/>
        <v>108181.81818181818</v>
      </c>
    </row>
    <row r="569" spans="1:43" ht="24">
      <c r="A569" s="436" t="s">
        <v>4991</v>
      </c>
      <c r="B569" s="436" t="s">
        <v>3490</v>
      </c>
      <c r="C569" s="437" t="s">
        <v>3491</v>
      </c>
      <c r="D569" s="436" t="s">
        <v>5254</v>
      </c>
      <c r="E569" s="437" t="s">
        <v>3778</v>
      </c>
      <c r="F569" s="436" t="s">
        <v>3494</v>
      </c>
      <c r="G569" s="436" t="s">
        <v>3495</v>
      </c>
      <c r="H569" s="437" t="s">
        <v>3496</v>
      </c>
      <c r="I569" s="436" t="s">
        <v>3497</v>
      </c>
      <c r="J569" s="437" t="s">
        <v>3498</v>
      </c>
      <c r="K569" s="437" t="s">
        <v>3499</v>
      </c>
      <c r="L569" s="436" t="s">
        <v>3500</v>
      </c>
      <c r="M569" s="436" t="s">
        <v>4809</v>
      </c>
      <c r="N569" s="436" t="s">
        <v>3502</v>
      </c>
      <c r="O569" s="438">
        <v>119000</v>
      </c>
      <c r="P569" s="438">
        <v>80920</v>
      </c>
      <c r="Q569" s="438">
        <v>1</v>
      </c>
      <c r="R569" s="438">
        <v>0</v>
      </c>
      <c r="S569" s="438">
        <v>0</v>
      </c>
      <c r="T569" s="438">
        <v>0</v>
      </c>
      <c r="U569" s="438">
        <v>0</v>
      </c>
      <c r="V569" s="438">
        <v>0</v>
      </c>
      <c r="W569" s="438">
        <v>32</v>
      </c>
      <c r="X569" s="438">
        <v>0</v>
      </c>
      <c r="Y569" s="438">
        <v>0</v>
      </c>
      <c r="Z569" s="438">
        <v>0</v>
      </c>
      <c r="AA569" s="438">
        <v>0</v>
      </c>
      <c r="AB569" s="438">
        <v>0</v>
      </c>
      <c r="AC569" s="438">
        <v>119000</v>
      </c>
      <c r="AD569" s="438">
        <v>80920</v>
      </c>
      <c r="AE569" s="438">
        <v>0</v>
      </c>
      <c r="AF569" s="438">
        <v>0</v>
      </c>
      <c r="AG569" s="438">
        <v>119000</v>
      </c>
      <c r="AH569" s="438">
        <v>80920</v>
      </c>
      <c r="AI569" s="438">
        <v>34618</v>
      </c>
      <c r="AJ569" s="438">
        <v>3462</v>
      </c>
      <c r="AK569" s="438">
        <v>38080</v>
      </c>
      <c r="AL569" s="414" t="str">
        <f t="shared" si="49"/>
        <v>워커힐 시그니처 양념 본갈비 300g, 8개</v>
      </c>
      <c r="AM569" s="395">
        <f t="shared" si="50"/>
        <v>46065</v>
      </c>
      <c r="AN569" s="396">
        <f t="shared" si="51"/>
        <v>1</v>
      </c>
      <c r="AO569" s="109">
        <f t="shared" si="52"/>
        <v>119000</v>
      </c>
      <c r="AP569" s="109">
        <f t="shared" si="53"/>
        <v>108181.81818181818</v>
      </c>
      <c r="AQ569" s="397">
        <f t="shared" si="54"/>
        <v>108181.81818181818</v>
      </c>
    </row>
    <row r="570" spans="1:43" ht="24">
      <c r="A570" s="436" t="s">
        <v>4994</v>
      </c>
      <c r="B570" s="436" t="s">
        <v>3490</v>
      </c>
      <c r="C570" s="437" t="s">
        <v>3491</v>
      </c>
      <c r="D570" s="436" t="s">
        <v>5258</v>
      </c>
      <c r="E570" s="437" t="s">
        <v>5259</v>
      </c>
      <c r="F570" s="436" t="s">
        <v>3494</v>
      </c>
      <c r="G570" s="436" t="s">
        <v>3495</v>
      </c>
      <c r="H570" s="437" t="s">
        <v>3496</v>
      </c>
      <c r="I570" s="436" t="s">
        <v>3497</v>
      </c>
      <c r="J570" s="437" t="s">
        <v>3498</v>
      </c>
      <c r="K570" s="437" t="s">
        <v>3499</v>
      </c>
      <c r="L570" s="436" t="s">
        <v>3500</v>
      </c>
      <c r="M570" s="436" t="s">
        <v>4809</v>
      </c>
      <c r="N570" s="436" t="s">
        <v>3502</v>
      </c>
      <c r="O570" s="438">
        <v>119000</v>
      </c>
      <c r="P570" s="438">
        <v>80920</v>
      </c>
      <c r="Q570" s="438">
        <v>2</v>
      </c>
      <c r="R570" s="438">
        <v>0</v>
      </c>
      <c r="S570" s="438">
        <v>0</v>
      </c>
      <c r="T570" s="438">
        <v>0</v>
      </c>
      <c r="U570" s="438">
        <v>0</v>
      </c>
      <c r="V570" s="438">
        <v>0</v>
      </c>
      <c r="W570" s="438">
        <v>32</v>
      </c>
      <c r="X570" s="438">
        <v>0</v>
      </c>
      <c r="Y570" s="438">
        <v>0</v>
      </c>
      <c r="Z570" s="438">
        <v>0</v>
      </c>
      <c r="AA570" s="438">
        <v>0</v>
      </c>
      <c r="AB570" s="438">
        <v>0</v>
      </c>
      <c r="AC570" s="438">
        <v>238000</v>
      </c>
      <c r="AD570" s="438">
        <v>161840</v>
      </c>
      <c r="AE570" s="438">
        <v>0</v>
      </c>
      <c r="AF570" s="438">
        <v>0</v>
      </c>
      <c r="AG570" s="438">
        <v>238000</v>
      </c>
      <c r="AH570" s="438">
        <v>161840</v>
      </c>
      <c r="AI570" s="438">
        <v>69236</v>
      </c>
      <c r="AJ570" s="438">
        <v>6924</v>
      </c>
      <c r="AK570" s="438">
        <v>76160</v>
      </c>
      <c r="AL570" s="414" t="str">
        <f t="shared" si="49"/>
        <v>워커힐 시그니처 양념 본갈비 300g, 8개</v>
      </c>
      <c r="AM570" s="395">
        <f t="shared" si="50"/>
        <v>46065</v>
      </c>
      <c r="AN570" s="396">
        <f t="shared" si="51"/>
        <v>2</v>
      </c>
      <c r="AO570" s="109">
        <f t="shared" si="52"/>
        <v>119000</v>
      </c>
      <c r="AP570" s="109">
        <f t="shared" si="53"/>
        <v>108181.81818181818</v>
      </c>
      <c r="AQ570" s="397">
        <f t="shared" si="54"/>
        <v>216363.63636363635</v>
      </c>
    </row>
    <row r="571" spans="1:43" ht="24">
      <c r="A571" s="436" t="s">
        <v>4997</v>
      </c>
      <c r="B571" s="436" t="s">
        <v>3490</v>
      </c>
      <c r="C571" s="437" t="s">
        <v>3491</v>
      </c>
      <c r="D571" s="436" t="s">
        <v>5261</v>
      </c>
      <c r="E571" s="437" t="s">
        <v>5262</v>
      </c>
      <c r="F571" s="436" t="s">
        <v>3494</v>
      </c>
      <c r="G571" s="436" t="s">
        <v>3495</v>
      </c>
      <c r="H571" s="437" t="s">
        <v>3496</v>
      </c>
      <c r="I571" s="436" t="s">
        <v>3497</v>
      </c>
      <c r="J571" s="437" t="s">
        <v>3498</v>
      </c>
      <c r="K571" s="437" t="s">
        <v>3499</v>
      </c>
      <c r="L571" s="436" t="s">
        <v>3500</v>
      </c>
      <c r="M571" s="436" t="s">
        <v>4809</v>
      </c>
      <c r="N571" s="436" t="s">
        <v>3502</v>
      </c>
      <c r="O571" s="438">
        <v>119000</v>
      </c>
      <c r="P571" s="438">
        <v>80920</v>
      </c>
      <c r="Q571" s="438">
        <v>1</v>
      </c>
      <c r="R571" s="438">
        <v>0</v>
      </c>
      <c r="S571" s="438">
        <v>0</v>
      </c>
      <c r="T571" s="438">
        <v>0</v>
      </c>
      <c r="U571" s="438">
        <v>0</v>
      </c>
      <c r="V571" s="438">
        <v>0</v>
      </c>
      <c r="W571" s="438">
        <v>32</v>
      </c>
      <c r="X571" s="438">
        <v>0</v>
      </c>
      <c r="Y571" s="438">
        <v>0</v>
      </c>
      <c r="Z571" s="438">
        <v>0</v>
      </c>
      <c r="AA571" s="438">
        <v>0</v>
      </c>
      <c r="AB571" s="438">
        <v>0</v>
      </c>
      <c r="AC571" s="438">
        <v>119000</v>
      </c>
      <c r="AD571" s="438">
        <v>80920</v>
      </c>
      <c r="AE571" s="438">
        <v>0</v>
      </c>
      <c r="AF571" s="438">
        <v>0</v>
      </c>
      <c r="AG571" s="438">
        <v>119000</v>
      </c>
      <c r="AH571" s="438">
        <v>80920</v>
      </c>
      <c r="AI571" s="438">
        <v>34618</v>
      </c>
      <c r="AJ571" s="438">
        <v>3462</v>
      </c>
      <c r="AK571" s="438">
        <v>38080</v>
      </c>
      <c r="AL571" s="414" t="str">
        <f t="shared" si="49"/>
        <v>워커힐 시그니처 양념 본갈비 300g, 8개</v>
      </c>
      <c r="AM571" s="395">
        <f t="shared" si="50"/>
        <v>46065</v>
      </c>
      <c r="AN571" s="396">
        <f t="shared" si="51"/>
        <v>1</v>
      </c>
      <c r="AO571" s="109">
        <f t="shared" si="52"/>
        <v>119000</v>
      </c>
      <c r="AP571" s="109">
        <f t="shared" si="53"/>
        <v>108181.81818181818</v>
      </c>
      <c r="AQ571" s="397">
        <f t="shared" si="54"/>
        <v>108181.81818181818</v>
      </c>
    </row>
    <row r="572" spans="1:43" ht="24">
      <c r="A572" s="436" t="s">
        <v>5000</v>
      </c>
      <c r="B572" s="436" t="s">
        <v>3490</v>
      </c>
      <c r="C572" s="437" t="s">
        <v>3491</v>
      </c>
      <c r="D572" s="436" t="s">
        <v>5266</v>
      </c>
      <c r="E572" s="437" t="s">
        <v>5267</v>
      </c>
      <c r="F572" s="436" t="s">
        <v>3494</v>
      </c>
      <c r="G572" s="436" t="s">
        <v>3495</v>
      </c>
      <c r="H572" s="437" t="s">
        <v>3496</v>
      </c>
      <c r="I572" s="436" t="s">
        <v>3497</v>
      </c>
      <c r="J572" s="437" t="s">
        <v>3498</v>
      </c>
      <c r="K572" s="437" t="s">
        <v>3499</v>
      </c>
      <c r="L572" s="436" t="s">
        <v>3500</v>
      </c>
      <c r="M572" s="436" t="s">
        <v>4809</v>
      </c>
      <c r="N572" s="436" t="s">
        <v>3502</v>
      </c>
      <c r="O572" s="438">
        <v>119000</v>
      </c>
      <c r="P572" s="438">
        <v>80920</v>
      </c>
      <c r="Q572" s="438">
        <v>1</v>
      </c>
      <c r="R572" s="438">
        <v>0</v>
      </c>
      <c r="S572" s="438">
        <v>0</v>
      </c>
      <c r="T572" s="438">
        <v>0</v>
      </c>
      <c r="U572" s="438">
        <v>0</v>
      </c>
      <c r="V572" s="438">
        <v>0</v>
      </c>
      <c r="W572" s="438">
        <v>32</v>
      </c>
      <c r="X572" s="438">
        <v>0</v>
      </c>
      <c r="Y572" s="438">
        <v>0</v>
      </c>
      <c r="Z572" s="438">
        <v>0</v>
      </c>
      <c r="AA572" s="438">
        <v>0</v>
      </c>
      <c r="AB572" s="438">
        <v>5950</v>
      </c>
      <c r="AC572" s="438">
        <v>119000</v>
      </c>
      <c r="AD572" s="438">
        <v>80920</v>
      </c>
      <c r="AE572" s="438">
        <v>0</v>
      </c>
      <c r="AF572" s="438">
        <v>5950</v>
      </c>
      <c r="AG572" s="438">
        <v>113050</v>
      </c>
      <c r="AH572" s="438">
        <v>80920</v>
      </c>
      <c r="AI572" s="438">
        <v>29209</v>
      </c>
      <c r="AJ572" s="438">
        <v>2921</v>
      </c>
      <c r="AK572" s="438">
        <v>32130</v>
      </c>
      <c r="AL572" s="414" t="str">
        <f t="shared" si="49"/>
        <v>워커힐 시그니처 양념 본갈비 300g, 8개</v>
      </c>
      <c r="AM572" s="395">
        <f t="shared" si="50"/>
        <v>46065</v>
      </c>
      <c r="AN572" s="396">
        <f t="shared" si="51"/>
        <v>1</v>
      </c>
      <c r="AO572" s="109">
        <f t="shared" si="52"/>
        <v>119000</v>
      </c>
      <c r="AP572" s="109">
        <f t="shared" si="53"/>
        <v>108181.81818181818</v>
      </c>
      <c r="AQ572" s="397">
        <f t="shared" si="54"/>
        <v>108181.81818181818</v>
      </c>
    </row>
    <row r="573" spans="1:43" ht="24">
      <c r="A573" s="436" t="s">
        <v>5003</v>
      </c>
      <c r="B573" s="436" t="s">
        <v>3490</v>
      </c>
      <c r="C573" s="437" t="s">
        <v>3491</v>
      </c>
      <c r="D573" s="436" t="s">
        <v>5272</v>
      </c>
      <c r="E573" s="437" t="s">
        <v>5273</v>
      </c>
      <c r="F573" s="436" t="s">
        <v>3494</v>
      </c>
      <c r="G573" s="436" t="s">
        <v>3495</v>
      </c>
      <c r="H573" s="437" t="s">
        <v>3496</v>
      </c>
      <c r="I573" s="436" t="s">
        <v>3497</v>
      </c>
      <c r="J573" s="437" t="s">
        <v>3498</v>
      </c>
      <c r="K573" s="437" t="s">
        <v>3499</v>
      </c>
      <c r="L573" s="436" t="s">
        <v>3500</v>
      </c>
      <c r="M573" s="436" t="s">
        <v>4809</v>
      </c>
      <c r="N573" s="436" t="s">
        <v>3502</v>
      </c>
      <c r="O573" s="438">
        <v>119000</v>
      </c>
      <c r="P573" s="438">
        <v>80920</v>
      </c>
      <c r="Q573" s="438">
        <v>1</v>
      </c>
      <c r="R573" s="438">
        <v>0</v>
      </c>
      <c r="S573" s="438">
        <v>0</v>
      </c>
      <c r="T573" s="438">
        <v>0</v>
      </c>
      <c r="U573" s="438">
        <v>0</v>
      </c>
      <c r="V573" s="438">
        <v>0</v>
      </c>
      <c r="W573" s="438">
        <v>32</v>
      </c>
      <c r="X573" s="438">
        <v>0</v>
      </c>
      <c r="Y573" s="438">
        <v>0</v>
      </c>
      <c r="Z573" s="438">
        <v>0</v>
      </c>
      <c r="AA573" s="438">
        <v>0</v>
      </c>
      <c r="AB573" s="438">
        <v>0</v>
      </c>
      <c r="AC573" s="438">
        <v>119000</v>
      </c>
      <c r="AD573" s="438">
        <v>80920</v>
      </c>
      <c r="AE573" s="438">
        <v>0</v>
      </c>
      <c r="AF573" s="438">
        <v>0</v>
      </c>
      <c r="AG573" s="438">
        <v>119000</v>
      </c>
      <c r="AH573" s="438">
        <v>80920</v>
      </c>
      <c r="AI573" s="438">
        <v>34618</v>
      </c>
      <c r="AJ573" s="438">
        <v>3462</v>
      </c>
      <c r="AK573" s="438">
        <v>38080</v>
      </c>
      <c r="AL573" s="414" t="str">
        <f t="shared" si="49"/>
        <v>워커힐 시그니처 양념 본갈비 300g, 8개</v>
      </c>
      <c r="AM573" s="395">
        <f t="shared" si="50"/>
        <v>46065</v>
      </c>
      <c r="AN573" s="396">
        <f t="shared" si="51"/>
        <v>1</v>
      </c>
      <c r="AO573" s="109">
        <f t="shared" si="52"/>
        <v>119000</v>
      </c>
      <c r="AP573" s="109">
        <f t="shared" si="53"/>
        <v>108181.81818181818</v>
      </c>
      <c r="AQ573" s="397">
        <f t="shared" si="54"/>
        <v>108181.81818181818</v>
      </c>
    </row>
    <row r="574" spans="1:43" ht="24">
      <c r="A574" s="436" t="s">
        <v>5005</v>
      </c>
      <c r="B574" s="436" t="s">
        <v>3490</v>
      </c>
      <c r="C574" s="437" t="s">
        <v>3491</v>
      </c>
      <c r="D574" s="436" t="s">
        <v>5278</v>
      </c>
      <c r="E574" s="437" t="s">
        <v>5279</v>
      </c>
      <c r="F574" s="436" t="s">
        <v>3494</v>
      </c>
      <c r="G574" s="436" t="s">
        <v>3495</v>
      </c>
      <c r="H574" s="437" t="s">
        <v>3496</v>
      </c>
      <c r="I574" s="436" t="s">
        <v>3497</v>
      </c>
      <c r="J574" s="437" t="s">
        <v>3498</v>
      </c>
      <c r="K574" s="437" t="s">
        <v>3499</v>
      </c>
      <c r="L574" s="436" t="s">
        <v>3500</v>
      </c>
      <c r="M574" s="436" t="s">
        <v>4809</v>
      </c>
      <c r="N574" s="436" t="s">
        <v>3502</v>
      </c>
      <c r="O574" s="438">
        <v>119000</v>
      </c>
      <c r="P574" s="438">
        <v>80920</v>
      </c>
      <c r="Q574" s="438">
        <v>1</v>
      </c>
      <c r="R574" s="438">
        <v>0</v>
      </c>
      <c r="S574" s="438">
        <v>0</v>
      </c>
      <c r="T574" s="438">
        <v>0</v>
      </c>
      <c r="U574" s="438">
        <v>0</v>
      </c>
      <c r="V574" s="438">
        <v>0</v>
      </c>
      <c r="W574" s="438">
        <v>32</v>
      </c>
      <c r="X574" s="438">
        <v>0</v>
      </c>
      <c r="Y574" s="438">
        <v>0</v>
      </c>
      <c r="Z574" s="438">
        <v>0</v>
      </c>
      <c r="AA574" s="438">
        <v>0</v>
      </c>
      <c r="AB574" s="438">
        <v>5950</v>
      </c>
      <c r="AC574" s="438">
        <v>119000</v>
      </c>
      <c r="AD574" s="438">
        <v>80920</v>
      </c>
      <c r="AE574" s="438">
        <v>0</v>
      </c>
      <c r="AF574" s="438">
        <v>5950</v>
      </c>
      <c r="AG574" s="438">
        <v>113050</v>
      </c>
      <c r="AH574" s="438">
        <v>80920</v>
      </c>
      <c r="AI574" s="438">
        <v>29209</v>
      </c>
      <c r="AJ574" s="438">
        <v>2921</v>
      </c>
      <c r="AK574" s="438">
        <v>32130</v>
      </c>
      <c r="AL574" s="414" t="str">
        <f t="shared" si="49"/>
        <v>워커힐 시그니처 양념 본갈비 300g, 8개</v>
      </c>
      <c r="AM574" s="395">
        <f t="shared" si="50"/>
        <v>46065</v>
      </c>
      <c r="AN574" s="396">
        <f t="shared" si="51"/>
        <v>1</v>
      </c>
      <c r="AO574" s="109">
        <f t="shared" si="52"/>
        <v>119000</v>
      </c>
      <c r="AP574" s="109">
        <f t="shared" si="53"/>
        <v>108181.81818181818</v>
      </c>
      <c r="AQ574" s="397">
        <f t="shared" si="54"/>
        <v>108181.81818181818</v>
      </c>
    </row>
    <row r="575" spans="1:43" ht="24">
      <c r="A575" s="436" t="s">
        <v>5007</v>
      </c>
      <c r="B575" s="436" t="s">
        <v>3490</v>
      </c>
      <c r="C575" s="437" t="s">
        <v>3491</v>
      </c>
      <c r="D575" s="436" t="s">
        <v>5414</v>
      </c>
      <c r="E575" s="437" t="s">
        <v>5415</v>
      </c>
      <c r="F575" s="436" t="s">
        <v>3494</v>
      </c>
      <c r="G575" s="436" t="s">
        <v>3495</v>
      </c>
      <c r="H575" s="437" t="s">
        <v>3496</v>
      </c>
      <c r="I575" s="436" t="s">
        <v>3497</v>
      </c>
      <c r="J575" s="437" t="s">
        <v>3498</v>
      </c>
      <c r="K575" s="437" t="s">
        <v>3499</v>
      </c>
      <c r="L575" s="436" t="s">
        <v>3500</v>
      </c>
      <c r="M575" s="436" t="s">
        <v>4809</v>
      </c>
      <c r="N575" s="436" t="s">
        <v>3502</v>
      </c>
      <c r="O575" s="438">
        <v>119000</v>
      </c>
      <c r="P575" s="438">
        <v>80920</v>
      </c>
      <c r="Q575" s="438">
        <v>1</v>
      </c>
      <c r="R575" s="438">
        <v>0</v>
      </c>
      <c r="S575" s="438">
        <v>0</v>
      </c>
      <c r="T575" s="438">
        <v>0</v>
      </c>
      <c r="U575" s="438">
        <v>0</v>
      </c>
      <c r="V575" s="438">
        <v>0</v>
      </c>
      <c r="W575" s="438">
        <v>32</v>
      </c>
      <c r="X575" s="438">
        <v>0</v>
      </c>
      <c r="Y575" s="438">
        <v>0</v>
      </c>
      <c r="Z575" s="438">
        <v>0</v>
      </c>
      <c r="AA575" s="438">
        <v>0</v>
      </c>
      <c r="AB575" s="438">
        <v>0</v>
      </c>
      <c r="AC575" s="438">
        <v>119000</v>
      </c>
      <c r="AD575" s="438">
        <v>80920</v>
      </c>
      <c r="AE575" s="438">
        <v>0</v>
      </c>
      <c r="AF575" s="438">
        <v>0</v>
      </c>
      <c r="AG575" s="438">
        <v>119000</v>
      </c>
      <c r="AH575" s="438">
        <v>80920</v>
      </c>
      <c r="AI575" s="438">
        <v>34618</v>
      </c>
      <c r="AJ575" s="438">
        <v>3462</v>
      </c>
      <c r="AK575" s="438">
        <v>38080</v>
      </c>
      <c r="AL575" s="414" t="str">
        <f t="shared" si="49"/>
        <v>워커힐 시그니처 양념 본갈비 300g, 8개</v>
      </c>
      <c r="AM575" s="395">
        <f t="shared" si="50"/>
        <v>46065</v>
      </c>
      <c r="AN575" s="396">
        <f t="shared" si="51"/>
        <v>1</v>
      </c>
      <c r="AO575" s="109">
        <f t="shared" si="52"/>
        <v>119000</v>
      </c>
      <c r="AP575" s="109">
        <f t="shared" si="53"/>
        <v>108181.81818181818</v>
      </c>
      <c r="AQ575" s="397">
        <f t="shared" si="54"/>
        <v>108181.81818181818</v>
      </c>
    </row>
    <row r="576" spans="1:43" ht="24">
      <c r="A576" s="436" t="s">
        <v>5009</v>
      </c>
      <c r="B576" s="436" t="s">
        <v>3490</v>
      </c>
      <c r="C576" s="437" t="s">
        <v>3491</v>
      </c>
      <c r="D576" s="436" t="s">
        <v>4974</v>
      </c>
      <c r="E576" s="437" t="s">
        <v>3967</v>
      </c>
      <c r="F576" s="436" t="s">
        <v>3494</v>
      </c>
      <c r="G576" s="436" t="s">
        <v>3495</v>
      </c>
      <c r="H576" s="437" t="s">
        <v>3496</v>
      </c>
      <c r="I576" s="436" t="s">
        <v>3497</v>
      </c>
      <c r="J576" s="437" t="s">
        <v>3498</v>
      </c>
      <c r="K576" s="437" t="s">
        <v>3499</v>
      </c>
      <c r="L576" s="436" t="s">
        <v>3500</v>
      </c>
      <c r="M576" s="436" t="s">
        <v>4809</v>
      </c>
      <c r="N576" s="436" t="s">
        <v>3502</v>
      </c>
      <c r="O576" s="438">
        <v>119000</v>
      </c>
      <c r="P576" s="438">
        <v>80920</v>
      </c>
      <c r="Q576" s="438">
        <v>1</v>
      </c>
      <c r="R576" s="438">
        <v>0</v>
      </c>
      <c r="S576" s="438">
        <v>0</v>
      </c>
      <c r="T576" s="438">
        <v>0</v>
      </c>
      <c r="U576" s="438">
        <v>0</v>
      </c>
      <c r="V576" s="438">
        <v>0</v>
      </c>
      <c r="W576" s="438">
        <v>32</v>
      </c>
      <c r="X576" s="438">
        <v>0</v>
      </c>
      <c r="Y576" s="438">
        <v>0</v>
      </c>
      <c r="Z576" s="438">
        <v>0</v>
      </c>
      <c r="AA576" s="438">
        <v>0</v>
      </c>
      <c r="AB576" s="438">
        <v>0</v>
      </c>
      <c r="AC576" s="438">
        <v>119000</v>
      </c>
      <c r="AD576" s="438">
        <v>80920</v>
      </c>
      <c r="AE576" s="438">
        <v>0</v>
      </c>
      <c r="AF576" s="438">
        <v>0</v>
      </c>
      <c r="AG576" s="438">
        <v>119000</v>
      </c>
      <c r="AH576" s="438">
        <v>80920</v>
      </c>
      <c r="AI576" s="438">
        <v>34618</v>
      </c>
      <c r="AJ576" s="438">
        <v>3462</v>
      </c>
      <c r="AK576" s="438">
        <v>38080</v>
      </c>
      <c r="AL576" s="414" t="str">
        <f t="shared" si="49"/>
        <v>워커힐 시그니처 양념 본갈비 300g, 8개</v>
      </c>
      <c r="AM576" s="395">
        <f t="shared" si="50"/>
        <v>46065</v>
      </c>
      <c r="AN576" s="396">
        <f t="shared" si="51"/>
        <v>1</v>
      </c>
      <c r="AO576" s="109">
        <f t="shared" si="52"/>
        <v>119000</v>
      </c>
      <c r="AP576" s="109">
        <f t="shared" si="53"/>
        <v>108181.81818181818</v>
      </c>
      <c r="AQ576" s="397">
        <f t="shared" si="54"/>
        <v>108181.81818181818</v>
      </c>
    </row>
    <row r="577" spans="1:43" ht="24">
      <c r="A577" s="436" t="s">
        <v>5011</v>
      </c>
      <c r="B577" s="436" t="s">
        <v>3490</v>
      </c>
      <c r="C577" s="437" t="s">
        <v>3491</v>
      </c>
      <c r="D577" s="436" t="s">
        <v>5540</v>
      </c>
      <c r="E577" s="437" t="s">
        <v>5541</v>
      </c>
      <c r="F577" s="436" t="s">
        <v>3494</v>
      </c>
      <c r="G577" s="436" t="s">
        <v>3495</v>
      </c>
      <c r="H577" s="437" t="s">
        <v>3496</v>
      </c>
      <c r="I577" s="436" t="s">
        <v>3497</v>
      </c>
      <c r="J577" s="437" t="s">
        <v>3498</v>
      </c>
      <c r="K577" s="437" t="s">
        <v>3499</v>
      </c>
      <c r="L577" s="436" t="s">
        <v>3500</v>
      </c>
      <c r="M577" s="436" t="s">
        <v>4809</v>
      </c>
      <c r="N577" s="436" t="s">
        <v>3502</v>
      </c>
      <c r="O577" s="438">
        <v>119000</v>
      </c>
      <c r="P577" s="438">
        <v>80920</v>
      </c>
      <c r="Q577" s="438">
        <v>1</v>
      </c>
      <c r="R577" s="438">
        <v>0</v>
      </c>
      <c r="S577" s="438">
        <v>0</v>
      </c>
      <c r="T577" s="438">
        <v>0</v>
      </c>
      <c r="U577" s="438">
        <v>0</v>
      </c>
      <c r="V577" s="438">
        <v>0</v>
      </c>
      <c r="W577" s="438">
        <v>32</v>
      </c>
      <c r="X577" s="438">
        <v>0</v>
      </c>
      <c r="Y577" s="438">
        <v>0</v>
      </c>
      <c r="Z577" s="438">
        <v>0</v>
      </c>
      <c r="AA577" s="438">
        <v>0</v>
      </c>
      <c r="AB577" s="438">
        <v>0</v>
      </c>
      <c r="AC577" s="438">
        <v>119000</v>
      </c>
      <c r="AD577" s="438">
        <v>80920</v>
      </c>
      <c r="AE577" s="438">
        <v>0</v>
      </c>
      <c r="AF577" s="438">
        <v>0</v>
      </c>
      <c r="AG577" s="438">
        <v>119000</v>
      </c>
      <c r="AH577" s="438">
        <v>80920</v>
      </c>
      <c r="AI577" s="438">
        <v>34618</v>
      </c>
      <c r="AJ577" s="438">
        <v>3462</v>
      </c>
      <c r="AK577" s="438">
        <v>38080</v>
      </c>
      <c r="AL577" s="414" t="str">
        <f t="shared" si="49"/>
        <v>워커힐 시그니처 양념 본갈비 300g, 8개</v>
      </c>
      <c r="AM577" s="395">
        <f t="shared" si="50"/>
        <v>46065</v>
      </c>
      <c r="AN577" s="396">
        <f t="shared" si="51"/>
        <v>1</v>
      </c>
      <c r="AO577" s="109">
        <f t="shared" si="52"/>
        <v>119000</v>
      </c>
      <c r="AP577" s="109">
        <f t="shared" si="53"/>
        <v>108181.81818181818</v>
      </c>
      <c r="AQ577" s="397">
        <f t="shared" si="54"/>
        <v>108181.81818181818</v>
      </c>
    </row>
    <row r="578" spans="1:43" ht="24">
      <c r="A578" s="436" t="s">
        <v>5013</v>
      </c>
      <c r="B578" s="436" t="s">
        <v>3490</v>
      </c>
      <c r="C578" s="437" t="s">
        <v>3491</v>
      </c>
      <c r="D578" s="436" t="s">
        <v>4976</v>
      </c>
      <c r="E578" s="437" t="s">
        <v>4563</v>
      </c>
      <c r="F578" s="436" t="s">
        <v>3494</v>
      </c>
      <c r="G578" s="436" t="s">
        <v>3495</v>
      </c>
      <c r="H578" s="437" t="s">
        <v>3496</v>
      </c>
      <c r="I578" s="436" t="s">
        <v>3497</v>
      </c>
      <c r="J578" s="437" t="s">
        <v>3498</v>
      </c>
      <c r="K578" s="437" t="s">
        <v>3548</v>
      </c>
      <c r="L578" s="436" t="s">
        <v>3500</v>
      </c>
      <c r="M578" s="436" t="s">
        <v>4809</v>
      </c>
      <c r="N578" s="436" t="s">
        <v>3502</v>
      </c>
      <c r="O578" s="438">
        <v>119000</v>
      </c>
      <c r="P578" s="438">
        <v>80920</v>
      </c>
      <c r="Q578" s="438">
        <v>1</v>
      </c>
      <c r="R578" s="438">
        <v>0</v>
      </c>
      <c r="S578" s="438">
        <v>0</v>
      </c>
      <c r="T578" s="438">
        <v>0</v>
      </c>
      <c r="U578" s="438">
        <v>0</v>
      </c>
      <c r="V578" s="438">
        <v>0</v>
      </c>
      <c r="W578" s="438">
        <v>32</v>
      </c>
      <c r="X578" s="438">
        <v>0</v>
      </c>
      <c r="Y578" s="438">
        <v>0</v>
      </c>
      <c r="Z578" s="438">
        <v>0</v>
      </c>
      <c r="AA578" s="438">
        <v>0</v>
      </c>
      <c r="AB578" s="438">
        <v>0</v>
      </c>
      <c r="AC578" s="438">
        <v>119000</v>
      </c>
      <c r="AD578" s="438">
        <v>80920</v>
      </c>
      <c r="AE578" s="438">
        <v>0</v>
      </c>
      <c r="AF578" s="438">
        <v>0</v>
      </c>
      <c r="AG578" s="438">
        <v>119000</v>
      </c>
      <c r="AH578" s="438">
        <v>80920</v>
      </c>
      <c r="AI578" s="438">
        <v>34618</v>
      </c>
      <c r="AJ578" s="438">
        <v>3462</v>
      </c>
      <c r="AK578" s="438">
        <v>38080</v>
      </c>
      <c r="AL578" s="414" t="str">
        <f t="shared" si="49"/>
        <v>워커힐 시그니처 양념 본갈비 300g, 8개</v>
      </c>
      <c r="AM578" s="395">
        <f t="shared" si="50"/>
        <v>46065</v>
      </c>
      <c r="AN578" s="396">
        <f t="shared" si="51"/>
        <v>1</v>
      </c>
      <c r="AO578" s="109">
        <f t="shared" si="52"/>
        <v>119000</v>
      </c>
      <c r="AP578" s="109">
        <f t="shared" si="53"/>
        <v>108181.81818181818</v>
      </c>
      <c r="AQ578" s="397">
        <f t="shared" si="54"/>
        <v>108181.81818181818</v>
      </c>
    </row>
    <row r="579" spans="1:43" ht="24">
      <c r="A579" s="436" t="s">
        <v>5015</v>
      </c>
      <c r="B579" s="436" t="s">
        <v>3490</v>
      </c>
      <c r="C579" s="437" t="s">
        <v>3491</v>
      </c>
      <c r="D579" s="436" t="s">
        <v>4978</v>
      </c>
      <c r="E579" s="437" t="s">
        <v>3945</v>
      </c>
      <c r="F579" s="436" t="s">
        <v>3494</v>
      </c>
      <c r="G579" s="436" t="s">
        <v>3495</v>
      </c>
      <c r="H579" s="437" t="s">
        <v>3496</v>
      </c>
      <c r="I579" s="436" t="s">
        <v>3497</v>
      </c>
      <c r="J579" s="437" t="s">
        <v>3498</v>
      </c>
      <c r="K579" s="437" t="s">
        <v>3499</v>
      </c>
      <c r="L579" s="436" t="s">
        <v>3500</v>
      </c>
      <c r="M579" s="436" t="s">
        <v>4809</v>
      </c>
      <c r="N579" s="436" t="s">
        <v>3502</v>
      </c>
      <c r="O579" s="438">
        <v>119000</v>
      </c>
      <c r="P579" s="438">
        <v>80920</v>
      </c>
      <c r="Q579" s="438">
        <v>1</v>
      </c>
      <c r="R579" s="438">
        <v>0</v>
      </c>
      <c r="S579" s="438">
        <v>0</v>
      </c>
      <c r="T579" s="438">
        <v>0</v>
      </c>
      <c r="U579" s="438">
        <v>0</v>
      </c>
      <c r="V579" s="438">
        <v>0</v>
      </c>
      <c r="W579" s="438">
        <v>32</v>
      </c>
      <c r="X579" s="438">
        <v>0</v>
      </c>
      <c r="Y579" s="438">
        <v>0</v>
      </c>
      <c r="Z579" s="438">
        <v>0</v>
      </c>
      <c r="AA579" s="438">
        <v>0</v>
      </c>
      <c r="AB579" s="438">
        <v>0</v>
      </c>
      <c r="AC579" s="438">
        <v>119000</v>
      </c>
      <c r="AD579" s="438">
        <v>80920</v>
      </c>
      <c r="AE579" s="438">
        <v>0</v>
      </c>
      <c r="AF579" s="438">
        <v>0</v>
      </c>
      <c r="AG579" s="438">
        <v>119000</v>
      </c>
      <c r="AH579" s="438">
        <v>80920</v>
      </c>
      <c r="AI579" s="438">
        <v>34618</v>
      </c>
      <c r="AJ579" s="438">
        <v>3462</v>
      </c>
      <c r="AK579" s="438">
        <v>38080</v>
      </c>
      <c r="AL579" s="414" t="str">
        <f t="shared" ref="AL579:AL642" si="55">SUBSTITUTE(SUBSTITUTE(H579,"[워커힐]워커힐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579" s="395">
        <f t="shared" ref="AM579:AM642" si="56">IF(N579="배송완료", DATE(LEFT(M579,4), MID(M579,6,2), MID(M579,9,2)), "")</f>
        <v>46065</v>
      </c>
      <c r="AN579" s="396">
        <f t="shared" ref="AN579:AN642" si="57">IF(OR(N579="배송완료", Q579&lt;0), Q579, 0)</f>
        <v>1</v>
      </c>
      <c r="AO579" s="109">
        <f t="shared" ref="AO579:AO642" si="58">IF(AL579="워커힐 시그니처 양념 본갈비 300g, 8개",119000,IF(AL579="워커힐 시그니처 양념 본갈비 300g, 4개",78000,""))</f>
        <v>119000</v>
      </c>
      <c r="AP579" s="109">
        <f t="shared" ref="AP579:AP642" si="59">AO579/1.1</f>
        <v>108181.81818181818</v>
      </c>
      <c r="AQ579" s="397">
        <f t="shared" si="54"/>
        <v>108181.81818181818</v>
      </c>
    </row>
    <row r="580" spans="1:43" ht="24">
      <c r="A580" s="436" t="s">
        <v>5017</v>
      </c>
      <c r="B580" s="436" t="s">
        <v>3490</v>
      </c>
      <c r="C580" s="437" t="s">
        <v>3491</v>
      </c>
      <c r="D580" s="436" t="s">
        <v>4980</v>
      </c>
      <c r="E580" s="437" t="s">
        <v>4981</v>
      </c>
      <c r="F580" s="436" t="s">
        <v>3494</v>
      </c>
      <c r="G580" s="436" t="s">
        <v>3495</v>
      </c>
      <c r="H580" s="437" t="s">
        <v>3496</v>
      </c>
      <c r="I580" s="436" t="s">
        <v>3497</v>
      </c>
      <c r="J580" s="437" t="s">
        <v>3498</v>
      </c>
      <c r="K580" s="437" t="s">
        <v>3499</v>
      </c>
      <c r="L580" s="436" t="s">
        <v>3500</v>
      </c>
      <c r="M580" s="436" t="s">
        <v>4809</v>
      </c>
      <c r="N580" s="436" t="s">
        <v>3502</v>
      </c>
      <c r="O580" s="438">
        <v>119000</v>
      </c>
      <c r="P580" s="438">
        <v>80920</v>
      </c>
      <c r="Q580" s="438">
        <v>1</v>
      </c>
      <c r="R580" s="438">
        <v>0</v>
      </c>
      <c r="S580" s="438">
        <v>0</v>
      </c>
      <c r="T580" s="438">
        <v>0</v>
      </c>
      <c r="U580" s="438">
        <v>0</v>
      </c>
      <c r="V580" s="438">
        <v>0</v>
      </c>
      <c r="W580" s="438">
        <v>32</v>
      </c>
      <c r="X580" s="438">
        <v>0</v>
      </c>
      <c r="Y580" s="438">
        <v>0</v>
      </c>
      <c r="Z580" s="438">
        <v>0</v>
      </c>
      <c r="AA580" s="438">
        <v>0</v>
      </c>
      <c r="AB580" s="438">
        <v>0</v>
      </c>
      <c r="AC580" s="438">
        <v>119000</v>
      </c>
      <c r="AD580" s="438">
        <v>80920</v>
      </c>
      <c r="AE580" s="438">
        <v>0</v>
      </c>
      <c r="AF580" s="438">
        <v>0</v>
      </c>
      <c r="AG580" s="438">
        <v>119000</v>
      </c>
      <c r="AH580" s="438">
        <v>80920</v>
      </c>
      <c r="AI580" s="438">
        <v>34618</v>
      </c>
      <c r="AJ580" s="438">
        <v>3462</v>
      </c>
      <c r="AK580" s="438">
        <v>38080</v>
      </c>
      <c r="AL580" s="414" t="str">
        <f t="shared" si="55"/>
        <v>워커힐 시그니처 양념 본갈비 300g, 8개</v>
      </c>
      <c r="AM580" s="395">
        <f t="shared" si="56"/>
        <v>46065</v>
      </c>
      <c r="AN580" s="396">
        <f t="shared" si="57"/>
        <v>1</v>
      </c>
      <c r="AO580" s="109">
        <f t="shared" si="58"/>
        <v>119000</v>
      </c>
      <c r="AP580" s="109">
        <f t="shared" si="59"/>
        <v>108181.81818181818</v>
      </c>
      <c r="AQ580" s="397">
        <f t="shared" si="54"/>
        <v>108181.81818181818</v>
      </c>
    </row>
    <row r="581" spans="1:43" ht="24">
      <c r="A581" s="436" t="s">
        <v>5020</v>
      </c>
      <c r="B581" s="436" t="s">
        <v>3490</v>
      </c>
      <c r="C581" s="437" t="s">
        <v>3491</v>
      </c>
      <c r="D581" s="436" t="s">
        <v>4983</v>
      </c>
      <c r="E581" s="437" t="s">
        <v>3618</v>
      </c>
      <c r="F581" s="436" t="s">
        <v>3494</v>
      </c>
      <c r="G581" s="436" t="s">
        <v>3495</v>
      </c>
      <c r="H581" s="437" t="s">
        <v>3496</v>
      </c>
      <c r="I581" s="436" t="s">
        <v>3497</v>
      </c>
      <c r="J581" s="437" t="s">
        <v>3498</v>
      </c>
      <c r="K581" s="437" t="s">
        <v>3499</v>
      </c>
      <c r="L581" s="436" t="s">
        <v>3500</v>
      </c>
      <c r="M581" s="436" t="s">
        <v>4809</v>
      </c>
      <c r="N581" s="436" t="s">
        <v>3502</v>
      </c>
      <c r="O581" s="438">
        <v>119000</v>
      </c>
      <c r="P581" s="438">
        <v>80920</v>
      </c>
      <c r="Q581" s="438">
        <v>1</v>
      </c>
      <c r="R581" s="438">
        <v>0</v>
      </c>
      <c r="S581" s="438">
        <v>0</v>
      </c>
      <c r="T581" s="438">
        <v>0</v>
      </c>
      <c r="U581" s="438">
        <v>0</v>
      </c>
      <c r="V581" s="438">
        <v>0</v>
      </c>
      <c r="W581" s="438">
        <v>32</v>
      </c>
      <c r="X581" s="438">
        <v>0</v>
      </c>
      <c r="Y581" s="438">
        <v>5000</v>
      </c>
      <c r="Z581" s="438">
        <v>0</v>
      </c>
      <c r="AA581" s="438">
        <v>0</v>
      </c>
      <c r="AB581" s="438">
        <v>5700</v>
      </c>
      <c r="AC581" s="438">
        <v>119000</v>
      </c>
      <c r="AD581" s="438">
        <v>80920</v>
      </c>
      <c r="AE581" s="438">
        <v>0</v>
      </c>
      <c r="AF581" s="438">
        <v>10700</v>
      </c>
      <c r="AG581" s="438">
        <v>108300</v>
      </c>
      <c r="AH581" s="438">
        <v>80920</v>
      </c>
      <c r="AI581" s="438">
        <v>24891</v>
      </c>
      <c r="AJ581" s="438">
        <v>2489</v>
      </c>
      <c r="AK581" s="438">
        <v>27380</v>
      </c>
      <c r="AL581" s="414" t="str">
        <f t="shared" si="55"/>
        <v>워커힐 시그니처 양념 본갈비 300g, 8개</v>
      </c>
      <c r="AM581" s="395">
        <f t="shared" si="56"/>
        <v>46065</v>
      </c>
      <c r="AN581" s="396">
        <f t="shared" si="57"/>
        <v>1</v>
      </c>
      <c r="AO581" s="109">
        <f t="shared" si="58"/>
        <v>119000</v>
      </c>
      <c r="AP581" s="109">
        <f t="shared" si="59"/>
        <v>108181.81818181818</v>
      </c>
      <c r="AQ581" s="397">
        <f t="shared" si="54"/>
        <v>108181.81818181818</v>
      </c>
    </row>
    <row r="582" spans="1:43" ht="24">
      <c r="A582" s="436" t="s">
        <v>5022</v>
      </c>
      <c r="B582" s="436" t="s">
        <v>3490</v>
      </c>
      <c r="C582" s="437" t="s">
        <v>3491</v>
      </c>
      <c r="D582" s="436" t="s">
        <v>4985</v>
      </c>
      <c r="E582" s="437" t="s">
        <v>3564</v>
      </c>
      <c r="F582" s="436" t="s">
        <v>3494</v>
      </c>
      <c r="G582" s="436" t="s">
        <v>3495</v>
      </c>
      <c r="H582" s="437" t="s">
        <v>3496</v>
      </c>
      <c r="I582" s="436" t="s">
        <v>3497</v>
      </c>
      <c r="J582" s="437" t="s">
        <v>3498</v>
      </c>
      <c r="K582" s="437" t="s">
        <v>3499</v>
      </c>
      <c r="L582" s="436" t="s">
        <v>3500</v>
      </c>
      <c r="M582" s="436" t="s">
        <v>4809</v>
      </c>
      <c r="N582" s="436" t="s">
        <v>3502</v>
      </c>
      <c r="O582" s="438">
        <v>119000</v>
      </c>
      <c r="P582" s="438">
        <v>80920</v>
      </c>
      <c r="Q582" s="438">
        <v>1</v>
      </c>
      <c r="R582" s="438">
        <v>0</v>
      </c>
      <c r="S582" s="438">
        <v>0</v>
      </c>
      <c r="T582" s="438">
        <v>0</v>
      </c>
      <c r="U582" s="438">
        <v>0</v>
      </c>
      <c r="V582" s="438">
        <v>0</v>
      </c>
      <c r="W582" s="438">
        <v>32</v>
      </c>
      <c r="X582" s="438">
        <v>0</v>
      </c>
      <c r="Y582" s="438">
        <v>0</v>
      </c>
      <c r="Z582" s="438">
        <v>0</v>
      </c>
      <c r="AA582" s="438">
        <v>0</v>
      </c>
      <c r="AB582" s="438">
        <v>0</v>
      </c>
      <c r="AC582" s="438">
        <v>119000</v>
      </c>
      <c r="AD582" s="438">
        <v>80920</v>
      </c>
      <c r="AE582" s="438">
        <v>0</v>
      </c>
      <c r="AF582" s="438">
        <v>0</v>
      </c>
      <c r="AG582" s="438">
        <v>119000</v>
      </c>
      <c r="AH582" s="438">
        <v>80920</v>
      </c>
      <c r="AI582" s="438">
        <v>34618</v>
      </c>
      <c r="AJ582" s="438">
        <v>3462</v>
      </c>
      <c r="AK582" s="438">
        <v>38080</v>
      </c>
      <c r="AL582" s="414" t="str">
        <f t="shared" si="55"/>
        <v>워커힐 시그니처 양념 본갈비 300g, 8개</v>
      </c>
      <c r="AM582" s="395">
        <f t="shared" si="56"/>
        <v>46065</v>
      </c>
      <c r="AN582" s="396">
        <f t="shared" si="57"/>
        <v>1</v>
      </c>
      <c r="AO582" s="109">
        <f t="shared" si="58"/>
        <v>119000</v>
      </c>
      <c r="AP582" s="109">
        <f t="shared" si="59"/>
        <v>108181.81818181818</v>
      </c>
      <c r="AQ582" s="397">
        <f t="shared" si="54"/>
        <v>108181.81818181818</v>
      </c>
    </row>
    <row r="583" spans="1:43" ht="24">
      <c r="A583" s="436" t="s">
        <v>5024</v>
      </c>
      <c r="B583" s="436" t="s">
        <v>3490</v>
      </c>
      <c r="C583" s="437" t="s">
        <v>3491</v>
      </c>
      <c r="D583" s="436" t="s">
        <v>5157</v>
      </c>
      <c r="E583" s="437" t="s">
        <v>3668</v>
      </c>
      <c r="F583" s="436" t="s">
        <v>3494</v>
      </c>
      <c r="G583" s="436" t="s">
        <v>3495</v>
      </c>
      <c r="H583" s="437" t="s">
        <v>3496</v>
      </c>
      <c r="I583" s="436" t="s">
        <v>3497</v>
      </c>
      <c r="J583" s="437" t="s">
        <v>3498</v>
      </c>
      <c r="K583" s="437" t="s">
        <v>3499</v>
      </c>
      <c r="L583" s="436" t="s">
        <v>3500</v>
      </c>
      <c r="M583" s="436" t="s">
        <v>4809</v>
      </c>
      <c r="N583" s="436" t="s">
        <v>3502</v>
      </c>
      <c r="O583" s="438">
        <v>119000</v>
      </c>
      <c r="P583" s="438">
        <v>80920</v>
      </c>
      <c r="Q583" s="438">
        <v>1</v>
      </c>
      <c r="R583" s="438">
        <v>0</v>
      </c>
      <c r="S583" s="438">
        <v>0</v>
      </c>
      <c r="T583" s="438">
        <v>0</v>
      </c>
      <c r="U583" s="438">
        <v>0</v>
      </c>
      <c r="V583" s="438">
        <v>0</v>
      </c>
      <c r="W583" s="438">
        <v>32</v>
      </c>
      <c r="X583" s="438">
        <v>0</v>
      </c>
      <c r="Y583" s="438">
        <v>0</v>
      </c>
      <c r="Z583" s="438">
        <v>0</v>
      </c>
      <c r="AA583" s="438">
        <v>0</v>
      </c>
      <c r="AB583" s="438">
        <v>0</v>
      </c>
      <c r="AC583" s="438">
        <v>119000</v>
      </c>
      <c r="AD583" s="438">
        <v>80920</v>
      </c>
      <c r="AE583" s="438">
        <v>0</v>
      </c>
      <c r="AF583" s="438">
        <v>0</v>
      </c>
      <c r="AG583" s="438">
        <v>119000</v>
      </c>
      <c r="AH583" s="438">
        <v>80920</v>
      </c>
      <c r="AI583" s="438">
        <v>34618</v>
      </c>
      <c r="AJ583" s="438">
        <v>3462</v>
      </c>
      <c r="AK583" s="438">
        <v>38080</v>
      </c>
      <c r="AL583" s="414" t="str">
        <f t="shared" si="55"/>
        <v>워커힐 시그니처 양념 본갈비 300g, 8개</v>
      </c>
      <c r="AM583" s="395">
        <f t="shared" si="56"/>
        <v>46065</v>
      </c>
      <c r="AN583" s="396">
        <f t="shared" si="57"/>
        <v>1</v>
      </c>
      <c r="AO583" s="109">
        <f t="shared" si="58"/>
        <v>119000</v>
      </c>
      <c r="AP583" s="109">
        <f t="shared" si="59"/>
        <v>108181.81818181818</v>
      </c>
      <c r="AQ583" s="397">
        <f t="shared" si="54"/>
        <v>108181.81818181818</v>
      </c>
    </row>
    <row r="584" spans="1:43" ht="24">
      <c r="A584" s="436" t="s">
        <v>5027</v>
      </c>
      <c r="B584" s="436" t="s">
        <v>3490</v>
      </c>
      <c r="C584" s="437" t="s">
        <v>3491</v>
      </c>
      <c r="D584" s="436" t="s">
        <v>5072</v>
      </c>
      <c r="E584" s="437" t="s">
        <v>4943</v>
      </c>
      <c r="F584" s="436" t="s">
        <v>3494</v>
      </c>
      <c r="G584" s="436" t="s">
        <v>3495</v>
      </c>
      <c r="H584" s="437" t="s">
        <v>3496</v>
      </c>
      <c r="I584" s="436" t="s">
        <v>3497</v>
      </c>
      <c r="J584" s="437" t="s">
        <v>3498</v>
      </c>
      <c r="K584" s="437" t="s">
        <v>3499</v>
      </c>
      <c r="L584" s="436" t="s">
        <v>3500</v>
      </c>
      <c r="M584" s="436" t="s">
        <v>4809</v>
      </c>
      <c r="N584" s="436" t="s">
        <v>3502</v>
      </c>
      <c r="O584" s="438">
        <v>119000</v>
      </c>
      <c r="P584" s="438">
        <v>80920</v>
      </c>
      <c r="Q584" s="438">
        <v>1</v>
      </c>
      <c r="R584" s="438">
        <v>0</v>
      </c>
      <c r="S584" s="438">
        <v>0</v>
      </c>
      <c r="T584" s="438">
        <v>0</v>
      </c>
      <c r="U584" s="438">
        <v>0</v>
      </c>
      <c r="V584" s="438">
        <v>0</v>
      </c>
      <c r="W584" s="438">
        <v>32</v>
      </c>
      <c r="X584" s="438">
        <v>0</v>
      </c>
      <c r="Y584" s="438">
        <v>0</v>
      </c>
      <c r="Z584" s="438">
        <v>0</v>
      </c>
      <c r="AA584" s="438">
        <v>0</v>
      </c>
      <c r="AB584" s="438">
        <v>0</v>
      </c>
      <c r="AC584" s="438">
        <v>119000</v>
      </c>
      <c r="AD584" s="438">
        <v>80920</v>
      </c>
      <c r="AE584" s="438">
        <v>0</v>
      </c>
      <c r="AF584" s="438">
        <v>0</v>
      </c>
      <c r="AG584" s="438">
        <v>119000</v>
      </c>
      <c r="AH584" s="438">
        <v>80920</v>
      </c>
      <c r="AI584" s="438">
        <v>34618</v>
      </c>
      <c r="AJ584" s="438">
        <v>3462</v>
      </c>
      <c r="AK584" s="438">
        <v>38080</v>
      </c>
      <c r="AL584" s="414" t="str">
        <f t="shared" si="55"/>
        <v>워커힐 시그니처 양념 본갈비 300g, 8개</v>
      </c>
      <c r="AM584" s="395">
        <f t="shared" si="56"/>
        <v>46065</v>
      </c>
      <c r="AN584" s="396">
        <f t="shared" si="57"/>
        <v>1</v>
      </c>
      <c r="AO584" s="109">
        <f t="shared" si="58"/>
        <v>119000</v>
      </c>
      <c r="AP584" s="109">
        <f t="shared" si="59"/>
        <v>108181.81818181818</v>
      </c>
      <c r="AQ584" s="397">
        <f t="shared" si="54"/>
        <v>108181.81818181818</v>
      </c>
    </row>
    <row r="585" spans="1:43" ht="24">
      <c r="A585" s="436" t="s">
        <v>5029</v>
      </c>
      <c r="B585" s="436" t="s">
        <v>3490</v>
      </c>
      <c r="C585" s="437" t="s">
        <v>3491</v>
      </c>
      <c r="D585" s="436" t="s">
        <v>4992</v>
      </c>
      <c r="E585" s="437" t="s">
        <v>4993</v>
      </c>
      <c r="F585" s="436" t="s">
        <v>3494</v>
      </c>
      <c r="G585" s="436" t="s">
        <v>3495</v>
      </c>
      <c r="H585" s="437" t="s">
        <v>3496</v>
      </c>
      <c r="I585" s="436" t="s">
        <v>3497</v>
      </c>
      <c r="J585" s="437" t="s">
        <v>3498</v>
      </c>
      <c r="K585" s="437" t="s">
        <v>3548</v>
      </c>
      <c r="L585" s="436" t="s">
        <v>3500</v>
      </c>
      <c r="M585" s="436" t="s">
        <v>4809</v>
      </c>
      <c r="N585" s="436" t="s">
        <v>3502</v>
      </c>
      <c r="O585" s="438">
        <v>119000</v>
      </c>
      <c r="P585" s="438">
        <v>80920</v>
      </c>
      <c r="Q585" s="438">
        <v>1</v>
      </c>
      <c r="R585" s="438">
        <v>0</v>
      </c>
      <c r="S585" s="438">
        <v>0</v>
      </c>
      <c r="T585" s="438">
        <v>0</v>
      </c>
      <c r="U585" s="438">
        <v>0</v>
      </c>
      <c r="V585" s="438">
        <v>0</v>
      </c>
      <c r="W585" s="438">
        <v>32</v>
      </c>
      <c r="X585" s="438">
        <v>0</v>
      </c>
      <c r="Y585" s="438">
        <v>0</v>
      </c>
      <c r="Z585" s="438">
        <v>0</v>
      </c>
      <c r="AA585" s="438">
        <v>0</v>
      </c>
      <c r="AB585" s="438">
        <v>0</v>
      </c>
      <c r="AC585" s="438">
        <v>119000</v>
      </c>
      <c r="AD585" s="438">
        <v>80920</v>
      </c>
      <c r="AE585" s="438">
        <v>0</v>
      </c>
      <c r="AF585" s="438">
        <v>0</v>
      </c>
      <c r="AG585" s="438">
        <v>119000</v>
      </c>
      <c r="AH585" s="438">
        <v>80920</v>
      </c>
      <c r="AI585" s="438">
        <v>34618</v>
      </c>
      <c r="AJ585" s="438">
        <v>3462</v>
      </c>
      <c r="AK585" s="438">
        <v>38080</v>
      </c>
      <c r="AL585" s="414" t="str">
        <f t="shared" si="55"/>
        <v>워커힐 시그니처 양념 본갈비 300g, 8개</v>
      </c>
      <c r="AM585" s="395">
        <f t="shared" si="56"/>
        <v>46065</v>
      </c>
      <c r="AN585" s="396">
        <f t="shared" si="57"/>
        <v>1</v>
      </c>
      <c r="AO585" s="109">
        <f t="shared" si="58"/>
        <v>119000</v>
      </c>
      <c r="AP585" s="109">
        <f t="shared" si="59"/>
        <v>108181.81818181818</v>
      </c>
      <c r="AQ585" s="397">
        <f t="shared" si="54"/>
        <v>108181.81818181818</v>
      </c>
    </row>
    <row r="586" spans="1:43" ht="24">
      <c r="A586" s="436" t="s">
        <v>5032</v>
      </c>
      <c r="B586" s="436" t="s">
        <v>3490</v>
      </c>
      <c r="C586" s="437" t="s">
        <v>3491</v>
      </c>
      <c r="D586" s="436" t="s">
        <v>5076</v>
      </c>
      <c r="E586" s="437" t="s">
        <v>3757</v>
      </c>
      <c r="F586" s="436" t="s">
        <v>3494</v>
      </c>
      <c r="G586" s="436" t="s">
        <v>3495</v>
      </c>
      <c r="H586" s="437" t="s">
        <v>3496</v>
      </c>
      <c r="I586" s="436" t="s">
        <v>3497</v>
      </c>
      <c r="J586" s="437" t="s">
        <v>3498</v>
      </c>
      <c r="K586" s="437" t="s">
        <v>3499</v>
      </c>
      <c r="L586" s="436" t="s">
        <v>3500</v>
      </c>
      <c r="M586" s="436" t="s">
        <v>4809</v>
      </c>
      <c r="N586" s="436" t="s">
        <v>3502</v>
      </c>
      <c r="O586" s="438">
        <v>119000</v>
      </c>
      <c r="P586" s="438">
        <v>80920</v>
      </c>
      <c r="Q586" s="438">
        <v>1</v>
      </c>
      <c r="R586" s="438">
        <v>0</v>
      </c>
      <c r="S586" s="438">
        <v>0</v>
      </c>
      <c r="T586" s="438">
        <v>0</v>
      </c>
      <c r="U586" s="438">
        <v>0</v>
      </c>
      <c r="V586" s="438">
        <v>0</v>
      </c>
      <c r="W586" s="438">
        <v>32</v>
      </c>
      <c r="X586" s="438">
        <v>0</v>
      </c>
      <c r="Y586" s="438">
        <v>0</v>
      </c>
      <c r="Z586" s="438">
        <v>0</v>
      </c>
      <c r="AA586" s="438">
        <v>0</v>
      </c>
      <c r="AB586" s="438">
        <v>5950</v>
      </c>
      <c r="AC586" s="438">
        <v>119000</v>
      </c>
      <c r="AD586" s="438">
        <v>80920</v>
      </c>
      <c r="AE586" s="438">
        <v>0</v>
      </c>
      <c r="AF586" s="438">
        <v>5950</v>
      </c>
      <c r="AG586" s="438">
        <v>113050</v>
      </c>
      <c r="AH586" s="438">
        <v>80920</v>
      </c>
      <c r="AI586" s="438">
        <v>29209</v>
      </c>
      <c r="AJ586" s="438">
        <v>2921</v>
      </c>
      <c r="AK586" s="438">
        <v>32130</v>
      </c>
      <c r="AL586" s="414" t="str">
        <f t="shared" si="55"/>
        <v>워커힐 시그니처 양념 본갈비 300g, 8개</v>
      </c>
      <c r="AM586" s="395">
        <f t="shared" si="56"/>
        <v>46065</v>
      </c>
      <c r="AN586" s="396">
        <f t="shared" si="57"/>
        <v>1</v>
      </c>
      <c r="AO586" s="109">
        <f t="shared" si="58"/>
        <v>119000</v>
      </c>
      <c r="AP586" s="109">
        <f t="shared" si="59"/>
        <v>108181.81818181818</v>
      </c>
      <c r="AQ586" s="397">
        <f t="shared" si="54"/>
        <v>108181.81818181818</v>
      </c>
    </row>
    <row r="587" spans="1:43" ht="24">
      <c r="A587" s="436" t="s">
        <v>5035</v>
      </c>
      <c r="B587" s="436" t="s">
        <v>3490</v>
      </c>
      <c r="C587" s="437" t="s">
        <v>3491</v>
      </c>
      <c r="D587" s="436" t="s">
        <v>4995</v>
      </c>
      <c r="E587" s="437" t="s">
        <v>4996</v>
      </c>
      <c r="F587" s="436" t="s">
        <v>3494</v>
      </c>
      <c r="G587" s="436" t="s">
        <v>3495</v>
      </c>
      <c r="H587" s="437" t="s">
        <v>3496</v>
      </c>
      <c r="I587" s="436" t="s">
        <v>3497</v>
      </c>
      <c r="J587" s="437" t="s">
        <v>3498</v>
      </c>
      <c r="K587" s="437" t="s">
        <v>3499</v>
      </c>
      <c r="L587" s="436" t="s">
        <v>3500</v>
      </c>
      <c r="M587" s="436" t="s">
        <v>4809</v>
      </c>
      <c r="N587" s="436" t="s">
        <v>3502</v>
      </c>
      <c r="O587" s="438">
        <v>119000</v>
      </c>
      <c r="P587" s="438">
        <v>80920</v>
      </c>
      <c r="Q587" s="438">
        <v>1</v>
      </c>
      <c r="R587" s="438">
        <v>0</v>
      </c>
      <c r="S587" s="438">
        <v>0</v>
      </c>
      <c r="T587" s="438">
        <v>0</v>
      </c>
      <c r="U587" s="438">
        <v>0</v>
      </c>
      <c r="V587" s="438">
        <v>0</v>
      </c>
      <c r="W587" s="438">
        <v>32</v>
      </c>
      <c r="X587" s="438">
        <v>0</v>
      </c>
      <c r="Y587" s="438">
        <v>0</v>
      </c>
      <c r="Z587" s="438">
        <v>0</v>
      </c>
      <c r="AA587" s="438">
        <v>0</v>
      </c>
      <c r="AB587" s="438">
        <v>0</v>
      </c>
      <c r="AC587" s="438">
        <v>119000</v>
      </c>
      <c r="AD587" s="438">
        <v>80920</v>
      </c>
      <c r="AE587" s="438">
        <v>0</v>
      </c>
      <c r="AF587" s="438">
        <v>0</v>
      </c>
      <c r="AG587" s="438">
        <v>119000</v>
      </c>
      <c r="AH587" s="438">
        <v>80920</v>
      </c>
      <c r="AI587" s="438">
        <v>34618</v>
      </c>
      <c r="AJ587" s="438">
        <v>3462</v>
      </c>
      <c r="AK587" s="438">
        <v>38080</v>
      </c>
      <c r="AL587" s="414" t="str">
        <f t="shared" si="55"/>
        <v>워커힐 시그니처 양념 본갈비 300g, 8개</v>
      </c>
      <c r="AM587" s="395">
        <f t="shared" si="56"/>
        <v>46065</v>
      </c>
      <c r="AN587" s="396">
        <f t="shared" si="57"/>
        <v>1</v>
      </c>
      <c r="AO587" s="109">
        <f t="shared" si="58"/>
        <v>119000</v>
      </c>
      <c r="AP587" s="109">
        <f t="shared" si="59"/>
        <v>108181.81818181818</v>
      </c>
      <c r="AQ587" s="397">
        <f t="shared" si="54"/>
        <v>108181.81818181818</v>
      </c>
    </row>
    <row r="588" spans="1:43" ht="24">
      <c r="A588" s="436" t="s">
        <v>5037</v>
      </c>
      <c r="B588" s="436" t="s">
        <v>3490</v>
      </c>
      <c r="C588" s="437" t="s">
        <v>3491</v>
      </c>
      <c r="D588" s="436" t="s">
        <v>5434</v>
      </c>
      <c r="E588" s="437" t="s">
        <v>5435</v>
      </c>
      <c r="F588" s="436" t="s">
        <v>3494</v>
      </c>
      <c r="G588" s="436" t="s">
        <v>3495</v>
      </c>
      <c r="H588" s="437" t="s">
        <v>3496</v>
      </c>
      <c r="I588" s="436" t="s">
        <v>3497</v>
      </c>
      <c r="J588" s="437" t="s">
        <v>3498</v>
      </c>
      <c r="K588" s="437" t="s">
        <v>3499</v>
      </c>
      <c r="L588" s="436" t="s">
        <v>3500</v>
      </c>
      <c r="M588" s="436" t="s">
        <v>4809</v>
      </c>
      <c r="N588" s="436" t="s">
        <v>3502</v>
      </c>
      <c r="O588" s="438">
        <v>119000</v>
      </c>
      <c r="P588" s="438">
        <v>80920</v>
      </c>
      <c r="Q588" s="438">
        <v>1</v>
      </c>
      <c r="R588" s="438">
        <v>0</v>
      </c>
      <c r="S588" s="438">
        <v>0</v>
      </c>
      <c r="T588" s="438">
        <v>0</v>
      </c>
      <c r="U588" s="438">
        <v>0</v>
      </c>
      <c r="V588" s="438">
        <v>0</v>
      </c>
      <c r="W588" s="438">
        <v>32</v>
      </c>
      <c r="X588" s="438">
        <v>0</v>
      </c>
      <c r="Y588" s="438">
        <v>0</v>
      </c>
      <c r="Z588" s="438">
        <v>0</v>
      </c>
      <c r="AA588" s="438">
        <v>0</v>
      </c>
      <c r="AB588" s="438">
        <v>0</v>
      </c>
      <c r="AC588" s="438">
        <v>119000</v>
      </c>
      <c r="AD588" s="438">
        <v>80920</v>
      </c>
      <c r="AE588" s="438">
        <v>0</v>
      </c>
      <c r="AF588" s="438">
        <v>0</v>
      </c>
      <c r="AG588" s="438">
        <v>119000</v>
      </c>
      <c r="AH588" s="438">
        <v>80920</v>
      </c>
      <c r="AI588" s="438">
        <v>34618</v>
      </c>
      <c r="AJ588" s="438">
        <v>3462</v>
      </c>
      <c r="AK588" s="438">
        <v>38080</v>
      </c>
      <c r="AL588" s="414" t="str">
        <f t="shared" si="55"/>
        <v>워커힐 시그니처 양념 본갈비 300g, 8개</v>
      </c>
      <c r="AM588" s="395">
        <f t="shared" si="56"/>
        <v>46065</v>
      </c>
      <c r="AN588" s="396">
        <f t="shared" si="57"/>
        <v>1</v>
      </c>
      <c r="AO588" s="109">
        <f t="shared" si="58"/>
        <v>119000</v>
      </c>
      <c r="AP588" s="109">
        <f t="shared" si="59"/>
        <v>108181.81818181818</v>
      </c>
      <c r="AQ588" s="397">
        <f t="shared" si="54"/>
        <v>108181.81818181818</v>
      </c>
    </row>
    <row r="589" spans="1:43" ht="24">
      <c r="A589" s="436" t="s">
        <v>5039</v>
      </c>
      <c r="B589" s="436" t="s">
        <v>3490</v>
      </c>
      <c r="C589" s="437" t="s">
        <v>3491</v>
      </c>
      <c r="D589" s="436" t="s">
        <v>5086</v>
      </c>
      <c r="E589" s="437" t="s">
        <v>5087</v>
      </c>
      <c r="F589" s="436" t="s">
        <v>3494</v>
      </c>
      <c r="G589" s="436" t="s">
        <v>3495</v>
      </c>
      <c r="H589" s="437" t="s">
        <v>3496</v>
      </c>
      <c r="I589" s="436" t="s">
        <v>3497</v>
      </c>
      <c r="J589" s="437" t="s">
        <v>3498</v>
      </c>
      <c r="K589" s="437" t="s">
        <v>3499</v>
      </c>
      <c r="L589" s="436" t="s">
        <v>3500</v>
      </c>
      <c r="M589" s="436" t="s">
        <v>4809</v>
      </c>
      <c r="N589" s="436" t="s">
        <v>3502</v>
      </c>
      <c r="O589" s="438">
        <v>119000</v>
      </c>
      <c r="P589" s="438">
        <v>80920</v>
      </c>
      <c r="Q589" s="438">
        <v>1</v>
      </c>
      <c r="R589" s="438">
        <v>0</v>
      </c>
      <c r="S589" s="438">
        <v>0</v>
      </c>
      <c r="T589" s="438">
        <v>0</v>
      </c>
      <c r="U589" s="438">
        <v>0</v>
      </c>
      <c r="V589" s="438">
        <v>0</v>
      </c>
      <c r="W589" s="438">
        <v>32</v>
      </c>
      <c r="X589" s="438">
        <v>0</v>
      </c>
      <c r="Y589" s="438">
        <v>0</v>
      </c>
      <c r="Z589" s="438">
        <v>0</v>
      </c>
      <c r="AA589" s="438">
        <v>0</v>
      </c>
      <c r="AB589" s="438">
        <v>0</v>
      </c>
      <c r="AC589" s="438">
        <v>119000</v>
      </c>
      <c r="AD589" s="438">
        <v>80920</v>
      </c>
      <c r="AE589" s="438">
        <v>0</v>
      </c>
      <c r="AF589" s="438">
        <v>0</v>
      </c>
      <c r="AG589" s="438">
        <v>119000</v>
      </c>
      <c r="AH589" s="438">
        <v>80920</v>
      </c>
      <c r="AI589" s="438">
        <v>34618</v>
      </c>
      <c r="AJ589" s="438">
        <v>3462</v>
      </c>
      <c r="AK589" s="438">
        <v>38080</v>
      </c>
      <c r="AL589" s="414" t="str">
        <f t="shared" si="55"/>
        <v>워커힐 시그니처 양념 본갈비 300g, 8개</v>
      </c>
      <c r="AM589" s="395">
        <f t="shared" si="56"/>
        <v>46065</v>
      </c>
      <c r="AN589" s="396">
        <f t="shared" si="57"/>
        <v>1</v>
      </c>
      <c r="AO589" s="109">
        <f t="shared" si="58"/>
        <v>119000</v>
      </c>
      <c r="AP589" s="109">
        <f t="shared" si="59"/>
        <v>108181.81818181818</v>
      </c>
      <c r="AQ589" s="397">
        <f t="shared" si="54"/>
        <v>108181.81818181818</v>
      </c>
    </row>
    <row r="590" spans="1:43" ht="24">
      <c r="A590" s="436" t="s">
        <v>5042</v>
      </c>
      <c r="B590" s="436" t="s">
        <v>3490</v>
      </c>
      <c r="C590" s="437" t="s">
        <v>3491</v>
      </c>
      <c r="D590" s="436" t="s">
        <v>5089</v>
      </c>
      <c r="E590" s="437" t="s">
        <v>5090</v>
      </c>
      <c r="F590" s="436" t="s">
        <v>3494</v>
      </c>
      <c r="G590" s="436" t="s">
        <v>3495</v>
      </c>
      <c r="H590" s="437" t="s">
        <v>3496</v>
      </c>
      <c r="I590" s="436" t="s">
        <v>3497</v>
      </c>
      <c r="J590" s="437" t="s">
        <v>3498</v>
      </c>
      <c r="K590" s="437" t="s">
        <v>3548</v>
      </c>
      <c r="L590" s="436" t="s">
        <v>3500</v>
      </c>
      <c r="M590" s="436" t="s">
        <v>4809</v>
      </c>
      <c r="N590" s="436" t="s">
        <v>3502</v>
      </c>
      <c r="O590" s="438">
        <v>119000</v>
      </c>
      <c r="P590" s="438">
        <v>80920</v>
      </c>
      <c r="Q590" s="438">
        <v>1</v>
      </c>
      <c r="R590" s="438">
        <v>0</v>
      </c>
      <c r="S590" s="438">
        <v>0</v>
      </c>
      <c r="T590" s="438">
        <v>0</v>
      </c>
      <c r="U590" s="438">
        <v>0</v>
      </c>
      <c r="V590" s="438">
        <v>0</v>
      </c>
      <c r="W590" s="438">
        <v>32</v>
      </c>
      <c r="X590" s="438">
        <v>0</v>
      </c>
      <c r="Y590" s="438">
        <v>0</v>
      </c>
      <c r="Z590" s="438">
        <v>0</v>
      </c>
      <c r="AA590" s="438">
        <v>0</v>
      </c>
      <c r="AB590" s="438">
        <v>0</v>
      </c>
      <c r="AC590" s="438">
        <v>119000</v>
      </c>
      <c r="AD590" s="438">
        <v>80920</v>
      </c>
      <c r="AE590" s="438">
        <v>0</v>
      </c>
      <c r="AF590" s="438">
        <v>0</v>
      </c>
      <c r="AG590" s="438">
        <v>119000</v>
      </c>
      <c r="AH590" s="438">
        <v>80920</v>
      </c>
      <c r="AI590" s="438">
        <v>34618</v>
      </c>
      <c r="AJ590" s="438">
        <v>3462</v>
      </c>
      <c r="AK590" s="438">
        <v>38080</v>
      </c>
      <c r="AL590" s="414" t="str">
        <f t="shared" si="55"/>
        <v>워커힐 시그니처 양념 본갈비 300g, 8개</v>
      </c>
      <c r="AM590" s="395">
        <f t="shared" si="56"/>
        <v>46065</v>
      </c>
      <c r="AN590" s="396">
        <f t="shared" si="57"/>
        <v>1</v>
      </c>
      <c r="AO590" s="109">
        <f t="shared" si="58"/>
        <v>119000</v>
      </c>
      <c r="AP590" s="109">
        <f t="shared" si="59"/>
        <v>108181.81818181818</v>
      </c>
      <c r="AQ590" s="397">
        <f t="shared" si="54"/>
        <v>108181.81818181818</v>
      </c>
    </row>
    <row r="591" spans="1:43" ht="24">
      <c r="A591" s="436" t="s">
        <v>5045</v>
      </c>
      <c r="B591" s="436" t="s">
        <v>3490</v>
      </c>
      <c r="C591" s="437" t="s">
        <v>3491</v>
      </c>
      <c r="D591" s="436" t="s">
        <v>5097</v>
      </c>
      <c r="E591" s="437" t="s">
        <v>4128</v>
      </c>
      <c r="F591" s="436" t="s">
        <v>3494</v>
      </c>
      <c r="G591" s="436" t="s">
        <v>3495</v>
      </c>
      <c r="H591" s="437" t="s">
        <v>3496</v>
      </c>
      <c r="I591" s="436" t="s">
        <v>3497</v>
      </c>
      <c r="J591" s="437" t="s">
        <v>3498</v>
      </c>
      <c r="K591" s="437" t="s">
        <v>3499</v>
      </c>
      <c r="L591" s="436" t="s">
        <v>3500</v>
      </c>
      <c r="M591" s="436" t="s">
        <v>4809</v>
      </c>
      <c r="N591" s="436" t="s">
        <v>3502</v>
      </c>
      <c r="O591" s="438">
        <v>119000</v>
      </c>
      <c r="P591" s="438">
        <v>80920</v>
      </c>
      <c r="Q591" s="438">
        <v>1</v>
      </c>
      <c r="R591" s="438">
        <v>0</v>
      </c>
      <c r="S591" s="438">
        <v>0</v>
      </c>
      <c r="T591" s="438">
        <v>0</v>
      </c>
      <c r="U591" s="438">
        <v>0</v>
      </c>
      <c r="V591" s="438">
        <v>0</v>
      </c>
      <c r="W591" s="438">
        <v>32</v>
      </c>
      <c r="X591" s="438">
        <v>0</v>
      </c>
      <c r="Y591" s="438">
        <v>0</v>
      </c>
      <c r="Z591" s="438">
        <v>0</v>
      </c>
      <c r="AA591" s="438">
        <v>0</v>
      </c>
      <c r="AB591" s="438">
        <v>0</v>
      </c>
      <c r="AC591" s="438">
        <v>119000</v>
      </c>
      <c r="AD591" s="438">
        <v>80920</v>
      </c>
      <c r="AE591" s="438">
        <v>0</v>
      </c>
      <c r="AF591" s="438">
        <v>0</v>
      </c>
      <c r="AG591" s="438">
        <v>119000</v>
      </c>
      <c r="AH591" s="438">
        <v>80920</v>
      </c>
      <c r="AI591" s="438">
        <v>34618</v>
      </c>
      <c r="AJ591" s="438">
        <v>3462</v>
      </c>
      <c r="AK591" s="438">
        <v>38080</v>
      </c>
      <c r="AL591" s="414" t="str">
        <f t="shared" si="55"/>
        <v>워커힐 시그니처 양념 본갈비 300g, 8개</v>
      </c>
      <c r="AM591" s="395">
        <f t="shared" si="56"/>
        <v>46065</v>
      </c>
      <c r="AN591" s="396">
        <f t="shared" si="57"/>
        <v>1</v>
      </c>
      <c r="AO591" s="109">
        <f t="shared" si="58"/>
        <v>119000</v>
      </c>
      <c r="AP591" s="109">
        <f t="shared" si="59"/>
        <v>108181.81818181818</v>
      </c>
      <c r="AQ591" s="397">
        <f t="shared" si="54"/>
        <v>108181.81818181818</v>
      </c>
    </row>
    <row r="592" spans="1:43" ht="24">
      <c r="A592" s="436" t="s">
        <v>5048</v>
      </c>
      <c r="B592" s="436" t="s">
        <v>3490</v>
      </c>
      <c r="C592" s="437" t="s">
        <v>3491</v>
      </c>
      <c r="D592" s="436" t="s">
        <v>5004</v>
      </c>
      <c r="E592" s="437" t="s">
        <v>3493</v>
      </c>
      <c r="F592" s="436" t="s">
        <v>3494</v>
      </c>
      <c r="G592" s="436" t="s">
        <v>3495</v>
      </c>
      <c r="H592" s="437" t="s">
        <v>3496</v>
      </c>
      <c r="I592" s="436" t="s">
        <v>3497</v>
      </c>
      <c r="J592" s="437" t="s">
        <v>3498</v>
      </c>
      <c r="K592" s="437" t="s">
        <v>3499</v>
      </c>
      <c r="L592" s="436" t="s">
        <v>3500</v>
      </c>
      <c r="M592" s="436" t="s">
        <v>4809</v>
      </c>
      <c r="N592" s="436" t="s">
        <v>3502</v>
      </c>
      <c r="O592" s="438">
        <v>119000</v>
      </c>
      <c r="P592" s="438">
        <v>80920</v>
      </c>
      <c r="Q592" s="438">
        <v>1</v>
      </c>
      <c r="R592" s="438">
        <v>0</v>
      </c>
      <c r="S592" s="438">
        <v>0</v>
      </c>
      <c r="T592" s="438">
        <v>0</v>
      </c>
      <c r="U592" s="438">
        <v>0</v>
      </c>
      <c r="V592" s="438">
        <v>0</v>
      </c>
      <c r="W592" s="438">
        <v>32</v>
      </c>
      <c r="X592" s="438">
        <v>0</v>
      </c>
      <c r="Y592" s="438">
        <v>0</v>
      </c>
      <c r="Z592" s="438">
        <v>0</v>
      </c>
      <c r="AA592" s="438">
        <v>0</v>
      </c>
      <c r="AB592" s="438">
        <v>0</v>
      </c>
      <c r="AC592" s="438">
        <v>119000</v>
      </c>
      <c r="AD592" s="438">
        <v>80920</v>
      </c>
      <c r="AE592" s="438">
        <v>0</v>
      </c>
      <c r="AF592" s="438">
        <v>0</v>
      </c>
      <c r="AG592" s="438">
        <v>119000</v>
      </c>
      <c r="AH592" s="438">
        <v>80920</v>
      </c>
      <c r="AI592" s="438">
        <v>34618</v>
      </c>
      <c r="AJ592" s="438">
        <v>3462</v>
      </c>
      <c r="AK592" s="438">
        <v>38080</v>
      </c>
      <c r="AL592" s="414" t="str">
        <f t="shared" si="55"/>
        <v>워커힐 시그니처 양념 본갈비 300g, 8개</v>
      </c>
      <c r="AM592" s="395">
        <f t="shared" si="56"/>
        <v>46065</v>
      </c>
      <c r="AN592" s="396">
        <f t="shared" si="57"/>
        <v>1</v>
      </c>
      <c r="AO592" s="109">
        <f t="shared" si="58"/>
        <v>119000</v>
      </c>
      <c r="AP592" s="109">
        <f t="shared" si="59"/>
        <v>108181.81818181818</v>
      </c>
      <c r="AQ592" s="397">
        <f t="shared" si="54"/>
        <v>108181.81818181818</v>
      </c>
    </row>
    <row r="593" spans="1:43" ht="24">
      <c r="A593" s="436" t="s">
        <v>5050</v>
      </c>
      <c r="B593" s="436" t="s">
        <v>3490</v>
      </c>
      <c r="C593" s="437" t="s">
        <v>3491</v>
      </c>
      <c r="D593" s="436" t="s">
        <v>5099</v>
      </c>
      <c r="E593" s="437" t="s">
        <v>3829</v>
      </c>
      <c r="F593" s="436" t="s">
        <v>3494</v>
      </c>
      <c r="G593" s="436" t="s">
        <v>3495</v>
      </c>
      <c r="H593" s="437" t="s">
        <v>3496</v>
      </c>
      <c r="I593" s="436" t="s">
        <v>3497</v>
      </c>
      <c r="J593" s="437" t="s">
        <v>3498</v>
      </c>
      <c r="K593" s="437" t="s">
        <v>3499</v>
      </c>
      <c r="L593" s="436" t="s">
        <v>3500</v>
      </c>
      <c r="M593" s="436" t="s">
        <v>4809</v>
      </c>
      <c r="N593" s="436" t="s">
        <v>3502</v>
      </c>
      <c r="O593" s="438">
        <v>119000</v>
      </c>
      <c r="P593" s="438">
        <v>80920</v>
      </c>
      <c r="Q593" s="438">
        <v>1</v>
      </c>
      <c r="R593" s="438">
        <v>0</v>
      </c>
      <c r="S593" s="438">
        <v>0</v>
      </c>
      <c r="T593" s="438">
        <v>0</v>
      </c>
      <c r="U593" s="438">
        <v>0</v>
      </c>
      <c r="V593" s="438">
        <v>0</v>
      </c>
      <c r="W593" s="438">
        <v>32</v>
      </c>
      <c r="X593" s="438">
        <v>0</v>
      </c>
      <c r="Y593" s="438">
        <v>0</v>
      </c>
      <c r="Z593" s="438">
        <v>0</v>
      </c>
      <c r="AA593" s="438">
        <v>0</v>
      </c>
      <c r="AB593" s="438">
        <v>0</v>
      </c>
      <c r="AC593" s="438">
        <v>119000</v>
      </c>
      <c r="AD593" s="438">
        <v>80920</v>
      </c>
      <c r="AE593" s="438">
        <v>0</v>
      </c>
      <c r="AF593" s="438">
        <v>0</v>
      </c>
      <c r="AG593" s="438">
        <v>119000</v>
      </c>
      <c r="AH593" s="438">
        <v>80920</v>
      </c>
      <c r="AI593" s="438">
        <v>34618</v>
      </c>
      <c r="AJ593" s="438">
        <v>3462</v>
      </c>
      <c r="AK593" s="438">
        <v>38080</v>
      </c>
      <c r="AL593" s="414" t="str">
        <f t="shared" si="55"/>
        <v>워커힐 시그니처 양념 본갈비 300g, 8개</v>
      </c>
      <c r="AM593" s="395">
        <f t="shared" si="56"/>
        <v>46065</v>
      </c>
      <c r="AN593" s="396">
        <f t="shared" si="57"/>
        <v>1</v>
      </c>
      <c r="AO593" s="109">
        <f t="shared" si="58"/>
        <v>119000</v>
      </c>
      <c r="AP593" s="109">
        <f t="shared" si="59"/>
        <v>108181.81818181818</v>
      </c>
      <c r="AQ593" s="397">
        <f t="shared" si="54"/>
        <v>108181.81818181818</v>
      </c>
    </row>
    <row r="594" spans="1:43" ht="24">
      <c r="A594" s="436" t="s">
        <v>5052</v>
      </c>
      <c r="B594" s="436" t="s">
        <v>3490</v>
      </c>
      <c r="C594" s="437" t="s">
        <v>3491</v>
      </c>
      <c r="D594" s="436" t="s">
        <v>5101</v>
      </c>
      <c r="E594" s="437" t="s">
        <v>5102</v>
      </c>
      <c r="F594" s="436" t="s">
        <v>3494</v>
      </c>
      <c r="G594" s="436" t="s">
        <v>3495</v>
      </c>
      <c r="H594" s="437" t="s">
        <v>3496</v>
      </c>
      <c r="I594" s="436" t="s">
        <v>3497</v>
      </c>
      <c r="J594" s="437" t="s">
        <v>3498</v>
      </c>
      <c r="K594" s="437" t="s">
        <v>3499</v>
      </c>
      <c r="L594" s="436" t="s">
        <v>3500</v>
      </c>
      <c r="M594" s="436" t="s">
        <v>4809</v>
      </c>
      <c r="N594" s="436" t="s">
        <v>3502</v>
      </c>
      <c r="O594" s="438">
        <v>119000</v>
      </c>
      <c r="P594" s="438">
        <v>80920</v>
      </c>
      <c r="Q594" s="438">
        <v>1</v>
      </c>
      <c r="R594" s="438">
        <v>0</v>
      </c>
      <c r="S594" s="438">
        <v>0</v>
      </c>
      <c r="T594" s="438">
        <v>0</v>
      </c>
      <c r="U594" s="438">
        <v>0</v>
      </c>
      <c r="V594" s="438">
        <v>0</v>
      </c>
      <c r="W594" s="438">
        <v>32</v>
      </c>
      <c r="X594" s="438">
        <v>0</v>
      </c>
      <c r="Y594" s="438">
        <v>0</v>
      </c>
      <c r="Z594" s="438">
        <v>0</v>
      </c>
      <c r="AA594" s="438">
        <v>0</v>
      </c>
      <c r="AB594" s="438">
        <v>0</v>
      </c>
      <c r="AC594" s="438">
        <v>119000</v>
      </c>
      <c r="AD594" s="438">
        <v>80920</v>
      </c>
      <c r="AE594" s="438">
        <v>0</v>
      </c>
      <c r="AF594" s="438">
        <v>0</v>
      </c>
      <c r="AG594" s="438">
        <v>119000</v>
      </c>
      <c r="AH594" s="438">
        <v>80920</v>
      </c>
      <c r="AI594" s="438">
        <v>34618</v>
      </c>
      <c r="AJ594" s="438">
        <v>3462</v>
      </c>
      <c r="AK594" s="438">
        <v>38080</v>
      </c>
      <c r="AL594" s="414" t="str">
        <f t="shared" si="55"/>
        <v>워커힐 시그니처 양념 본갈비 300g, 8개</v>
      </c>
      <c r="AM594" s="395">
        <f t="shared" si="56"/>
        <v>46065</v>
      </c>
      <c r="AN594" s="396">
        <f t="shared" si="57"/>
        <v>1</v>
      </c>
      <c r="AO594" s="109">
        <f t="shared" si="58"/>
        <v>119000</v>
      </c>
      <c r="AP594" s="109">
        <f t="shared" si="59"/>
        <v>108181.81818181818</v>
      </c>
      <c r="AQ594" s="397">
        <f t="shared" si="54"/>
        <v>108181.81818181818</v>
      </c>
    </row>
    <row r="595" spans="1:43" ht="24">
      <c r="A595" s="436" t="s">
        <v>5055</v>
      </c>
      <c r="B595" s="436" t="s">
        <v>3490</v>
      </c>
      <c r="C595" s="437" t="s">
        <v>3491</v>
      </c>
      <c r="D595" s="436" t="s">
        <v>5111</v>
      </c>
      <c r="E595" s="437" t="s">
        <v>3829</v>
      </c>
      <c r="F595" s="436" t="s">
        <v>3494</v>
      </c>
      <c r="G595" s="436" t="s">
        <v>3495</v>
      </c>
      <c r="H595" s="437" t="s">
        <v>3496</v>
      </c>
      <c r="I595" s="436" t="s">
        <v>3497</v>
      </c>
      <c r="J595" s="437" t="s">
        <v>3498</v>
      </c>
      <c r="K595" s="437" t="s">
        <v>3499</v>
      </c>
      <c r="L595" s="436" t="s">
        <v>3500</v>
      </c>
      <c r="M595" s="436" t="s">
        <v>4809</v>
      </c>
      <c r="N595" s="436" t="s">
        <v>3502</v>
      </c>
      <c r="O595" s="438">
        <v>119000</v>
      </c>
      <c r="P595" s="438">
        <v>80920</v>
      </c>
      <c r="Q595" s="438">
        <v>1</v>
      </c>
      <c r="R595" s="438">
        <v>0</v>
      </c>
      <c r="S595" s="438">
        <v>0</v>
      </c>
      <c r="T595" s="438">
        <v>0</v>
      </c>
      <c r="U595" s="438">
        <v>0</v>
      </c>
      <c r="V595" s="438">
        <v>0</v>
      </c>
      <c r="W595" s="438">
        <v>32</v>
      </c>
      <c r="X595" s="438">
        <v>0</v>
      </c>
      <c r="Y595" s="438">
        <v>0</v>
      </c>
      <c r="Z595" s="438">
        <v>0</v>
      </c>
      <c r="AA595" s="438">
        <v>0</v>
      </c>
      <c r="AB595" s="438">
        <v>0</v>
      </c>
      <c r="AC595" s="438">
        <v>119000</v>
      </c>
      <c r="AD595" s="438">
        <v>80920</v>
      </c>
      <c r="AE595" s="438">
        <v>0</v>
      </c>
      <c r="AF595" s="438">
        <v>0</v>
      </c>
      <c r="AG595" s="438">
        <v>119000</v>
      </c>
      <c r="AH595" s="438">
        <v>80920</v>
      </c>
      <c r="AI595" s="438">
        <v>34618</v>
      </c>
      <c r="AJ595" s="438">
        <v>3462</v>
      </c>
      <c r="AK595" s="438">
        <v>38080</v>
      </c>
      <c r="AL595" s="414" t="str">
        <f t="shared" si="55"/>
        <v>워커힐 시그니처 양념 본갈비 300g, 8개</v>
      </c>
      <c r="AM595" s="395">
        <f t="shared" si="56"/>
        <v>46065</v>
      </c>
      <c r="AN595" s="396">
        <f t="shared" si="57"/>
        <v>1</v>
      </c>
      <c r="AO595" s="109">
        <f t="shared" si="58"/>
        <v>119000</v>
      </c>
      <c r="AP595" s="109">
        <f t="shared" si="59"/>
        <v>108181.81818181818</v>
      </c>
      <c r="AQ595" s="397">
        <f t="shared" si="54"/>
        <v>108181.81818181818</v>
      </c>
    </row>
    <row r="596" spans="1:43" ht="24">
      <c r="A596" s="436" t="s">
        <v>5058</v>
      </c>
      <c r="B596" s="436" t="s">
        <v>3490</v>
      </c>
      <c r="C596" s="437" t="s">
        <v>3491</v>
      </c>
      <c r="D596" s="436" t="s">
        <v>5116</v>
      </c>
      <c r="E596" s="437" t="s">
        <v>4077</v>
      </c>
      <c r="F596" s="436" t="s">
        <v>3494</v>
      </c>
      <c r="G596" s="436" t="s">
        <v>3495</v>
      </c>
      <c r="H596" s="437" t="s">
        <v>3496</v>
      </c>
      <c r="I596" s="436" t="s">
        <v>3497</v>
      </c>
      <c r="J596" s="437" t="s">
        <v>3498</v>
      </c>
      <c r="K596" s="437" t="s">
        <v>3548</v>
      </c>
      <c r="L596" s="436" t="s">
        <v>3500</v>
      </c>
      <c r="M596" s="436" t="s">
        <v>4809</v>
      </c>
      <c r="N596" s="436" t="s">
        <v>3502</v>
      </c>
      <c r="O596" s="438">
        <v>119000</v>
      </c>
      <c r="P596" s="438">
        <v>80920</v>
      </c>
      <c r="Q596" s="438">
        <v>1</v>
      </c>
      <c r="R596" s="438">
        <v>0</v>
      </c>
      <c r="S596" s="438">
        <v>0</v>
      </c>
      <c r="T596" s="438">
        <v>0</v>
      </c>
      <c r="U596" s="438">
        <v>0</v>
      </c>
      <c r="V596" s="438">
        <v>0</v>
      </c>
      <c r="W596" s="438">
        <v>32</v>
      </c>
      <c r="X596" s="438">
        <v>0</v>
      </c>
      <c r="Y596" s="438">
        <v>0</v>
      </c>
      <c r="Z596" s="438">
        <v>0</v>
      </c>
      <c r="AA596" s="438">
        <v>0</v>
      </c>
      <c r="AB596" s="438">
        <v>0</v>
      </c>
      <c r="AC596" s="438">
        <v>119000</v>
      </c>
      <c r="AD596" s="438">
        <v>80920</v>
      </c>
      <c r="AE596" s="438">
        <v>0</v>
      </c>
      <c r="AF596" s="438">
        <v>0</v>
      </c>
      <c r="AG596" s="438">
        <v>119000</v>
      </c>
      <c r="AH596" s="438">
        <v>80920</v>
      </c>
      <c r="AI596" s="438">
        <v>34618</v>
      </c>
      <c r="AJ596" s="438">
        <v>3462</v>
      </c>
      <c r="AK596" s="438">
        <v>38080</v>
      </c>
      <c r="AL596" s="414" t="str">
        <f t="shared" si="55"/>
        <v>워커힐 시그니처 양념 본갈비 300g, 8개</v>
      </c>
      <c r="AM596" s="395">
        <f t="shared" si="56"/>
        <v>46065</v>
      </c>
      <c r="AN596" s="396">
        <f t="shared" si="57"/>
        <v>1</v>
      </c>
      <c r="AO596" s="109">
        <f t="shared" si="58"/>
        <v>119000</v>
      </c>
      <c r="AP596" s="109">
        <f t="shared" si="59"/>
        <v>108181.81818181818</v>
      </c>
      <c r="AQ596" s="397">
        <f t="shared" si="54"/>
        <v>108181.81818181818</v>
      </c>
    </row>
    <row r="597" spans="1:43" ht="24">
      <c r="A597" s="436" t="s">
        <v>5060</v>
      </c>
      <c r="B597" s="436" t="s">
        <v>3490</v>
      </c>
      <c r="C597" s="437" t="s">
        <v>3491</v>
      </c>
      <c r="D597" s="436" t="s">
        <v>5121</v>
      </c>
      <c r="E597" s="437" t="s">
        <v>3919</v>
      </c>
      <c r="F597" s="436" t="s">
        <v>3494</v>
      </c>
      <c r="G597" s="436" t="s">
        <v>3495</v>
      </c>
      <c r="H597" s="437" t="s">
        <v>3496</v>
      </c>
      <c r="I597" s="436" t="s">
        <v>3497</v>
      </c>
      <c r="J597" s="437" t="s">
        <v>3498</v>
      </c>
      <c r="K597" s="437" t="s">
        <v>3499</v>
      </c>
      <c r="L597" s="436" t="s">
        <v>3500</v>
      </c>
      <c r="M597" s="436" t="s">
        <v>4809</v>
      </c>
      <c r="N597" s="436" t="s">
        <v>3502</v>
      </c>
      <c r="O597" s="438">
        <v>119000</v>
      </c>
      <c r="P597" s="438">
        <v>80920</v>
      </c>
      <c r="Q597" s="438">
        <v>1</v>
      </c>
      <c r="R597" s="438">
        <v>0</v>
      </c>
      <c r="S597" s="438">
        <v>0</v>
      </c>
      <c r="T597" s="438">
        <v>0</v>
      </c>
      <c r="U597" s="438">
        <v>0</v>
      </c>
      <c r="V597" s="438">
        <v>0</v>
      </c>
      <c r="W597" s="438">
        <v>32</v>
      </c>
      <c r="X597" s="438">
        <v>0</v>
      </c>
      <c r="Y597" s="438">
        <v>0</v>
      </c>
      <c r="Z597" s="438">
        <v>0</v>
      </c>
      <c r="AA597" s="438">
        <v>0</v>
      </c>
      <c r="AB597" s="438">
        <v>0</v>
      </c>
      <c r="AC597" s="438">
        <v>119000</v>
      </c>
      <c r="AD597" s="438">
        <v>80920</v>
      </c>
      <c r="AE597" s="438">
        <v>0</v>
      </c>
      <c r="AF597" s="438">
        <v>0</v>
      </c>
      <c r="AG597" s="438">
        <v>119000</v>
      </c>
      <c r="AH597" s="438">
        <v>80920</v>
      </c>
      <c r="AI597" s="438">
        <v>34618</v>
      </c>
      <c r="AJ597" s="438">
        <v>3462</v>
      </c>
      <c r="AK597" s="438">
        <v>38080</v>
      </c>
      <c r="AL597" s="414" t="str">
        <f t="shared" si="55"/>
        <v>워커힐 시그니처 양념 본갈비 300g, 8개</v>
      </c>
      <c r="AM597" s="395">
        <f t="shared" si="56"/>
        <v>46065</v>
      </c>
      <c r="AN597" s="396">
        <f t="shared" si="57"/>
        <v>1</v>
      </c>
      <c r="AO597" s="109">
        <f t="shared" si="58"/>
        <v>119000</v>
      </c>
      <c r="AP597" s="109">
        <f t="shared" si="59"/>
        <v>108181.81818181818</v>
      </c>
      <c r="AQ597" s="397">
        <f t="shared" si="54"/>
        <v>108181.81818181818</v>
      </c>
    </row>
    <row r="598" spans="1:43" ht="24">
      <c r="A598" s="436" t="s">
        <v>5063</v>
      </c>
      <c r="B598" s="436" t="s">
        <v>3490</v>
      </c>
      <c r="C598" s="437" t="s">
        <v>3491</v>
      </c>
      <c r="D598" s="436" t="s">
        <v>5123</v>
      </c>
      <c r="E598" s="437" t="s">
        <v>3763</v>
      </c>
      <c r="F598" s="436" t="s">
        <v>3494</v>
      </c>
      <c r="G598" s="436" t="s">
        <v>3495</v>
      </c>
      <c r="H598" s="437" t="s">
        <v>3496</v>
      </c>
      <c r="I598" s="436" t="s">
        <v>3497</v>
      </c>
      <c r="J598" s="437" t="s">
        <v>3498</v>
      </c>
      <c r="K598" s="437" t="s">
        <v>3499</v>
      </c>
      <c r="L598" s="436" t="s">
        <v>3500</v>
      </c>
      <c r="M598" s="436" t="s">
        <v>4809</v>
      </c>
      <c r="N598" s="436" t="s">
        <v>3502</v>
      </c>
      <c r="O598" s="438">
        <v>119000</v>
      </c>
      <c r="P598" s="438">
        <v>80920</v>
      </c>
      <c r="Q598" s="438">
        <v>1</v>
      </c>
      <c r="R598" s="438">
        <v>0</v>
      </c>
      <c r="S598" s="438">
        <v>0</v>
      </c>
      <c r="T598" s="438">
        <v>0</v>
      </c>
      <c r="U598" s="438">
        <v>0</v>
      </c>
      <c r="V598" s="438">
        <v>0</v>
      </c>
      <c r="W598" s="438">
        <v>32</v>
      </c>
      <c r="X598" s="438">
        <v>0</v>
      </c>
      <c r="Y598" s="438">
        <v>0</v>
      </c>
      <c r="Z598" s="438">
        <v>0</v>
      </c>
      <c r="AA598" s="438">
        <v>0</v>
      </c>
      <c r="AB598" s="438">
        <v>0</v>
      </c>
      <c r="AC598" s="438">
        <v>119000</v>
      </c>
      <c r="AD598" s="438">
        <v>80920</v>
      </c>
      <c r="AE598" s="438">
        <v>0</v>
      </c>
      <c r="AF598" s="438">
        <v>0</v>
      </c>
      <c r="AG598" s="438">
        <v>119000</v>
      </c>
      <c r="AH598" s="438">
        <v>80920</v>
      </c>
      <c r="AI598" s="438">
        <v>34618</v>
      </c>
      <c r="AJ598" s="438">
        <v>3462</v>
      </c>
      <c r="AK598" s="438">
        <v>38080</v>
      </c>
      <c r="AL598" s="414" t="str">
        <f t="shared" si="55"/>
        <v>워커힐 시그니처 양념 본갈비 300g, 8개</v>
      </c>
      <c r="AM598" s="395">
        <f t="shared" si="56"/>
        <v>46065</v>
      </c>
      <c r="AN598" s="396">
        <f t="shared" si="57"/>
        <v>1</v>
      </c>
      <c r="AO598" s="109">
        <f t="shared" si="58"/>
        <v>119000</v>
      </c>
      <c r="AP598" s="109">
        <f t="shared" si="59"/>
        <v>108181.81818181818</v>
      </c>
      <c r="AQ598" s="397">
        <f t="shared" si="54"/>
        <v>108181.81818181818</v>
      </c>
    </row>
    <row r="599" spans="1:43" ht="24">
      <c r="A599" s="436" t="s">
        <v>5066</v>
      </c>
      <c r="B599" s="436" t="s">
        <v>3490</v>
      </c>
      <c r="C599" s="437" t="s">
        <v>3491</v>
      </c>
      <c r="D599" s="436" t="s">
        <v>5127</v>
      </c>
      <c r="E599" s="437" t="s">
        <v>4077</v>
      </c>
      <c r="F599" s="436" t="s">
        <v>3494</v>
      </c>
      <c r="G599" s="436" t="s">
        <v>3495</v>
      </c>
      <c r="H599" s="437" t="s">
        <v>3496</v>
      </c>
      <c r="I599" s="436" t="s">
        <v>3497</v>
      </c>
      <c r="J599" s="437" t="s">
        <v>3498</v>
      </c>
      <c r="K599" s="437" t="s">
        <v>3499</v>
      </c>
      <c r="L599" s="436" t="s">
        <v>3500</v>
      </c>
      <c r="M599" s="436" t="s">
        <v>4809</v>
      </c>
      <c r="N599" s="436" t="s">
        <v>3502</v>
      </c>
      <c r="O599" s="438">
        <v>119000</v>
      </c>
      <c r="P599" s="438">
        <v>80920</v>
      </c>
      <c r="Q599" s="438">
        <v>1</v>
      </c>
      <c r="R599" s="438">
        <v>0</v>
      </c>
      <c r="S599" s="438">
        <v>0</v>
      </c>
      <c r="T599" s="438">
        <v>0</v>
      </c>
      <c r="U599" s="438">
        <v>0</v>
      </c>
      <c r="V599" s="438">
        <v>0</v>
      </c>
      <c r="W599" s="438">
        <v>32</v>
      </c>
      <c r="X599" s="438">
        <v>0</v>
      </c>
      <c r="Y599" s="438">
        <v>0</v>
      </c>
      <c r="Z599" s="438">
        <v>0</v>
      </c>
      <c r="AA599" s="438">
        <v>0</v>
      </c>
      <c r="AB599" s="438">
        <v>0</v>
      </c>
      <c r="AC599" s="438">
        <v>119000</v>
      </c>
      <c r="AD599" s="438">
        <v>80920</v>
      </c>
      <c r="AE599" s="438">
        <v>0</v>
      </c>
      <c r="AF599" s="438">
        <v>0</v>
      </c>
      <c r="AG599" s="438">
        <v>119000</v>
      </c>
      <c r="AH599" s="438">
        <v>80920</v>
      </c>
      <c r="AI599" s="438">
        <v>34618</v>
      </c>
      <c r="AJ599" s="438">
        <v>3462</v>
      </c>
      <c r="AK599" s="438">
        <v>38080</v>
      </c>
      <c r="AL599" s="414" t="str">
        <f t="shared" si="55"/>
        <v>워커힐 시그니처 양념 본갈비 300g, 8개</v>
      </c>
      <c r="AM599" s="395">
        <f t="shared" si="56"/>
        <v>46065</v>
      </c>
      <c r="AN599" s="396">
        <f t="shared" si="57"/>
        <v>1</v>
      </c>
      <c r="AO599" s="109">
        <f t="shared" si="58"/>
        <v>119000</v>
      </c>
      <c r="AP599" s="109">
        <f t="shared" si="59"/>
        <v>108181.81818181818</v>
      </c>
      <c r="AQ599" s="397">
        <f t="shared" si="54"/>
        <v>108181.81818181818</v>
      </c>
    </row>
    <row r="600" spans="1:43" ht="24">
      <c r="A600" s="436" t="s">
        <v>5069</v>
      </c>
      <c r="B600" s="436" t="s">
        <v>3490</v>
      </c>
      <c r="C600" s="437" t="s">
        <v>3491</v>
      </c>
      <c r="D600" s="436" t="s">
        <v>5014</v>
      </c>
      <c r="E600" s="437" t="s">
        <v>3757</v>
      </c>
      <c r="F600" s="436" t="s">
        <v>3494</v>
      </c>
      <c r="G600" s="436" t="s">
        <v>3495</v>
      </c>
      <c r="H600" s="437" t="s">
        <v>3496</v>
      </c>
      <c r="I600" s="436" t="s">
        <v>3497</v>
      </c>
      <c r="J600" s="437" t="s">
        <v>3498</v>
      </c>
      <c r="K600" s="437" t="s">
        <v>3499</v>
      </c>
      <c r="L600" s="436" t="s">
        <v>3500</v>
      </c>
      <c r="M600" s="436" t="s">
        <v>4809</v>
      </c>
      <c r="N600" s="436" t="s">
        <v>3502</v>
      </c>
      <c r="O600" s="438">
        <v>119000</v>
      </c>
      <c r="P600" s="438">
        <v>80920</v>
      </c>
      <c r="Q600" s="438">
        <v>1</v>
      </c>
      <c r="R600" s="438">
        <v>0</v>
      </c>
      <c r="S600" s="438">
        <v>0</v>
      </c>
      <c r="T600" s="438">
        <v>0</v>
      </c>
      <c r="U600" s="438">
        <v>0</v>
      </c>
      <c r="V600" s="438">
        <v>0</v>
      </c>
      <c r="W600" s="438">
        <v>32</v>
      </c>
      <c r="X600" s="438">
        <v>0</v>
      </c>
      <c r="Y600" s="438">
        <v>0</v>
      </c>
      <c r="Z600" s="438">
        <v>0</v>
      </c>
      <c r="AA600" s="438">
        <v>0</v>
      </c>
      <c r="AB600" s="438">
        <v>0</v>
      </c>
      <c r="AC600" s="438">
        <v>119000</v>
      </c>
      <c r="AD600" s="438">
        <v>80920</v>
      </c>
      <c r="AE600" s="438">
        <v>0</v>
      </c>
      <c r="AF600" s="438">
        <v>0</v>
      </c>
      <c r="AG600" s="438">
        <v>119000</v>
      </c>
      <c r="AH600" s="438">
        <v>80920</v>
      </c>
      <c r="AI600" s="438">
        <v>34618</v>
      </c>
      <c r="AJ600" s="438">
        <v>3462</v>
      </c>
      <c r="AK600" s="438">
        <v>38080</v>
      </c>
      <c r="AL600" s="414" t="str">
        <f t="shared" si="55"/>
        <v>워커힐 시그니처 양념 본갈비 300g, 8개</v>
      </c>
      <c r="AM600" s="395">
        <f t="shared" si="56"/>
        <v>46065</v>
      </c>
      <c r="AN600" s="396">
        <f t="shared" si="57"/>
        <v>1</v>
      </c>
      <c r="AO600" s="109">
        <f t="shared" si="58"/>
        <v>119000</v>
      </c>
      <c r="AP600" s="109">
        <f t="shared" si="59"/>
        <v>108181.81818181818</v>
      </c>
      <c r="AQ600" s="397">
        <f t="shared" si="54"/>
        <v>108181.81818181818</v>
      </c>
    </row>
    <row r="601" spans="1:43" ht="24">
      <c r="A601" s="436" t="s">
        <v>5071</v>
      </c>
      <c r="B601" s="436" t="s">
        <v>3490</v>
      </c>
      <c r="C601" s="437" t="s">
        <v>3491</v>
      </c>
      <c r="D601" s="436" t="s">
        <v>5134</v>
      </c>
      <c r="E601" s="437" t="s">
        <v>3555</v>
      </c>
      <c r="F601" s="436" t="s">
        <v>3494</v>
      </c>
      <c r="G601" s="436" t="s">
        <v>3495</v>
      </c>
      <c r="H601" s="437" t="s">
        <v>3496</v>
      </c>
      <c r="I601" s="436" t="s">
        <v>3497</v>
      </c>
      <c r="J601" s="437" t="s">
        <v>3498</v>
      </c>
      <c r="K601" s="437" t="s">
        <v>163</v>
      </c>
      <c r="L601" s="436" t="s">
        <v>3500</v>
      </c>
      <c r="M601" s="436" t="s">
        <v>4809</v>
      </c>
      <c r="N601" s="436" t="s">
        <v>3502</v>
      </c>
      <c r="O601" s="438">
        <v>119000</v>
      </c>
      <c r="P601" s="438">
        <v>80920</v>
      </c>
      <c r="Q601" s="438">
        <v>1</v>
      </c>
      <c r="R601" s="438">
        <v>0</v>
      </c>
      <c r="S601" s="438">
        <v>0</v>
      </c>
      <c r="T601" s="438">
        <v>0</v>
      </c>
      <c r="U601" s="438">
        <v>0</v>
      </c>
      <c r="V601" s="438">
        <v>0</v>
      </c>
      <c r="W601" s="438">
        <v>32</v>
      </c>
      <c r="X601" s="438">
        <v>0</v>
      </c>
      <c r="Y601" s="438">
        <v>5950</v>
      </c>
      <c r="Z601" s="438">
        <v>0</v>
      </c>
      <c r="AA601" s="438">
        <v>0</v>
      </c>
      <c r="AB601" s="438">
        <v>0</v>
      </c>
      <c r="AC601" s="438">
        <v>119000</v>
      </c>
      <c r="AD601" s="438">
        <v>80920</v>
      </c>
      <c r="AE601" s="438">
        <v>0</v>
      </c>
      <c r="AF601" s="438">
        <v>5950</v>
      </c>
      <c r="AG601" s="438">
        <v>113050</v>
      </c>
      <c r="AH601" s="438">
        <v>80920</v>
      </c>
      <c r="AI601" s="438">
        <v>29209</v>
      </c>
      <c r="AJ601" s="438">
        <v>2921</v>
      </c>
      <c r="AK601" s="438">
        <v>32130</v>
      </c>
      <c r="AL601" s="414" t="str">
        <f t="shared" si="55"/>
        <v>워커힐 시그니처 양념 본갈비 300g, 8개</v>
      </c>
      <c r="AM601" s="395">
        <f t="shared" si="56"/>
        <v>46065</v>
      </c>
      <c r="AN601" s="396">
        <f t="shared" si="57"/>
        <v>1</v>
      </c>
      <c r="AO601" s="109">
        <f t="shared" si="58"/>
        <v>119000</v>
      </c>
      <c r="AP601" s="109">
        <f t="shared" si="59"/>
        <v>108181.81818181818</v>
      </c>
      <c r="AQ601" s="397">
        <f t="shared" si="54"/>
        <v>108181.81818181818</v>
      </c>
    </row>
    <row r="602" spans="1:43" ht="24">
      <c r="A602" s="436" t="s">
        <v>5073</v>
      </c>
      <c r="B602" s="436" t="s">
        <v>3490</v>
      </c>
      <c r="C602" s="437" t="s">
        <v>3491</v>
      </c>
      <c r="D602" s="436" t="s">
        <v>5033</v>
      </c>
      <c r="E602" s="437" t="s">
        <v>5034</v>
      </c>
      <c r="F602" s="436" t="s">
        <v>3494</v>
      </c>
      <c r="G602" s="436" t="s">
        <v>3495</v>
      </c>
      <c r="H602" s="437" t="s">
        <v>3496</v>
      </c>
      <c r="I602" s="436" t="s">
        <v>3497</v>
      </c>
      <c r="J602" s="437" t="s">
        <v>3498</v>
      </c>
      <c r="K602" s="437" t="s">
        <v>3499</v>
      </c>
      <c r="L602" s="436" t="s">
        <v>3500</v>
      </c>
      <c r="M602" s="436" t="s">
        <v>4809</v>
      </c>
      <c r="N602" s="436" t="s">
        <v>3502</v>
      </c>
      <c r="O602" s="438">
        <v>119000</v>
      </c>
      <c r="P602" s="438">
        <v>80920</v>
      </c>
      <c r="Q602" s="438">
        <v>1</v>
      </c>
      <c r="R602" s="438">
        <v>0</v>
      </c>
      <c r="S602" s="438">
        <v>0</v>
      </c>
      <c r="T602" s="438">
        <v>0</v>
      </c>
      <c r="U602" s="438">
        <v>0</v>
      </c>
      <c r="V602" s="438">
        <v>0</v>
      </c>
      <c r="W602" s="438">
        <v>32</v>
      </c>
      <c r="X602" s="438">
        <v>0</v>
      </c>
      <c r="Y602" s="438">
        <v>0</v>
      </c>
      <c r="Z602" s="438">
        <v>0</v>
      </c>
      <c r="AA602" s="438">
        <v>0</v>
      </c>
      <c r="AB602" s="438">
        <v>5950</v>
      </c>
      <c r="AC602" s="438">
        <v>119000</v>
      </c>
      <c r="AD602" s="438">
        <v>80920</v>
      </c>
      <c r="AE602" s="438">
        <v>0</v>
      </c>
      <c r="AF602" s="438">
        <v>5950</v>
      </c>
      <c r="AG602" s="438">
        <v>113050</v>
      </c>
      <c r="AH602" s="438">
        <v>80920</v>
      </c>
      <c r="AI602" s="438">
        <v>29209</v>
      </c>
      <c r="AJ602" s="438">
        <v>2921</v>
      </c>
      <c r="AK602" s="438">
        <v>32130</v>
      </c>
      <c r="AL602" s="414" t="str">
        <f t="shared" si="55"/>
        <v>워커힐 시그니처 양념 본갈비 300g, 8개</v>
      </c>
      <c r="AM602" s="395">
        <f t="shared" si="56"/>
        <v>46065</v>
      </c>
      <c r="AN602" s="396">
        <f t="shared" si="57"/>
        <v>1</v>
      </c>
      <c r="AO602" s="109">
        <f t="shared" si="58"/>
        <v>119000</v>
      </c>
      <c r="AP602" s="109">
        <f t="shared" si="59"/>
        <v>108181.81818181818</v>
      </c>
      <c r="AQ602" s="397">
        <f t="shared" si="54"/>
        <v>108181.81818181818</v>
      </c>
    </row>
    <row r="603" spans="1:43" ht="24">
      <c r="A603" s="436" t="s">
        <v>5075</v>
      </c>
      <c r="B603" s="436" t="s">
        <v>3490</v>
      </c>
      <c r="C603" s="437" t="s">
        <v>3491</v>
      </c>
      <c r="D603" s="436" t="s">
        <v>5016</v>
      </c>
      <c r="E603" s="437" t="s">
        <v>4252</v>
      </c>
      <c r="F603" s="436" t="s">
        <v>3494</v>
      </c>
      <c r="G603" s="436" t="s">
        <v>3495</v>
      </c>
      <c r="H603" s="437" t="s">
        <v>3496</v>
      </c>
      <c r="I603" s="436" t="s">
        <v>3497</v>
      </c>
      <c r="J603" s="437" t="s">
        <v>3498</v>
      </c>
      <c r="K603" s="437" t="s">
        <v>3499</v>
      </c>
      <c r="L603" s="436" t="s">
        <v>3500</v>
      </c>
      <c r="M603" s="436" t="s">
        <v>4809</v>
      </c>
      <c r="N603" s="436" t="s">
        <v>3502</v>
      </c>
      <c r="O603" s="438">
        <v>119000</v>
      </c>
      <c r="P603" s="438">
        <v>80920</v>
      </c>
      <c r="Q603" s="438">
        <v>1</v>
      </c>
      <c r="R603" s="438">
        <v>0</v>
      </c>
      <c r="S603" s="438">
        <v>0</v>
      </c>
      <c r="T603" s="438">
        <v>0</v>
      </c>
      <c r="U603" s="438">
        <v>0</v>
      </c>
      <c r="V603" s="438">
        <v>0</v>
      </c>
      <c r="W603" s="438">
        <v>32</v>
      </c>
      <c r="X603" s="438">
        <v>0</v>
      </c>
      <c r="Y603" s="438">
        <v>0</v>
      </c>
      <c r="Z603" s="438">
        <v>0</v>
      </c>
      <c r="AA603" s="438">
        <v>0</v>
      </c>
      <c r="AB603" s="438">
        <v>0</v>
      </c>
      <c r="AC603" s="438">
        <v>119000</v>
      </c>
      <c r="AD603" s="438">
        <v>80920</v>
      </c>
      <c r="AE603" s="438">
        <v>0</v>
      </c>
      <c r="AF603" s="438">
        <v>0</v>
      </c>
      <c r="AG603" s="438">
        <v>119000</v>
      </c>
      <c r="AH603" s="438">
        <v>80920</v>
      </c>
      <c r="AI603" s="438">
        <v>34618</v>
      </c>
      <c r="AJ603" s="438">
        <v>3462</v>
      </c>
      <c r="AK603" s="438">
        <v>38080</v>
      </c>
      <c r="AL603" s="414" t="str">
        <f t="shared" si="55"/>
        <v>워커힐 시그니처 양념 본갈비 300g, 8개</v>
      </c>
      <c r="AM603" s="395">
        <f t="shared" si="56"/>
        <v>46065</v>
      </c>
      <c r="AN603" s="396">
        <f t="shared" si="57"/>
        <v>1</v>
      </c>
      <c r="AO603" s="109">
        <f t="shared" si="58"/>
        <v>119000</v>
      </c>
      <c r="AP603" s="109">
        <f t="shared" si="59"/>
        <v>108181.81818181818</v>
      </c>
      <c r="AQ603" s="397">
        <f t="shared" si="54"/>
        <v>108181.81818181818</v>
      </c>
    </row>
    <row r="604" spans="1:43" ht="24">
      <c r="A604" s="436" t="s">
        <v>5077</v>
      </c>
      <c r="B604" s="436" t="s">
        <v>3490</v>
      </c>
      <c r="C604" s="437" t="s">
        <v>3491</v>
      </c>
      <c r="D604" s="436" t="s">
        <v>5136</v>
      </c>
      <c r="E604" s="437" t="s">
        <v>5137</v>
      </c>
      <c r="F604" s="436" t="s">
        <v>3494</v>
      </c>
      <c r="G604" s="436" t="s">
        <v>3495</v>
      </c>
      <c r="H604" s="437" t="s">
        <v>3496</v>
      </c>
      <c r="I604" s="436" t="s">
        <v>3497</v>
      </c>
      <c r="J604" s="437" t="s">
        <v>3498</v>
      </c>
      <c r="K604" s="437" t="s">
        <v>3499</v>
      </c>
      <c r="L604" s="436" t="s">
        <v>3500</v>
      </c>
      <c r="M604" s="436" t="s">
        <v>4809</v>
      </c>
      <c r="N604" s="436" t="s">
        <v>3502</v>
      </c>
      <c r="O604" s="438">
        <v>119000</v>
      </c>
      <c r="P604" s="438">
        <v>80920</v>
      </c>
      <c r="Q604" s="438">
        <v>1</v>
      </c>
      <c r="R604" s="438">
        <v>0</v>
      </c>
      <c r="S604" s="438">
        <v>0</v>
      </c>
      <c r="T604" s="438">
        <v>0</v>
      </c>
      <c r="U604" s="438">
        <v>0</v>
      </c>
      <c r="V604" s="438">
        <v>0</v>
      </c>
      <c r="W604" s="438">
        <v>32</v>
      </c>
      <c r="X604" s="438">
        <v>0</v>
      </c>
      <c r="Y604" s="438">
        <v>10000</v>
      </c>
      <c r="Z604" s="438">
        <v>0</v>
      </c>
      <c r="AA604" s="438">
        <v>0</v>
      </c>
      <c r="AB604" s="438">
        <v>0</v>
      </c>
      <c r="AC604" s="438">
        <v>119000</v>
      </c>
      <c r="AD604" s="438">
        <v>80920</v>
      </c>
      <c r="AE604" s="438">
        <v>0</v>
      </c>
      <c r="AF604" s="438">
        <v>10000</v>
      </c>
      <c r="AG604" s="438">
        <v>109000</v>
      </c>
      <c r="AH604" s="438">
        <v>80920</v>
      </c>
      <c r="AI604" s="438">
        <v>25527</v>
      </c>
      <c r="AJ604" s="438">
        <v>2553</v>
      </c>
      <c r="AK604" s="438">
        <v>28080</v>
      </c>
      <c r="AL604" s="414" t="str">
        <f t="shared" si="55"/>
        <v>워커힐 시그니처 양념 본갈비 300g, 8개</v>
      </c>
      <c r="AM604" s="395">
        <f t="shared" si="56"/>
        <v>46065</v>
      </c>
      <c r="AN604" s="396">
        <f t="shared" si="57"/>
        <v>1</v>
      </c>
      <c r="AO604" s="109">
        <f t="shared" si="58"/>
        <v>119000</v>
      </c>
      <c r="AP604" s="109">
        <f t="shared" si="59"/>
        <v>108181.81818181818</v>
      </c>
      <c r="AQ604" s="397">
        <f t="shared" si="54"/>
        <v>108181.81818181818</v>
      </c>
    </row>
    <row r="605" spans="1:43" ht="24">
      <c r="A605" s="436" t="s">
        <v>5080</v>
      </c>
      <c r="B605" s="436" t="s">
        <v>3490</v>
      </c>
      <c r="C605" s="437" t="s">
        <v>3491</v>
      </c>
      <c r="D605" s="436" t="s">
        <v>5021</v>
      </c>
      <c r="E605" s="437" t="s">
        <v>3541</v>
      </c>
      <c r="F605" s="436" t="s">
        <v>3494</v>
      </c>
      <c r="G605" s="436" t="s">
        <v>3495</v>
      </c>
      <c r="H605" s="437" t="s">
        <v>3496</v>
      </c>
      <c r="I605" s="436" t="s">
        <v>3497</v>
      </c>
      <c r="J605" s="437" t="s">
        <v>3498</v>
      </c>
      <c r="K605" s="437" t="s">
        <v>3499</v>
      </c>
      <c r="L605" s="436" t="s">
        <v>3500</v>
      </c>
      <c r="M605" s="436" t="s">
        <v>4809</v>
      </c>
      <c r="N605" s="436" t="s">
        <v>3502</v>
      </c>
      <c r="O605" s="438">
        <v>119000</v>
      </c>
      <c r="P605" s="438">
        <v>80920</v>
      </c>
      <c r="Q605" s="438">
        <v>1</v>
      </c>
      <c r="R605" s="438">
        <v>0</v>
      </c>
      <c r="S605" s="438">
        <v>0</v>
      </c>
      <c r="T605" s="438">
        <v>0</v>
      </c>
      <c r="U605" s="438">
        <v>0</v>
      </c>
      <c r="V605" s="438">
        <v>0</v>
      </c>
      <c r="W605" s="438">
        <v>32</v>
      </c>
      <c r="X605" s="438">
        <v>0</v>
      </c>
      <c r="Y605" s="438">
        <v>0</v>
      </c>
      <c r="Z605" s="438">
        <v>0</v>
      </c>
      <c r="AA605" s="438">
        <v>0</v>
      </c>
      <c r="AB605" s="438">
        <v>0</v>
      </c>
      <c r="AC605" s="438">
        <v>119000</v>
      </c>
      <c r="AD605" s="438">
        <v>80920</v>
      </c>
      <c r="AE605" s="438">
        <v>0</v>
      </c>
      <c r="AF605" s="438">
        <v>0</v>
      </c>
      <c r="AG605" s="438">
        <v>119000</v>
      </c>
      <c r="AH605" s="438">
        <v>80920</v>
      </c>
      <c r="AI605" s="438">
        <v>34618</v>
      </c>
      <c r="AJ605" s="438">
        <v>3462</v>
      </c>
      <c r="AK605" s="438">
        <v>38080</v>
      </c>
      <c r="AL605" s="414" t="str">
        <f t="shared" si="55"/>
        <v>워커힐 시그니처 양념 본갈비 300g, 8개</v>
      </c>
      <c r="AM605" s="395">
        <f t="shared" si="56"/>
        <v>46065</v>
      </c>
      <c r="AN605" s="396">
        <f t="shared" si="57"/>
        <v>1</v>
      </c>
      <c r="AO605" s="109">
        <f t="shared" si="58"/>
        <v>119000</v>
      </c>
      <c r="AP605" s="109">
        <f t="shared" si="59"/>
        <v>108181.81818181818</v>
      </c>
      <c r="AQ605" s="397">
        <f t="shared" ref="AQ605:AQ668" si="60">AN605*AP605</f>
        <v>108181.81818181818</v>
      </c>
    </row>
    <row r="606" spans="1:43" ht="24">
      <c r="A606" s="436" t="s">
        <v>5082</v>
      </c>
      <c r="B606" s="436" t="s">
        <v>3490</v>
      </c>
      <c r="C606" s="437" t="s">
        <v>3491</v>
      </c>
      <c r="D606" s="436" t="s">
        <v>4843</v>
      </c>
      <c r="E606" s="437" t="s">
        <v>3724</v>
      </c>
      <c r="F606" s="436" t="s">
        <v>3494</v>
      </c>
      <c r="G606" s="436" t="s">
        <v>3495</v>
      </c>
      <c r="H606" s="437" t="s">
        <v>3496</v>
      </c>
      <c r="I606" s="436" t="s">
        <v>3497</v>
      </c>
      <c r="J606" s="437" t="s">
        <v>3498</v>
      </c>
      <c r="K606" s="437" t="s">
        <v>3499</v>
      </c>
      <c r="L606" s="436" t="s">
        <v>3500</v>
      </c>
      <c r="M606" s="436" t="s">
        <v>4809</v>
      </c>
      <c r="N606" s="436" t="s">
        <v>3502</v>
      </c>
      <c r="O606" s="438">
        <v>119000</v>
      </c>
      <c r="P606" s="438">
        <v>80920</v>
      </c>
      <c r="Q606" s="438">
        <v>1</v>
      </c>
      <c r="R606" s="438">
        <v>0</v>
      </c>
      <c r="S606" s="438">
        <v>0</v>
      </c>
      <c r="T606" s="438">
        <v>0</v>
      </c>
      <c r="U606" s="438">
        <v>0</v>
      </c>
      <c r="V606" s="438">
        <v>0</v>
      </c>
      <c r="W606" s="438">
        <v>32</v>
      </c>
      <c r="X606" s="438">
        <v>0</v>
      </c>
      <c r="Y606" s="438">
        <v>0</v>
      </c>
      <c r="Z606" s="438">
        <v>0</v>
      </c>
      <c r="AA606" s="438">
        <v>0</v>
      </c>
      <c r="AB606" s="438">
        <v>0</v>
      </c>
      <c r="AC606" s="438">
        <v>119000</v>
      </c>
      <c r="AD606" s="438">
        <v>80920</v>
      </c>
      <c r="AE606" s="438">
        <v>0</v>
      </c>
      <c r="AF606" s="438">
        <v>0</v>
      </c>
      <c r="AG606" s="438">
        <v>119000</v>
      </c>
      <c r="AH606" s="438">
        <v>80920</v>
      </c>
      <c r="AI606" s="438">
        <v>34618</v>
      </c>
      <c r="AJ606" s="438">
        <v>3462</v>
      </c>
      <c r="AK606" s="438">
        <v>38080</v>
      </c>
      <c r="AL606" s="414" t="str">
        <f t="shared" si="55"/>
        <v>워커힐 시그니처 양념 본갈비 300g, 8개</v>
      </c>
      <c r="AM606" s="395">
        <f t="shared" si="56"/>
        <v>46065</v>
      </c>
      <c r="AN606" s="396">
        <f t="shared" si="57"/>
        <v>1</v>
      </c>
      <c r="AO606" s="109">
        <f t="shared" si="58"/>
        <v>119000</v>
      </c>
      <c r="AP606" s="109">
        <f t="shared" si="59"/>
        <v>108181.81818181818</v>
      </c>
      <c r="AQ606" s="397">
        <f t="shared" si="60"/>
        <v>108181.81818181818</v>
      </c>
    </row>
    <row r="607" spans="1:43" ht="24">
      <c r="A607" s="436" t="s">
        <v>5085</v>
      </c>
      <c r="B607" s="436" t="s">
        <v>3490</v>
      </c>
      <c r="C607" s="437" t="s">
        <v>3491</v>
      </c>
      <c r="D607" s="436" t="s">
        <v>5141</v>
      </c>
      <c r="E607" s="437" t="s">
        <v>5142</v>
      </c>
      <c r="F607" s="436" t="s">
        <v>3494</v>
      </c>
      <c r="G607" s="436" t="s">
        <v>3495</v>
      </c>
      <c r="H607" s="437" t="s">
        <v>3496</v>
      </c>
      <c r="I607" s="436" t="s">
        <v>3497</v>
      </c>
      <c r="J607" s="437" t="s">
        <v>3498</v>
      </c>
      <c r="K607" s="437" t="s">
        <v>3499</v>
      </c>
      <c r="L607" s="436" t="s">
        <v>3500</v>
      </c>
      <c r="M607" s="436" t="s">
        <v>4809</v>
      </c>
      <c r="N607" s="436" t="s">
        <v>3502</v>
      </c>
      <c r="O607" s="438">
        <v>119000</v>
      </c>
      <c r="P607" s="438">
        <v>80920</v>
      </c>
      <c r="Q607" s="438">
        <v>1</v>
      </c>
      <c r="R607" s="438">
        <v>0</v>
      </c>
      <c r="S607" s="438">
        <v>0</v>
      </c>
      <c r="T607" s="438">
        <v>0</v>
      </c>
      <c r="U607" s="438">
        <v>0</v>
      </c>
      <c r="V607" s="438">
        <v>0</v>
      </c>
      <c r="W607" s="438">
        <v>32</v>
      </c>
      <c r="X607" s="438">
        <v>0</v>
      </c>
      <c r="Y607" s="438">
        <v>0</v>
      </c>
      <c r="Z607" s="438">
        <v>0</v>
      </c>
      <c r="AA607" s="438">
        <v>0</v>
      </c>
      <c r="AB607" s="438">
        <v>0</v>
      </c>
      <c r="AC607" s="438">
        <v>119000</v>
      </c>
      <c r="AD607" s="438">
        <v>80920</v>
      </c>
      <c r="AE607" s="438">
        <v>0</v>
      </c>
      <c r="AF607" s="438">
        <v>0</v>
      </c>
      <c r="AG607" s="438">
        <v>119000</v>
      </c>
      <c r="AH607" s="438">
        <v>80920</v>
      </c>
      <c r="AI607" s="438">
        <v>34618</v>
      </c>
      <c r="AJ607" s="438">
        <v>3462</v>
      </c>
      <c r="AK607" s="438">
        <v>38080</v>
      </c>
      <c r="AL607" s="414" t="str">
        <f t="shared" si="55"/>
        <v>워커힐 시그니처 양념 본갈비 300g, 8개</v>
      </c>
      <c r="AM607" s="395">
        <f t="shared" si="56"/>
        <v>46065</v>
      </c>
      <c r="AN607" s="396">
        <f t="shared" si="57"/>
        <v>1</v>
      </c>
      <c r="AO607" s="109">
        <f t="shared" si="58"/>
        <v>119000</v>
      </c>
      <c r="AP607" s="109">
        <f t="shared" si="59"/>
        <v>108181.81818181818</v>
      </c>
      <c r="AQ607" s="397">
        <f t="shared" si="60"/>
        <v>108181.81818181818</v>
      </c>
    </row>
    <row r="608" spans="1:43" ht="24">
      <c r="A608" s="436" t="s">
        <v>5088</v>
      </c>
      <c r="B608" s="436" t="s">
        <v>3490</v>
      </c>
      <c r="C608" s="437" t="s">
        <v>3491</v>
      </c>
      <c r="D608" s="436" t="s">
        <v>5144</v>
      </c>
      <c r="E608" s="437" t="s">
        <v>4155</v>
      </c>
      <c r="F608" s="436" t="s">
        <v>3494</v>
      </c>
      <c r="G608" s="436" t="s">
        <v>3495</v>
      </c>
      <c r="H608" s="437" t="s">
        <v>3496</v>
      </c>
      <c r="I608" s="436" t="s">
        <v>3497</v>
      </c>
      <c r="J608" s="437" t="s">
        <v>3498</v>
      </c>
      <c r="K608" s="437" t="s">
        <v>3499</v>
      </c>
      <c r="L608" s="436" t="s">
        <v>3500</v>
      </c>
      <c r="M608" s="436" t="s">
        <v>4809</v>
      </c>
      <c r="N608" s="436" t="s">
        <v>3502</v>
      </c>
      <c r="O608" s="438">
        <v>119000</v>
      </c>
      <c r="P608" s="438">
        <v>80920</v>
      </c>
      <c r="Q608" s="438">
        <v>1</v>
      </c>
      <c r="R608" s="438">
        <v>0</v>
      </c>
      <c r="S608" s="438">
        <v>0</v>
      </c>
      <c r="T608" s="438">
        <v>0</v>
      </c>
      <c r="U608" s="438">
        <v>0</v>
      </c>
      <c r="V608" s="438">
        <v>0</v>
      </c>
      <c r="W608" s="438">
        <v>32</v>
      </c>
      <c r="X608" s="438">
        <v>0</v>
      </c>
      <c r="Y608" s="438">
        <v>0</v>
      </c>
      <c r="Z608" s="438">
        <v>0</v>
      </c>
      <c r="AA608" s="438">
        <v>0</v>
      </c>
      <c r="AB608" s="438">
        <v>0</v>
      </c>
      <c r="AC608" s="438">
        <v>119000</v>
      </c>
      <c r="AD608" s="438">
        <v>80920</v>
      </c>
      <c r="AE608" s="438">
        <v>0</v>
      </c>
      <c r="AF608" s="438">
        <v>0</v>
      </c>
      <c r="AG608" s="438">
        <v>119000</v>
      </c>
      <c r="AH608" s="438">
        <v>80920</v>
      </c>
      <c r="AI608" s="438">
        <v>34618</v>
      </c>
      <c r="AJ608" s="438">
        <v>3462</v>
      </c>
      <c r="AK608" s="438">
        <v>38080</v>
      </c>
      <c r="AL608" s="414" t="str">
        <f t="shared" si="55"/>
        <v>워커힐 시그니처 양념 본갈비 300g, 8개</v>
      </c>
      <c r="AM608" s="395">
        <f t="shared" si="56"/>
        <v>46065</v>
      </c>
      <c r="AN608" s="396">
        <f t="shared" si="57"/>
        <v>1</v>
      </c>
      <c r="AO608" s="109">
        <f t="shared" si="58"/>
        <v>119000</v>
      </c>
      <c r="AP608" s="109">
        <f t="shared" si="59"/>
        <v>108181.81818181818</v>
      </c>
      <c r="AQ608" s="397">
        <f t="shared" si="60"/>
        <v>108181.81818181818</v>
      </c>
    </row>
    <row r="609" spans="1:43" ht="24">
      <c r="A609" s="436" t="s">
        <v>5091</v>
      </c>
      <c r="B609" s="436" t="s">
        <v>3490</v>
      </c>
      <c r="C609" s="437" t="s">
        <v>3491</v>
      </c>
      <c r="D609" s="436" t="s">
        <v>5146</v>
      </c>
      <c r="E609" s="437" t="s">
        <v>5137</v>
      </c>
      <c r="F609" s="436" t="s">
        <v>3494</v>
      </c>
      <c r="G609" s="436" t="s">
        <v>3495</v>
      </c>
      <c r="H609" s="437" t="s">
        <v>3496</v>
      </c>
      <c r="I609" s="436" t="s">
        <v>3497</v>
      </c>
      <c r="J609" s="437" t="s">
        <v>3498</v>
      </c>
      <c r="K609" s="437" t="s">
        <v>3499</v>
      </c>
      <c r="L609" s="436" t="s">
        <v>3500</v>
      </c>
      <c r="M609" s="436" t="s">
        <v>4809</v>
      </c>
      <c r="N609" s="436" t="s">
        <v>3502</v>
      </c>
      <c r="O609" s="438">
        <v>119000</v>
      </c>
      <c r="P609" s="438">
        <v>80920</v>
      </c>
      <c r="Q609" s="438">
        <v>1</v>
      </c>
      <c r="R609" s="438">
        <v>0</v>
      </c>
      <c r="S609" s="438">
        <v>0</v>
      </c>
      <c r="T609" s="438">
        <v>0</v>
      </c>
      <c r="U609" s="438">
        <v>0</v>
      </c>
      <c r="V609" s="438">
        <v>0</v>
      </c>
      <c r="W609" s="438">
        <v>32</v>
      </c>
      <c r="X609" s="438">
        <v>0</v>
      </c>
      <c r="Y609" s="438">
        <v>10000</v>
      </c>
      <c r="Z609" s="438">
        <v>0</v>
      </c>
      <c r="AA609" s="438">
        <v>0</v>
      </c>
      <c r="AB609" s="438">
        <v>0</v>
      </c>
      <c r="AC609" s="438">
        <v>119000</v>
      </c>
      <c r="AD609" s="438">
        <v>80920</v>
      </c>
      <c r="AE609" s="438">
        <v>0</v>
      </c>
      <c r="AF609" s="438">
        <v>10000</v>
      </c>
      <c r="AG609" s="438">
        <v>109000</v>
      </c>
      <c r="AH609" s="438">
        <v>80920</v>
      </c>
      <c r="AI609" s="438">
        <v>25527</v>
      </c>
      <c r="AJ609" s="438">
        <v>2553</v>
      </c>
      <c r="AK609" s="438">
        <v>28080</v>
      </c>
      <c r="AL609" s="414" t="str">
        <f t="shared" si="55"/>
        <v>워커힐 시그니처 양념 본갈비 300g, 8개</v>
      </c>
      <c r="AM609" s="395">
        <f t="shared" si="56"/>
        <v>46065</v>
      </c>
      <c r="AN609" s="396">
        <f t="shared" si="57"/>
        <v>1</v>
      </c>
      <c r="AO609" s="109">
        <f t="shared" si="58"/>
        <v>119000</v>
      </c>
      <c r="AP609" s="109">
        <f t="shared" si="59"/>
        <v>108181.81818181818</v>
      </c>
      <c r="AQ609" s="397">
        <f t="shared" si="60"/>
        <v>108181.81818181818</v>
      </c>
    </row>
    <row r="610" spans="1:43" ht="24">
      <c r="A610" s="436" t="s">
        <v>5094</v>
      </c>
      <c r="B610" s="436" t="s">
        <v>3490</v>
      </c>
      <c r="C610" s="437" t="s">
        <v>3491</v>
      </c>
      <c r="D610" s="436" t="s">
        <v>5148</v>
      </c>
      <c r="E610" s="437" t="s">
        <v>3967</v>
      </c>
      <c r="F610" s="436" t="s">
        <v>3494</v>
      </c>
      <c r="G610" s="436" t="s">
        <v>3495</v>
      </c>
      <c r="H610" s="437" t="s">
        <v>3496</v>
      </c>
      <c r="I610" s="436" t="s">
        <v>3497</v>
      </c>
      <c r="J610" s="437" t="s">
        <v>3498</v>
      </c>
      <c r="K610" s="437" t="s">
        <v>3499</v>
      </c>
      <c r="L610" s="436" t="s">
        <v>3500</v>
      </c>
      <c r="M610" s="436" t="s">
        <v>4809</v>
      </c>
      <c r="N610" s="436" t="s">
        <v>3502</v>
      </c>
      <c r="O610" s="438">
        <v>119000</v>
      </c>
      <c r="P610" s="438">
        <v>80920</v>
      </c>
      <c r="Q610" s="438">
        <v>1</v>
      </c>
      <c r="R610" s="438">
        <v>0</v>
      </c>
      <c r="S610" s="438">
        <v>0</v>
      </c>
      <c r="T610" s="438">
        <v>0</v>
      </c>
      <c r="U610" s="438">
        <v>0</v>
      </c>
      <c r="V610" s="438">
        <v>0</v>
      </c>
      <c r="W610" s="438">
        <v>32</v>
      </c>
      <c r="X610" s="438">
        <v>0</v>
      </c>
      <c r="Y610" s="438">
        <v>0</v>
      </c>
      <c r="Z610" s="438">
        <v>0</v>
      </c>
      <c r="AA610" s="438">
        <v>0</v>
      </c>
      <c r="AB610" s="438">
        <v>0</v>
      </c>
      <c r="AC610" s="438">
        <v>119000</v>
      </c>
      <c r="AD610" s="438">
        <v>80920</v>
      </c>
      <c r="AE610" s="438">
        <v>0</v>
      </c>
      <c r="AF610" s="438">
        <v>0</v>
      </c>
      <c r="AG610" s="438">
        <v>119000</v>
      </c>
      <c r="AH610" s="438">
        <v>80920</v>
      </c>
      <c r="AI610" s="438">
        <v>34618</v>
      </c>
      <c r="AJ610" s="438">
        <v>3462</v>
      </c>
      <c r="AK610" s="438">
        <v>38080</v>
      </c>
      <c r="AL610" s="414" t="str">
        <f t="shared" si="55"/>
        <v>워커힐 시그니처 양념 본갈비 300g, 8개</v>
      </c>
      <c r="AM610" s="395">
        <f t="shared" si="56"/>
        <v>46065</v>
      </c>
      <c r="AN610" s="396">
        <f t="shared" si="57"/>
        <v>1</v>
      </c>
      <c r="AO610" s="109">
        <f t="shared" si="58"/>
        <v>119000</v>
      </c>
      <c r="AP610" s="109">
        <f t="shared" si="59"/>
        <v>108181.81818181818</v>
      </c>
      <c r="AQ610" s="397">
        <f t="shared" si="60"/>
        <v>108181.81818181818</v>
      </c>
    </row>
    <row r="611" spans="1:43" ht="24">
      <c r="A611" s="436" t="s">
        <v>5096</v>
      </c>
      <c r="B611" s="436" t="s">
        <v>3490</v>
      </c>
      <c r="C611" s="437" t="s">
        <v>3491</v>
      </c>
      <c r="D611" s="436" t="s">
        <v>5025</v>
      </c>
      <c r="E611" s="437" t="s">
        <v>5026</v>
      </c>
      <c r="F611" s="436" t="s">
        <v>3494</v>
      </c>
      <c r="G611" s="436" t="s">
        <v>3495</v>
      </c>
      <c r="H611" s="437" t="s">
        <v>3496</v>
      </c>
      <c r="I611" s="436" t="s">
        <v>3497</v>
      </c>
      <c r="J611" s="437" t="s">
        <v>3498</v>
      </c>
      <c r="K611" s="437" t="s">
        <v>3499</v>
      </c>
      <c r="L611" s="436" t="s">
        <v>3500</v>
      </c>
      <c r="M611" s="436" t="s">
        <v>4809</v>
      </c>
      <c r="N611" s="436" t="s">
        <v>3502</v>
      </c>
      <c r="O611" s="438">
        <v>119000</v>
      </c>
      <c r="P611" s="438">
        <v>80920</v>
      </c>
      <c r="Q611" s="438">
        <v>1</v>
      </c>
      <c r="R611" s="438">
        <v>0</v>
      </c>
      <c r="S611" s="438">
        <v>0</v>
      </c>
      <c r="T611" s="438">
        <v>0</v>
      </c>
      <c r="U611" s="438">
        <v>0</v>
      </c>
      <c r="V611" s="438">
        <v>0</v>
      </c>
      <c r="W611" s="438">
        <v>32</v>
      </c>
      <c r="X611" s="438">
        <v>0</v>
      </c>
      <c r="Y611" s="438">
        <v>0</v>
      </c>
      <c r="Z611" s="438">
        <v>0</v>
      </c>
      <c r="AA611" s="438">
        <v>0</v>
      </c>
      <c r="AB611" s="438">
        <v>0</v>
      </c>
      <c r="AC611" s="438">
        <v>119000</v>
      </c>
      <c r="AD611" s="438">
        <v>80920</v>
      </c>
      <c r="AE611" s="438">
        <v>0</v>
      </c>
      <c r="AF611" s="438">
        <v>0</v>
      </c>
      <c r="AG611" s="438">
        <v>119000</v>
      </c>
      <c r="AH611" s="438">
        <v>80920</v>
      </c>
      <c r="AI611" s="438">
        <v>34618</v>
      </c>
      <c r="AJ611" s="438">
        <v>3462</v>
      </c>
      <c r="AK611" s="438">
        <v>38080</v>
      </c>
      <c r="AL611" s="414" t="str">
        <f t="shared" si="55"/>
        <v>워커힐 시그니처 양념 본갈비 300g, 8개</v>
      </c>
      <c r="AM611" s="395">
        <f t="shared" si="56"/>
        <v>46065</v>
      </c>
      <c r="AN611" s="396">
        <f t="shared" si="57"/>
        <v>1</v>
      </c>
      <c r="AO611" s="109">
        <f t="shared" si="58"/>
        <v>119000</v>
      </c>
      <c r="AP611" s="109">
        <f t="shared" si="59"/>
        <v>108181.81818181818</v>
      </c>
      <c r="AQ611" s="397">
        <f t="shared" si="60"/>
        <v>108181.81818181818</v>
      </c>
    </row>
    <row r="612" spans="1:43" ht="24">
      <c r="A612" s="436" t="s">
        <v>5098</v>
      </c>
      <c r="B612" s="436" t="s">
        <v>3490</v>
      </c>
      <c r="C612" s="437" t="s">
        <v>3491</v>
      </c>
      <c r="D612" s="436" t="s">
        <v>5043</v>
      </c>
      <c r="E612" s="437" t="s">
        <v>5044</v>
      </c>
      <c r="F612" s="436" t="s">
        <v>3494</v>
      </c>
      <c r="G612" s="436" t="s">
        <v>3495</v>
      </c>
      <c r="H612" s="437" t="s">
        <v>3496</v>
      </c>
      <c r="I612" s="436" t="s">
        <v>3497</v>
      </c>
      <c r="J612" s="437" t="s">
        <v>3498</v>
      </c>
      <c r="K612" s="437" t="s">
        <v>3499</v>
      </c>
      <c r="L612" s="436" t="s">
        <v>3500</v>
      </c>
      <c r="M612" s="436" t="s">
        <v>4809</v>
      </c>
      <c r="N612" s="436" t="s">
        <v>3502</v>
      </c>
      <c r="O612" s="438">
        <v>119000</v>
      </c>
      <c r="P612" s="438">
        <v>80920</v>
      </c>
      <c r="Q612" s="438">
        <v>1</v>
      </c>
      <c r="R612" s="438">
        <v>0</v>
      </c>
      <c r="S612" s="438">
        <v>0</v>
      </c>
      <c r="T612" s="438">
        <v>0</v>
      </c>
      <c r="U612" s="438">
        <v>0</v>
      </c>
      <c r="V612" s="438">
        <v>0</v>
      </c>
      <c r="W612" s="438">
        <v>32</v>
      </c>
      <c r="X612" s="438">
        <v>0</v>
      </c>
      <c r="Y612" s="438">
        <v>0</v>
      </c>
      <c r="Z612" s="438">
        <v>0</v>
      </c>
      <c r="AA612" s="438">
        <v>0</v>
      </c>
      <c r="AB612" s="438">
        <v>0</v>
      </c>
      <c r="AC612" s="438">
        <v>119000</v>
      </c>
      <c r="AD612" s="438">
        <v>80920</v>
      </c>
      <c r="AE612" s="438">
        <v>0</v>
      </c>
      <c r="AF612" s="438">
        <v>0</v>
      </c>
      <c r="AG612" s="438">
        <v>119000</v>
      </c>
      <c r="AH612" s="438">
        <v>80920</v>
      </c>
      <c r="AI612" s="438">
        <v>34618</v>
      </c>
      <c r="AJ612" s="438">
        <v>3462</v>
      </c>
      <c r="AK612" s="438">
        <v>38080</v>
      </c>
      <c r="AL612" s="414" t="str">
        <f t="shared" si="55"/>
        <v>워커힐 시그니처 양념 본갈비 300g, 8개</v>
      </c>
      <c r="AM612" s="395">
        <f t="shared" si="56"/>
        <v>46065</v>
      </c>
      <c r="AN612" s="396">
        <f t="shared" si="57"/>
        <v>1</v>
      </c>
      <c r="AO612" s="109">
        <f t="shared" si="58"/>
        <v>119000</v>
      </c>
      <c r="AP612" s="109">
        <f t="shared" si="59"/>
        <v>108181.81818181818</v>
      </c>
      <c r="AQ612" s="397">
        <f t="shared" si="60"/>
        <v>108181.81818181818</v>
      </c>
    </row>
    <row r="613" spans="1:43" ht="24">
      <c r="A613" s="436" t="s">
        <v>5100</v>
      </c>
      <c r="B613" s="436" t="s">
        <v>3490</v>
      </c>
      <c r="C613" s="437" t="s">
        <v>3491</v>
      </c>
      <c r="D613" s="436" t="s">
        <v>5028</v>
      </c>
      <c r="E613" s="437" t="s">
        <v>4010</v>
      </c>
      <c r="F613" s="436" t="s">
        <v>3494</v>
      </c>
      <c r="G613" s="436" t="s">
        <v>3495</v>
      </c>
      <c r="H613" s="437" t="s">
        <v>3496</v>
      </c>
      <c r="I613" s="436" t="s">
        <v>3497</v>
      </c>
      <c r="J613" s="437" t="s">
        <v>3498</v>
      </c>
      <c r="K613" s="437" t="s">
        <v>3499</v>
      </c>
      <c r="L613" s="436" t="s">
        <v>3500</v>
      </c>
      <c r="M613" s="436" t="s">
        <v>4809</v>
      </c>
      <c r="N613" s="436" t="s">
        <v>3502</v>
      </c>
      <c r="O613" s="438">
        <v>119000</v>
      </c>
      <c r="P613" s="438">
        <v>80920</v>
      </c>
      <c r="Q613" s="438">
        <v>1</v>
      </c>
      <c r="R613" s="438">
        <v>0</v>
      </c>
      <c r="S613" s="438">
        <v>0</v>
      </c>
      <c r="T613" s="438">
        <v>0</v>
      </c>
      <c r="U613" s="438">
        <v>0</v>
      </c>
      <c r="V613" s="438">
        <v>0</v>
      </c>
      <c r="W613" s="438">
        <v>32</v>
      </c>
      <c r="X613" s="438">
        <v>0</v>
      </c>
      <c r="Y613" s="438">
        <v>0</v>
      </c>
      <c r="Z613" s="438">
        <v>0</v>
      </c>
      <c r="AA613" s="438">
        <v>0</v>
      </c>
      <c r="AB613" s="438">
        <v>0</v>
      </c>
      <c r="AC613" s="438">
        <v>119000</v>
      </c>
      <c r="AD613" s="438">
        <v>80920</v>
      </c>
      <c r="AE613" s="438">
        <v>0</v>
      </c>
      <c r="AF613" s="438">
        <v>0</v>
      </c>
      <c r="AG613" s="438">
        <v>119000</v>
      </c>
      <c r="AH613" s="438">
        <v>80920</v>
      </c>
      <c r="AI613" s="438">
        <v>34618</v>
      </c>
      <c r="AJ613" s="438">
        <v>3462</v>
      </c>
      <c r="AK613" s="438">
        <v>38080</v>
      </c>
      <c r="AL613" s="414" t="str">
        <f t="shared" si="55"/>
        <v>워커힐 시그니처 양념 본갈비 300g, 8개</v>
      </c>
      <c r="AM613" s="395">
        <f t="shared" si="56"/>
        <v>46065</v>
      </c>
      <c r="AN613" s="396">
        <f t="shared" si="57"/>
        <v>1</v>
      </c>
      <c r="AO613" s="109">
        <f t="shared" si="58"/>
        <v>119000</v>
      </c>
      <c r="AP613" s="109">
        <f t="shared" si="59"/>
        <v>108181.81818181818</v>
      </c>
      <c r="AQ613" s="397">
        <f t="shared" si="60"/>
        <v>108181.81818181818</v>
      </c>
    </row>
    <row r="614" spans="1:43" ht="24">
      <c r="A614" s="436" t="s">
        <v>5103</v>
      </c>
      <c r="B614" s="436" t="s">
        <v>3490</v>
      </c>
      <c r="C614" s="437" t="s">
        <v>3491</v>
      </c>
      <c r="D614" s="436" t="s">
        <v>4876</v>
      </c>
      <c r="E614" s="437" t="s">
        <v>3752</v>
      </c>
      <c r="F614" s="436" t="s">
        <v>3494</v>
      </c>
      <c r="G614" s="436" t="s">
        <v>3495</v>
      </c>
      <c r="H614" s="437" t="s">
        <v>3496</v>
      </c>
      <c r="I614" s="436" t="s">
        <v>3497</v>
      </c>
      <c r="J614" s="437" t="s">
        <v>3498</v>
      </c>
      <c r="K614" s="437" t="s">
        <v>3499</v>
      </c>
      <c r="L614" s="436" t="s">
        <v>3500</v>
      </c>
      <c r="M614" s="436" t="s">
        <v>4809</v>
      </c>
      <c r="N614" s="436" t="s">
        <v>3502</v>
      </c>
      <c r="O614" s="438">
        <v>119000</v>
      </c>
      <c r="P614" s="438">
        <v>80920</v>
      </c>
      <c r="Q614" s="438">
        <v>1</v>
      </c>
      <c r="R614" s="438">
        <v>0</v>
      </c>
      <c r="S614" s="438">
        <v>0</v>
      </c>
      <c r="T614" s="438">
        <v>0</v>
      </c>
      <c r="U614" s="438">
        <v>0</v>
      </c>
      <c r="V614" s="438">
        <v>0</v>
      </c>
      <c r="W614" s="438">
        <v>32</v>
      </c>
      <c r="X614" s="438">
        <v>0</v>
      </c>
      <c r="Y614" s="438">
        <v>0</v>
      </c>
      <c r="Z614" s="438">
        <v>0</v>
      </c>
      <c r="AA614" s="438">
        <v>0</v>
      </c>
      <c r="AB614" s="438">
        <v>0</v>
      </c>
      <c r="AC614" s="438">
        <v>119000</v>
      </c>
      <c r="AD614" s="438">
        <v>80920</v>
      </c>
      <c r="AE614" s="438">
        <v>0</v>
      </c>
      <c r="AF614" s="438">
        <v>0</v>
      </c>
      <c r="AG614" s="438">
        <v>119000</v>
      </c>
      <c r="AH614" s="438">
        <v>80920</v>
      </c>
      <c r="AI614" s="438">
        <v>34618</v>
      </c>
      <c r="AJ614" s="438">
        <v>3462</v>
      </c>
      <c r="AK614" s="438">
        <v>38080</v>
      </c>
      <c r="AL614" s="414" t="str">
        <f t="shared" si="55"/>
        <v>워커힐 시그니처 양념 본갈비 300g, 8개</v>
      </c>
      <c r="AM614" s="395">
        <f t="shared" si="56"/>
        <v>46065</v>
      </c>
      <c r="AN614" s="396">
        <f t="shared" si="57"/>
        <v>1</v>
      </c>
      <c r="AO614" s="109">
        <f t="shared" si="58"/>
        <v>119000</v>
      </c>
      <c r="AP614" s="109">
        <f t="shared" si="59"/>
        <v>108181.81818181818</v>
      </c>
      <c r="AQ614" s="397">
        <f t="shared" si="60"/>
        <v>108181.81818181818</v>
      </c>
    </row>
    <row r="615" spans="1:43" ht="24">
      <c r="A615" s="436" t="s">
        <v>5105</v>
      </c>
      <c r="B615" s="436" t="s">
        <v>3490</v>
      </c>
      <c r="C615" s="437" t="s">
        <v>3491</v>
      </c>
      <c r="D615" s="436" t="s">
        <v>4878</v>
      </c>
      <c r="E615" s="437" t="s">
        <v>3823</v>
      </c>
      <c r="F615" s="436" t="s">
        <v>3494</v>
      </c>
      <c r="G615" s="436" t="s">
        <v>3495</v>
      </c>
      <c r="H615" s="437" t="s">
        <v>3496</v>
      </c>
      <c r="I615" s="436" t="s">
        <v>3497</v>
      </c>
      <c r="J615" s="437" t="s">
        <v>3498</v>
      </c>
      <c r="K615" s="437" t="s">
        <v>3499</v>
      </c>
      <c r="L615" s="436" t="s">
        <v>3500</v>
      </c>
      <c r="M615" s="436" t="s">
        <v>4809</v>
      </c>
      <c r="N615" s="436" t="s">
        <v>3502</v>
      </c>
      <c r="O615" s="438">
        <v>119000</v>
      </c>
      <c r="P615" s="438">
        <v>80920</v>
      </c>
      <c r="Q615" s="438">
        <v>1</v>
      </c>
      <c r="R615" s="438">
        <v>0</v>
      </c>
      <c r="S615" s="438">
        <v>0</v>
      </c>
      <c r="T615" s="438">
        <v>0</v>
      </c>
      <c r="U615" s="438">
        <v>0</v>
      </c>
      <c r="V615" s="438">
        <v>0</v>
      </c>
      <c r="W615" s="438">
        <v>32</v>
      </c>
      <c r="X615" s="438">
        <v>0</v>
      </c>
      <c r="Y615" s="438">
        <v>0</v>
      </c>
      <c r="Z615" s="438">
        <v>0</v>
      </c>
      <c r="AA615" s="438">
        <v>0</v>
      </c>
      <c r="AB615" s="438">
        <v>0</v>
      </c>
      <c r="AC615" s="438">
        <v>119000</v>
      </c>
      <c r="AD615" s="438">
        <v>80920</v>
      </c>
      <c r="AE615" s="438">
        <v>0</v>
      </c>
      <c r="AF615" s="438">
        <v>0</v>
      </c>
      <c r="AG615" s="438">
        <v>119000</v>
      </c>
      <c r="AH615" s="438">
        <v>80920</v>
      </c>
      <c r="AI615" s="438">
        <v>34618</v>
      </c>
      <c r="AJ615" s="438">
        <v>3462</v>
      </c>
      <c r="AK615" s="438">
        <v>38080</v>
      </c>
      <c r="AL615" s="414" t="str">
        <f t="shared" si="55"/>
        <v>워커힐 시그니처 양념 본갈비 300g, 8개</v>
      </c>
      <c r="AM615" s="395">
        <f t="shared" si="56"/>
        <v>46065</v>
      </c>
      <c r="AN615" s="396">
        <f t="shared" si="57"/>
        <v>1</v>
      </c>
      <c r="AO615" s="109">
        <f t="shared" si="58"/>
        <v>119000</v>
      </c>
      <c r="AP615" s="109">
        <f t="shared" si="59"/>
        <v>108181.81818181818</v>
      </c>
      <c r="AQ615" s="397">
        <f t="shared" si="60"/>
        <v>108181.81818181818</v>
      </c>
    </row>
    <row r="616" spans="1:43" ht="24">
      <c r="A616" s="436" t="s">
        <v>5107</v>
      </c>
      <c r="B616" s="436" t="s">
        <v>3490</v>
      </c>
      <c r="C616" s="437" t="s">
        <v>3491</v>
      </c>
      <c r="D616" s="436" t="s">
        <v>4912</v>
      </c>
      <c r="E616" s="437" t="s">
        <v>4913</v>
      </c>
      <c r="F616" s="436" t="s">
        <v>3494</v>
      </c>
      <c r="G616" s="436" t="s">
        <v>3495</v>
      </c>
      <c r="H616" s="437" t="s">
        <v>3496</v>
      </c>
      <c r="I616" s="436" t="s">
        <v>3497</v>
      </c>
      <c r="J616" s="437" t="s">
        <v>3498</v>
      </c>
      <c r="K616" s="437" t="s">
        <v>3499</v>
      </c>
      <c r="L616" s="436" t="s">
        <v>3500</v>
      </c>
      <c r="M616" s="436" t="s">
        <v>4809</v>
      </c>
      <c r="N616" s="436" t="s">
        <v>3502</v>
      </c>
      <c r="O616" s="438">
        <v>119000</v>
      </c>
      <c r="P616" s="438">
        <v>80920</v>
      </c>
      <c r="Q616" s="438">
        <v>1</v>
      </c>
      <c r="R616" s="438">
        <v>0</v>
      </c>
      <c r="S616" s="438">
        <v>0</v>
      </c>
      <c r="T616" s="438">
        <v>0</v>
      </c>
      <c r="U616" s="438">
        <v>0</v>
      </c>
      <c r="V616" s="438">
        <v>0</v>
      </c>
      <c r="W616" s="438">
        <v>32</v>
      </c>
      <c r="X616" s="438">
        <v>0</v>
      </c>
      <c r="Y616" s="438">
        <v>0</v>
      </c>
      <c r="Z616" s="438">
        <v>0</v>
      </c>
      <c r="AA616" s="438">
        <v>0</v>
      </c>
      <c r="AB616" s="438">
        <v>0</v>
      </c>
      <c r="AC616" s="438">
        <v>119000</v>
      </c>
      <c r="AD616" s="438">
        <v>80920</v>
      </c>
      <c r="AE616" s="438">
        <v>0</v>
      </c>
      <c r="AF616" s="438">
        <v>0</v>
      </c>
      <c r="AG616" s="438">
        <v>119000</v>
      </c>
      <c r="AH616" s="438">
        <v>80920</v>
      </c>
      <c r="AI616" s="438">
        <v>34618</v>
      </c>
      <c r="AJ616" s="438">
        <v>3462</v>
      </c>
      <c r="AK616" s="438">
        <v>38080</v>
      </c>
      <c r="AL616" s="414" t="str">
        <f t="shared" si="55"/>
        <v>워커힐 시그니처 양념 본갈비 300g, 8개</v>
      </c>
      <c r="AM616" s="395">
        <f t="shared" si="56"/>
        <v>46065</v>
      </c>
      <c r="AN616" s="396">
        <f t="shared" si="57"/>
        <v>1</v>
      </c>
      <c r="AO616" s="109">
        <f t="shared" si="58"/>
        <v>119000</v>
      </c>
      <c r="AP616" s="109">
        <f t="shared" si="59"/>
        <v>108181.81818181818</v>
      </c>
      <c r="AQ616" s="397">
        <f t="shared" si="60"/>
        <v>108181.81818181818</v>
      </c>
    </row>
    <row r="617" spans="1:43" ht="24">
      <c r="A617" s="436" t="s">
        <v>5110</v>
      </c>
      <c r="B617" s="436" t="s">
        <v>3490</v>
      </c>
      <c r="C617" s="437" t="s">
        <v>3491</v>
      </c>
      <c r="D617" s="436" t="s">
        <v>4917</v>
      </c>
      <c r="E617" s="437" t="s">
        <v>4918</v>
      </c>
      <c r="F617" s="436" t="s">
        <v>3494</v>
      </c>
      <c r="G617" s="436" t="s">
        <v>3495</v>
      </c>
      <c r="H617" s="437" t="s">
        <v>3496</v>
      </c>
      <c r="I617" s="436" t="s">
        <v>3497</v>
      </c>
      <c r="J617" s="437" t="s">
        <v>3498</v>
      </c>
      <c r="K617" s="437" t="s">
        <v>3499</v>
      </c>
      <c r="L617" s="436" t="s">
        <v>3500</v>
      </c>
      <c r="M617" s="436" t="s">
        <v>4809</v>
      </c>
      <c r="N617" s="436" t="s">
        <v>3502</v>
      </c>
      <c r="O617" s="438">
        <v>119000</v>
      </c>
      <c r="P617" s="438">
        <v>80920</v>
      </c>
      <c r="Q617" s="438">
        <v>1</v>
      </c>
      <c r="R617" s="438">
        <v>0</v>
      </c>
      <c r="S617" s="438">
        <v>0</v>
      </c>
      <c r="T617" s="438">
        <v>0</v>
      </c>
      <c r="U617" s="438">
        <v>0</v>
      </c>
      <c r="V617" s="438">
        <v>0</v>
      </c>
      <c r="W617" s="438">
        <v>32</v>
      </c>
      <c r="X617" s="438">
        <v>0</v>
      </c>
      <c r="Y617" s="438">
        <v>5000</v>
      </c>
      <c r="Z617" s="438">
        <v>0</v>
      </c>
      <c r="AA617" s="438">
        <v>0</v>
      </c>
      <c r="AB617" s="438">
        <v>0</v>
      </c>
      <c r="AC617" s="438">
        <v>119000</v>
      </c>
      <c r="AD617" s="438">
        <v>80920</v>
      </c>
      <c r="AE617" s="438">
        <v>0</v>
      </c>
      <c r="AF617" s="438">
        <v>5000</v>
      </c>
      <c r="AG617" s="438">
        <v>114000</v>
      </c>
      <c r="AH617" s="438">
        <v>80920</v>
      </c>
      <c r="AI617" s="438">
        <v>30073</v>
      </c>
      <c r="AJ617" s="438">
        <v>3007</v>
      </c>
      <c r="AK617" s="438">
        <v>33080</v>
      </c>
      <c r="AL617" s="414" t="str">
        <f t="shared" si="55"/>
        <v>워커힐 시그니처 양념 본갈비 300g, 8개</v>
      </c>
      <c r="AM617" s="395">
        <f t="shared" si="56"/>
        <v>46065</v>
      </c>
      <c r="AN617" s="396">
        <f t="shared" si="57"/>
        <v>1</v>
      </c>
      <c r="AO617" s="109">
        <f t="shared" si="58"/>
        <v>119000</v>
      </c>
      <c r="AP617" s="109">
        <f t="shared" si="59"/>
        <v>108181.81818181818</v>
      </c>
      <c r="AQ617" s="397">
        <f t="shared" si="60"/>
        <v>108181.81818181818</v>
      </c>
    </row>
    <row r="618" spans="1:43" ht="24">
      <c r="A618" s="436" t="s">
        <v>5112</v>
      </c>
      <c r="B618" s="436" t="s">
        <v>3490</v>
      </c>
      <c r="C618" s="437" t="s">
        <v>3491</v>
      </c>
      <c r="D618" s="436" t="s">
        <v>4902</v>
      </c>
      <c r="E618" s="437" t="s">
        <v>4903</v>
      </c>
      <c r="F618" s="436" t="s">
        <v>3494</v>
      </c>
      <c r="G618" s="436" t="s">
        <v>3495</v>
      </c>
      <c r="H618" s="437" t="s">
        <v>3496</v>
      </c>
      <c r="I618" s="436" t="s">
        <v>3497</v>
      </c>
      <c r="J618" s="437" t="s">
        <v>3498</v>
      </c>
      <c r="K618" s="437" t="s">
        <v>3499</v>
      </c>
      <c r="L618" s="436" t="s">
        <v>3500</v>
      </c>
      <c r="M618" s="436" t="s">
        <v>4809</v>
      </c>
      <c r="N618" s="436" t="s">
        <v>3502</v>
      </c>
      <c r="O618" s="438">
        <v>119000</v>
      </c>
      <c r="P618" s="438">
        <v>80920</v>
      </c>
      <c r="Q618" s="438">
        <v>1</v>
      </c>
      <c r="R618" s="438">
        <v>0</v>
      </c>
      <c r="S618" s="438">
        <v>0</v>
      </c>
      <c r="T618" s="438">
        <v>0</v>
      </c>
      <c r="U618" s="438">
        <v>0</v>
      </c>
      <c r="V618" s="438">
        <v>0</v>
      </c>
      <c r="W618" s="438">
        <v>32</v>
      </c>
      <c r="X618" s="438">
        <v>0</v>
      </c>
      <c r="Y618" s="438">
        <v>0</v>
      </c>
      <c r="Z618" s="438">
        <v>0</v>
      </c>
      <c r="AA618" s="438">
        <v>0</v>
      </c>
      <c r="AB618" s="438">
        <v>0</v>
      </c>
      <c r="AC618" s="438">
        <v>119000</v>
      </c>
      <c r="AD618" s="438">
        <v>80920</v>
      </c>
      <c r="AE618" s="438">
        <v>0</v>
      </c>
      <c r="AF618" s="438">
        <v>0</v>
      </c>
      <c r="AG618" s="438">
        <v>119000</v>
      </c>
      <c r="AH618" s="438">
        <v>80920</v>
      </c>
      <c r="AI618" s="438">
        <v>34618</v>
      </c>
      <c r="AJ618" s="438">
        <v>3462</v>
      </c>
      <c r="AK618" s="438">
        <v>38080</v>
      </c>
      <c r="AL618" s="414" t="str">
        <f t="shared" si="55"/>
        <v>워커힐 시그니처 양념 본갈비 300g, 8개</v>
      </c>
      <c r="AM618" s="395">
        <f t="shared" si="56"/>
        <v>46065</v>
      </c>
      <c r="AN618" s="396">
        <f t="shared" si="57"/>
        <v>1</v>
      </c>
      <c r="AO618" s="109">
        <f t="shared" si="58"/>
        <v>119000</v>
      </c>
      <c r="AP618" s="109">
        <f t="shared" si="59"/>
        <v>108181.81818181818</v>
      </c>
      <c r="AQ618" s="397">
        <f t="shared" si="60"/>
        <v>108181.81818181818</v>
      </c>
    </row>
    <row r="619" spans="1:43" ht="24">
      <c r="A619" s="436" t="s">
        <v>5115</v>
      </c>
      <c r="B619" s="436" t="s">
        <v>3490</v>
      </c>
      <c r="C619" s="437" t="s">
        <v>3491</v>
      </c>
      <c r="D619" s="436" t="s">
        <v>4920</v>
      </c>
      <c r="E619" s="437" t="s">
        <v>4921</v>
      </c>
      <c r="F619" s="436" t="s">
        <v>3494</v>
      </c>
      <c r="G619" s="436" t="s">
        <v>3495</v>
      </c>
      <c r="H619" s="437" t="s">
        <v>3496</v>
      </c>
      <c r="I619" s="436" t="s">
        <v>3497</v>
      </c>
      <c r="J619" s="437" t="s">
        <v>3498</v>
      </c>
      <c r="K619" s="437" t="s">
        <v>3499</v>
      </c>
      <c r="L619" s="436" t="s">
        <v>3500</v>
      </c>
      <c r="M619" s="436" t="s">
        <v>4809</v>
      </c>
      <c r="N619" s="436" t="s">
        <v>3502</v>
      </c>
      <c r="O619" s="438">
        <v>119000</v>
      </c>
      <c r="P619" s="438">
        <v>80920</v>
      </c>
      <c r="Q619" s="438">
        <v>1</v>
      </c>
      <c r="R619" s="438">
        <v>0</v>
      </c>
      <c r="S619" s="438">
        <v>0</v>
      </c>
      <c r="T619" s="438">
        <v>0</v>
      </c>
      <c r="U619" s="438">
        <v>0</v>
      </c>
      <c r="V619" s="438">
        <v>0</v>
      </c>
      <c r="W619" s="438">
        <v>32</v>
      </c>
      <c r="X619" s="438">
        <v>0</v>
      </c>
      <c r="Y619" s="438">
        <v>0</v>
      </c>
      <c r="Z619" s="438">
        <v>0</v>
      </c>
      <c r="AA619" s="438">
        <v>0</v>
      </c>
      <c r="AB619" s="438">
        <v>0</v>
      </c>
      <c r="AC619" s="438">
        <v>119000</v>
      </c>
      <c r="AD619" s="438">
        <v>80920</v>
      </c>
      <c r="AE619" s="438">
        <v>0</v>
      </c>
      <c r="AF619" s="438">
        <v>0</v>
      </c>
      <c r="AG619" s="438">
        <v>119000</v>
      </c>
      <c r="AH619" s="438">
        <v>80920</v>
      </c>
      <c r="AI619" s="438">
        <v>34618</v>
      </c>
      <c r="AJ619" s="438">
        <v>3462</v>
      </c>
      <c r="AK619" s="438">
        <v>38080</v>
      </c>
      <c r="AL619" s="414" t="str">
        <f t="shared" si="55"/>
        <v>워커힐 시그니처 양념 본갈비 300g, 8개</v>
      </c>
      <c r="AM619" s="395">
        <f t="shared" si="56"/>
        <v>46065</v>
      </c>
      <c r="AN619" s="396">
        <f t="shared" si="57"/>
        <v>1</v>
      </c>
      <c r="AO619" s="109">
        <f t="shared" si="58"/>
        <v>119000</v>
      </c>
      <c r="AP619" s="109">
        <f t="shared" si="59"/>
        <v>108181.81818181818</v>
      </c>
      <c r="AQ619" s="397">
        <f t="shared" si="60"/>
        <v>108181.81818181818</v>
      </c>
    </row>
    <row r="620" spans="1:43" ht="24">
      <c r="A620" s="436" t="s">
        <v>5117</v>
      </c>
      <c r="B620" s="436" t="s">
        <v>3490</v>
      </c>
      <c r="C620" s="437" t="s">
        <v>3491</v>
      </c>
      <c r="D620" s="436" t="s">
        <v>4888</v>
      </c>
      <c r="E620" s="437" t="s">
        <v>4889</v>
      </c>
      <c r="F620" s="436" t="s">
        <v>3494</v>
      </c>
      <c r="G620" s="436" t="s">
        <v>3495</v>
      </c>
      <c r="H620" s="437" t="s">
        <v>3496</v>
      </c>
      <c r="I620" s="436" t="s">
        <v>3497</v>
      </c>
      <c r="J620" s="437" t="s">
        <v>3498</v>
      </c>
      <c r="K620" s="437" t="s">
        <v>3499</v>
      </c>
      <c r="L620" s="436" t="s">
        <v>3500</v>
      </c>
      <c r="M620" s="436" t="s">
        <v>4809</v>
      </c>
      <c r="N620" s="436" t="s">
        <v>3502</v>
      </c>
      <c r="O620" s="438">
        <v>119000</v>
      </c>
      <c r="P620" s="438">
        <v>80920</v>
      </c>
      <c r="Q620" s="438">
        <v>1</v>
      </c>
      <c r="R620" s="438">
        <v>0</v>
      </c>
      <c r="S620" s="438">
        <v>0</v>
      </c>
      <c r="T620" s="438">
        <v>0</v>
      </c>
      <c r="U620" s="438">
        <v>0</v>
      </c>
      <c r="V620" s="438">
        <v>0</v>
      </c>
      <c r="W620" s="438">
        <v>32</v>
      </c>
      <c r="X620" s="438">
        <v>0</v>
      </c>
      <c r="Y620" s="438">
        <v>0</v>
      </c>
      <c r="Z620" s="438">
        <v>0</v>
      </c>
      <c r="AA620" s="438">
        <v>0</v>
      </c>
      <c r="AB620" s="438">
        <v>0</v>
      </c>
      <c r="AC620" s="438">
        <v>119000</v>
      </c>
      <c r="AD620" s="438">
        <v>80920</v>
      </c>
      <c r="AE620" s="438">
        <v>0</v>
      </c>
      <c r="AF620" s="438">
        <v>0</v>
      </c>
      <c r="AG620" s="438">
        <v>119000</v>
      </c>
      <c r="AH620" s="438">
        <v>80920</v>
      </c>
      <c r="AI620" s="438">
        <v>34618</v>
      </c>
      <c r="AJ620" s="438">
        <v>3462</v>
      </c>
      <c r="AK620" s="438">
        <v>38080</v>
      </c>
      <c r="AL620" s="414" t="str">
        <f t="shared" si="55"/>
        <v>워커힐 시그니처 양념 본갈비 300g, 8개</v>
      </c>
      <c r="AM620" s="395">
        <f t="shared" si="56"/>
        <v>46065</v>
      </c>
      <c r="AN620" s="396">
        <f t="shared" si="57"/>
        <v>1</v>
      </c>
      <c r="AO620" s="109">
        <f t="shared" si="58"/>
        <v>119000</v>
      </c>
      <c r="AP620" s="109">
        <f t="shared" si="59"/>
        <v>108181.81818181818</v>
      </c>
      <c r="AQ620" s="397">
        <f t="shared" si="60"/>
        <v>108181.81818181818</v>
      </c>
    </row>
    <row r="621" spans="1:43" ht="24">
      <c r="A621" s="436" t="s">
        <v>5120</v>
      </c>
      <c r="B621" s="436" t="s">
        <v>3490</v>
      </c>
      <c r="C621" s="437" t="s">
        <v>3491</v>
      </c>
      <c r="D621" s="436" t="s">
        <v>4934</v>
      </c>
      <c r="E621" s="437" t="s">
        <v>4935</v>
      </c>
      <c r="F621" s="436" t="s">
        <v>3494</v>
      </c>
      <c r="G621" s="436" t="s">
        <v>3495</v>
      </c>
      <c r="H621" s="437" t="s">
        <v>3496</v>
      </c>
      <c r="I621" s="436" t="s">
        <v>3497</v>
      </c>
      <c r="J621" s="437" t="s">
        <v>3498</v>
      </c>
      <c r="K621" s="437" t="s">
        <v>3499</v>
      </c>
      <c r="L621" s="436" t="s">
        <v>3500</v>
      </c>
      <c r="M621" s="436" t="s">
        <v>4809</v>
      </c>
      <c r="N621" s="436" t="s">
        <v>3502</v>
      </c>
      <c r="O621" s="438">
        <v>119000</v>
      </c>
      <c r="P621" s="438">
        <v>80920</v>
      </c>
      <c r="Q621" s="438">
        <v>1</v>
      </c>
      <c r="R621" s="438">
        <v>0</v>
      </c>
      <c r="S621" s="438">
        <v>0</v>
      </c>
      <c r="T621" s="438">
        <v>0</v>
      </c>
      <c r="U621" s="438">
        <v>0</v>
      </c>
      <c r="V621" s="438">
        <v>0</v>
      </c>
      <c r="W621" s="438">
        <v>32</v>
      </c>
      <c r="X621" s="438">
        <v>0</v>
      </c>
      <c r="Y621" s="438">
        <v>0</v>
      </c>
      <c r="Z621" s="438">
        <v>0</v>
      </c>
      <c r="AA621" s="438">
        <v>0</v>
      </c>
      <c r="AB621" s="438">
        <v>0</v>
      </c>
      <c r="AC621" s="438">
        <v>119000</v>
      </c>
      <c r="AD621" s="438">
        <v>80920</v>
      </c>
      <c r="AE621" s="438">
        <v>0</v>
      </c>
      <c r="AF621" s="438">
        <v>0</v>
      </c>
      <c r="AG621" s="438">
        <v>119000</v>
      </c>
      <c r="AH621" s="438">
        <v>80920</v>
      </c>
      <c r="AI621" s="438">
        <v>34618</v>
      </c>
      <c r="AJ621" s="438">
        <v>3462</v>
      </c>
      <c r="AK621" s="438">
        <v>38080</v>
      </c>
      <c r="AL621" s="414" t="str">
        <f t="shared" si="55"/>
        <v>워커힐 시그니처 양념 본갈비 300g, 8개</v>
      </c>
      <c r="AM621" s="395">
        <f t="shared" si="56"/>
        <v>46065</v>
      </c>
      <c r="AN621" s="396">
        <f t="shared" si="57"/>
        <v>1</v>
      </c>
      <c r="AO621" s="109">
        <f t="shared" si="58"/>
        <v>119000</v>
      </c>
      <c r="AP621" s="109">
        <f t="shared" si="59"/>
        <v>108181.81818181818</v>
      </c>
      <c r="AQ621" s="397">
        <f t="shared" si="60"/>
        <v>108181.81818181818</v>
      </c>
    </row>
    <row r="622" spans="1:43" ht="24">
      <c r="A622" s="436" t="s">
        <v>5122</v>
      </c>
      <c r="B622" s="436" t="s">
        <v>3490</v>
      </c>
      <c r="C622" s="437" t="s">
        <v>3491</v>
      </c>
      <c r="D622" s="436" t="s">
        <v>4940</v>
      </c>
      <c r="E622" s="437" t="s">
        <v>3561</v>
      </c>
      <c r="F622" s="436" t="s">
        <v>3494</v>
      </c>
      <c r="G622" s="436" t="s">
        <v>3495</v>
      </c>
      <c r="H622" s="437" t="s">
        <v>3496</v>
      </c>
      <c r="I622" s="436" t="s">
        <v>3497</v>
      </c>
      <c r="J622" s="437" t="s">
        <v>3498</v>
      </c>
      <c r="K622" s="437" t="s">
        <v>3499</v>
      </c>
      <c r="L622" s="436" t="s">
        <v>3500</v>
      </c>
      <c r="M622" s="436" t="s">
        <v>4809</v>
      </c>
      <c r="N622" s="436" t="s">
        <v>3502</v>
      </c>
      <c r="O622" s="438">
        <v>119000</v>
      </c>
      <c r="P622" s="438">
        <v>80920</v>
      </c>
      <c r="Q622" s="438">
        <v>1</v>
      </c>
      <c r="R622" s="438">
        <v>0</v>
      </c>
      <c r="S622" s="438">
        <v>0</v>
      </c>
      <c r="T622" s="438">
        <v>0</v>
      </c>
      <c r="U622" s="438">
        <v>0</v>
      </c>
      <c r="V622" s="438">
        <v>0</v>
      </c>
      <c r="W622" s="438">
        <v>32</v>
      </c>
      <c r="X622" s="438">
        <v>0</v>
      </c>
      <c r="Y622" s="438">
        <v>0</v>
      </c>
      <c r="Z622" s="438">
        <v>0</v>
      </c>
      <c r="AA622" s="438">
        <v>0</v>
      </c>
      <c r="AB622" s="438">
        <v>0</v>
      </c>
      <c r="AC622" s="438">
        <v>119000</v>
      </c>
      <c r="AD622" s="438">
        <v>80920</v>
      </c>
      <c r="AE622" s="438">
        <v>0</v>
      </c>
      <c r="AF622" s="438">
        <v>0</v>
      </c>
      <c r="AG622" s="438">
        <v>119000</v>
      </c>
      <c r="AH622" s="438">
        <v>80920</v>
      </c>
      <c r="AI622" s="438">
        <v>34618</v>
      </c>
      <c r="AJ622" s="438">
        <v>3462</v>
      </c>
      <c r="AK622" s="438">
        <v>38080</v>
      </c>
      <c r="AL622" s="414" t="str">
        <f t="shared" si="55"/>
        <v>워커힐 시그니처 양념 본갈비 300g, 8개</v>
      </c>
      <c r="AM622" s="395">
        <f t="shared" si="56"/>
        <v>46065</v>
      </c>
      <c r="AN622" s="396">
        <f t="shared" si="57"/>
        <v>1</v>
      </c>
      <c r="AO622" s="109">
        <f t="shared" si="58"/>
        <v>119000</v>
      </c>
      <c r="AP622" s="109">
        <f t="shared" si="59"/>
        <v>108181.81818181818</v>
      </c>
      <c r="AQ622" s="397">
        <f t="shared" si="60"/>
        <v>108181.81818181818</v>
      </c>
    </row>
    <row r="623" spans="1:43" ht="24">
      <c r="A623" s="436" t="s">
        <v>5124</v>
      </c>
      <c r="B623" s="436" t="s">
        <v>3490</v>
      </c>
      <c r="C623" s="437" t="s">
        <v>3491</v>
      </c>
      <c r="D623" s="436" t="s">
        <v>4942</v>
      </c>
      <c r="E623" s="437" t="s">
        <v>4943</v>
      </c>
      <c r="F623" s="436" t="s">
        <v>3494</v>
      </c>
      <c r="G623" s="436" t="s">
        <v>3495</v>
      </c>
      <c r="H623" s="437" t="s">
        <v>3496</v>
      </c>
      <c r="I623" s="436" t="s">
        <v>3497</v>
      </c>
      <c r="J623" s="437" t="s">
        <v>3498</v>
      </c>
      <c r="K623" s="437" t="s">
        <v>3499</v>
      </c>
      <c r="L623" s="436" t="s">
        <v>3500</v>
      </c>
      <c r="M623" s="436" t="s">
        <v>4809</v>
      </c>
      <c r="N623" s="436" t="s">
        <v>3502</v>
      </c>
      <c r="O623" s="438">
        <v>119000</v>
      </c>
      <c r="P623" s="438">
        <v>80920</v>
      </c>
      <c r="Q623" s="438">
        <v>1</v>
      </c>
      <c r="R623" s="438">
        <v>0</v>
      </c>
      <c r="S623" s="438">
        <v>0</v>
      </c>
      <c r="T623" s="438">
        <v>0</v>
      </c>
      <c r="U623" s="438">
        <v>0</v>
      </c>
      <c r="V623" s="438">
        <v>0</v>
      </c>
      <c r="W623" s="438">
        <v>32</v>
      </c>
      <c r="X623" s="438">
        <v>0</v>
      </c>
      <c r="Y623" s="438">
        <v>0</v>
      </c>
      <c r="Z623" s="438">
        <v>0</v>
      </c>
      <c r="AA623" s="438">
        <v>0</v>
      </c>
      <c r="AB623" s="438">
        <v>0</v>
      </c>
      <c r="AC623" s="438">
        <v>119000</v>
      </c>
      <c r="AD623" s="438">
        <v>80920</v>
      </c>
      <c r="AE623" s="438">
        <v>0</v>
      </c>
      <c r="AF623" s="438">
        <v>0</v>
      </c>
      <c r="AG623" s="438">
        <v>119000</v>
      </c>
      <c r="AH623" s="438">
        <v>80920</v>
      </c>
      <c r="AI623" s="438">
        <v>34618</v>
      </c>
      <c r="AJ623" s="438">
        <v>3462</v>
      </c>
      <c r="AK623" s="438">
        <v>38080</v>
      </c>
      <c r="AL623" s="414" t="str">
        <f t="shared" si="55"/>
        <v>워커힐 시그니처 양념 본갈비 300g, 8개</v>
      </c>
      <c r="AM623" s="395">
        <f t="shared" si="56"/>
        <v>46065</v>
      </c>
      <c r="AN623" s="396">
        <f t="shared" si="57"/>
        <v>1</v>
      </c>
      <c r="AO623" s="109">
        <f t="shared" si="58"/>
        <v>119000</v>
      </c>
      <c r="AP623" s="109">
        <f t="shared" si="59"/>
        <v>108181.81818181818</v>
      </c>
      <c r="AQ623" s="397">
        <f t="shared" si="60"/>
        <v>108181.81818181818</v>
      </c>
    </row>
    <row r="624" spans="1:43" ht="24">
      <c r="A624" s="436" t="s">
        <v>5126</v>
      </c>
      <c r="B624" s="436" t="s">
        <v>3490</v>
      </c>
      <c r="C624" s="437" t="s">
        <v>3491</v>
      </c>
      <c r="D624" s="436" t="s">
        <v>4907</v>
      </c>
      <c r="E624" s="437" t="s">
        <v>4632</v>
      </c>
      <c r="F624" s="436" t="s">
        <v>3494</v>
      </c>
      <c r="G624" s="436" t="s">
        <v>3495</v>
      </c>
      <c r="H624" s="437" t="s">
        <v>3496</v>
      </c>
      <c r="I624" s="436" t="s">
        <v>3497</v>
      </c>
      <c r="J624" s="437" t="s">
        <v>3498</v>
      </c>
      <c r="K624" s="437" t="s">
        <v>3548</v>
      </c>
      <c r="L624" s="436" t="s">
        <v>3500</v>
      </c>
      <c r="M624" s="436" t="s">
        <v>4809</v>
      </c>
      <c r="N624" s="436" t="s">
        <v>3502</v>
      </c>
      <c r="O624" s="438">
        <v>119000</v>
      </c>
      <c r="P624" s="438">
        <v>80920</v>
      </c>
      <c r="Q624" s="438">
        <v>1</v>
      </c>
      <c r="R624" s="438">
        <v>0</v>
      </c>
      <c r="S624" s="438">
        <v>0</v>
      </c>
      <c r="T624" s="438">
        <v>0</v>
      </c>
      <c r="U624" s="438">
        <v>0</v>
      </c>
      <c r="V624" s="438">
        <v>0</v>
      </c>
      <c r="W624" s="438">
        <v>32</v>
      </c>
      <c r="X624" s="438">
        <v>0</v>
      </c>
      <c r="Y624" s="438">
        <v>0</v>
      </c>
      <c r="Z624" s="438">
        <v>0</v>
      </c>
      <c r="AA624" s="438">
        <v>0</v>
      </c>
      <c r="AB624" s="438">
        <v>0</v>
      </c>
      <c r="AC624" s="438">
        <v>119000</v>
      </c>
      <c r="AD624" s="438">
        <v>80920</v>
      </c>
      <c r="AE624" s="438">
        <v>0</v>
      </c>
      <c r="AF624" s="438">
        <v>0</v>
      </c>
      <c r="AG624" s="438">
        <v>119000</v>
      </c>
      <c r="AH624" s="438">
        <v>80920</v>
      </c>
      <c r="AI624" s="438">
        <v>34618</v>
      </c>
      <c r="AJ624" s="438">
        <v>3462</v>
      </c>
      <c r="AK624" s="438">
        <v>38080</v>
      </c>
      <c r="AL624" s="414" t="str">
        <f t="shared" si="55"/>
        <v>워커힐 시그니처 양념 본갈비 300g, 8개</v>
      </c>
      <c r="AM624" s="395">
        <f t="shared" si="56"/>
        <v>46065</v>
      </c>
      <c r="AN624" s="396">
        <f t="shared" si="57"/>
        <v>1</v>
      </c>
      <c r="AO624" s="109">
        <f t="shared" si="58"/>
        <v>119000</v>
      </c>
      <c r="AP624" s="109">
        <f t="shared" si="59"/>
        <v>108181.81818181818</v>
      </c>
      <c r="AQ624" s="397">
        <f t="shared" si="60"/>
        <v>108181.81818181818</v>
      </c>
    </row>
    <row r="625" spans="1:43" ht="24">
      <c r="A625" s="436" t="s">
        <v>5128</v>
      </c>
      <c r="B625" s="436" t="s">
        <v>3490</v>
      </c>
      <c r="C625" s="437" t="s">
        <v>3491</v>
      </c>
      <c r="D625" s="436" t="s">
        <v>5247</v>
      </c>
      <c r="E625" s="437" t="s">
        <v>3551</v>
      </c>
      <c r="F625" s="436" t="s">
        <v>3494</v>
      </c>
      <c r="G625" s="436" t="s">
        <v>3495</v>
      </c>
      <c r="H625" s="437" t="s">
        <v>3496</v>
      </c>
      <c r="I625" s="436" t="s">
        <v>3497</v>
      </c>
      <c r="J625" s="437" t="s">
        <v>3498</v>
      </c>
      <c r="K625" s="437" t="s">
        <v>3499</v>
      </c>
      <c r="L625" s="436" t="s">
        <v>3500</v>
      </c>
      <c r="M625" s="436" t="s">
        <v>4809</v>
      </c>
      <c r="N625" s="436" t="s">
        <v>3502</v>
      </c>
      <c r="O625" s="438">
        <v>119000</v>
      </c>
      <c r="P625" s="438">
        <v>80920</v>
      </c>
      <c r="Q625" s="438">
        <v>1</v>
      </c>
      <c r="R625" s="438">
        <v>0</v>
      </c>
      <c r="S625" s="438">
        <v>0</v>
      </c>
      <c r="T625" s="438">
        <v>0</v>
      </c>
      <c r="U625" s="438">
        <v>0</v>
      </c>
      <c r="V625" s="438">
        <v>0</v>
      </c>
      <c r="W625" s="438">
        <v>32</v>
      </c>
      <c r="X625" s="438">
        <v>0</v>
      </c>
      <c r="Y625" s="438">
        <v>0</v>
      </c>
      <c r="Z625" s="438">
        <v>0</v>
      </c>
      <c r="AA625" s="438">
        <v>0</v>
      </c>
      <c r="AB625" s="438">
        <v>0</v>
      </c>
      <c r="AC625" s="438">
        <v>119000</v>
      </c>
      <c r="AD625" s="438">
        <v>80920</v>
      </c>
      <c r="AE625" s="438">
        <v>0</v>
      </c>
      <c r="AF625" s="438">
        <v>0</v>
      </c>
      <c r="AG625" s="438">
        <v>119000</v>
      </c>
      <c r="AH625" s="438">
        <v>80920</v>
      </c>
      <c r="AI625" s="438">
        <v>34618</v>
      </c>
      <c r="AJ625" s="438">
        <v>3462</v>
      </c>
      <c r="AK625" s="438">
        <v>38080</v>
      </c>
      <c r="AL625" s="414" t="str">
        <f t="shared" si="55"/>
        <v>워커힐 시그니처 양념 본갈비 300g, 8개</v>
      </c>
      <c r="AM625" s="395">
        <f t="shared" si="56"/>
        <v>46065</v>
      </c>
      <c r="AN625" s="396">
        <f t="shared" si="57"/>
        <v>1</v>
      </c>
      <c r="AO625" s="109">
        <f t="shared" si="58"/>
        <v>119000</v>
      </c>
      <c r="AP625" s="109">
        <f t="shared" si="59"/>
        <v>108181.81818181818</v>
      </c>
      <c r="AQ625" s="397">
        <f t="shared" si="60"/>
        <v>108181.81818181818</v>
      </c>
    </row>
    <row r="626" spans="1:43" ht="24">
      <c r="A626" s="436" t="s">
        <v>5130</v>
      </c>
      <c r="B626" s="436" t="s">
        <v>3490</v>
      </c>
      <c r="C626" s="437" t="s">
        <v>3491</v>
      </c>
      <c r="D626" s="436" t="s">
        <v>5525</v>
      </c>
      <c r="E626" s="437" t="s">
        <v>5245</v>
      </c>
      <c r="F626" s="436" t="s">
        <v>3494</v>
      </c>
      <c r="G626" s="436" t="s">
        <v>3495</v>
      </c>
      <c r="H626" s="437" t="s">
        <v>3496</v>
      </c>
      <c r="I626" s="436" t="s">
        <v>3497</v>
      </c>
      <c r="J626" s="437" t="s">
        <v>3498</v>
      </c>
      <c r="K626" s="437" t="s">
        <v>3499</v>
      </c>
      <c r="L626" s="436" t="s">
        <v>3500</v>
      </c>
      <c r="M626" s="436" t="s">
        <v>4809</v>
      </c>
      <c r="N626" s="436" t="s">
        <v>3502</v>
      </c>
      <c r="O626" s="438">
        <v>119000</v>
      </c>
      <c r="P626" s="438">
        <v>80920</v>
      </c>
      <c r="Q626" s="438">
        <v>1</v>
      </c>
      <c r="R626" s="438">
        <v>0</v>
      </c>
      <c r="S626" s="438">
        <v>0</v>
      </c>
      <c r="T626" s="438">
        <v>0</v>
      </c>
      <c r="U626" s="438">
        <v>0</v>
      </c>
      <c r="V626" s="438">
        <v>0</v>
      </c>
      <c r="W626" s="438">
        <v>32</v>
      </c>
      <c r="X626" s="438">
        <v>0</v>
      </c>
      <c r="Y626" s="438">
        <v>0</v>
      </c>
      <c r="Z626" s="438">
        <v>0</v>
      </c>
      <c r="AA626" s="438">
        <v>0</v>
      </c>
      <c r="AB626" s="438">
        <v>0</v>
      </c>
      <c r="AC626" s="438">
        <v>119000</v>
      </c>
      <c r="AD626" s="438">
        <v>80920</v>
      </c>
      <c r="AE626" s="438">
        <v>0</v>
      </c>
      <c r="AF626" s="438">
        <v>0</v>
      </c>
      <c r="AG626" s="438">
        <v>119000</v>
      </c>
      <c r="AH626" s="438">
        <v>80920</v>
      </c>
      <c r="AI626" s="438">
        <v>34618</v>
      </c>
      <c r="AJ626" s="438">
        <v>3462</v>
      </c>
      <c r="AK626" s="438">
        <v>38080</v>
      </c>
      <c r="AL626" s="414" t="str">
        <f t="shared" si="55"/>
        <v>워커힐 시그니처 양념 본갈비 300g, 8개</v>
      </c>
      <c r="AM626" s="395">
        <f t="shared" si="56"/>
        <v>46065</v>
      </c>
      <c r="AN626" s="396">
        <f t="shared" si="57"/>
        <v>1</v>
      </c>
      <c r="AO626" s="109">
        <f t="shared" si="58"/>
        <v>119000</v>
      </c>
      <c r="AP626" s="109">
        <f t="shared" si="59"/>
        <v>108181.81818181818</v>
      </c>
      <c r="AQ626" s="397">
        <f t="shared" si="60"/>
        <v>108181.81818181818</v>
      </c>
    </row>
    <row r="627" spans="1:43" ht="24">
      <c r="A627" s="436" t="s">
        <v>5133</v>
      </c>
      <c r="B627" s="436" t="s">
        <v>3490</v>
      </c>
      <c r="C627" s="437" t="s">
        <v>3491</v>
      </c>
      <c r="D627" s="436" t="s">
        <v>5527</v>
      </c>
      <c r="E627" s="437" t="s">
        <v>5528</v>
      </c>
      <c r="F627" s="436" t="s">
        <v>3494</v>
      </c>
      <c r="G627" s="436" t="s">
        <v>3495</v>
      </c>
      <c r="H627" s="437" t="s">
        <v>3496</v>
      </c>
      <c r="I627" s="436" t="s">
        <v>3497</v>
      </c>
      <c r="J627" s="437" t="s">
        <v>3498</v>
      </c>
      <c r="K627" s="437" t="s">
        <v>3548</v>
      </c>
      <c r="L627" s="436" t="s">
        <v>3500</v>
      </c>
      <c r="M627" s="436" t="s">
        <v>4809</v>
      </c>
      <c r="N627" s="436" t="s">
        <v>3502</v>
      </c>
      <c r="O627" s="438">
        <v>119000</v>
      </c>
      <c r="P627" s="438">
        <v>80920</v>
      </c>
      <c r="Q627" s="438">
        <v>1</v>
      </c>
      <c r="R627" s="438">
        <v>0</v>
      </c>
      <c r="S627" s="438">
        <v>0</v>
      </c>
      <c r="T627" s="438">
        <v>0</v>
      </c>
      <c r="U627" s="438">
        <v>0</v>
      </c>
      <c r="V627" s="438">
        <v>0</v>
      </c>
      <c r="W627" s="438">
        <v>32</v>
      </c>
      <c r="X627" s="438">
        <v>0</v>
      </c>
      <c r="Y627" s="438">
        <v>0</v>
      </c>
      <c r="Z627" s="438">
        <v>0</v>
      </c>
      <c r="AA627" s="438">
        <v>0</v>
      </c>
      <c r="AB627" s="438">
        <v>0</v>
      </c>
      <c r="AC627" s="438">
        <v>119000</v>
      </c>
      <c r="AD627" s="438">
        <v>80920</v>
      </c>
      <c r="AE627" s="438">
        <v>0</v>
      </c>
      <c r="AF627" s="438">
        <v>0</v>
      </c>
      <c r="AG627" s="438">
        <v>119000</v>
      </c>
      <c r="AH627" s="438">
        <v>80920</v>
      </c>
      <c r="AI627" s="438">
        <v>34618</v>
      </c>
      <c r="AJ627" s="438">
        <v>3462</v>
      </c>
      <c r="AK627" s="438">
        <v>38080</v>
      </c>
      <c r="AL627" s="414" t="str">
        <f t="shared" si="55"/>
        <v>워커힐 시그니처 양념 본갈비 300g, 8개</v>
      </c>
      <c r="AM627" s="395">
        <f t="shared" si="56"/>
        <v>46065</v>
      </c>
      <c r="AN627" s="396">
        <f t="shared" si="57"/>
        <v>1</v>
      </c>
      <c r="AO627" s="109">
        <f t="shared" si="58"/>
        <v>119000</v>
      </c>
      <c r="AP627" s="109">
        <f t="shared" si="59"/>
        <v>108181.81818181818</v>
      </c>
      <c r="AQ627" s="397">
        <f t="shared" si="60"/>
        <v>108181.81818181818</v>
      </c>
    </row>
    <row r="628" spans="1:43" ht="24">
      <c r="A628" s="436" t="s">
        <v>5135</v>
      </c>
      <c r="B628" s="436" t="s">
        <v>3490</v>
      </c>
      <c r="C628" s="437" t="s">
        <v>3491</v>
      </c>
      <c r="D628" s="436" t="s">
        <v>5405</v>
      </c>
      <c r="E628" s="437" t="s">
        <v>3823</v>
      </c>
      <c r="F628" s="436" t="s">
        <v>3494</v>
      </c>
      <c r="G628" s="436" t="s">
        <v>3495</v>
      </c>
      <c r="H628" s="437" t="s">
        <v>3496</v>
      </c>
      <c r="I628" s="436" t="s">
        <v>3497</v>
      </c>
      <c r="J628" s="437" t="s">
        <v>3498</v>
      </c>
      <c r="K628" s="437" t="s">
        <v>3499</v>
      </c>
      <c r="L628" s="436" t="s">
        <v>3500</v>
      </c>
      <c r="M628" s="436" t="s">
        <v>4809</v>
      </c>
      <c r="N628" s="436" t="s">
        <v>3502</v>
      </c>
      <c r="O628" s="438">
        <v>119000</v>
      </c>
      <c r="P628" s="438">
        <v>80920</v>
      </c>
      <c r="Q628" s="438">
        <v>1</v>
      </c>
      <c r="R628" s="438">
        <v>0</v>
      </c>
      <c r="S628" s="438">
        <v>0</v>
      </c>
      <c r="T628" s="438">
        <v>0</v>
      </c>
      <c r="U628" s="438">
        <v>0</v>
      </c>
      <c r="V628" s="438">
        <v>0</v>
      </c>
      <c r="W628" s="438">
        <v>32</v>
      </c>
      <c r="X628" s="438">
        <v>0</v>
      </c>
      <c r="Y628" s="438">
        <v>0</v>
      </c>
      <c r="Z628" s="438">
        <v>0</v>
      </c>
      <c r="AA628" s="438">
        <v>0</v>
      </c>
      <c r="AB628" s="438">
        <v>0</v>
      </c>
      <c r="AC628" s="438">
        <v>119000</v>
      </c>
      <c r="AD628" s="438">
        <v>80920</v>
      </c>
      <c r="AE628" s="438">
        <v>0</v>
      </c>
      <c r="AF628" s="438">
        <v>0</v>
      </c>
      <c r="AG628" s="438">
        <v>119000</v>
      </c>
      <c r="AH628" s="438">
        <v>80920</v>
      </c>
      <c r="AI628" s="438">
        <v>34618</v>
      </c>
      <c r="AJ628" s="438">
        <v>3462</v>
      </c>
      <c r="AK628" s="438">
        <v>38080</v>
      </c>
      <c r="AL628" s="414" t="str">
        <f t="shared" si="55"/>
        <v>워커힐 시그니처 양념 본갈비 300g, 8개</v>
      </c>
      <c r="AM628" s="395">
        <f t="shared" si="56"/>
        <v>46065</v>
      </c>
      <c r="AN628" s="396">
        <f t="shared" si="57"/>
        <v>1</v>
      </c>
      <c r="AO628" s="109">
        <f t="shared" si="58"/>
        <v>119000</v>
      </c>
      <c r="AP628" s="109">
        <f t="shared" si="59"/>
        <v>108181.81818181818</v>
      </c>
      <c r="AQ628" s="397">
        <f t="shared" si="60"/>
        <v>108181.81818181818</v>
      </c>
    </row>
    <row r="629" spans="1:43" ht="24">
      <c r="A629" s="436" t="s">
        <v>5138</v>
      </c>
      <c r="B629" s="436" t="s">
        <v>3490</v>
      </c>
      <c r="C629" s="437" t="s">
        <v>3491</v>
      </c>
      <c r="D629" s="436" t="s">
        <v>5249</v>
      </c>
      <c r="E629" s="437" t="s">
        <v>4155</v>
      </c>
      <c r="F629" s="436" t="s">
        <v>3494</v>
      </c>
      <c r="G629" s="436" t="s">
        <v>3495</v>
      </c>
      <c r="H629" s="437" t="s">
        <v>3496</v>
      </c>
      <c r="I629" s="436" t="s">
        <v>3497</v>
      </c>
      <c r="J629" s="437" t="s">
        <v>3498</v>
      </c>
      <c r="K629" s="437" t="s">
        <v>3548</v>
      </c>
      <c r="L629" s="436" t="s">
        <v>3500</v>
      </c>
      <c r="M629" s="436" t="s">
        <v>4809</v>
      </c>
      <c r="N629" s="436" t="s">
        <v>3502</v>
      </c>
      <c r="O629" s="438">
        <v>119000</v>
      </c>
      <c r="P629" s="438">
        <v>80920</v>
      </c>
      <c r="Q629" s="438">
        <v>1</v>
      </c>
      <c r="R629" s="438">
        <v>0</v>
      </c>
      <c r="S629" s="438">
        <v>0</v>
      </c>
      <c r="T629" s="438">
        <v>0</v>
      </c>
      <c r="U629" s="438">
        <v>0</v>
      </c>
      <c r="V629" s="438">
        <v>0</v>
      </c>
      <c r="W629" s="438">
        <v>32</v>
      </c>
      <c r="X629" s="438">
        <v>0</v>
      </c>
      <c r="Y629" s="438">
        <v>0</v>
      </c>
      <c r="Z629" s="438">
        <v>0</v>
      </c>
      <c r="AA629" s="438">
        <v>0</v>
      </c>
      <c r="AB629" s="438">
        <v>0</v>
      </c>
      <c r="AC629" s="438">
        <v>119000</v>
      </c>
      <c r="AD629" s="438">
        <v>80920</v>
      </c>
      <c r="AE629" s="438">
        <v>0</v>
      </c>
      <c r="AF629" s="438">
        <v>0</v>
      </c>
      <c r="AG629" s="438">
        <v>119000</v>
      </c>
      <c r="AH629" s="438">
        <v>80920</v>
      </c>
      <c r="AI629" s="438">
        <v>34618</v>
      </c>
      <c r="AJ629" s="438">
        <v>3462</v>
      </c>
      <c r="AK629" s="438">
        <v>38080</v>
      </c>
      <c r="AL629" s="414" t="str">
        <f t="shared" si="55"/>
        <v>워커힐 시그니처 양념 본갈비 300g, 8개</v>
      </c>
      <c r="AM629" s="395">
        <f t="shared" si="56"/>
        <v>46065</v>
      </c>
      <c r="AN629" s="396">
        <f t="shared" si="57"/>
        <v>1</v>
      </c>
      <c r="AO629" s="109">
        <f t="shared" si="58"/>
        <v>119000</v>
      </c>
      <c r="AP629" s="109">
        <f t="shared" si="59"/>
        <v>108181.81818181818</v>
      </c>
      <c r="AQ629" s="397">
        <f t="shared" si="60"/>
        <v>108181.81818181818</v>
      </c>
    </row>
    <row r="630" spans="1:43" ht="24">
      <c r="A630" s="436" t="s">
        <v>5140</v>
      </c>
      <c r="B630" s="436" t="s">
        <v>3490</v>
      </c>
      <c r="C630" s="437" t="s">
        <v>3491</v>
      </c>
      <c r="D630" s="436" t="s">
        <v>5256</v>
      </c>
      <c r="E630" s="437" t="s">
        <v>4546</v>
      </c>
      <c r="F630" s="436" t="s">
        <v>3494</v>
      </c>
      <c r="G630" s="436" t="s">
        <v>3495</v>
      </c>
      <c r="H630" s="437" t="s">
        <v>3496</v>
      </c>
      <c r="I630" s="436" t="s">
        <v>3497</v>
      </c>
      <c r="J630" s="437" t="s">
        <v>3498</v>
      </c>
      <c r="K630" s="437" t="s">
        <v>3499</v>
      </c>
      <c r="L630" s="436" t="s">
        <v>3500</v>
      </c>
      <c r="M630" s="436" t="s">
        <v>4809</v>
      </c>
      <c r="N630" s="436" t="s">
        <v>3502</v>
      </c>
      <c r="O630" s="438">
        <v>119000</v>
      </c>
      <c r="P630" s="438">
        <v>80920</v>
      </c>
      <c r="Q630" s="438">
        <v>1</v>
      </c>
      <c r="R630" s="438">
        <v>0</v>
      </c>
      <c r="S630" s="438">
        <v>0</v>
      </c>
      <c r="T630" s="438">
        <v>0</v>
      </c>
      <c r="U630" s="438">
        <v>0</v>
      </c>
      <c r="V630" s="438">
        <v>0</v>
      </c>
      <c r="W630" s="438">
        <v>32</v>
      </c>
      <c r="X630" s="438">
        <v>0</v>
      </c>
      <c r="Y630" s="438">
        <v>0</v>
      </c>
      <c r="Z630" s="438">
        <v>0</v>
      </c>
      <c r="AA630" s="438">
        <v>0</v>
      </c>
      <c r="AB630" s="438">
        <v>0</v>
      </c>
      <c r="AC630" s="438">
        <v>119000</v>
      </c>
      <c r="AD630" s="438">
        <v>80920</v>
      </c>
      <c r="AE630" s="438">
        <v>0</v>
      </c>
      <c r="AF630" s="438">
        <v>0</v>
      </c>
      <c r="AG630" s="438">
        <v>119000</v>
      </c>
      <c r="AH630" s="438">
        <v>80920</v>
      </c>
      <c r="AI630" s="438">
        <v>34618</v>
      </c>
      <c r="AJ630" s="438">
        <v>3462</v>
      </c>
      <c r="AK630" s="438">
        <v>38080</v>
      </c>
      <c r="AL630" s="414" t="str">
        <f t="shared" si="55"/>
        <v>워커힐 시그니처 양념 본갈비 300g, 8개</v>
      </c>
      <c r="AM630" s="395">
        <f t="shared" si="56"/>
        <v>46065</v>
      </c>
      <c r="AN630" s="396">
        <f t="shared" si="57"/>
        <v>1</v>
      </c>
      <c r="AO630" s="109">
        <f t="shared" si="58"/>
        <v>119000</v>
      </c>
      <c r="AP630" s="109">
        <f t="shared" si="59"/>
        <v>108181.81818181818</v>
      </c>
      <c r="AQ630" s="397">
        <f t="shared" si="60"/>
        <v>108181.81818181818</v>
      </c>
    </row>
    <row r="631" spans="1:43" ht="24">
      <c r="A631" s="436" t="s">
        <v>5143</v>
      </c>
      <c r="B631" s="436" t="s">
        <v>3490</v>
      </c>
      <c r="C631" s="437" t="s">
        <v>3491</v>
      </c>
      <c r="D631" s="436" t="s">
        <v>5269</v>
      </c>
      <c r="E631" s="437" t="s">
        <v>5270</v>
      </c>
      <c r="F631" s="436" t="s">
        <v>3494</v>
      </c>
      <c r="G631" s="436" t="s">
        <v>3495</v>
      </c>
      <c r="H631" s="437" t="s">
        <v>3496</v>
      </c>
      <c r="I631" s="436" t="s">
        <v>3497</v>
      </c>
      <c r="J631" s="437" t="s">
        <v>3498</v>
      </c>
      <c r="K631" s="437" t="s">
        <v>3499</v>
      </c>
      <c r="L631" s="436" t="s">
        <v>3500</v>
      </c>
      <c r="M631" s="436" t="s">
        <v>4809</v>
      </c>
      <c r="N631" s="436" t="s">
        <v>3502</v>
      </c>
      <c r="O631" s="438">
        <v>119000</v>
      </c>
      <c r="P631" s="438">
        <v>80920</v>
      </c>
      <c r="Q631" s="438">
        <v>1</v>
      </c>
      <c r="R631" s="438">
        <v>0</v>
      </c>
      <c r="S631" s="438">
        <v>0</v>
      </c>
      <c r="T631" s="438">
        <v>0</v>
      </c>
      <c r="U631" s="438">
        <v>0</v>
      </c>
      <c r="V631" s="438">
        <v>0</v>
      </c>
      <c r="W631" s="438">
        <v>32</v>
      </c>
      <c r="X631" s="438">
        <v>0</v>
      </c>
      <c r="Y631" s="438">
        <v>0</v>
      </c>
      <c r="Z631" s="438">
        <v>0</v>
      </c>
      <c r="AA631" s="438">
        <v>0</v>
      </c>
      <c r="AB631" s="438">
        <v>0</v>
      </c>
      <c r="AC631" s="438">
        <v>119000</v>
      </c>
      <c r="AD631" s="438">
        <v>80920</v>
      </c>
      <c r="AE631" s="438">
        <v>0</v>
      </c>
      <c r="AF631" s="438">
        <v>0</v>
      </c>
      <c r="AG631" s="438">
        <v>119000</v>
      </c>
      <c r="AH631" s="438">
        <v>80920</v>
      </c>
      <c r="AI631" s="438">
        <v>34618</v>
      </c>
      <c r="AJ631" s="438">
        <v>3462</v>
      </c>
      <c r="AK631" s="438">
        <v>38080</v>
      </c>
      <c r="AL631" s="414" t="str">
        <f t="shared" si="55"/>
        <v>워커힐 시그니처 양념 본갈비 300g, 8개</v>
      </c>
      <c r="AM631" s="395">
        <f t="shared" si="56"/>
        <v>46065</v>
      </c>
      <c r="AN631" s="396">
        <f t="shared" si="57"/>
        <v>1</v>
      </c>
      <c r="AO631" s="109">
        <f t="shared" si="58"/>
        <v>119000</v>
      </c>
      <c r="AP631" s="109">
        <f t="shared" si="59"/>
        <v>108181.81818181818</v>
      </c>
      <c r="AQ631" s="397">
        <f t="shared" si="60"/>
        <v>108181.81818181818</v>
      </c>
    </row>
    <row r="632" spans="1:43" ht="24">
      <c r="A632" s="436" t="s">
        <v>5145</v>
      </c>
      <c r="B632" s="436" t="s">
        <v>3490</v>
      </c>
      <c r="C632" s="437" t="s">
        <v>3491</v>
      </c>
      <c r="D632" s="436" t="s">
        <v>5409</v>
      </c>
      <c r="E632" s="437" t="s">
        <v>5410</v>
      </c>
      <c r="F632" s="436" t="s">
        <v>3494</v>
      </c>
      <c r="G632" s="436" t="s">
        <v>3495</v>
      </c>
      <c r="H632" s="437" t="s">
        <v>3496</v>
      </c>
      <c r="I632" s="436" t="s">
        <v>3497</v>
      </c>
      <c r="J632" s="437" t="s">
        <v>3498</v>
      </c>
      <c r="K632" s="437" t="s">
        <v>3499</v>
      </c>
      <c r="L632" s="436" t="s">
        <v>3500</v>
      </c>
      <c r="M632" s="436" t="s">
        <v>4809</v>
      </c>
      <c r="N632" s="436" t="s">
        <v>3502</v>
      </c>
      <c r="O632" s="438">
        <v>119000</v>
      </c>
      <c r="P632" s="438">
        <v>80920</v>
      </c>
      <c r="Q632" s="438">
        <v>1</v>
      </c>
      <c r="R632" s="438">
        <v>0</v>
      </c>
      <c r="S632" s="438">
        <v>0</v>
      </c>
      <c r="T632" s="438">
        <v>0</v>
      </c>
      <c r="U632" s="438">
        <v>0</v>
      </c>
      <c r="V632" s="438">
        <v>0</v>
      </c>
      <c r="W632" s="438">
        <v>32</v>
      </c>
      <c r="X632" s="438">
        <v>0</v>
      </c>
      <c r="Y632" s="438">
        <v>0</v>
      </c>
      <c r="Z632" s="438">
        <v>0</v>
      </c>
      <c r="AA632" s="438">
        <v>0</v>
      </c>
      <c r="AB632" s="438">
        <v>5950</v>
      </c>
      <c r="AC632" s="438">
        <v>119000</v>
      </c>
      <c r="AD632" s="438">
        <v>80920</v>
      </c>
      <c r="AE632" s="438">
        <v>0</v>
      </c>
      <c r="AF632" s="438">
        <v>5950</v>
      </c>
      <c r="AG632" s="438">
        <v>113050</v>
      </c>
      <c r="AH632" s="438">
        <v>80920</v>
      </c>
      <c r="AI632" s="438">
        <v>29209</v>
      </c>
      <c r="AJ632" s="438">
        <v>2921</v>
      </c>
      <c r="AK632" s="438">
        <v>32130</v>
      </c>
      <c r="AL632" s="414" t="str">
        <f t="shared" si="55"/>
        <v>워커힐 시그니처 양념 본갈비 300g, 8개</v>
      </c>
      <c r="AM632" s="395">
        <f t="shared" si="56"/>
        <v>46065</v>
      </c>
      <c r="AN632" s="396">
        <f t="shared" si="57"/>
        <v>1</v>
      </c>
      <c r="AO632" s="109">
        <f t="shared" si="58"/>
        <v>119000</v>
      </c>
      <c r="AP632" s="109">
        <f t="shared" si="59"/>
        <v>108181.81818181818</v>
      </c>
      <c r="AQ632" s="397">
        <f t="shared" si="60"/>
        <v>108181.81818181818</v>
      </c>
    </row>
    <row r="633" spans="1:43" ht="24">
      <c r="A633" s="436" t="s">
        <v>5147</v>
      </c>
      <c r="B633" s="436" t="s">
        <v>3490</v>
      </c>
      <c r="C633" s="437" t="s">
        <v>3491</v>
      </c>
      <c r="D633" s="436" t="s">
        <v>5275</v>
      </c>
      <c r="E633" s="437" t="s">
        <v>5276</v>
      </c>
      <c r="F633" s="436" t="s">
        <v>3494</v>
      </c>
      <c r="G633" s="436" t="s">
        <v>3495</v>
      </c>
      <c r="H633" s="437" t="s">
        <v>3496</v>
      </c>
      <c r="I633" s="436" t="s">
        <v>3497</v>
      </c>
      <c r="J633" s="437" t="s">
        <v>3498</v>
      </c>
      <c r="K633" s="437" t="s">
        <v>3548</v>
      </c>
      <c r="L633" s="436" t="s">
        <v>3500</v>
      </c>
      <c r="M633" s="436" t="s">
        <v>4809</v>
      </c>
      <c r="N633" s="436" t="s">
        <v>3502</v>
      </c>
      <c r="O633" s="438">
        <v>119000</v>
      </c>
      <c r="P633" s="438">
        <v>80920</v>
      </c>
      <c r="Q633" s="438">
        <v>1</v>
      </c>
      <c r="R633" s="438">
        <v>0</v>
      </c>
      <c r="S633" s="438">
        <v>0</v>
      </c>
      <c r="T633" s="438">
        <v>0</v>
      </c>
      <c r="U633" s="438">
        <v>0</v>
      </c>
      <c r="V633" s="438">
        <v>0</v>
      </c>
      <c r="W633" s="438">
        <v>32</v>
      </c>
      <c r="X633" s="438">
        <v>0</v>
      </c>
      <c r="Y633" s="438">
        <v>0</v>
      </c>
      <c r="Z633" s="438">
        <v>0</v>
      </c>
      <c r="AA633" s="438">
        <v>0</v>
      </c>
      <c r="AB633" s="438">
        <v>0</v>
      </c>
      <c r="AC633" s="438">
        <v>119000</v>
      </c>
      <c r="AD633" s="438">
        <v>80920</v>
      </c>
      <c r="AE633" s="438">
        <v>0</v>
      </c>
      <c r="AF633" s="438">
        <v>0</v>
      </c>
      <c r="AG633" s="438">
        <v>119000</v>
      </c>
      <c r="AH633" s="438">
        <v>80920</v>
      </c>
      <c r="AI633" s="438">
        <v>34618</v>
      </c>
      <c r="AJ633" s="438">
        <v>3462</v>
      </c>
      <c r="AK633" s="438">
        <v>38080</v>
      </c>
      <c r="AL633" s="414" t="str">
        <f t="shared" si="55"/>
        <v>워커힐 시그니처 양념 본갈비 300g, 8개</v>
      </c>
      <c r="AM633" s="395">
        <f t="shared" si="56"/>
        <v>46065</v>
      </c>
      <c r="AN633" s="396">
        <f t="shared" si="57"/>
        <v>1</v>
      </c>
      <c r="AO633" s="109">
        <f t="shared" si="58"/>
        <v>119000</v>
      </c>
      <c r="AP633" s="109">
        <f t="shared" si="59"/>
        <v>108181.81818181818</v>
      </c>
      <c r="AQ633" s="397">
        <f t="shared" si="60"/>
        <v>108181.81818181818</v>
      </c>
    </row>
    <row r="634" spans="1:43" ht="24">
      <c r="A634" s="436" t="s">
        <v>5149</v>
      </c>
      <c r="B634" s="436" t="s">
        <v>3490</v>
      </c>
      <c r="C634" s="437" t="s">
        <v>3491</v>
      </c>
      <c r="D634" s="436" t="s">
        <v>5412</v>
      </c>
      <c r="E634" s="437" t="s">
        <v>4219</v>
      </c>
      <c r="F634" s="436" t="s">
        <v>3494</v>
      </c>
      <c r="G634" s="436" t="s">
        <v>3495</v>
      </c>
      <c r="H634" s="437" t="s">
        <v>3496</v>
      </c>
      <c r="I634" s="436" t="s">
        <v>3497</v>
      </c>
      <c r="J634" s="437" t="s">
        <v>3498</v>
      </c>
      <c r="K634" s="437" t="s">
        <v>3548</v>
      </c>
      <c r="L634" s="436" t="s">
        <v>3500</v>
      </c>
      <c r="M634" s="436" t="s">
        <v>4809</v>
      </c>
      <c r="N634" s="436" t="s">
        <v>3502</v>
      </c>
      <c r="O634" s="438">
        <v>119000</v>
      </c>
      <c r="P634" s="438">
        <v>80920</v>
      </c>
      <c r="Q634" s="438">
        <v>1</v>
      </c>
      <c r="R634" s="438">
        <v>0</v>
      </c>
      <c r="S634" s="438">
        <v>0</v>
      </c>
      <c r="T634" s="438">
        <v>0</v>
      </c>
      <c r="U634" s="438">
        <v>0</v>
      </c>
      <c r="V634" s="438">
        <v>0</v>
      </c>
      <c r="W634" s="438">
        <v>32</v>
      </c>
      <c r="X634" s="438">
        <v>0</v>
      </c>
      <c r="Y634" s="438">
        <v>0</v>
      </c>
      <c r="Z634" s="438">
        <v>0</v>
      </c>
      <c r="AA634" s="438">
        <v>0</v>
      </c>
      <c r="AB634" s="438">
        <v>0</v>
      </c>
      <c r="AC634" s="438">
        <v>119000</v>
      </c>
      <c r="AD634" s="438">
        <v>80920</v>
      </c>
      <c r="AE634" s="438">
        <v>0</v>
      </c>
      <c r="AF634" s="438">
        <v>0</v>
      </c>
      <c r="AG634" s="438">
        <v>119000</v>
      </c>
      <c r="AH634" s="438">
        <v>80920</v>
      </c>
      <c r="AI634" s="438">
        <v>34618</v>
      </c>
      <c r="AJ634" s="438">
        <v>3462</v>
      </c>
      <c r="AK634" s="438">
        <v>38080</v>
      </c>
      <c r="AL634" s="414" t="str">
        <f t="shared" si="55"/>
        <v>워커힐 시그니처 양념 본갈비 300g, 8개</v>
      </c>
      <c r="AM634" s="395">
        <f t="shared" si="56"/>
        <v>46065</v>
      </c>
      <c r="AN634" s="396">
        <f t="shared" si="57"/>
        <v>1</v>
      </c>
      <c r="AO634" s="109">
        <f t="shared" si="58"/>
        <v>119000</v>
      </c>
      <c r="AP634" s="109">
        <f t="shared" si="59"/>
        <v>108181.81818181818</v>
      </c>
      <c r="AQ634" s="397">
        <f t="shared" si="60"/>
        <v>108181.81818181818</v>
      </c>
    </row>
    <row r="635" spans="1:43" ht="24">
      <c r="A635" s="436" t="s">
        <v>5151</v>
      </c>
      <c r="B635" s="436" t="s">
        <v>3490</v>
      </c>
      <c r="C635" s="437" t="s">
        <v>3491</v>
      </c>
      <c r="D635" s="436" t="s">
        <v>5428</v>
      </c>
      <c r="E635" s="437" t="s">
        <v>5429</v>
      </c>
      <c r="F635" s="436" t="s">
        <v>3494</v>
      </c>
      <c r="G635" s="436" t="s">
        <v>3495</v>
      </c>
      <c r="H635" s="437" t="s">
        <v>3496</v>
      </c>
      <c r="I635" s="436" t="s">
        <v>3497</v>
      </c>
      <c r="J635" s="437" t="s">
        <v>3498</v>
      </c>
      <c r="K635" s="437" t="s">
        <v>3499</v>
      </c>
      <c r="L635" s="436" t="s">
        <v>3500</v>
      </c>
      <c r="M635" s="436" t="s">
        <v>4809</v>
      </c>
      <c r="N635" s="436" t="s">
        <v>3502</v>
      </c>
      <c r="O635" s="438">
        <v>119000</v>
      </c>
      <c r="P635" s="438">
        <v>80920</v>
      </c>
      <c r="Q635" s="438">
        <v>1</v>
      </c>
      <c r="R635" s="438">
        <v>0</v>
      </c>
      <c r="S635" s="438">
        <v>0</v>
      </c>
      <c r="T635" s="438">
        <v>0</v>
      </c>
      <c r="U635" s="438">
        <v>0</v>
      </c>
      <c r="V635" s="438">
        <v>0</v>
      </c>
      <c r="W635" s="438">
        <v>32</v>
      </c>
      <c r="X635" s="438">
        <v>0</v>
      </c>
      <c r="Y635" s="438">
        <v>0</v>
      </c>
      <c r="Z635" s="438">
        <v>0</v>
      </c>
      <c r="AA635" s="438">
        <v>0</v>
      </c>
      <c r="AB635" s="438">
        <v>0</v>
      </c>
      <c r="AC635" s="438">
        <v>119000</v>
      </c>
      <c r="AD635" s="438">
        <v>80920</v>
      </c>
      <c r="AE635" s="438">
        <v>0</v>
      </c>
      <c r="AF635" s="438">
        <v>0</v>
      </c>
      <c r="AG635" s="438">
        <v>119000</v>
      </c>
      <c r="AH635" s="438">
        <v>80920</v>
      </c>
      <c r="AI635" s="438">
        <v>34618</v>
      </c>
      <c r="AJ635" s="438">
        <v>3462</v>
      </c>
      <c r="AK635" s="438">
        <v>38080</v>
      </c>
      <c r="AL635" s="414" t="str">
        <f t="shared" si="55"/>
        <v>워커힐 시그니처 양념 본갈비 300g, 8개</v>
      </c>
      <c r="AM635" s="395">
        <f t="shared" si="56"/>
        <v>46065</v>
      </c>
      <c r="AN635" s="396">
        <f t="shared" si="57"/>
        <v>1</v>
      </c>
      <c r="AO635" s="109">
        <f t="shared" si="58"/>
        <v>119000</v>
      </c>
      <c r="AP635" s="109">
        <f t="shared" si="59"/>
        <v>108181.81818181818</v>
      </c>
      <c r="AQ635" s="397">
        <f t="shared" si="60"/>
        <v>108181.81818181818</v>
      </c>
    </row>
    <row r="636" spans="1:43" ht="24">
      <c r="A636" s="436" t="s">
        <v>5153</v>
      </c>
      <c r="B636" s="436" t="s">
        <v>3490</v>
      </c>
      <c r="C636" s="437" t="s">
        <v>3491</v>
      </c>
      <c r="D636" s="436" t="s">
        <v>5281</v>
      </c>
      <c r="E636" s="437" t="s">
        <v>5282</v>
      </c>
      <c r="F636" s="436" t="s">
        <v>3494</v>
      </c>
      <c r="G636" s="436" t="s">
        <v>3495</v>
      </c>
      <c r="H636" s="437" t="s">
        <v>3496</v>
      </c>
      <c r="I636" s="436" t="s">
        <v>3497</v>
      </c>
      <c r="J636" s="437" t="s">
        <v>3498</v>
      </c>
      <c r="K636" s="437" t="s">
        <v>3499</v>
      </c>
      <c r="L636" s="436" t="s">
        <v>3500</v>
      </c>
      <c r="M636" s="436" t="s">
        <v>4809</v>
      </c>
      <c r="N636" s="436" t="s">
        <v>3502</v>
      </c>
      <c r="O636" s="438">
        <v>119000</v>
      </c>
      <c r="P636" s="438">
        <v>80920</v>
      </c>
      <c r="Q636" s="438">
        <v>1</v>
      </c>
      <c r="R636" s="438">
        <v>0</v>
      </c>
      <c r="S636" s="438">
        <v>0</v>
      </c>
      <c r="T636" s="438">
        <v>0</v>
      </c>
      <c r="U636" s="438">
        <v>0</v>
      </c>
      <c r="V636" s="438">
        <v>0</v>
      </c>
      <c r="W636" s="438">
        <v>32</v>
      </c>
      <c r="X636" s="438">
        <v>0</v>
      </c>
      <c r="Y636" s="438">
        <v>0</v>
      </c>
      <c r="Z636" s="438">
        <v>0</v>
      </c>
      <c r="AA636" s="438">
        <v>0</v>
      </c>
      <c r="AB636" s="438">
        <v>0</v>
      </c>
      <c r="AC636" s="438">
        <v>119000</v>
      </c>
      <c r="AD636" s="438">
        <v>80920</v>
      </c>
      <c r="AE636" s="438">
        <v>0</v>
      </c>
      <c r="AF636" s="438">
        <v>0</v>
      </c>
      <c r="AG636" s="438">
        <v>119000</v>
      </c>
      <c r="AH636" s="438">
        <v>80920</v>
      </c>
      <c r="AI636" s="438">
        <v>34618</v>
      </c>
      <c r="AJ636" s="438">
        <v>3462</v>
      </c>
      <c r="AK636" s="438">
        <v>38080</v>
      </c>
      <c r="AL636" s="414" t="str">
        <f t="shared" si="55"/>
        <v>워커힐 시그니처 양념 본갈비 300g, 8개</v>
      </c>
      <c r="AM636" s="395">
        <f t="shared" si="56"/>
        <v>46065</v>
      </c>
      <c r="AN636" s="396">
        <f t="shared" si="57"/>
        <v>1</v>
      </c>
      <c r="AO636" s="109">
        <f t="shared" si="58"/>
        <v>119000</v>
      </c>
      <c r="AP636" s="109">
        <f t="shared" si="59"/>
        <v>108181.81818181818</v>
      </c>
      <c r="AQ636" s="397">
        <f t="shared" si="60"/>
        <v>108181.81818181818</v>
      </c>
    </row>
    <row r="637" spans="1:43" ht="24">
      <c r="A637" s="436" t="s">
        <v>5156</v>
      </c>
      <c r="B637" s="436" t="s">
        <v>3490</v>
      </c>
      <c r="C637" s="437" t="s">
        <v>3491</v>
      </c>
      <c r="D637" s="436" t="s">
        <v>5422</v>
      </c>
      <c r="E637" s="437" t="s">
        <v>5423</v>
      </c>
      <c r="F637" s="436" t="s">
        <v>3494</v>
      </c>
      <c r="G637" s="436" t="s">
        <v>3495</v>
      </c>
      <c r="H637" s="437" t="s">
        <v>3496</v>
      </c>
      <c r="I637" s="436" t="s">
        <v>3497</v>
      </c>
      <c r="J637" s="437" t="s">
        <v>3498</v>
      </c>
      <c r="K637" s="437" t="s">
        <v>3499</v>
      </c>
      <c r="L637" s="436" t="s">
        <v>3500</v>
      </c>
      <c r="M637" s="436" t="s">
        <v>4809</v>
      </c>
      <c r="N637" s="436" t="s">
        <v>3502</v>
      </c>
      <c r="O637" s="438">
        <v>119000</v>
      </c>
      <c r="P637" s="438">
        <v>80920</v>
      </c>
      <c r="Q637" s="438">
        <v>1</v>
      </c>
      <c r="R637" s="438">
        <v>0</v>
      </c>
      <c r="S637" s="438">
        <v>0</v>
      </c>
      <c r="T637" s="438">
        <v>0</v>
      </c>
      <c r="U637" s="438">
        <v>0</v>
      </c>
      <c r="V637" s="438">
        <v>0</v>
      </c>
      <c r="W637" s="438">
        <v>32</v>
      </c>
      <c r="X637" s="438">
        <v>0</v>
      </c>
      <c r="Y637" s="438">
        <v>0</v>
      </c>
      <c r="Z637" s="438">
        <v>0</v>
      </c>
      <c r="AA637" s="438">
        <v>0</v>
      </c>
      <c r="AB637" s="438">
        <v>0</v>
      </c>
      <c r="AC637" s="438">
        <v>119000</v>
      </c>
      <c r="AD637" s="438">
        <v>80920</v>
      </c>
      <c r="AE637" s="438">
        <v>0</v>
      </c>
      <c r="AF637" s="438">
        <v>0</v>
      </c>
      <c r="AG637" s="438">
        <v>119000</v>
      </c>
      <c r="AH637" s="438">
        <v>80920</v>
      </c>
      <c r="AI637" s="438">
        <v>34618</v>
      </c>
      <c r="AJ637" s="438">
        <v>3462</v>
      </c>
      <c r="AK637" s="438">
        <v>38080</v>
      </c>
      <c r="AL637" s="414" t="str">
        <f t="shared" si="55"/>
        <v>워커힐 시그니처 양념 본갈비 300g, 8개</v>
      </c>
      <c r="AM637" s="395">
        <f t="shared" si="56"/>
        <v>46065</v>
      </c>
      <c r="AN637" s="396">
        <f t="shared" si="57"/>
        <v>1</v>
      </c>
      <c r="AO637" s="109">
        <f t="shared" si="58"/>
        <v>119000</v>
      </c>
      <c r="AP637" s="109">
        <f t="shared" si="59"/>
        <v>108181.81818181818</v>
      </c>
      <c r="AQ637" s="397">
        <f t="shared" si="60"/>
        <v>108181.81818181818</v>
      </c>
    </row>
    <row r="638" spans="1:43" ht="24">
      <c r="A638" s="436" t="s">
        <v>5158</v>
      </c>
      <c r="B638" s="436" t="s">
        <v>3490</v>
      </c>
      <c r="C638" s="437" t="s">
        <v>3491</v>
      </c>
      <c r="D638" s="436" t="s">
        <v>5548</v>
      </c>
      <c r="E638" s="437" t="s">
        <v>5549</v>
      </c>
      <c r="F638" s="436" t="s">
        <v>3494</v>
      </c>
      <c r="G638" s="436" t="s">
        <v>3495</v>
      </c>
      <c r="H638" s="437" t="s">
        <v>3496</v>
      </c>
      <c r="I638" s="436" t="s">
        <v>3497</v>
      </c>
      <c r="J638" s="437" t="s">
        <v>3498</v>
      </c>
      <c r="K638" s="437" t="s">
        <v>3548</v>
      </c>
      <c r="L638" s="436" t="s">
        <v>3500</v>
      </c>
      <c r="M638" s="436" t="s">
        <v>4809</v>
      </c>
      <c r="N638" s="436" t="s">
        <v>3502</v>
      </c>
      <c r="O638" s="438">
        <v>119000</v>
      </c>
      <c r="P638" s="438">
        <v>80920</v>
      </c>
      <c r="Q638" s="438">
        <v>1</v>
      </c>
      <c r="R638" s="438">
        <v>0</v>
      </c>
      <c r="S638" s="438">
        <v>0</v>
      </c>
      <c r="T638" s="438">
        <v>0</v>
      </c>
      <c r="U638" s="438">
        <v>0</v>
      </c>
      <c r="V638" s="438">
        <v>0</v>
      </c>
      <c r="W638" s="438">
        <v>32</v>
      </c>
      <c r="X638" s="438">
        <v>0</v>
      </c>
      <c r="Y638" s="438">
        <v>0</v>
      </c>
      <c r="Z638" s="438">
        <v>0</v>
      </c>
      <c r="AA638" s="438">
        <v>0</v>
      </c>
      <c r="AB638" s="438">
        <v>0</v>
      </c>
      <c r="AC638" s="438">
        <v>119000</v>
      </c>
      <c r="AD638" s="438">
        <v>80920</v>
      </c>
      <c r="AE638" s="438">
        <v>0</v>
      </c>
      <c r="AF638" s="438">
        <v>0</v>
      </c>
      <c r="AG638" s="438">
        <v>119000</v>
      </c>
      <c r="AH638" s="438">
        <v>80920</v>
      </c>
      <c r="AI638" s="438">
        <v>34618</v>
      </c>
      <c r="AJ638" s="438">
        <v>3462</v>
      </c>
      <c r="AK638" s="438">
        <v>38080</v>
      </c>
      <c r="AL638" s="414" t="str">
        <f t="shared" si="55"/>
        <v>워커힐 시그니처 양념 본갈비 300g, 8개</v>
      </c>
      <c r="AM638" s="395">
        <f t="shared" si="56"/>
        <v>46065</v>
      </c>
      <c r="AN638" s="396">
        <f t="shared" si="57"/>
        <v>1</v>
      </c>
      <c r="AO638" s="109">
        <f t="shared" si="58"/>
        <v>119000</v>
      </c>
      <c r="AP638" s="109">
        <f t="shared" si="59"/>
        <v>108181.81818181818</v>
      </c>
      <c r="AQ638" s="397">
        <f t="shared" si="60"/>
        <v>108181.81818181818</v>
      </c>
    </row>
    <row r="639" spans="1:43" ht="24">
      <c r="A639" s="436" t="s">
        <v>5160</v>
      </c>
      <c r="B639" s="436" t="s">
        <v>3490</v>
      </c>
      <c r="C639" s="437" t="s">
        <v>3491</v>
      </c>
      <c r="D639" s="436" t="s">
        <v>4989</v>
      </c>
      <c r="E639" s="437" t="s">
        <v>4990</v>
      </c>
      <c r="F639" s="436" t="s">
        <v>3494</v>
      </c>
      <c r="G639" s="436" t="s">
        <v>3495</v>
      </c>
      <c r="H639" s="437" t="s">
        <v>3496</v>
      </c>
      <c r="I639" s="436" t="s">
        <v>3497</v>
      </c>
      <c r="J639" s="437" t="s">
        <v>3498</v>
      </c>
      <c r="K639" s="437" t="s">
        <v>3499</v>
      </c>
      <c r="L639" s="436" t="s">
        <v>3500</v>
      </c>
      <c r="M639" s="436" t="s">
        <v>4809</v>
      </c>
      <c r="N639" s="436" t="s">
        <v>3502</v>
      </c>
      <c r="O639" s="438">
        <v>119000</v>
      </c>
      <c r="P639" s="438">
        <v>80920</v>
      </c>
      <c r="Q639" s="438">
        <v>1</v>
      </c>
      <c r="R639" s="438">
        <v>0</v>
      </c>
      <c r="S639" s="438">
        <v>0</v>
      </c>
      <c r="T639" s="438">
        <v>0</v>
      </c>
      <c r="U639" s="438">
        <v>0</v>
      </c>
      <c r="V639" s="438">
        <v>0</v>
      </c>
      <c r="W639" s="438">
        <v>32</v>
      </c>
      <c r="X639" s="438">
        <v>0</v>
      </c>
      <c r="Y639" s="438">
        <v>0</v>
      </c>
      <c r="Z639" s="438">
        <v>0</v>
      </c>
      <c r="AA639" s="438">
        <v>0</v>
      </c>
      <c r="AB639" s="438">
        <v>5950</v>
      </c>
      <c r="AC639" s="438">
        <v>119000</v>
      </c>
      <c r="AD639" s="438">
        <v>80920</v>
      </c>
      <c r="AE639" s="438">
        <v>0</v>
      </c>
      <c r="AF639" s="438">
        <v>5950</v>
      </c>
      <c r="AG639" s="438">
        <v>113050</v>
      </c>
      <c r="AH639" s="438">
        <v>80920</v>
      </c>
      <c r="AI639" s="438">
        <v>29209</v>
      </c>
      <c r="AJ639" s="438">
        <v>2921</v>
      </c>
      <c r="AK639" s="438">
        <v>32130</v>
      </c>
      <c r="AL639" s="414" t="str">
        <f t="shared" si="55"/>
        <v>워커힐 시그니처 양념 본갈비 300g, 8개</v>
      </c>
      <c r="AM639" s="395">
        <f t="shared" si="56"/>
        <v>46065</v>
      </c>
      <c r="AN639" s="396">
        <f t="shared" si="57"/>
        <v>1</v>
      </c>
      <c r="AO639" s="109">
        <f t="shared" si="58"/>
        <v>119000</v>
      </c>
      <c r="AP639" s="109">
        <f t="shared" si="59"/>
        <v>108181.81818181818</v>
      </c>
      <c r="AQ639" s="397">
        <f t="shared" si="60"/>
        <v>108181.81818181818</v>
      </c>
    </row>
    <row r="640" spans="1:43" ht="24">
      <c r="A640" s="436" t="s">
        <v>5163</v>
      </c>
      <c r="B640" s="436" t="s">
        <v>3490</v>
      </c>
      <c r="C640" s="437" t="s">
        <v>3491</v>
      </c>
      <c r="D640" s="436" t="s">
        <v>5074</v>
      </c>
      <c r="E640" s="437" t="s">
        <v>3829</v>
      </c>
      <c r="F640" s="436" t="s">
        <v>3494</v>
      </c>
      <c r="G640" s="436" t="s">
        <v>3495</v>
      </c>
      <c r="H640" s="437" t="s">
        <v>3496</v>
      </c>
      <c r="I640" s="436" t="s">
        <v>3497</v>
      </c>
      <c r="J640" s="437" t="s">
        <v>3498</v>
      </c>
      <c r="K640" s="437" t="s">
        <v>3548</v>
      </c>
      <c r="L640" s="436" t="s">
        <v>3500</v>
      </c>
      <c r="M640" s="436" t="s">
        <v>4809</v>
      </c>
      <c r="N640" s="436" t="s">
        <v>3502</v>
      </c>
      <c r="O640" s="438">
        <v>119000</v>
      </c>
      <c r="P640" s="438">
        <v>80920</v>
      </c>
      <c r="Q640" s="438">
        <v>1</v>
      </c>
      <c r="R640" s="438">
        <v>0</v>
      </c>
      <c r="S640" s="438">
        <v>0</v>
      </c>
      <c r="T640" s="438">
        <v>0</v>
      </c>
      <c r="U640" s="438">
        <v>0</v>
      </c>
      <c r="V640" s="438">
        <v>0</v>
      </c>
      <c r="W640" s="438">
        <v>32</v>
      </c>
      <c r="X640" s="438">
        <v>0</v>
      </c>
      <c r="Y640" s="438">
        <v>0</v>
      </c>
      <c r="Z640" s="438">
        <v>0</v>
      </c>
      <c r="AA640" s="438">
        <v>0</v>
      </c>
      <c r="AB640" s="438">
        <v>0</v>
      </c>
      <c r="AC640" s="438">
        <v>119000</v>
      </c>
      <c r="AD640" s="438">
        <v>80920</v>
      </c>
      <c r="AE640" s="438">
        <v>0</v>
      </c>
      <c r="AF640" s="438">
        <v>0</v>
      </c>
      <c r="AG640" s="438">
        <v>119000</v>
      </c>
      <c r="AH640" s="438">
        <v>80920</v>
      </c>
      <c r="AI640" s="438">
        <v>34618</v>
      </c>
      <c r="AJ640" s="438">
        <v>3462</v>
      </c>
      <c r="AK640" s="438">
        <v>38080</v>
      </c>
      <c r="AL640" s="414" t="str">
        <f t="shared" si="55"/>
        <v>워커힐 시그니처 양념 본갈비 300g, 8개</v>
      </c>
      <c r="AM640" s="395">
        <f t="shared" si="56"/>
        <v>46065</v>
      </c>
      <c r="AN640" s="396">
        <f t="shared" si="57"/>
        <v>1</v>
      </c>
      <c r="AO640" s="109">
        <f t="shared" si="58"/>
        <v>119000</v>
      </c>
      <c r="AP640" s="109">
        <f t="shared" si="59"/>
        <v>108181.81818181818</v>
      </c>
      <c r="AQ640" s="397">
        <f t="shared" si="60"/>
        <v>108181.81818181818</v>
      </c>
    </row>
    <row r="641" spans="1:43" ht="24">
      <c r="A641" s="436" t="s">
        <v>5165</v>
      </c>
      <c r="B641" s="436" t="s">
        <v>3490</v>
      </c>
      <c r="C641" s="437" t="s">
        <v>3491</v>
      </c>
      <c r="D641" s="436" t="s">
        <v>5078</v>
      </c>
      <c r="E641" s="437" t="s">
        <v>5079</v>
      </c>
      <c r="F641" s="436" t="s">
        <v>3494</v>
      </c>
      <c r="G641" s="436" t="s">
        <v>3495</v>
      </c>
      <c r="H641" s="437" t="s">
        <v>3496</v>
      </c>
      <c r="I641" s="436" t="s">
        <v>3497</v>
      </c>
      <c r="J641" s="437" t="s">
        <v>3498</v>
      </c>
      <c r="K641" s="437" t="s">
        <v>3499</v>
      </c>
      <c r="L641" s="436" t="s">
        <v>3500</v>
      </c>
      <c r="M641" s="436" t="s">
        <v>4809</v>
      </c>
      <c r="N641" s="436" t="s">
        <v>3502</v>
      </c>
      <c r="O641" s="438">
        <v>119000</v>
      </c>
      <c r="P641" s="438">
        <v>80920</v>
      </c>
      <c r="Q641" s="438">
        <v>1</v>
      </c>
      <c r="R641" s="438">
        <v>0</v>
      </c>
      <c r="S641" s="438">
        <v>0</v>
      </c>
      <c r="T641" s="438">
        <v>0</v>
      </c>
      <c r="U641" s="438">
        <v>0</v>
      </c>
      <c r="V641" s="438">
        <v>0</v>
      </c>
      <c r="W641" s="438">
        <v>32</v>
      </c>
      <c r="X641" s="438">
        <v>20230</v>
      </c>
      <c r="Y641" s="438">
        <v>0</v>
      </c>
      <c r="Z641" s="438">
        <v>0</v>
      </c>
      <c r="AA641" s="438">
        <v>0</v>
      </c>
      <c r="AB641" s="438">
        <v>0</v>
      </c>
      <c r="AC641" s="438">
        <v>119000</v>
      </c>
      <c r="AD641" s="438">
        <v>80920</v>
      </c>
      <c r="AE641" s="438">
        <v>0</v>
      </c>
      <c r="AF641" s="438">
        <v>20230</v>
      </c>
      <c r="AG641" s="438">
        <v>98770</v>
      </c>
      <c r="AH641" s="438">
        <v>80920</v>
      </c>
      <c r="AI641" s="438">
        <v>16227</v>
      </c>
      <c r="AJ641" s="438">
        <v>1623</v>
      </c>
      <c r="AK641" s="438">
        <v>17850</v>
      </c>
      <c r="AL641" s="414" t="str">
        <f t="shared" si="55"/>
        <v>워커힐 시그니처 양념 본갈비 300g, 8개</v>
      </c>
      <c r="AM641" s="395">
        <f t="shared" si="56"/>
        <v>46065</v>
      </c>
      <c r="AN641" s="396">
        <f t="shared" si="57"/>
        <v>1</v>
      </c>
      <c r="AO641" s="109">
        <f t="shared" si="58"/>
        <v>119000</v>
      </c>
      <c r="AP641" s="109">
        <f t="shared" si="59"/>
        <v>108181.81818181818</v>
      </c>
      <c r="AQ641" s="397">
        <f t="shared" si="60"/>
        <v>108181.81818181818</v>
      </c>
    </row>
    <row r="642" spans="1:43" ht="24">
      <c r="A642" s="436" t="s">
        <v>5168</v>
      </c>
      <c r="B642" s="436" t="s">
        <v>3490</v>
      </c>
      <c r="C642" s="437" t="s">
        <v>3491</v>
      </c>
      <c r="D642" s="436" t="s">
        <v>5083</v>
      </c>
      <c r="E642" s="437" t="s">
        <v>5084</v>
      </c>
      <c r="F642" s="436" t="s">
        <v>3494</v>
      </c>
      <c r="G642" s="436" t="s">
        <v>3495</v>
      </c>
      <c r="H642" s="437" t="s">
        <v>3496</v>
      </c>
      <c r="I642" s="436" t="s">
        <v>3497</v>
      </c>
      <c r="J642" s="437" t="s">
        <v>3498</v>
      </c>
      <c r="K642" s="437" t="s">
        <v>3499</v>
      </c>
      <c r="L642" s="436" t="s">
        <v>3500</v>
      </c>
      <c r="M642" s="436" t="s">
        <v>4809</v>
      </c>
      <c r="N642" s="436" t="s">
        <v>3502</v>
      </c>
      <c r="O642" s="438">
        <v>119000</v>
      </c>
      <c r="P642" s="438">
        <v>80920</v>
      </c>
      <c r="Q642" s="438">
        <v>1</v>
      </c>
      <c r="R642" s="438">
        <v>0</v>
      </c>
      <c r="S642" s="438">
        <v>0</v>
      </c>
      <c r="T642" s="438">
        <v>0</v>
      </c>
      <c r="U642" s="438">
        <v>0</v>
      </c>
      <c r="V642" s="438">
        <v>0</v>
      </c>
      <c r="W642" s="438">
        <v>32</v>
      </c>
      <c r="X642" s="438">
        <v>0</v>
      </c>
      <c r="Y642" s="438">
        <v>0</v>
      </c>
      <c r="Z642" s="438">
        <v>0</v>
      </c>
      <c r="AA642" s="438">
        <v>0</v>
      </c>
      <c r="AB642" s="438">
        <v>0</v>
      </c>
      <c r="AC642" s="438">
        <v>119000</v>
      </c>
      <c r="AD642" s="438">
        <v>80920</v>
      </c>
      <c r="AE642" s="438">
        <v>0</v>
      </c>
      <c r="AF642" s="438">
        <v>0</v>
      </c>
      <c r="AG642" s="438">
        <v>119000</v>
      </c>
      <c r="AH642" s="438">
        <v>80920</v>
      </c>
      <c r="AI642" s="438">
        <v>34618</v>
      </c>
      <c r="AJ642" s="438">
        <v>3462</v>
      </c>
      <c r="AK642" s="438">
        <v>38080</v>
      </c>
      <c r="AL642" s="414" t="str">
        <f t="shared" si="55"/>
        <v>워커힐 시그니처 양념 본갈비 300g, 8개</v>
      </c>
      <c r="AM642" s="395">
        <f t="shared" si="56"/>
        <v>46065</v>
      </c>
      <c r="AN642" s="396">
        <f t="shared" si="57"/>
        <v>1</v>
      </c>
      <c r="AO642" s="109">
        <f t="shared" si="58"/>
        <v>119000</v>
      </c>
      <c r="AP642" s="109">
        <f t="shared" si="59"/>
        <v>108181.81818181818</v>
      </c>
      <c r="AQ642" s="397">
        <f t="shared" si="60"/>
        <v>108181.81818181818</v>
      </c>
    </row>
    <row r="643" spans="1:43" ht="24">
      <c r="A643" s="436" t="s">
        <v>5171</v>
      </c>
      <c r="B643" s="436" t="s">
        <v>3490</v>
      </c>
      <c r="C643" s="437" t="s">
        <v>3491</v>
      </c>
      <c r="D643" s="436" t="s">
        <v>5092</v>
      </c>
      <c r="E643" s="437" t="s">
        <v>5093</v>
      </c>
      <c r="F643" s="436" t="s">
        <v>3494</v>
      </c>
      <c r="G643" s="436" t="s">
        <v>3495</v>
      </c>
      <c r="H643" s="437" t="s">
        <v>3496</v>
      </c>
      <c r="I643" s="436" t="s">
        <v>3497</v>
      </c>
      <c r="J643" s="437" t="s">
        <v>3498</v>
      </c>
      <c r="K643" s="437" t="s">
        <v>3499</v>
      </c>
      <c r="L643" s="436" t="s">
        <v>3500</v>
      </c>
      <c r="M643" s="436" t="s">
        <v>4809</v>
      </c>
      <c r="N643" s="436" t="s">
        <v>3502</v>
      </c>
      <c r="O643" s="438">
        <v>119000</v>
      </c>
      <c r="P643" s="438">
        <v>80920</v>
      </c>
      <c r="Q643" s="438">
        <v>1</v>
      </c>
      <c r="R643" s="438">
        <v>0</v>
      </c>
      <c r="S643" s="438">
        <v>0</v>
      </c>
      <c r="T643" s="438">
        <v>0</v>
      </c>
      <c r="U643" s="438">
        <v>0</v>
      </c>
      <c r="V643" s="438">
        <v>0</v>
      </c>
      <c r="W643" s="438">
        <v>32</v>
      </c>
      <c r="X643" s="438">
        <v>0</v>
      </c>
      <c r="Y643" s="438">
        <v>0</v>
      </c>
      <c r="Z643" s="438">
        <v>0</v>
      </c>
      <c r="AA643" s="438">
        <v>0</v>
      </c>
      <c r="AB643" s="438">
        <v>0</v>
      </c>
      <c r="AC643" s="438">
        <v>119000</v>
      </c>
      <c r="AD643" s="438">
        <v>80920</v>
      </c>
      <c r="AE643" s="438">
        <v>0</v>
      </c>
      <c r="AF643" s="438">
        <v>0</v>
      </c>
      <c r="AG643" s="438">
        <v>119000</v>
      </c>
      <c r="AH643" s="438">
        <v>80920</v>
      </c>
      <c r="AI643" s="438">
        <v>34618</v>
      </c>
      <c r="AJ643" s="438">
        <v>3462</v>
      </c>
      <c r="AK643" s="438">
        <v>38080</v>
      </c>
      <c r="AL643" s="414" t="str">
        <f t="shared" ref="AL643:AL706" si="61">SUBSTITUTE(SUBSTITUTE(H643,"[워커힐]워커힐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643" s="395">
        <f t="shared" ref="AM643:AM706" si="62">IF(N643="배송완료", DATE(LEFT(M643,4), MID(M643,6,2), MID(M643,9,2)), "")</f>
        <v>46065</v>
      </c>
      <c r="AN643" s="396">
        <f t="shared" ref="AN643:AN706" si="63">IF(OR(N643="배송완료", Q643&lt;0), Q643, 0)</f>
        <v>1</v>
      </c>
      <c r="AO643" s="109">
        <f t="shared" ref="AO643:AO706" si="64">IF(AL643="워커힐 시그니처 양념 본갈비 300g, 8개",119000,IF(AL643="워커힐 시그니처 양념 본갈비 300g, 4개",78000,""))</f>
        <v>119000</v>
      </c>
      <c r="AP643" s="109">
        <f t="shared" ref="AP643:AP706" si="65">AO643/1.1</f>
        <v>108181.81818181818</v>
      </c>
      <c r="AQ643" s="397">
        <f t="shared" si="60"/>
        <v>108181.81818181818</v>
      </c>
    </row>
    <row r="644" spans="1:43" ht="24">
      <c r="A644" s="436" t="s">
        <v>5174</v>
      </c>
      <c r="B644" s="436" t="s">
        <v>3490</v>
      </c>
      <c r="C644" s="437" t="s">
        <v>3491</v>
      </c>
      <c r="D644" s="436" t="s">
        <v>5095</v>
      </c>
      <c r="E644" s="437" t="s">
        <v>3649</v>
      </c>
      <c r="F644" s="436" t="s">
        <v>3494</v>
      </c>
      <c r="G644" s="436" t="s">
        <v>3495</v>
      </c>
      <c r="H644" s="437" t="s">
        <v>3496</v>
      </c>
      <c r="I644" s="436" t="s">
        <v>3497</v>
      </c>
      <c r="J644" s="437" t="s">
        <v>3498</v>
      </c>
      <c r="K644" s="437" t="s">
        <v>3499</v>
      </c>
      <c r="L644" s="436" t="s">
        <v>3500</v>
      </c>
      <c r="M644" s="436" t="s">
        <v>4809</v>
      </c>
      <c r="N644" s="436" t="s">
        <v>3502</v>
      </c>
      <c r="O644" s="438">
        <v>119000</v>
      </c>
      <c r="P644" s="438">
        <v>80920</v>
      </c>
      <c r="Q644" s="438">
        <v>1</v>
      </c>
      <c r="R644" s="438">
        <v>0</v>
      </c>
      <c r="S644" s="438">
        <v>0</v>
      </c>
      <c r="T644" s="438">
        <v>0</v>
      </c>
      <c r="U644" s="438">
        <v>0</v>
      </c>
      <c r="V644" s="438">
        <v>0</v>
      </c>
      <c r="W644" s="438">
        <v>32</v>
      </c>
      <c r="X644" s="438">
        <v>0</v>
      </c>
      <c r="Y644" s="438">
        <v>0</v>
      </c>
      <c r="Z644" s="438">
        <v>0</v>
      </c>
      <c r="AA644" s="438">
        <v>0</v>
      </c>
      <c r="AB644" s="438">
        <v>5950</v>
      </c>
      <c r="AC644" s="438">
        <v>119000</v>
      </c>
      <c r="AD644" s="438">
        <v>80920</v>
      </c>
      <c r="AE644" s="438">
        <v>0</v>
      </c>
      <c r="AF644" s="438">
        <v>5950</v>
      </c>
      <c r="AG644" s="438">
        <v>113050</v>
      </c>
      <c r="AH644" s="438">
        <v>80920</v>
      </c>
      <c r="AI644" s="438">
        <v>29209</v>
      </c>
      <c r="AJ644" s="438">
        <v>2921</v>
      </c>
      <c r="AK644" s="438">
        <v>32130</v>
      </c>
      <c r="AL644" s="414" t="str">
        <f t="shared" si="61"/>
        <v>워커힐 시그니처 양념 본갈비 300g, 8개</v>
      </c>
      <c r="AM644" s="395">
        <f t="shared" si="62"/>
        <v>46065</v>
      </c>
      <c r="AN644" s="396">
        <f t="shared" si="63"/>
        <v>1</v>
      </c>
      <c r="AO644" s="109">
        <f t="shared" si="64"/>
        <v>119000</v>
      </c>
      <c r="AP644" s="109">
        <f t="shared" si="65"/>
        <v>108181.81818181818</v>
      </c>
      <c r="AQ644" s="397">
        <f t="shared" si="60"/>
        <v>108181.81818181818</v>
      </c>
    </row>
    <row r="645" spans="1:43" ht="24">
      <c r="A645" s="436" t="s">
        <v>5176</v>
      </c>
      <c r="B645" s="436" t="s">
        <v>3490</v>
      </c>
      <c r="C645" s="437" t="s">
        <v>3491</v>
      </c>
      <c r="D645" s="436" t="s">
        <v>5104</v>
      </c>
      <c r="E645" s="437" t="s">
        <v>3527</v>
      </c>
      <c r="F645" s="436" t="s">
        <v>3494</v>
      </c>
      <c r="G645" s="436" t="s">
        <v>3495</v>
      </c>
      <c r="H645" s="437" t="s">
        <v>3496</v>
      </c>
      <c r="I645" s="436" t="s">
        <v>3497</v>
      </c>
      <c r="J645" s="437" t="s">
        <v>3498</v>
      </c>
      <c r="K645" s="437" t="s">
        <v>3499</v>
      </c>
      <c r="L645" s="436" t="s">
        <v>3500</v>
      </c>
      <c r="M645" s="436" t="s">
        <v>4809</v>
      </c>
      <c r="N645" s="436" t="s">
        <v>3502</v>
      </c>
      <c r="O645" s="438">
        <v>119000</v>
      </c>
      <c r="P645" s="438">
        <v>80920</v>
      </c>
      <c r="Q645" s="438">
        <v>1</v>
      </c>
      <c r="R645" s="438">
        <v>0</v>
      </c>
      <c r="S645" s="438">
        <v>0</v>
      </c>
      <c r="T645" s="438">
        <v>0</v>
      </c>
      <c r="U645" s="438">
        <v>0</v>
      </c>
      <c r="V645" s="438">
        <v>0</v>
      </c>
      <c r="W645" s="438">
        <v>32</v>
      </c>
      <c r="X645" s="438">
        <v>0</v>
      </c>
      <c r="Y645" s="438">
        <v>0</v>
      </c>
      <c r="Z645" s="438">
        <v>0</v>
      </c>
      <c r="AA645" s="438">
        <v>0</v>
      </c>
      <c r="AB645" s="438">
        <v>0</v>
      </c>
      <c r="AC645" s="438">
        <v>119000</v>
      </c>
      <c r="AD645" s="438">
        <v>80920</v>
      </c>
      <c r="AE645" s="438">
        <v>0</v>
      </c>
      <c r="AF645" s="438">
        <v>0</v>
      </c>
      <c r="AG645" s="438">
        <v>119000</v>
      </c>
      <c r="AH645" s="438">
        <v>80920</v>
      </c>
      <c r="AI645" s="438">
        <v>34618</v>
      </c>
      <c r="AJ645" s="438">
        <v>3462</v>
      </c>
      <c r="AK645" s="438">
        <v>38080</v>
      </c>
      <c r="AL645" s="414" t="str">
        <f t="shared" si="61"/>
        <v>워커힐 시그니처 양념 본갈비 300g, 8개</v>
      </c>
      <c r="AM645" s="395">
        <f t="shared" si="62"/>
        <v>46065</v>
      </c>
      <c r="AN645" s="396">
        <f t="shared" si="63"/>
        <v>1</v>
      </c>
      <c r="AO645" s="109">
        <f t="shared" si="64"/>
        <v>119000</v>
      </c>
      <c r="AP645" s="109">
        <f t="shared" si="65"/>
        <v>108181.81818181818</v>
      </c>
      <c r="AQ645" s="397">
        <f t="shared" si="60"/>
        <v>108181.81818181818</v>
      </c>
    </row>
    <row r="646" spans="1:43" ht="24">
      <c r="A646" s="436" t="s">
        <v>5178</v>
      </c>
      <c r="B646" s="436" t="s">
        <v>3490</v>
      </c>
      <c r="C646" s="437" t="s">
        <v>3491</v>
      </c>
      <c r="D646" s="436" t="s">
        <v>5425</v>
      </c>
      <c r="E646" s="437" t="s">
        <v>5426</v>
      </c>
      <c r="F646" s="436" t="s">
        <v>3494</v>
      </c>
      <c r="G646" s="436" t="s">
        <v>3495</v>
      </c>
      <c r="H646" s="437" t="s">
        <v>3496</v>
      </c>
      <c r="I646" s="436" t="s">
        <v>3497</v>
      </c>
      <c r="J646" s="437" t="s">
        <v>3498</v>
      </c>
      <c r="K646" s="437" t="s">
        <v>3499</v>
      </c>
      <c r="L646" s="436" t="s">
        <v>3500</v>
      </c>
      <c r="M646" s="436" t="s">
        <v>4809</v>
      </c>
      <c r="N646" s="436" t="s">
        <v>3502</v>
      </c>
      <c r="O646" s="438">
        <v>119000</v>
      </c>
      <c r="P646" s="438">
        <v>80920</v>
      </c>
      <c r="Q646" s="438">
        <v>1</v>
      </c>
      <c r="R646" s="438">
        <v>0</v>
      </c>
      <c r="S646" s="438">
        <v>0</v>
      </c>
      <c r="T646" s="438">
        <v>0</v>
      </c>
      <c r="U646" s="438">
        <v>0</v>
      </c>
      <c r="V646" s="438">
        <v>0</v>
      </c>
      <c r="W646" s="438">
        <v>32</v>
      </c>
      <c r="X646" s="438">
        <v>0</v>
      </c>
      <c r="Y646" s="438">
        <v>0</v>
      </c>
      <c r="Z646" s="438">
        <v>0</v>
      </c>
      <c r="AA646" s="438">
        <v>0</v>
      </c>
      <c r="AB646" s="438">
        <v>0</v>
      </c>
      <c r="AC646" s="438">
        <v>119000</v>
      </c>
      <c r="AD646" s="438">
        <v>80920</v>
      </c>
      <c r="AE646" s="438">
        <v>0</v>
      </c>
      <c r="AF646" s="438">
        <v>0</v>
      </c>
      <c r="AG646" s="438">
        <v>119000</v>
      </c>
      <c r="AH646" s="438">
        <v>80920</v>
      </c>
      <c r="AI646" s="438">
        <v>34618</v>
      </c>
      <c r="AJ646" s="438">
        <v>3462</v>
      </c>
      <c r="AK646" s="438">
        <v>38080</v>
      </c>
      <c r="AL646" s="414" t="str">
        <f t="shared" si="61"/>
        <v>워커힐 시그니처 양념 본갈비 300g, 8개</v>
      </c>
      <c r="AM646" s="395">
        <f t="shared" si="62"/>
        <v>46065</v>
      </c>
      <c r="AN646" s="396">
        <f t="shared" si="63"/>
        <v>1</v>
      </c>
      <c r="AO646" s="109">
        <f t="shared" si="64"/>
        <v>119000</v>
      </c>
      <c r="AP646" s="109">
        <f t="shared" si="65"/>
        <v>108181.81818181818</v>
      </c>
      <c r="AQ646" s="397">
        <f t="shared" si="60"/>
        <v>108181.81818181818</v>
      </c>
    </row>
    <row r="647" spans="1:43" ht="24">
      <c r="A647" s="436" t="s">
        <v>5180</v>
      </c>
      <c r="B647" s="436" t="s">
        <v>3490</v>
      </c>
      <c r="C647" s="437" t="s">
        <v>3491</v>
      </c>
      <c r="D647" s="436" t="s">
        <v>5407</v>
      </c>
      <c r="E647" s="437" t="s">
        <v>3561</v>
      </c>
      <c r="F647" s="436" t="s">
        <v>3494</v>
      </c>
      <c r="G647" s="436" t="s">
        <v>3495</v>
      </c>
      <c r="H647" s="437" t="s">
        <v>3496</v>
      </c>
      <c r="I647" s="436" t="s">
        <v>3497</v>
      </c>
      <c r="J647" s="437" t="s">
        <v>3498</v>
      </c>
      <c r="K647" s="437" t="s">
        <v>3499</v>
      </c>
      <c r="L647" s="436" t="s">
        <v>3500</v>
      </c>
      <c r="M647" s="436" t="s">
        <v>4809</v>
      </c>
      <c r="N647" s="436" t="s">
        <v>3502</v>
      </c>
      <c r="O647" s="438">
        <v>119000</v>
      </c>
      <c r="P647" s="438">
        <v>80920</v>
      </c>
      <c r="Q647" s="438">
        <v>1</v>
      </c>
      <c r="R647" s="438">
        <v>0</v>
      </c>
      <c r="S647" s="438">
        <v>0</v>
      </c>
      <c r="T647" s="438">
        <v>0</v>
      </c>
      <c r="U647" s="438">
        <v>0</v>
      </c>
      <c r="V647" s="438">
        <v>0</v>
      </c>
      <c r="W647" s="438">
        <v>32</v>
      </c>
      <c r="X647" s="438">
        <v>0</v>
      </c>
      <c r="Y647" s="438">
        <v>0</v>
      </c>
      <c r="Z647" s="438">
        <v>0</v>
      </c>
      <c r="AA647" s="438">
        <v>0</v>
      </c>
      <c r="AB647" s="438">
        <v>0</v>
      </c>
      <c r="AC647" s="438">
        <v>119000</v>
      </c>
      <c r="AD647" s="438">
        <v>80920</v>
      </c>
      <c r="AE647" s="438">
        <v>0</v>
      </c>
      <c r="AF647" s="438">
        <v>0</v>
      </c>
      <c r="AG647" s="438">
        <v>119000</v>
      </c>
      <c r="AH647" s="438">
        <v>80920</v>
      </c>
      <c r="AI647" s="438">
        <v>34618</v>
      </c>
      <c r="AJ647" s="438">
        <v>3462</v>
      </c>
      <c r="AK647" s="438">
        <v>38080</v>
      </c>
      <c r="AL647" s="414" t="str">
        <f t="shared" si="61"/>
        <v>워커힐 시그니처 양념 본갈비 300g, 8개</v>
      </c>
      <c r="AM647" s="395">
        <f t="shared" si="62"/>
        <v>46065</v>
      </c>
      <c r="AN647" s="396">
        <f t="shared" si="63"/>
        <v>1</v>
      </c>
      <c r="AO647" s="109">
        <f t="shared" si="64"/>
        <v>119000</v>
      </c>
      <c r="AP647" s="109">
        <f t="shared" si="65"/>
        <v>108181.81818181818</v>
      </c>
      <c r="AQ647" s="397">
        <f t="shared" si="60"/>
        <v>108181.81818181818</v>
      </c>
    </row>
    <row r="648" spans="1:43" ht="24">
      <c r="A648" s="436" t="s">
        <v>5182</v>
      </c>
      <c r="B648" s="436" t="s">
        <v>3490</v>
      </c>
      <c r="C648" s="437" t="s">
        <v>3491</v>
      </c>
      <c r="D648" s="436" t="s">
        <v>4987</v>
      </c>
      <c r="E648" s="437" t="s">
        <v>3551</v>
      </c>
      <c r="F648" s="436" t="s">
        <v>3494</v>
      </c>
      <c r="G648" s="436" t="s">
        <v>3495</v>
      </c>
      <c r="H648" s="437" t="s">
        <v>3496</v>
      </c>
      <c r="I648" s="436" t="s">
        <v>3497</v>
      </c>
      <c r="J648" s="437" t="s">
        <v>3498</v>
      </c>
      <c r="K648" s="437" t="s">
        <v>3499</v>
      </c>
      <c r="L648" s="436" t="s">
        <v>3500</v>
      </c>
      <c r="M648" s="436" t="s">
        <v>4809</v>
      </c>
      <c r="N648" s="436" t="s">
        <v>3502</v>
      </c>
      <c r="O648" s="438">
        <v>119000</v>
      </c>
      <c r="P648" s="438">
        <v>80920</v>
      </c>
      <c r="Q648" s="438">
        <v>1</v>
      </c>
      <c r="R648" s="438">
        <v>0</v>
      </c>
      <c r="S648" s="438">
        <v>0</v>
      </c>
      <c r="T648" s="438">
        <v>0</v>
      </c>
      <c r="U648" s="438">
        <v>0</v>
      </c>
      <c r="V648" s="438">
        <v>0</v>
      </c>
      <c r="W648" s="438">
        <v>32</v>
      </c>
      <c r="X648" s="438">
        <v>0</v>
      </c>
      <c r="Y648" s="438">
        <v>0</v>
      </c>
      <c r="Z648" s="438">
        <v>0</v>
      </c>
      <c r="AA648" s="438">
        <v>0</v>
      </c>
      <c r="AB648" s="438">
        <v>0</v>
      </c>
      <c r="AC648" s="438">
        <v>119000</v>
      </c>
      <c r="AD648" s="438">
        <v>80920</v>
      </c>
      <c r="AE648" s="438">
        <v>0</v>
      </c>
      <c r="AF648" s="438">
        <v>0</v>
      </c>
      <c r="AG648" s="438">
        <v>119000</v>
      </c>
      <c r="AH648" s="438">
        <v>80920</v>
      </c>
      <c r="AI648" s="438">
        <v>34618</v>
      </c>
      <c r="AJ648" s="438">
        <v>3462</v>
      </c>
      <c r="AK648" s="438">
        <v>38080</v>
      </c>
      <c r="AL648" s="414" t="str">
        <f t="shared" si="61"/>
        <v>워커힐 시그니처 양념 본갈비 300g, 8개</v>
      </c>
      <c r="AM648" s="395">
        <f t="shared" si="62"/>
        <v>46065</v>
      </c>
      <c r="AN648" s="396">
        <f t="shared" si="63"/>
        <v>1</v>
      </c>
      <c r="AO648" s="109">
        <f t="shared" si="64"/>
        <v>119000</v>
      </c>
      <c r="AP648" s="109">
        <f t="shared" si="65"/>
        <v>108181.81818181818</v>
      </c>
      <c r="AQ648" s="397">
        <f t="shared" si="60"/>
        <v>108181.81818181818</v>
      </c>
    </row>
    <row r="649" spans="1:43" ht="24">
      <c r="A649" s="436" t="s">
        <v>5185</v>
      </c>
      <c r="B649" s="436" t="s">
        <v>3490</v>
      </c>
      <c r="C649" s="437" t="s">
        <v>3491</v>
      </c>
      <c r="D649" s="436" t="s">
        <v>5108</v>
      </c>
      <c r="E649" s="437" t="s">
        <v>5109</v>
      </c>
      <c r="F649" s="436" t="s">
        <v>3494</v>
      </c>
      <c r="G649" s="436" t="s">
        <v>3495</v>
      </c>
      <c r="H649" s="437" t="s">
        <v>3496</v>
      </c>
      <c r="I649" s="436" t="s">
        <v>3497</v>
      </c>
      <c r="J649" s="437" t="s">
        <v>3498</v>
      </c>
      <c r="K649" s="437" t="s">
        <v>3499</v>
      </c>
      <c r="L649" s="436" t="s">
        <v>3500</v>
      </c>
      <c r="M649" s="436" t="s">
        <v>4809</v>
      </c>
      <c r="N649" s="436" t="s">
        <v>3502</v>
      </c>
      <c r="O649" s="438">
        <v>119000</v>
      </c>
      <c r="P649" s="438">
        <v>80920</v>
      </c>
      <c r="Q649" s="438">
        <v>1</v>
      </c>
      <c r="R649" s="438">
        <v>0</v>
      </c>
      <c r="S649" s="438">
        <v>0</v>
      </c>
      <c r="T649" s="438">
        <v>0</v>
      </c>
      <c r="U649" s="438">
        <v>0</v>
      </c>
      <c r="V649" s="438">
        <v>0</v>
      </c>
      <c r="W649" s="438">
        <v>32</v>
      </c>
      <c r="X649" s="438">
        <v>0</v>
      </c>
      <c r="Y649" s="438">
        <v>0</v>
      </c>
      <c r="Z649" s="438">
        <v>0</v>
      </c>
      <c r="AA649" s="438">
        <v>0</v>
      </c>
      <c r="AB649" s="438">
        <v>0</v>
      </c>
      <c r="AC649" s="438">
        <v>119000</v>
      </c>
      <c r="AD649" s="438">
        <v>80920</v>
      </c>
      <c r="AE649" s="438">
        <v>0</v>
      </c>
      <c r="AF649" s="438">
        <v>0</v>
      </c>
      <c r="AG649" s="438">
        <v>119000</v>
      </c>
      <c r="AH649" s="438">
        <v>80920</v>
      </c>
      <c r="AI649" s="438">
        <v>34618</v>
      </c>
      <c r="AJ649" s="438">
        <v>3462</v>
      </c>
      <c r="AK649" s="438">
        <v>38080</v>
      </c>
      <c r="AL649" s="414" t="str">
        <f t="shared" si="61"/>
        <v>워커힐 시그니처 양념 본갈비 300g, 8개</v>
      </c>
      <c r="AM649" s="395">
        <f t="shared" si="62"/>
        <v>46065</v>
      </c>
      <c r="AN649" s="396">
        <f t="shared" si="63"/>
        <v>1</v>
      </c>
      <c r="AO649" s="109">
        <f t="shared" si="64"/>
        <v>119000</v>
      </c>
      <c r="AP649" s="109">
        <f t="shared" si="65"/>
        <v>108181.81818181818</v>
      </c>
      <c r="AQ649" s="397">
        <f t="shared" si="60"/>
        <v>108181.81818181818</v>
      </c>
    </row>
    <row r="650" spans="1:43" ht="24">
      <c r="A650" s="436" t="s">
        <v>5187</v>
      </c>
      <c r="B650" s="436" t="s">
        <v>3490</v>
      </c>
      <c r="C650" s="437" t="s">
        <v>3491</v>
      </c>
      <c r="D650" s="436" t="s">
        <v>5129</v>
      </c>
      <c r="E650" s="437" t="s">
        <v>4738</v>
      </c>
      <c r="F650" s="436" t="s">
        <v>3494</v>
      </c>
      <c r="G650" s="436" t="s">
        <v>3495</v>
      </c>
      <c r="H650" s="437" t="s">
        <v>3496</v>
      </c>
      <c r="I650" s="436" t="s">
        <v>3497</v>
      </c>
      <c r="J650" s="437" t="s">
        <v>3498</v>
      </c>
      <c r="K650" s="437" t="s">
        <v>163</v>
      </c>
      <c r="L650" s="436" t="s">
        <v>3500</v>
      </c>
      <c r="M650" s="436" t="s">
        <v>4809</v>
      </c>
      <c r="N650" s="436" t="s">
        <v>3502</v>
      </c>
      <c r="O650" s="438">
        <v>119000</v>
      </c>
      <c r="P650" s="438">
        <v>80920</v>
      </c>
      <c r="Q650" s="438">
        <v>1</v>
      </c>
      <c r="R650" s="438">
        <v>0</v>
      </c>
      <c r="S650" s="438">
        <v>0</v>
      </c>
      <c r="T650" s="438">
        <v>0</v>
      </c>
      <c r="U650" s="438">
        <v>0</v>
      </c>
      <c r="V650" s="438">
        <v>0</v>
      </c>
      <c r="W650" s="438">
        <v>32</v>
      </c>
      <c r="X650" s="438">
        <v>0</v>
      </c>
      <c r="Y650" s="438">
        <v>5950</v>
      </c>
      <c r="Z650" s="438">
        <v>0</v>
      </c>
      <c r="AA650" s="438">
        <v>0</v>
      </c>
      <c r="AB650" s="438">
        <v>0</v>
      </c>
      <c r="AC650" s="438">
        <v>119000</v>
      </c>
      <c r="AD650" s="438">
        <v>80920</v>
      </c>
      <c r="AE650" s="438">
        <v>0</v>
      </c>
      <c r="AF650" s="438">
        <v>5950</v>
      </c>
      <c r="AG650" s="438">
        <v>113050</v>
      </c>
      <c r="AH650" s="438">
        <v>80920</v>
      </c>
      <c r="AI650" s="438">
        <v>29209</v>
      </c>
      <c r="AJ650" s="438">
        <v>2921</v>
      </c>
      <c r="AK650" s="438">
        <v>32130</v>
      </c>
      <c r="AL650" s="414" t="str">
        <f t="shared" si="61"/>
        <v>워커힐 시그니처 양념 본갈비 300g, 8개</v>
      </c>
      <c r="AM650" s="395">
        <f t="shared" si="62"/>
        <v>46065</v>
      </c>
      <c r="AN650" s="396">
        <f t="shared" si="63"/>
        <v>1</v>
      </c>
      <c r="AO650" s="109">
        <f t="shared" si="64"/>
        <v>119000</v>
      </c>
      <c r="AP650" s="109">
        <f t="shared" si="65"/>
        <v>108181.81818181818</v>
      </c>
      <c r="AQ650" s="397">
        <f t="shared" si="60"/>
        <v>108181.81818181818</v>
      </c>
    </row>
    <row r="651" spans="1:43" ht="24">
      <c r="A651" s="436" t="s">
        <v>5190</v>
      </c>
      <c r="B651" s="436" t="s">
        <v>3490</v>
      </c>
      <c r="C651" s="437" t="s">
        <v>3491</v>
      </c>
      <c r="D651" s="436" t="s">
        <v>5131</v>
      </c>
      <c r="E651" s="437" t="s">
        <v>5132</v>
      </c>
      <c r="F651" s="436" t="s">
        <v>3494</v>
      </c>
      <c r="G651" s="436" t="s">
        <v>3495</v>
      </c>
      <c r="H651" s="437" t="s">
        <v>3496</v>
      </c>
      <c r="I651" s="436" t="s">
        <v>3497</v>
      </c>
      <c r="J651" s="437" t="s">
        <v>3498</v>
      </c>
      <c r="K651" s="437" t="s">
        <v>3499</v>
      </c>
      <c r="L651" s="436" t="s">
        <v>3500</v>
      </c>
      <c r="M651" s="436" t="s">
        <v>4809</v>
      </c>
      <c r="N651" s="436" t="s">
        <v>3502</v>
      </c>
      <c r="O651" s="438">
        <v>119000</v>
      </c>
      <c r="P651" s="438">
        <v>80920</v>
      </c>
      <c r="Q651" s="438">
        <v>1</v>
      </c>
      <c r="R651" s="438">
        <v>0</v>
      </c>
      <c r="S651" s="438">
        <v>0</v>
      </c>
      <c r="T651" s="438">
        <v>0</v>
      </c>
      <c r="U651" s="438">
        <v>0</v>
      </c>
      <c r="V651" s="438">
        <v>0</v>
      </c>
      <c r="W651" s="438">
        <v>32</v>
      </c>
      <c r="X651" s="438">
        <v>0</v>
      </c>
      <c r="Y651" s="438">
        <v>0</v>
      </c>
      <c r="Z651" s="438">
        <v>0</v>
      </c>
      <c r="AA651" s="438">
        <v>0</v>
      </c>
      <c r="AB651" s="438">
        <v>0</v>
      </c>
      <c r="AC651" s="438">
        <v>119000</v>
      </c>
      <c r="AD651" s="438">
        <v>80920</v>
      </c>
      <c r="AE651" s="438">
        <v>0</v>
      </c>
      <c r="AF651" s="438">
        <v>0</v>
      </c>
      <c r="AG651" s="438">
        <v>119000</v>
      </c>
      <c r="AH651" s="438">
        <v>80920</v>
      </c>
      <c r="AI651" s="438">
        <v>34618</v>
      </c>
      <c r="AJ651" s="438">
        <v>3462</v>
      </c>
      <c r="AK651" s="438">
        <v>38080</v>
      </c>
      <c r="AL651" s="414" t="str">
        <f t="shared" si="61"/>
        <v>워커힐 시그니처 양념 본갈비 300g, 8개</v>
      </c>
      <c r="AM651" s="395">
        <f t="shared" si="62"/>
        <v>46065</v>
      </c>
      <c r="AN651" s="396">
        <f t="shared" si="63"/>
        <v>1</v>
      </c>
      <c r="AO651" s="109">
        <f t="shared" si="64"/>
        <v>119000</v>
      </c>
      <c r="AP651" s="109">
        <f t="shared" si="65"/>
        <v>108181.81818181818</v>
      </c>
      <c r="AQ651" s="397">
        <f t="shared" si="60"/>
        <v>108181.81818181818</v>
      </c>
    </row>
    <row r="652" spans="1:43" ht="24">
      <c r="A652" s="436" t="s">
        <v>5192</v>
      </c>
      <c r="B652" s="436" t="s">
        <v>3490</v>
      </c>
      <c r="C652" s="437" t="s">
        <v>3491</v>
      </c>
      <c r="D652" s="436" t="s">
        <v>4824</v>
      </c>
      <c r="E652" s="437" t="s">
        <v>4825</v>
      </c>
      <c r="F652" s="436" t="s">
        <v>3494</v>
      </c>
      <c r="G652" s="436" t="s">
        <v>3495</v>
      </c>
      <c r="H652" s="437" t="s">
        <v>3496</v>
      </c>
      <c r="I652" s="436" t="s">
        <v>3497</v>
      </c>
      <c r="J652" s="437" t="s">
        <v>3498</v>
      </c>
      <c r="K652" s="437" t="s">
        <v>3499</v>
      </c>
      <c r="L652" s="436" t="s">
        <v>3500</v>
      </c>
      <c r="M652" s="436" t="s">
        <v>4809</v>
      </c>
      <c r="N652" s="436" t="s">
        <v>3502</v>
      </c>
      <c r="O652" s="438">
        <v>119000</v>
      </c>
      <c r="P652" s="438">
        <v>80920</v>
      </c>
      <c r="Q652" s="438">
        <v>1</v>
      </c>
      <c r="R652" s="438">
        <v>0</v>
      </c>
      <c r="S652" s="438">
        <v>0</v>
      </c>
      <c r="T652" s="438">
        <v>0</v>
      </c>
      <c r="U652" s="438">
        <v>0</v>
      </c>
      <c r="V652" s="438">
        <v>0</v>
      </c>
      <c r="W652" s="438">
        <v>32</v>
      </c>
      <c r="X652" s="438">
        <v>0</v>
      </c>
      <c r="Y652" s="438">
        <v>0</v>
      </c>
      <c r="Z652" s="438">
        <v>0</v>
      </c>
      <c r="AA652" s="438">
        <v>0</v>
      </c>
      <c r="AB652" s="438">
        <v>0</v>
      </c>
      <c r="AC652" s="438">
        <v>119000</v>
      </c>
      <c r="AD652" s="438">
        <v>80920</v>
      </c>
      <c r="AE652" s="438">
        <v>0</v>
      </c>
      <c r="AF652" s="438">
        <v>0</v>
      </c>
      <c r="AG652" s="438">
        <v>119000</v>
      </c>
      <c r="AH652" s="438">
        <v>80920</v>
      </c>
      <c r="AI652" s="438">
        <v>34618</v>
      </c>
      <c r="AJ652" s="438">
        <v>3462</v>
      </c>
      <c r="AK652" s="438">
        <v>38080</v>
      </c>
      <c r="AL652" s="414" t="str">
        <f t="shared" si="61"/>
        <v>워커힐 시그니처 양념 본갈비 300g, 8개</v>
      </c>
      <c r="AM652" s="395">
        <f t="shared" si="62"/>
        <v>46065</v>
      </c>
      <c r="AN652" s="396">
        <f t="shared" si="63"/>
        <v>1</v>
      </c>
      <c r="AO652" s="109">
        <f t="shared" si="64"/>
        <v>119000</v>
      </c>
      <c r="AP652" s="109">
        <f t="shared" si="65"/>
        <v>108181.81818181818</v>
      </c>
      <c r="AQ652" s="397">
        <f t="shared" si="60"/>
        <v>108181.81818181818</v>
      </c>
    </row>
    <row r="653" spans="1:43" ht="24">
      <c r="A653" s="436" t="s">
        <v>5194</v>
      </c>
      <c r="B653" s="436" t="s">
        <v>3490</v>
      </c>
      <c r="C653" s="437" t="s">
        <v>3491</v>
      </c>
      <c r="D653" s="436" t="s">
        <v>5139</v>
      </c>
      <c r="E653" s="437" t="s">
        <v>3851</v>
      </c>
      <c r="F653" s="436" t="s">
        <v>3494</v>
      </c>
      <c r="G653" s="436" t="s">
        <v>3495</v>
      </c>
      <c r="H653" s="437" t="s">
        <v>3496</v>
      </c>
      <c r="I653" s="436" t="s">
        <v>3497</v>
      </c>
      <c r="J653" s="437" t="s">
        <v>3498</v>
      </c>
      <c r="K653" s="437" t="s">
        <v>3548</v>
      </c>
      <c r="L653" s="436" t="s">
        <v>3500</v>
      </c>
      <c r="M653" s="436" t="s">
        <v>4809</v>
      </c>
      <c r="N653" s="436" t="s">
        <v>3502</v>
      </c>
      <c r="O653" s="438">
        <v>119000</v>
      </c>
      <c r="P653" s="438">
        <v>80920</v>
      </c>
      <c r="Q653" s="438">
        <v>1</v>
      </c>
      <c r="R653" s="438">
        <v>0</v>
      </c>
      <c r="S653" s="438">
        <v>0</v>
      </c>
      <c r="T653" s="438">
        <v>0</v>
      </c>
      <c r="U653" s="438">
        <v>0</v>
      </c>
      <c r="V653" s="438">
        <v>0</v>
      </c>
      <c r="W653" s="438">
        <v>32</v>
      </c>
      <c r="X653" s="438">
        <v>0</v>
      </c>
      <c r="Y653" s="438">
        <v>0</v>
      </c>
      <c r="Z653" s="438">
        <v>0</v>
      </c>
      <c r="AA653" s="438">
        <v>0</v>
      </c>
      <c r="AB653" s="438">
        <v>0</v>
      </c>
      <c r="AC653" s="438">
        <v>119000</v>
      </c>
      <c r="AD653" s="438">
        <v>80920</v>
      </c>
      <c r="AE653" s="438">
        <v>0</v>
      </c>
      <c r="AF653" s="438">
        <v>0</v>
      </c>
      <c r="AG653" s="438">
        <v>119000</v>
      </c>
      <c r="AH653" s="438">
        <v>80920</v>
      </c>
      <c r="AI653" s="438">
        <v>34618</v>
      </c>
      <c r="AJ653" s="438">
        <v>3462</v>
      </c>
      <c r="AK653" s="438">
        <v>38080</v>
      </c>
      <c r="AL653" s="414" t="str">
        <f t="shared" si="61"/>
        <v>워커힐 시그니처 양념 본갈비 300g, 8개</v>
      </c>
      <c r="AM653" s="395">
        <f t="shared" si="62"/>
        <v>46065</v>
      </c>
      <c r="AN653" s="396">
        <f t="shared" si="63"/>
        <v>1</v>
      </c>
      <c r="AO653" s="109">
        <f t="shared" si="64"/>
        <v>119000</v>
      </c>
      <c r="AP653" s="109">
        <f t="shared" si="65"/>
        <v>108181.81818181818</v>
      </c>
      <c r="AQ653" s="397">
        <f t="shared" si="60"/>
        <v>108181.81818181818</v>
      </c>
    </row>
    <row r="654" spans="1:43" ht="24">
      <c r="A654" s="436" t="s">
        <v>5197</v>
      </c>
      <c r="B654" s="436" t="s">
        <v>3490</v>
      </c>
      <c r="C654" s="437" t="s">
        <v>3491</v>
      </c>
      <c r="D654" s="436" t="s">
        <v>4861</v>
      </c>
      <c r="E654" s="437" t="s">
        <v>3760</v>
      </c>
      <c r="F654" s="436" t="s">
        <v>3494</v>
      </c>
      <c r="G654" s="436" t="s">
        <v>3495</v>
      </c>
      <c r="H654" s="437" t="s">
        <v>3496</v>
      </c>
      <c r="I654" s="436" t="s">
        <v>3497</v>
      </c>
      <c r="J654" s="437" t="s">
        <v>3498</v>
      </c>
      <c r="K654" s="437" t="s">
        <v>3499</v>
      </c>
      <c r="L654" s="436" t="s">
        <v>3500</v>
      </c>
      <c r="M654" s="436" t="s">
        <v>4809</v>
      </c>
      <c r="N654" s="436" t="s">
        <v>3502</v>
      </c>
      <c r="O654" s="438">
        <v>119000</v>
      </c>
      <c r="P654" s="438">
        <v>80920</v>
      </c>
      <c r="Q654" s="438">
        <v>1</v>
      </c>
      <c r="R654" s="438">
        <v>0</v>
      </c>
      <c r="S654" s="438">
        <v>0</v>
      </c>
      <c r="T654" s="438">
        <v>0</v>
      </c>
      <c r="U654" s="438">
        <v>0</v>
      </c>
      <c r="V654" s="438">
        <v>0</v>
      </c>
      <c r="W654" s="438">
        <v>32</v>
      </c>
      <c r="X654" s="438">
        <v>0</v>
      </c>
      <c r="Y654" s="438">
        <v>0</v>
      </c>
      <c r="Z654" s="438">
        <v>0</v>
      </c>
      <c r="AA654" s="438">
        <v>0</v>
      </c>
      <c r="AB654" s="438">
        <v>0</v>
      </c>
      <c r="AC654" s="438">
        <v>119000</v>
      </c>
      <c r="AD654" s="438">
        <v>80920</v>
      </c>
      <c r="AE654" s="438">
        <v>0</v>
      </c>
      <c r="AF654" s="438">
        <v>0</v>
      </c>
      <c r="AG654" s="438">
        <v>119000</v>
      </c>
      <c r="AH654" s="438">
        <v>80920</v>
      </c>
      <c r="AI654" s="438">
        <v>34618</v>
      </c>
      <c r="AJ654" s="438">
        <v>3462</v>
      </c>
      <c r="AK654" s="438">
        <v>38080</v>
      </c>
      <c r="AL654" s="414" t="str">
        <f t="shared" si="61"/>
        <v>워커힐 시그니처 양념 본갈비 300g, 8개</v>
      </c>
      <c r="AM654" s="395">
        <f t="shared" si="62"/>
        <v>46065</v>
      </c>
      <c r="AN654" s="396">
        <f t="shared" si="63"/>
        <v>1</v>
      </c>
      <c r="AO654" s="109">
        <f t="shared" si="64"/>
        <v>119000</v>
      </c>
      <c r="AP654" s="109">
        <f t="shared" si="65"/>
        <v>108181.81818181818</v>
      </c>
      <c r="AQ654" s="397">
        <f t="shared" si="60"/>
        <v>108181.81818181818</v>
      </c>
    </row>
    <row r="655" spans="1:43" ht="24">
      <c r="A655" s="436" t="s">
        <v>5199</v>
      </c>
      <c r="B655" s="436" t="s">
        <v>3490</v>
      </c>
      <c r="C655" s="437" t="s">
        <v>3491</v>
      </c>
      <c r="D655" s="436" t="s">
        <v>5038</v>
      </c>
      <c r="E655" s="437" t="s">
        <v>4155</v>
      </c>
      <c r="F655" s="436" t="s">
        <v>3494</v>
      </c>
      <c r="G655" s="436" t="s">
        <v>3495</v>
      </c>
      <c r="H655" s="437" t="s">
        <v>3496</v>
      </c>
      <c r="I655" s="436" t="s">
        <v>3497</v>
      </c>
      <c r="J655" s="437" t="s">
        <v>3498</v>
      </c>
      <c r="K655" s="437" t="s">
        <v>3499</v>
      </c>
      <c r="L655" s="436" t="s">
        <v>3500</v>
      </c>
      <c r="M655" s="436" t="s">
        <v>4809</v>
      </c>
      <c r="N655" s="436" t="s">
        <v>3502</v>
      </c>
      <c r="O655" s="438">
        <v>119000</v>
      </c>
      <c r="P655" s="438">
        <v>80920</v>
      </c>
      <c r="Q655" s="438">
        <v>1</v>
      </c>
      <c r="R655" s="438">
        <v>0</v>
      </c>
      <c r="S655" s="438">
        <v>0</v>
      </c>
      <c r="T655" s="438">
        <v>0</v>
      </c>
      <c r="U655" s="438">
        <v>0</v>
      </c>
      <c r="V655" s="438">
        <v>0</v>
      </c>
      <c r="W655" s="438">
        <v>32</v>
      </c>
      <c r="X655" s="438">
        <v>0</v>
      </c>
      <c r="Y655" s="438">
        <v>0</v>
      </c>
      <c r="Z655" s="438">
        <v>0</v>
      </c>
      <c r="AA655" s="438">
        <v>0</v>
      </c>
      <c r="AB655" s="438">
        <v>0</v>
      </c>
      <c r="AC655" s="438">
        <v>119000</v>
      </c>
      <c r="AD655" s="438">
        <v>80920</v>
      </c>
      <c r="AE655" s="438">
        <v>0</v>
      </c>
      <c r="AF655" s="438">
        <v>0</v>
      </c>
      <c r="AG655" s="438">
        <v>119000</v>
      </c>
      <c r="AH655" s="438">
        <v>80920</v>
      </c>
      <c r="AI655" s="438">
        <v>34618</v>
      </c>
      <c r="AJ655" s="438">
        <v>3462</v>
      </c>
      <c r="AK655" s="438">
        <v>38080</v>
      </c>
      <c r="AL655" s="414" t="str">
        <f t="shared" si="61"/>
        <v>워커힐 시그니처 양념 본갈비 300g, 8개</v>
      </c>
      <c r="AM655" s="395">
        <f t="shared" si="62"/>
        <v>46065</v>
      </c>
      <c r="AN655" s="396">
        <f t="shared" si="63"/>
        <v>1</v>
      </c>
      <c r="AO655" s="109">
        <f t="shared" si="64"/>
        <v>119000</v>
      </c>
      <c r="AP655" s="109">
        <f t="shared" si="65"/>
        <v>108181.81818181818</v>
      </c>
      <c r="AQ655" s="397">
        <f t="shared" si="60"/>
        <v>108181.81818181818</v>
      </c>
    </row>
    <row r="656" spans="1:43" ht="24">
      <c r="A656" s="436" t="s">
        <v>5201</v>
      </c>
      <c r="B656" s="436" t="s">
        <v>3490</v>
      </c>
      <c r="C656" s="437" t="s">
        <v>3491</v>
      </c>
      <c r="D656" s="436" t="s">
        <v>5150</v>
      </c>
      <c r="E656" s="437" t="s">
        <v>3775</v>
      </c>
      <c r="F656" s="436" t="s">
        <v>3494</v>
      </c>
      <c r="G656" s="436" t="s">
        <v>3495</v>
      </c>
      <c r="H656" s="437" t="s">
        <v>3496</v>
      </c>
      <c r="I656" s="436" t="s">
        <v>3497</v>
      </c>
      <c r="J656" s="437" t="s">
        <v>3498</v>
      </c>
      <c r="K656" s="437" t="s">
        <v>3499</v>
      </c>
      <c r="L656" s="436" t="s">
        <v>3500</v>
      </c>
      <c r="M656" s="436" t="s">
        <v>4809</v>
      </c>
      <c r="N656" s="436" t="s">
        <v>3502</v>
      </c>
      <c r="O656" s="438">
        <v>119000</v>
      </c>
      <c r="P656" s="438">
        <v>80920</v>
      </c>
      <c r="Q656" s="438">
        <v>1</v>
      </c>
      <c r="R656" s="438">
        <v>0</v>
      </c>
      <c r="S656" s="438">
        <v>0</v>
      </c>
      <c r="T656" s="438">
        <v>0</v>
      </c>
      <c r="U656" s="438">
        <v>0</v>
      </c>
      <c r="V656" s="438">
        <v>0</v>
      </c>
      <c r="W656" s="438">
        <v>32</v>
      </c>
      <c r="X656" s="438">
        <v>5950</v>
      </c>
      <c r="Y656" s="438">
        <v>0</v>
      </c>
      <c r="Z656" s="438">
        <v>0</v>
      </c>
      <c r="AA656" s="438">
        <v>0</v>
      </c>
      <c r="AB656" s="438">
        <v>0</v>
      </c>
      <c r="AC656" s="438">
        <v>119000</v>
      </c>
      <c r="AD656" s="438">
        <v>80920</v>
      </c>
      <c r="AE656" s="438">
        <v>0</v>
      </c>
      <c r="AF656" s="438">
        <v>5950</v>
      </c>
      <c r="AG656" s="438">
        <v>113050</v>
      </c>
      <c r="AH656" s="438">
        <v>80920</v>
      </c>
      <c r="AI656" s="438">
        <v>29209</v>
      </c>
      <c r="AJ656" s="438">
        <v>2921</v>
      </c>
      <c r="AK656" s="438">
        <v>32130</v>
      </c>
      <c r="AL656" s="414" t="str">
        <f t="shared" si="61"/>
        <v>워커힐 시그니처 양념 본갈비 300g, 8개</v>
      </c>
      <c r="AM656" s="395">
        <f t="shared" si="62"/>
        <v>46065</v>
      </c>
      <c r="AN656" s="396">
        <f t="shared" si="63"/>
        <v>1</v>
      </c>
      <c r="AO656" s="109">
        <f t="shared" si="64"/>
        <v>119000</v>
      </c>
      <c r="AP656" s="109">
        <f t="shared" si="65"/>
        <v>108181.81818181818</v>
      </c>
      <c r="AQ656" s="397">
        <f t="shared" si="60"/>
        <v>108181.81818181818</v>
      </c>
    </row>
    <row r="657" spans="1:43" ht="24">
      <c r="A657" s="436" t="s">
        <v>5203</v>
      </c>
      <c r="B657" s="436" t="s">
        <v>3490</v>
      </c>
      <c r="C657" s="437" t="s">
        <v>3491</v>
      </c>
      <c r="D657" s="436" t="s">
        <v>5152</v>
      </c>
      <c r="E657" s="437" t="s">
        <v>4198</v>
      </c>
      <c r="F657" s="436" t="s">
        <v>3494</v>
      </c>
      <c r="G657" s="436" t="s">
        <v>3495</v>
      </c>
      <c r="H657" s="437" t="s">
        <v>3496</v>
      </c>
      <c r="I657" s="436" t="s">
        <v>3497</v>
      </c>
      <c r="J657" s="437" t="s">
        <v>3498</v>
      </c>
      <c r="K657" s="437" t="s">
        <v>3499</v>
      </c>
      <c r="L657" s="436" t="s">
        <v>3500</v>
      </c>
      <c r="M657" s="436" t="s">
        <v>4809</v>
      </c>
      <c r="N657" s="436" t="s">
        <v>3502</v>
      </c>
      <c r="O657" s="438">
        <v>119000</v>
      </c>
      <c r="P657" s="438">
        <v>80920</v>
      </c>
      <c r="Q657" s="438">
        <v>1</v>
      </c>
      <c r="R657" s="438">
        <v>0</v>
      </c>
      <c r="S657" s="438">
        <v>0</v>
      </c>
      <c r="T657" s="438">
        <v>0</v>
      </c>
      <c r="U657" s="438">
        <v>0</v>
      </c>
      <c r="V657" s="438">
        <v>0</v>
      </c>
      <c r="W657" s="438">
        <v>32</v>
      </c>
      <c r="X657" s="438">
        <v>0</v>
      </c>
      <c r="Y657" s="438">
        <v>0</v>
      </c>
      <c r="Z657" s="438">
        <v>0</v>
      </c>
      <c r="AA657" s="438">
        <v>0</v>
      </c>
      <c r="AB657" s="438">
        <v>0</v>
      </c>
      <c r="AC657" s="438">
        <v>119000</v>
      </c>
      <c r="AD657" s="438">
        <v>80920</v>
      </c>
      <c r="AE657" s="438">
        <v>0</v>
      </c>
      <c r="AF657" s="438">
        <v>0</v>
      </c>
      <c r="AG657" s="438">
        <v>119000</v>
      </c>
      <c r="AH657" s="438">
        <v>80920</v>
      </c>
      <c r="AI657" s="438">
        <v>34618</v>
      </c>
      <c r="AJ657" s="438">
        <v>3462</v>
      </c>
      <c r="AK657" s="438">
        <v>38080</v>
      </c>
      <c r="AL657" s="414" t="str">
        <f t="shared" si="61"/>
        <v>워커힐 시그니처 양념 본갈비 300g, 8개</v>
      </c>
      <c r="AM657" s="395">
        <f t="shared" si="62"/>
        <v>46065</v>
      </c>
      <c r="AN657" s="396">
        <f t="shared" si="63"/>
        <v>1</v>
      </c>
      <c r="AO657" s="109">
        <f t="shared" si="64"/>
        <v>119000</v>
      </c>
      <c r="AP657" s="109">
        <f t="shared" si="65"/>
        <v>108181.81818181818</v>
      </c>
      <c r="AQ657" s="397">
        <f t="shared" si="60"/>
        <v>108181.81818181818</v>
      </c>
    </row>
    <row r="658" spans="1:43" ht="24">
      <c r="A658" s="436" t="s">
        <v>5205</v>
      </c>
      <c r="B658" s="436" t="s">
        <v>3490</v>
      </c>
      <c r="C658" s="437" t="s">
        <v>3491</v>
      </c>
      <c r="D658" s="436" t="s">
        <v>5154</v>
      </c>
      <c r="E658" s="437" t="s">
        <v>5155</v>
      </c>
      <c r="F658" s="436" t="s">
        <v>3494</v>
      </c>
      <c r="G658" s="436" t="s">
        <v>3495</v>
      </c>
      <c r="H658" s="437" t="s">
        <v>3496</v>
      </c>
      <c r="I658" s="436" t="s">
        <v>3497</v>
      </c>
      <c r="J658" s="437" t="s">
        <v>3498</v>
      </c>
      <c r="K658" s="437" t="s">
        <v>3499</v>
      </c>
      <c r="L658" s="436" t="s">
        <v>3500</v>
      </c>
      <c r="M658" s="436" t="s">
        <v>4809</v>
      </c>
      <c r="N658" s="436" t="s">
        <v>3502</v>
      </c>
      <c r="O658" s="438">
        <v>119000</v>
      </c>
      <c r="P658" s="438">
        <v>80920</v>
      </c>
      <c r="Q658" s="438">
        <v>1</v>
      </c>
      <c r="R658" s="438">
        <v>0</v>
      </c>
      <c r="S658" s="438">
        <v>0</v>
      </c>
      <c r="T658" s="438">
        <v>0</v>
      </c>
      <c r="U658" s="438">
        <v>0</v>
      </c>
      <c r="V658" s="438">
        <v>0</v>
      </c>
      <c r="W658" s="438">
        <v>32</v>
      </c>
      <c r="X658" s="438">
        <v>0</v>
      </c>
      <c r="Y658" s="438">
        <v>15000</v>
      </c>
      <c r="Z658" s="438">
        <v>0</v>
      </c>
      <c r="AA658" s="438">
        <v>0</v>
      </c>
      <c r="AB658" s="438">
        <v>5200</v>
      </c>
      <c r="AC658" s="438">
        <v>119000</v>
      </c>
      <c r="AD658" s="438">
        <v>80920</v>
      </c>
      <c r="AE658" s="438">
        <v>0</v>
      </c>
      <c r="AF658" s="438">
        <v>20200</v>
      </c>
      <c r="AG658" s="438">
        <v>98800</v>
      </c>
      <c r="AH658" s="438">
        <v>80920</v>
      </c>
      <c r="AI658" s="438">
        <v>16255</v>
      </c>
      <c r="AJ658" s="438">
        <v>1625</v>
      </c>
      <c r="AK658" s="438">
        <v>17880</v>
      </c>
      <c r="AL658" s="414" t="str">
        <f t="shared" si="61"/>
        <v>워커힐 시그니처 양념 본갈비 300g, 8개</v>
      </c>
      <c r="AM658" s="395">
        <f t="shared" si="62"/>
        <v>46065</v>
      </c>
      <c r="AN658" s="396">
        <f t="shared" si="63"/>
        <v>1</v>
      </c>
      <c r="AO658" s="109">
        <f t="shared" si="64"/>
        <v>119000</v>
      </c>
      <c r="AP658" s="109">
        <f t="shared" si="65"/>
        <v>108181.81818181818</v>
      </c>
      <c r="AQ658" s="397">
        <f t="shared" si="60"/>
        <v>108181.81818181818</v>
      </c>
    </row>
    <row r="659" spans="1:43" ht="24">
      <c r="A659" s="436" t="s">
        <v>5207</v>
      </c>
      <c r="B659" s="436" t="s">
        <v>3490</v>
      </c>
      <c r="C659" s="437" t="s">
        <v>3491</v>
      </c>
      <c r="D659" s="436" t="s">
        <v>4870</v>
      </c>
      <c r="E659" s="437" t="s">
        <v>4871</v>
      </c>
      <c r="F659" s="436" t="s">
        <v>3494</v>
      </c>
      <c r="G659" s="436" t="s">
        <v>3495</v>
      </c>
      <c r="H659" s="437" t="s">
        <v>3496</v>
      </c>
      <c r="I659" s="436" t="s">
        <v>3497</v>
      </c>
      <c r="J659" s="437" t="s">
        <v>3498</v>
      </c>
      <c r="K659" s="437" t="s">
        <v>3499</v>
      </c>
      <c r="L659" s="436" t="s">
        <v>3500</v>
      </c>
      <c r="M659" s="436" t="s">
        <v>4809</v>
      </c>
      <c r="N659" s="436" t="s">
        <v>3502</v>
      </c>
      <c r="O659" s="438">
        <v>119000</v>
      </c>
      <c r="P659" s="438">
        <v>80920</v>
      </c>
      <c r="Q659" s="438">
        <v>1</v>
      </c>
      <c r="R659" s="438">
        <v>0</v>
      </c>
      <c r="S659" s="438">
        <v>0</v>
      </c>
      <c r="T659" s="438">
        <v>0</v>
      </c>
      <c r="U659" s="438">
        <v>0</v>
      </c>
      <c r="V659" s="438">
        <v>0</v>
      </c>
      <c r="W659" s="438">
        <v>32</v>
      </c>
      <c r="X659" s="438">
        <v>23800</v>
      </c>
      <c r="Y659" s="438">
        <v>0</v>
      </c>
      <c r="Z659" s="438">
        <v>0</v>
      </c>
      <c r="AA659" s="438">
        <v>0</v>
      </c>
      <c r="AB659" s="438">
        <v>0</v>
      </c>
      <c r="AC659" s="438">
        <v>119000</v>
      </c>
      <c r="AD659" s="438">
        <v>80920</v>
      </c>
      <c r="AE659" s="438">
        <v>0</v>
      </c>
      <c r="AF659" s="438">
        <v>23800</v>
      </c>
      <c r="AG659" s="438">
        <v>95200</v>
      </c>
      <c r="AH659" s="438">
        <v>80920</v>
      </c>
      <c r="AI659" s="438">
        <v>12982</v>
      </c>
      <c r="AJ659" s="438">
        <v>1298</v>
      </c>
      <c r="AK659" s="438">
        <v>14280</v>
      </c>
      <c r="AL659" s="414" t="str">
        <f t="shared" si="61"/>
        <v>워커힐 시그니처 양념 본갈비 300g, 8개</v>
      </c>
      <c r="AM659" s="395">
        <f t="shared" si="62"/>
        <v>46065</v>
      </c>
      <c r="AN659" s="396">
        <f t="shared" si="63"/>
        <v>1</v>
      </c>
      <c r="AO659" s="109">
        <f t="shared" si="64"/>
        <v>119000</v>
      </c>
      <c r="AP659" s="109">
        <f t="shared" si="65"/>
        <v>108181.81818181818</v>
      </c>
      <c r="AQ659" s="397">
        <f t="shared" si="60"/>
        <v>108181.81818181818</v>
      </c>
    </row>
    <row r="660" spans="1:43" ht="24">
      <c r="A660" s="436" t="s">
        <v>5209</v>
      </c>
      <c r="B660" s="436" t="s">
        <v>3490</v>
      </c>
      <c r="C660" s="437" t="s">
        <v>3491</v>
      </c>
      <c r="D660" s="436" t="s">
        <v>4880</v>
      </c>
      <c r="E660" s="437" t="s">
        <v>3760</v>
      </c>
      <c r="F660" s="436" t="s">
        <v>3494</v>
      </c>
      <c r="G660" s="436" t="s">
        <v>3495</v>
      </c>
      <c r="H660" s="437" t="s">
        <v>3496</v>
      </c>
      <c r="I660" s="436" t="s">
        <v>3497</v>
      </c>
      <c r="J660" s="437" t="s">
        <v>3498</v>
      </c>
      <c r="K660" s="437" t="s">
        <v>3499</v>
      </c>
      <c r="L660" s="436" t="s">
        <v>3500</v>
      </c>
      <c r="M660" s="436" t="s">
        <v>4809</v>
      </c>
      <c r="N660" s="436" t="s">
        <v>3502</v>
      </c>
      <c r="O660" s="438">
        <v>119000</v>
      </c>
      <c r="P660" s="438">
        <v>80920</v>
      </c>
      <c r="Q660" s="438">
        <v>1</v>
      </c>
      <c r="R660" s="438">
        <v>0</v>
      </c>
      <c r="S660" s="438">
        <v>0</v>
      </c>
      <c r="T660" s="438">
        <v>0</v>
      </c>
      <c r="U660" s="438">
        <v>0</v>
      </c>
      <c r="V660" s="438">
        <v>0</v>
      </c>
      <c r="W660" s="438">
        <v>32</v>
      </c>
      <c r="X660" s="438">
        <v>0</v>
      </c>
      <c r="Y660" s="438">
        <v>0</v>
      </c>
      <c r="Z660" s="438">
        <v>0</v>
      </c>
      <c r="AA660" s="438">
        <v>0</v>
      </c>
      <c r="AB660" s="438">
        <v>0</v>
      </c>
      <c r="AC660" s="438">
        <v>119000</v>
      </c>
      <c r="AD660" s="438">
        <v>80920</v>
      </c>
      <c r="AE660" s="438">
        <v>0</v>
      </c>
      <c r="AF660" s="438">
        <v>0</v>
      </c>
      <c r="AG660" s="438">
        <v>119000</v>
      </c>
      <c r="AH660" s="438">
        <v>80920</v>
      </c>
      <c r="AI660" s="438">
        <v>34618</v>
      </c>
      <c r="AJ660" s="438">
        <v>3462</v>
      </c>
      <c r="AK660" s="438">
        <v>38080</v>
      </c>
      <c r="AL660" s="414" t="str">
        <f t="shared" si="61"/>
        <v>워커힐 시그니처 양념 본갈비 300g, 8개</v>
      </c>
      <c r="AM660" s="395">
        <f t="shared" si="62"/>
        <v>46065</v>
      </c>
      <c r="AN660" s="396">
        <f t="shared" si="63"/>
        <v>1</v>
      </c>
      <c r="AO660" s="109">
        <f t="shared" si="64"/>
        <v>119000</v>
      </c>
      <c r="AP660" s="109">
        <f t="shared" si="65"/>
        <v>108181.81818181818</v>
      </c>
      <c r="AQ660" s="397">
        <f t="shared" si="60"/>
        <v>108181.81818181818</v>
      </c>
    </row>
    <row r="661" spans="1:43" ht="24">
      <c r="A661" s="436" t="s">
        <v>5211</v>
      </c>
      <c r="B661" s="436" t="s">
        <v>3490</v>
      </c>
      <c r="C661" s="437" t="s">
        <v>3491</v>
      </c>
      <c r="D661" s="436" t="s">
        <v>5070</v>
      </c>
      <c r="E661" s="437" t="s">
        <v>3829</v>
      </c>
      <c r="F661" s="436" t="s">
        <v>3494</v>
      </c>
      <c r="G661" s="436" t="s">
        <v>3495</v>
      </c>
      <c r="H661" s="437" t="s">
        <v>3496</v>
      </c>
      <c r="I661" s="436" t="s">
        <v>3497</v>
      </c>
      <c r="J661" s="437" t="s">
        <v>3498</v>
      </c>
      <c r="K661" s="437" t="s">
        <v>3499</v>
      </c>
      <c r="L661" s="436" t="s">
        <v>3500</v>
      </c>
      <c r="M661" s="436" t="s">
        <v>4809</v>
      </c>
      <c r="N661" s="436" t="s">
        <v>3502</v>
      </c>
      <c r="O661" s="438">
        <v>119000</v>
      </c>
      <c r="P661" s="438">
        <v>80920</v>
      </c>
      <c r="Q661" s="438">
        <v>1</v>
      </c>
      <c r="R661" s="438">
        <v>0</v>
      </c>
      <c r="S661" s="438">
        <v>0</v>
      </c>
      <c r="T661" s="438">
        <v>0</v>
      </c>
      <c r="U661" s="438">
        <v>0</v>
      </c>
      <c r="V661" s="438">
        <v>0</v>
      </c>
      <c r="W661" s="438">
        <v>32</v>
      </c>
      <c r="X661" s="438">
        <v>0</v>
      </c>
      <c r="Y661" s="438">
        <v>0</v>
      </c>
      <c r="Z661" s="438">
        <v>0</v>
      </c>
      <c r="AA661" s="438">
        <v>0</v>
      </c>
      <c r="AB661" s="438">
        <v>0</v>
      </c>
      <c r="AC661" s="438">
        <v>119000</v>
      </c>
      <c r="AD661" s="438">
        <v>80920</v>
      </c>
      <c r="AE661" s="438">
        <v>0</v>
      </c>
      <c r="AF661" s="438">
        <v>0</v>
      </c>
      <c r="AG661" s="438">
        <v>119000</v>
      </c>
      <c r="AH661" s="438">
        <v>80920</v>
      </c>
      <c r="AI661" s="438">
        <v>34618</v>
      </c>
      <c r="AJ661" s="438">
        <v>3462</v>
      </c>
      <c r="AK661" s="438">
        <v>38080</v>
      </c>
      <c r="AL661" s="414" t="str">
        <f t="shared" si="61"/>
        <v>워커힐 시그니처 양념 본갈비 300g, 8개</v>
      </c>
      <c r="AM661" s="395">
        <f t="shared" si="62"/>
        <v>46065</v>
      </c>
      <c r="AN661" s="396">
        <f t="shared" si="63"/>
        <v>1</v>
      </c>
      <c r="AO661" s="109">
        <f t="shared" si="64"/>
        <v>119000</v>
      </c>
      <c r="AP661" s="109">
        <f t="shared" si="65"/>
        <v>108181.81818181818</v>
      </c>
      <c r="AQ661" s="397">
        <f t="shared" si="60"/>
        <v>108181.81818181818</v>
      </c>
    </row>
    <row r="662" spans="1:43" ht="24">
      <c r="A662" s="436" t="s">
        <v>5213</v>
      </c>
      <c r="B662" s="436" t="s">
        <v>3490</v>
      </c>
      <c r="C662" s="437" t="s">
        <v>3491</v>
      </c>
      <c r="D662" s="436" t="s">
        <v>5040</v>
      </c>
      <c r="E662" s="437" t="s">
        <v>5041</v>
      </c>
      <c r="F662" s="436" t="s">
        <v>3494</v>
      </c>
      <c r="G662" s="436" t="s">
        <v>3495</v>
      </c>
      <c r="H662" s="437" t="s">
        <v>3496</v>
      </c>
      <c r="I662" s="436" t="s">
        <v>3497</v>
      </c>
      <c r="J662" s="437" t="s">
        <v>3498</v>
      </c>
      <c r="K662" s="437" t="s">
        <v>163</v>
      </c>
      <c r="L662" s="436" t="s">
        <v>3500</v>
      </c>
      <c r="M662" s="436" t="s">
        <v>4809</v>
      </c>
      <c r="N662" s="436" t="s">
        <v>3502</v>
      </c>
      <c r="O662" s="438">
        <v>119000</v>
      </c>
      <c r="P662" s="438">
        <v>80920</v>
      </c>
      <c r="Q662" s="438">
        <v>1</v>
      </c>
      <c r="R662" s="438">
        <v>0</v>
      </c>
      <c r="S662" s="438">
        <v>0</v>
      </c>
      <c r="T662" s="438">
        <v>0</v>
      </c>
      <c r="U662" s="438">
        <v>0</v>
      </c>
      <c r="V662" s="438">
        <v>0</v>
      </c>
      <c r="W662" s="438">
        <v>32</v>
      </c>
      <c r="X662" s="438">
        <v>0</v>
      </c>
      <c r="Y662" s="438">
        <v>5950</v>
      </c>
      <c r="Z662" s="438">
        <v>0</v>
      </c>
      <c r="AA662" s="438">
        <v>0</v>
      </c>
      <c r="AB662" s="438">
        <v>0</v>
      </c>
      <c r="AC662" s="438">
        <v>119000</v>
      </c>
      <c r="AD662" s="438">
        <v>80920</v>
      </c>
      <c r="AE662" s="438">
        <v>0</v>
      </c>
      <c r="AF662" s="438">
        <v>5950</v>
      </c>
      <c r="AG662" s="438">
        <v>113050</v>
      </c>
      <c r="AH662" s="438">
        <v>80920</v>
      </c>
      <c r="AI662" s="438">
        <v>29209</v>
      </c>
      <c r="AJ662" s="438">
        <v>2921</v>
      </c>
      <c r="AK662" s="438">
        <v>32130</v>
      </c>
      <c r="AL662" s="414" t="str">
        <f t="shared" si="61"/>
        <v>워커힐 시그니처 양념 본갈비 300g, 8개</v>
      </c>
      <c r="AM662" s="395">
        <f t="shared" si="62"/>
        <v>46065</v>
      </c>
      <c r="AN662" s="396">
        <f t="shared" si="63"/>
        <v>1</v>
      </c>
      <c r="AO662" s="109">
        <f t="shared" si="64"/>
        <v>119000</v>
      </c>
      <c r="AP662" s="109">
        <f t="shared" si="65"/>
        <v>108181.81818181818</v>
      </c>
      <c r="AQ662" s="397">
        <f t="shared" si="60"/>
        <v>108181.81818181818</v>
      </c>
    </row>
    <row r="663" spans="1:43" ht="24">
      <c r="A663" s="436" t="s">
        <v>5216</v>
      </c>
      <c r="B663" s="436" t="s">
        <v>3490</v>
      </c>
      <c r="C663" s="437" t="s">
        <v>3491</v>
      </c>
      <c r="D663" s="436" t="s">
        <v>5046</v>
      </c>
      <c r="E663" s="437" t="s">
        <v>5047</v>
      </c>
      <c r="F663" s="436" t="s">
        <v>3494</v>
      </c>
      <c r="G663" s="436" t="s">
        <v>3495</v>
      </c>
      <c r="H663" s="437" t="s">
        <v>3496</v>
      </c>
      <c r="I663" s="436" t="s">
        <v>3497</v>
      </c>
      <c r="J663" s="437" t="s">
        <v>3498</v>
      </c>
      <c r="K663" s="437" t="s">
        <v>3499</v>
      </c>
      <c r="L663" s="436" t="s">
        <v>3500</v>
      </c>
      <c r="M663" s="436" t="s">
        <v>4809</v>
      </c>
      <c r="N663" s="436" t="s">
        <v>3502</v>
      </c>
      <c r="O663" s="438">
        <v>119000</v>
      </c>
      <c r="P663" s="438">
        <v>80920</v>
      </c>
      <c r="Q663" s="438">
        <v>1</v>
      </c>
      <c r="R663" s="438">
        <v>0</v>
      </c>
      <c r="S663" s="438">
        <v>0</v>
      </c>
      <c r="T663" s="438">
        <v>0</v>
      </c>
      <c r="U663" s="438">
        <v>0</v>
      </c>
      <c r="V663" s="438">
        <v>0</v>
      </c>
      <c r="W663" s="438">
        <v>32</v>
      </c>
      <c r="X663" s="438">
        <v>0</v>
      </c>
      <c r="Y663" s="438">
        <v>0</v>
      </c>
      <c r="Z663" s="438">
        <v>0</v>
      </c>
      <c r="AA663" s="438">
        <v>0</v>
      </c>
      <c r="AB663" s="438">
        <v>0</v>
      </c>
      <c r="AC663" s="438">
        <v>119000</v>
      </c>
      <c r="AD663" s="438">
        <v>80920</v>
      </c>
      <c r="AE663" s="438">
        <v>0</v>
      </c>
      <c r="AF663" s="438">
        <v>0</v>
      </c>
      <c r="AG663" s="438">
        <v>119000</v>
      </c>
      <c r="AH663" s="438">
        <v>80920</v>
      </c>
      <c r="AI663" s="438">
        <v>34618</v>
      </c>
      <c r="AJ663" s="438">
        <v>3462</v>
      </c>
      <c r="AK663" s="438">
        <v>38080</v>
      </c>
      <c r="AL663" s="414" t="str">
        <f t="shared" si="61"/>
        <v>워커힐 시그니처 양념 본갈비 300g, 8개</v>
      </c>
      <c r="AM663" s="395">
        <f t="shared" si="62"/>
        <v>46065</v>
      </c>
      <c r="AN663" s="396">
        <f t="shared" si="63"/>
        <v>1</v>
      </c>
      <c r="AO663" s="109">
        <f t="shared" si="64"/>
        <v>119000</v>
      </c>
      <c r="AP663" s="109">
        <f t="shared" si="65"/>
        <v>108181.81818181818</v>
      </c>
      <c r="AQ663" s="397">
        <f t="shared" si="60"/>
        <v>108181.81818181818</v>
      </c>
    </row>
    <row r="664" spans="1:43" ht="24">
      <c r="A664" s="436" t="s">
        <v>5219</v>
      </c>
      <c r="B664" s="436" t="s">
        <v>3490</v>
      </c>
      <c r="C664" s="437" t="s">
        <v>3491</v>
      </c>
      <c r="D664" s="436" t="s">
        <v>4928</v>
      </c>
      <c r="E664" s="437" t="s">
        <v>4929</v>
      </c>
      <c r="F664" s="436" t="s">
        <v>3494</v>
      </c>
      <c r="G664" s="436" t="s">
        <v>3495</v>
      </c>
      <c r="H664" s="437" t="s">
        <v>3496</v>
      </c>
      <c r="I664" s="436" t="s">
        <v>3497</v>
      </c>
      <c r="J664" s="437" t="s">
        <v>3498</v>
      </c>
      <c r="K664" s="437" t="s">
        <v>3499</v>
      </c>
      <c r="L664" s="436" t="s">
        <v>3500</v>
      </c>
      <c r="M664" s="436" t="s">
        <v>4809</v>
      </c>
      <c r="N664" s="436" t="s">
        <v>3502</v>
      </c>
      <c r="O664" s="438">
        <v>119000</v>
      </c>
      <c r="P664" s="438">
        <v>80920</v>
      </c>
      <c r="Q664" s="438">
        <v>1</v>
      </c>
      <c r="R664" s="438">
        <v>0</v>
      </c>
      <c r="S664" s="438">
        <v>0</v>
      </c>
      <c r="T664" s="438">
        <v>0</v>
      </c>
      <c r="U664" s="438">
        <v>0</v>
      </c>
      <c r="V664" s="438">
        <v>0</v>
      </c>
      <c r="W664" s="438">
        <v>32</v>
      </c>
      <c r="X664" s="438">
        <v>0</v>
      </c>
      <c r="Y664" s="438">
        <v>0</v>
      </c>
      <c r="Z664" s="438">
        <v>0</v>
      </c>
      <c r="AA664" s="438">
        <v>0</v>
      </c>
      <c r="AB664" s="438">
        <v>0</v>
      </c>
      <c r="AC664" s="438">
        <v>119000</v>
      </c>
      <c r="AD664" s="438">
        <v>80920</v>
      </c>
      <c r="AE664" s="438">
        <v>0</v>
      </c>
      <c r="AF664" s="438">
        <v>0</v>
      </c>
      <c r="AG664" s="438">
        <v>119000</v>
      </c>
      <c r="AH664" s="438">
        <v>80920</v>
      </c>
      <c r="AI664" s="438">
        <v>34618</v>
      </c>
      <c r="AJ664" s="438">
        <v>3462</v>
      </c>
      <c r="AK664" s="438">
        <v>38080</v>
      </c>
      <c r="AL664" s="414" t="str">
        <f t="shared" si="61"/>
        <v>워커힐 시그니처 양념 본갈비 300g, 8개</v>
      </c>
      <c r="AM664" s="395">
        <f t="shared" si="62"/>
        <v>46065</v>
      </c>
      <c r="AN664" s="396">
        <f t="shared" si="63"/>
        <v>1</v>
      </c>
      <c r="AO664" s="109">
        <f t="shared" si="64"/>
        <v>119000</v>
      </c>
      <c r="AP664" s="109">
        <f t="shared" si="65"/>
        <v>108181.81818181818</v>
      </c>
      <c r="AQ664" s="397">
        <f t="shared" si="60"/>
        <v>108181.81818181818</v>
      </c>
    </row>
    <row r="665" spans="1:43" ht="24">
      <c r="A665" s="436" t="s">
        <v>5221</v>
      </c>
      <c r="B665" s="436" t="s">
        <v>3490</v>
      </c>
      <c r="C665" s="437" t="s">
        <v>3491</v>
      </c>
      <c r="D665" s="436" t="s">
        <v>5049</v>
      </c>
      <c r="E665" s="437" t="s">
        <v>4155</v>
      </c>
      <c r="F665" s="436" t="s">
        <v>3494</v>
      </c>
      <c r="G665" s="436" t="s">
        <v>3495</v>
      </c>
      <c r="H665" s="437" t="s">
        <v>3496</v>
      </c>
      <c r="I665" s="436" t="s">
        <v>3497</v>
      </c>
      <c r="J665" s="437" t="s">
        <v>3498</v>
      </c>
      <c r="K665" s="437" t="s">
        <v>3499</v>
      </c>
      <c r="L665" s="436" t="s">
        <v>3500</v>
      </c>
      <c r="M665" s="436" t="s">
        <v>4809</v>
      </c>
      <c r="N665" s="436" t="s">
        <v>3502</v>
      </c>
      <c r="O665" s="438">
        <v>119000</v>
      </c>
      <c r="P665" s="438">
        <v>80920</v>
      </c>
      <c r="Q665" s="438">
        <v>1</v>
      </c>
      <c r="R665" s="438">
        <v>0</v>
      </c>
      <c r="S665" s="438">
        <v>0</v>
      </c>
      <c r="T665" s="438">
        <v>0</v>
      </c>
      <c r="U665" s="438">
        <v>0</v>
      </c>
      <c r="V665" s="438">
        <v>0</v>
      </c>
      <c r="W665" s="438">
        <v>32</v>
      </c>
      <c r="X665" s="438">
        <v>0</v>
      </c>
      <c r="Y665" s="438">
        <v>0</v>
      </c>
      <c r="Z665" s="438">
        <v>0</v>
      </c>
      <c r="AA665" s="438">
        <v>0</v>
      </c>
      <c r="AB665" s="438">
        <v>5950</v>
      </c>
      <c r="AC665" s="438">
        <v>119000</v>
      </c>
      <c r="AD665" s="438">
        <v>80920</v>
      </c>
      <c r="AE665" s="438">
        <v>0</v>
      </c>
      <c r="AF665" s="438">
        <v>5950</v>
      </c>
      <c r="AG665" s="438">
        <v>113050</v>
      </c>
      <c r="AH665" s="438">
        <v>80920</v>
      </c>
      <c r="AI665" s="438">
        <v>29209</v>
      </c>
      <c r="AJ665" s="438">
        <v>2921</v>
      </c>
      <c r="AK665" s="438">
        <v>32130</v>
      </c>
      <c r="AL665" s="414" t="str">
        <f t="shared" si="61"/>
        <v>워커힐 시그니처 양념 본갈비 300g, 8개</v>
      </c>
      <c r="AM665" s="395">
        <f t="shared" si="62"/>
        <v>46065</v>
      </c>
      <c r="AN665" s="396">
        <f t="shared" si="63"/>
        <v>1</v>
      </c>
      <c r="AO665" s="109">
        <f t="shared" si="64"/>
        <v>119000</v>
      </c>
      <c r="AP665" s="109">
        <f t="shared" si="65"/>
        <v>108181.81818181818</v>
      </c>
      <c r="AQ665" s="397">
        <f t="shared" si="60"/>
        <v>108181.81818181818</v>
      </c>
    </row>
    <row r="666" spans="1:43" ht="24">
      <c r="A666" s="436" t="s">
        <v>5223</v>
      </c>
      <c r="B666" s="436" t="s">
        <v>3490</v>
      </c>
      <c r="C666" s="437" t="s">
        <v>3491</v>
      </c>
      <c r="D666" s="436" t="s">
        <v>4950</v>
      </c>
      <c r="E666" s="437" t="s">
        <v>4951</v>
      </c>
      <c r="F666" s="436" t="s">
        <v>3494</v>
      </c>
      <c r="G666" s="436" t="s">
        <v>3495</v>
      </c>
      <c r="H666" s="437" t="s">
        <v>3496</v>
      </c>
      <c r="I666" s="436" t="s">
        <v>3497</v>
      </c>
      <c r="J666" s="437" t="s">
        <v>3498</v>
      </c>
      <c r="K666" s="437" t="s">
        <v>3499</v>
      </c>
      <c r="L666" s="436" t="s">
        <v>3500</v>
      </c>
      <c r="M666" s="436" t="s">
        <v>4809</v>
      </c>
      <c r="N666" s="436" t="s">
        <v>3502</v>
      </c>
      <c r="O666" s="438">
        <v>119000</v>
      </c>
      <c r="P666" s="438">
        <v>80920</v>
      </c>
      <c r="Q666" s="438">
        <v>1</v>
      </c>
      <c r="R666" s="438">
        <v>0</v>
      </c>
      <c r="S666" s="438">
        <v>0</v>
      </c>
      <c r="T666" s="438">
        <v>0</v>
      </c>
      <c r="U666" s="438">
        <v>0</v>
      </c>
      <c r="V666" s="438">
        <v>0</v>
      </c>
      <c r="W666" s="438">
        <v>32</v>
      </c>
      <c r="X666" s="438">
        <v>0</v>
      </c>
      <c r="Y666" s="438">
        <v>0</v>
      </c>
      <c r="Z666" s="438">
        <v>0</v>
      </c>
      <c r="AA666" s="438">
        <v>0</v>
      </c>
      <c r="AB666" s="438">
        <v>0</v>
      </c>
      <c r="AC666" s="438">
        <v>119000</v>
      </c>
      <c r="AD666" s="438">
        <v>80920</v>
      </c>
      <c r="AE666" s="438">
        <v>0</v>
      </c>
      <c r="AF666" s="438">
        <v>0</v>
      </c>
      <c r="AG666" s="438">
        <v>119000</v>
      </c>
      <c r="AH666" s="438">
        <v>80920</v>
      </c>
      <c r="AI666" s="438">
        <v>34618</v>
      </c>
      <c r="AJ666" s="438">
        <v>3462</v>
      </c>
      <c r="AK666" s="438">
        <v>38080</v>
      </c>
      <c r="AL666" s="414" t="str">
        <f t="shared" si="61"/>
        <v>워커힐 시그니처 양념 본갈비 300g, 8개</v>
      </c>
      <c r="AM666" s="395">
        <f t="shared" si="62"/>
        <v>46065</v>
      </c>
      <c r="AN666" s="396">
        <f t="shared" si="63"/>
        <v>1</v>
      </c>
      <c r="AO666" s="109">
        <f t="shared" si="64"/>
        <v>119000</v>
      </c>
      <c r="AP666" s="109">
        <f t="shared" si="65"/>
        <v>108181.81818181818</v>
      </c>
      <c r="AQ666" s="397">
        <f t="shared" si="60"/>
        <v>108181.81818181818</v>
      </c>
    </row>
    <row r="667" spans="1:43" ht="24">
      <c r="A667" s="436" t="s">
        <v>5225</v>
      </c>
      <c r="B667" s="436" t="s">
        <v>3490</v>
      </c>
      <c r="C667" s="437" t="s">
        <v>3491</v>
      </c>
      <c r="D667" s="436" t="s">
        <v>5006</v>
      </c>
      <c r="E667" s="437" t="s">
        <v>3561</v>
      </c>
      <c r="F667" s="436" t="s">
        <v>3494</v>
      </c>
      <c r="G667" s="436" t="s">
        <v>3495</v>
      </c>
      <c r="H667" s="437" t="s">
        <v>3496</v>
      </c>
      <c r="I667" s="436" t="s">
        <v>3497</v>
      </c>
      <c r="J667" s="437" t="s">
        <v>3498</v>
      </c>
      <c r="K667" s="437" t="s">
        <v>3499</v>
      </c>
      <c r="L667" s="436" t="s">
        <v>3500</v>
      </c>
      <c r="M667" s="436" t="s">
        <v>4809</v>
      </c>
      <c r="N667" s="436" t="s">
        <v>3502</v>
      </c>
      <c r="O667" s="438">
        <v>119000</v>
      </c>
      <c r="P667" s="438">
        <v>80920</v>
      </c>
      <c r="Q667" s="438">
        <v>1</v>
      </c>
      <c r="R667" s="438">
        <v>0</v>
      </c>
      <c r="S667" s="438">
        <v>0</v>
      </c>
      <c r="T667" s="438">
        <v>0</v>
      </c>
      <c r="U667" s="438">
        <v>0</v>
      </c>
      <c r="V667" s="438">
        <v>0</v>
      </c>
      <c r="W667" s="438">
        <v>32</v>
      </c>
      <c r="X667" s="438">
        <v>0</v>
      </c>
      <c r="Y667" s="438">
        <v>0</v>
      </c>
      <c r="Z667" s="438">
        <v>0</v>
      </c>
      <c r="AA667" s="438">
        <v>0</v>
      </c>
      <c r="AB667" s="438">
        <v>0</v>
      </c>
      <c r="AC667" s="438">
        <v>119000</v>
      </c>
      <c r="AD667" s="438">
        <v>80920</v>
      </c>
      <c r="AE667" s="438">
        <v>0</v>
      </c>
      <c r="AF667" s="438">
        <v>0</v>
      </c>
      <c r="AG667" s="438">
        <v>119000</v>
      </c>
      <c r="AH667" s="438">
        <v>80920</v>
      </c>
      <c r="AI667" s="438">
        <v>34618</v>
      </c>
      <c r="AJ667" s="438">
        <v>3462</v>
      </c>
      <c r="AK667" s="438">
        <v>38080</v>
      </c>
      <c r="AL667" s="414" t="str">
        <f t="shared" si="61"/>
        <v>워커힐 시그니처 양념 본갈비 300g, 8개</v>
      </c>
      <c r="AM667" s="395">
        <f t="shared" si="62"/>
        <v>46065</v>
      </c>
      <c r="AN667" s="396">
        <f t="shared" si="63"/>
        <v>1</v>
      </c>
      <c r="AO667" s="109">
        <f t="shared" si="64"/>
        <v>119000</v>
      </c>
      <c r="AP667" s="109">
        <f t="shared" si="65"/>
        <v>108181.81818181818</v>
      </c>
      <c r="AQ667" s="397">
        <f t="shared" si="60"/>
        <v>108181.81818181818</v>
      </c>
    </row>
    <row r="668" spans="1:43" ht="24">
      <c r="A668" s="436" t="s">
        <v>5228</v>
      </c>
      <c r="B668" s="436" t="s">
        <v>3490</v>
      </c>
      <c r="C668" s="437" t="s">
        <v>3491</v>
      </c>
      <c r="D668" s="436" t="s">
        <v>5188</v>
      </c>
      <c r="E668" s="437" t="s">
        <v>5189</v>
      </c>
      <c r="F668" s="436" t="s">
        <v>3494</v>
      </c>
      <c r="G668" s="436" t="s">
        <v>3495</v>
      </c>
      <c r="H668" s="437" t="s">
        <v>3496</v>
      </c>
      <c r="I668" s="436" t="s">
        <v>3497</v>
      </c>
      <c r="J668" s="437" t="s">
        <v>3498</v>
      </c>
      <c r="K668" s="437" t="s">
        <v>3499</v>
      </c>
      <c r="L668" s="436" t="s">
        <v>3500</v>
      </c>
      <c r="M668" s="436" t="s">
        <v>4809</v>
      </c>
      <c r="N668" s="436" t="s">
        <v>3502</v>
      </c>
      <c r="O668" s="438">
        <v>119000</v>
      </c>
      <c r="P668" s="438">
        <v>80920</v>
      </c>
      <c r="Q668" s="438">
        <v>1</v>
      </c>
      <c r="R668" s="438">
        <v>0</v>
      </c>
      <c r="S668" s="438">
        <v>0</v>
      </c>
      <c r="T668" s="438">
        <v>0</v>
      </c>
      <c r="U668" s="438">
        <v>0</v>
      </c>
      <c r="V668" s="438">
        <v>0</v>
      </c>
      <c r="W668" s="438">
        <v>32</v>
      </c>
      <c r="X668" s="438">
        <v>0</v>
      </c>
      <c r="Y668" s="438">
        <v>0</v>
      </c>
      <c r="Z668" s="438">
        <v>0</v>
      </c>
      <c r="AA668" s="438">
        <v>0</v>
      </c>
      <c r="AB668" s="438">
        <v>0</v>
      </c>
      <c r="AC668" s="438">
        <v>119000</v>
      </c>
      <c r="AD668" s="438">
        <v>80920</v>
      </c>
      <c r="AE668" s="438">
        <v>0</v>
      </c>
      <c r="AF668" s="438">
        <v>0</v>
      </c>
      <c r="AG668" s="438">
        <v>119000</v>
      </c>
      <c r="AH668" s="438">
        <v>80920</v>
      </c>
      <c r="AI668" s="438">
        <v>34618</v>
      </c>
      <c r="AJ668" s="438">
        <v>3462</v>
      </c>
      <c r="AK668" s="438">
        <v>38080</v>
      </c>
      <c r="AL668" s="414" t="str">
        <f t="shared" si="61"/>
        <v>워커힐 시그니처 양념 본갈비 300g, 8개</v>
      </c>
      <c r="AM668" s="395">
        <f t="shared" si="62"/>
        <v>46065</v>
      </c>
      <c r="AN668" s="396">
        <f t="shared" si="63"/>
        <v>1</v>
      </c>
      <c r="AO668" s="109">
        <f t="shared" si="64"/>
        <v>119000</v>
      </c>
      <c r="AP668" s="109">
        <f t="shared" si="65"/>
        <v>108181.81818181818</v>
      </c>
      <c r="AQ668" s="397">
        <f t="shared" si="60"/>
        <v>108181.81818181818</v>
      </c>
    </row>
    <row r="669" spans="1:43" ht="24">
      <c r="A669" s="436" t="s">
        <v>5230</v>
      </c>
      <c r="B669" s="436" t="s">
        <v>3490</v>
      </c>
      <c r="C669" s="437" t="s">
        <v>3491</v>
      </c>
      <c r="D669" s="436" t="s">
        <v>5191</v>
      </c>
      <c r="E669" s="437" t="s">
        <v>5189</v>
      </c>
      <c r="F669" s="436" t="s">
        <v>3494</v>
      </c>
      <c r="G669" s="436" t="s">
        <v>3495</v>
      </c>
      <c r="H669" s="437" t="s">
        <v>3496</v>
      </c>
      <c r="I669" s="436" t="s">
        <v>3497</v>
      </c>
      <c r="J669" s="437" t="s">
        <v>3498</v>
      </c>
      <c r="K669" s="437" t="s">
        <v>3499</v>
      </c>
      <c r="L669" s="436" t="s">
        <v>3500</v>
      </c>
      <c r="M669" s="436" t="s">
        <v>4809</v>
      </c>
      <c r="N669" s="436" t="s">
        <v>3502</v>
      </c>
      <c r="O669" s="438">
        <v>119000</v>
      </c>
      <c r="P669" s="438">
        <v>80920</v>
      </c>
      <c r="Q669" s="438">
        <v>1</v>
      </c>
      <c r="R669" s="438">
        <v>0</v>
      </c>
      <c r="S669" s="438">
        <v>0</v>
      </c>
      <c r="T669" s="438">
        <v>0</v>
      </c>
      <c r="U669" s="438">
        <v>0</v>
      </c>
      <c r="V669" s="438">
        <v>0</v>
      </c>
      <c r="W669" s="438">
        <v>32</v>
      </c>
      <c r="X669" s="438">
        <v>0</v>
      </c>
      <c r="Y669" s="438">
        <v>0</v>
      </c>
      <c r="Z669" s="438">
        <v>0</v>
      </c>
      <c r="AA669" s="438">
        <v>0</v>
      </c>
      <c r="AB669" s="438">
        <v>0</v>
      </c>
      <c r="AC669" s="438">
        <v>119000</v>
      </c>
      <c r="AD669" s="438">
        <v>80920</v>
      </c>
      <c r="AE669" s="438">
        <v>0</v>
      </c>
      <c r="AF669" s="438">
        <v>0</v>
      </c>
      <c r="AG669" s="438">
        <v>119000</v>
      </c>
      <c r="AH669" s="438">
        <v>80920</v>
      </c>
      <c r="AI669" s="438">
        <v>34618</v>
      </c>
      <c r="AJ669" s="438">
        <v>3462</v>
      </c>
      <c r="AK669" s="438">
        <v>38080</v>
      </c>
      <c r="AL669" s="414" t="str">
        <f t="shared" si="61"/>
        <v>워커힐 시그니처 양념 본갈비 300g, 8개</v>
      </c>
      <c r="AM669" s="395">
        <f t="shared" si="62"/>
        <v>46065</v>
      </c>
      <c r="AN669" s="396">
        <f t="shared" si="63"/>
        <v>1</v>
      </c>
      <c r="AO669" s="109">
        <f t="shared" si="64"/>
        <v>119000</v>
      </c>
      <c r="AP669" s="109">
        <f t="shared" si="65"/>
        <v>108181.81818181818</v>
      </c>
      <c r="AQ669" s="397">
        <f t="shared" ref="AQ669:AQ732" si="66">AN669*AP669</f>
        <v>108181.81818181818</v>
      </c>
    </row>
    <row r="670" spans="1:43" ht="24">
      <c r="A670" s="436" t="s">
        <v>5233</v>
      </c>
      <c r="B670" s="436" t="s">
        <v>3490</v>
      </c>
      <c r="C670" s="437" t="s">
        <v>3491</v>
      </c>
      <c r="D670" s="436" t="s">
        <v>5193</v>
      </c>
      <c r="E670" s="437" t="s">
        <v>5189</v>
      </c>
      <c r="F670" s="436" t="s">
        <v>3494</v>
      </c>
      <c r="G670" s="436" t="s">
        <v>3495</v>
      </c>
      <c r="H670" s="437" t="s">
        <v>3496</v>
      </c>
      <c r="I670" s="436" t="s">
        <v>3497</v>
      </c>
      <c r="J670" s="437" t="s">
        <v>3498</v>
      </c>
      <c r="K670" s="437" t="s">
        <v>3499</v>
      </c>
      <c r="L670" s="436" t="s">
        <v>3500</v>
      </c>
      <c r="M670" s="436" t="s">
        <v>4809</v>
      </c>
      <c r="N670" s="436" t="s">
        <v>3502</v>
      </c>
      <c r="O670" s="438">
        <v>119000</v>
      </c>
      <c r="P670" s="438">
        <v>80920</v>
      </c>
      <c r="Q670" s="438">
        <v>1</v>
      </c>
      <c r="R670" s="438">
        <v>0</v>
      </c>
      <c r="S670" s="438">
        <v>0</v>
      </c>
      <c r="T670" s="438">
        <v>0</v>
      </c>
      <c r="U670" s="438">
        <v>0</v>
      </c>
      <c r="V670" s="438">
        <v>0</v>
      </c>
      <c r="W670" s="438">
        <v>32</v>
      </c>
      <c r="X670" s="438">
        <v>0</v>
      </c>
      <c r="Y670" s="438">
        <v>0</v>
      </c>
      <c r="Z670" s="438">
        <v>0</v>
      </c>
      <c r="AA670" s="438">
        <v>0</v>
      </c>
      <c r="AB670" s="438">
        <v>0</v>
      </c>
      <c r="AC670" s="438">
        <v>119000</v>
      </c>
      <c r="AD670" s="438">
        <v>80920</v>
      </c>
      <c r="AE670" s="438">
        <v>0</v>
      </c>
      <c r="AF670" s="438">
        <v>0</v>
      </c>
      <c r="AG670" s="438">
        <v>119000</v>
      </c>
      <c r="AH670" s="438">
        <v>80920</v>
      </c>
      <c r="AI670" s="438">
        <v>34618</v>
      </c>
      <c r="AJ670" s="438">
        <v>3462</v>
      </c>
      <c r="AK670" s="438">
        <v>38080</v>
      </c>
      <c r="AL670" s="414" t="str">
        <f t="shared" si="61"/>
        <v>워커힐 시그니처 양념 본갈비 300g, 8개</v>
      </c>
      <c r="AM670" s="395">
        <f t="shared" si="62"/>
        <v>46065</v>
      </c>
      <c r="AN670" s="396">
        <f t="shared" si="63"/>
        <v>1</v>
      </c>
      <c r="AO670" s="109">
        <f t="shared" si="64"/>
        <v>119000</v>
      </c>
      <c r="AP670" s="109">
        <f t="shared" si="65"/>
        <v>108181.81818181818</v>
      </c>
      <c r="AQ670" s="397">
        <f t="shared" si="66"/>
        <v>108181.81818181818</v>
      </c>
    </row>
    <row r="671" spans="1:43" ht="24">
      <c r="A671" s="436" t="s">
        <v>5235</v>
      </c>
      <c r="B671" s="436" t="s">
        <v>3490</v>
      </c>
      <c r="C671" s="437" t="s">
        <v>3491</v>
      </c>
      <c r="D671" s="436" t="s">
        <v>5195</v>
      </c>
      <c r="E671" s="437" t="s">
        <v>5196</v>
      </c>
      <c r="F671" s="436" t="s">
        <v>3494</v>
      </c>
      <c r="G671" s="436" t="s">
        <v>3495</v>
      </c>
      <c r="H671" s="437" t="s">
        <v>3496</v>
      </c>
      <c r="I671" s="436" t="s">
        <v>3497</v>
      </c>
      <c r="J671" s="437" t="s">
        <v>3498</v>
      </c>
      <c r="K671" s="437" t="s">
        <v>3499</v>
      </c>
      <c r="L671" s="436" t="s">
        <v>3500</v>
      </c>
      <c r="M671" s="436" t="s">
        <v>4809</v>
      </c>
      <c r="N671" s="436" t="s">
        <v>3502</v>
      </c>
      <c r="O671" s="438">
        <v>119000</v>
      </c>
      <c r="P671" s="438">
        <v>80920</v>
      </c>
      <c r="Q671" s="438">
        <v>1</v>
      </c>
      <c r="R671" s="438">
        <v>0</v>
      </c>
      <c r="S671" s="438">
        <v>0</v>
      </c>
      <c r="T671" s="438">
        <v>0</v>
      </c>
      <c r="U671" s="438">
        <v>0</v>
      </c>
      <c r="V671" s="438">
        <v>0</v>
      </c>
      <c r="W671" s="438">
        <v>32</v>
      </c>
      <c r="X671" s="438">
        <v>0</v>
      </c>
      <c r="Y671" s="438">
        <v>0</v>
      </c>
      <c r="Z671" s="438">
        <v>0</v>
      </c>
      <c r="AA671" s="438">
        <v>0</v>
      </c>
      <c r="AB671" s="438">
        <v>0</v>
      </c>
      <c r="AC671" s="438">
        <v>119000</v>
      </c>
      <c r="AD671" s="438">
        <v>80920</v>
      </c>
      <c r="AE671" s="438">
        <v>0</v>
      </c>
      <c r="AF671" s="438">
        <v>0</v>
      </c>
      <c r="AG671" s="438">
        <v>119000</v>
      </c>
      <c r="AH671" s="438">
        <v>80920</v>
      </c>
      <c r="AI671" s="438">
        <v>34618</v>
      </c>
      <c r="AJ671" s="438">
        <v>3462</v>
      </c>
      <c r="AK671" s="438">
        <v>38080</v>
      </c>
      <c r="AL671" s="414" t="str">
        <f t="shared" si="61"/>
        <v>워커힐 시그니처 양념 본갈비 300g, 8개</v>
      </c>
      <c r="AM671" s="395">
        <f t="shared" si="62"/>
        <v>46065</v>
      </c>
      <c r="AN671" s="396">
        <f t="shared" si="63"/>
        <v>1</v>
      </c>
      <c r="AO671" s="109">
        <f t="shared" si="64"/>
        <v>119000</v>
      </c>
      <c r="AP671" s="109">
        <f t="shared" si="65"/>
        <v>108181.81818181818</v>
      </c>
      <c r="AQ671" s="397">
        <f t="shared" si="66"/>
        <v>108181.81818181818</v>
      </c>
    </row>
    <row r="672" spans="1:43" ht="24">
      <c r="A672" s="436" t="s">
        <v>5238</v>
      </c>
      <c r="B672" s="436" t="s">
        <v>3490</v>
      </c>
      <c r="C672" s="437" t="s">
        <v>3491</v>
      </c>
      <c r="D672" s="436" t="s">
        <v>5198</v>
      </c>
      <c r="E672" s="437" t="s">
        <v>3721</v>
      </c>
      <c r="F672" s="436" t="s">
        <v>3494</v>
      </c>
      <c r="G672" s="436" t="s">
        <v>3495</v>
      </c>
      <c r="H672" s="437" t="s">
        <v>3496</v>
      </c>
      <c r="I672" s="436" t="s">
        <v>3497</v>
      </c>
      <c r="J672" s="437" t="s">
        <v>3498</v>
      </c>
      <c r="K672" s="437" t="s">
        <v>3499</v>
      </c>
      <c r="L672" s="436" t="s">
        <v>3500</v>
      </c>
      <c r="M672" s="436" t="s">
        <v>4809</v>
      </c>
      <c r="N672" s="436" t="s">
        <v>3502</v>
      </c>
      <c r="O672" s="438">
        <v>119000</v>
      </c>
      <c r="P672" s="438">
        <v>80920</v>
      </c>
      <c r="Q672" s="438">
        <v>1</v>
      </c>
      <c r="R672" s="438">
        <v>0</v>
      </c>
      <c r="S672" s="438">
        <v>0</v>
      </c>
      <c r="T672" s="438">
        <v>0</v>
      </c>
      <c r="U672" s="438">
        <v>0</v>
      </c>
      <c r="V672" s="438">
        <v>0</v>
      </c>
      <c r="W672" s="438">
        <v>32</v>
      </c>
      <c r="X672" s="438">
        <v>0</v>
      </c>
      <c r="Y672" s="438">
        <v>0</v>
      </c>
      <c r="Z672" s="438">
        <v>0</v>
      </c>
      <c r="AA672" s="438">
        <v>0</v>
      </c>
      <c r="AB672" s="438">
        <v>5950</v>
      </c>
      <c r="AC672" s="438">
        <v>119000</v>
      </c>
      <c r="AD672" s="438">
        <v>80920</v>
      </c>
      <c r="AE672" s="438">
        <v>0</v>
      </c>
      <c r="AF672" s="438">
        <v>5950</v>
      </c>
      <c r="AG672" s="438">
        <v>113050</v>
      </c>
      <c r="AH672" s="438">
        <v>80920</v>
      </c>
      <c r="AI672" s="438">
        <v>29209</v>
      </c>
      <c r="AJ672" s="438">
        <v>2921</v>
      </c>
      <c r="AK672" s="438">
        <v>32130</v>
      </c>
      <c r="AL672" s="414" t="str">
        <f t="shared" si="61"/>
        <v>워커힐 시그니처 양념 본갈비 300g, 8개</v>
      </c>
      <c r="AM672" s="395">
        <f t="shared" si="62"/>
        <v>46065</v>
      </c>
      <c r="AN672" s="396">
        <f t="shared" si="63"/>
        <v>1</v>
      </c>
      <c r="AO672" s="109">
        <f t="shared" si="64"/>
        <v>119000</v>
      </c>
      <c r="AP672" s="109">
        <f t="shared" si="65"/>
        <v>108181.81818181818</v>
      </c>
      <c r="AQ672" s="397">
        <f t="shared" si="66"/>
        <v>108181.81818181818</v>
      </c>
    </row>
    <row r="673" spans="1:43" ht="24">
      <c r="A673" s="436" t="s">
        <v>5240</v>
      </c>
      <c r="B673" s="436" t="s">
        <v>3490</v>
      </c>
      <c r="C673" s="437" t="s">
        <v>3491</v>
      </c>
      <c r="D673" s="436" t="s">
        <v>5202</v>
      </c>
      <c r="E673" s="437" t="s">
        <v>4077</v>
      </c>
      <c r="F673" s="436" t="s">
        <v>3494</v>
      </c>
      <c r="G673" s="436" t="s">
        <v>3495</v>
      </c>
      <c r="H673" s="437" t="s">
        <v>3496</v>
      </c>
      <c r="I673" s="436" t="s">
        <v>3497</v>
      </c>
      <c r="J673" s="437" t="s">
        <v>3498</v>
      </c>
      <c r="K673" s="437" t="s">
        <v>3499</v>
      </c>
      <c r="L673" s="436" t="s">
        <v>3500</v>
      </c>
      <c r="M673" s="436" t="s">
        <v>4809</v>
      </c>
      <c r="N673" s="436" t="s">
        <v>3502</v>
      </c>
      <c r="O673" s="438">
        <v>119000</v>
      </c>
      <c r="P673" s="438">
        <v>80920</v>
      </c>
      <c r="Q673" s="438">
        <v>1</v>
      </c>
      <c r="R673" s="438">
        <v>0</v>
      </c>
      <c r="S673" s="438">
        <v>0</v>
      </c>
      <c r="T673" s="438">
        <v>0</v>
      </c>
      <c r="U673" s="438">
        <v>0</v>
      </c>
      <c r="V673" s="438">
        <v>0</v>
      </c>
      <c r="W673" s="438">
        <v>32</v>
      </c>
      <c r="X673" s="438">
        <v>0</v>
      </c>
      <c r="Y673" s="438">
        <v>0</v>
      </c>
      <c r="Z673" s="438">
        <v>0</v>
      </c>
      <c r="AA673" s="438">
        <v>0</v>
      </c>
      <c r="AB673" s="438">
        <v>0</v>
      </c>
      <c r="AC673" s="438">
        <v>119000</v>
      </c>
      <c r="AD673" s="438">
        <v>80920</v>
      </c>
      <c r="AE673" s="438">
        <v>0</v>
      </c>
      <c r="AF673" s="438">
        <v>0</v>
      </c>
      <c r="AG673" s="438">
        <v>119000</v>
      </c>
      <c r="AH673" s="438">
        <v>80920</v>
      </c>
      <c r="AI673" s="438">
        <v>34618</v>
      </c>
      <c r="AJ673" s="438">
        <v>3462</v>
      </c>
      <c r="AK673" s="438">
        <v>38080</v>
      </c>
      <c r="AL673" s="414" t="str">
        <f t="shared" si="61"/>
        <v>워커힐 시그니처 양념 본갈비 300g, 8개</v>
      </c>
      <c r="AM673" s="395">
        <f t="shared" si="62"/>
        <v>46065</v>
      </c>
      <c r="AN673" s="396">
        <f t="shared" si="63"/>
        <v>1</v>
      </c>
      <c r="AO673" s="109">
        <f t="shared" si="64"/>
        <v>119000</v>
      </c>
      <c r="AP673" s="109">
        <f t="shared" si="65"/>
        <v>108181.81818181818</v>
      </c>
      <c r="AQ673" s="397">
        <f t="shared" si="66"/>
        <v>108181.81818181818</v>
      </c>
    </row>
    <row r="674" spans="1:43" ht="24">
      <c r="A674" s="436" t="s">
        <v>5243</v>
      </c>
      <c r="B674" s="436" t="s">
        <v>3490</v>
      </c>
      <c r="C674" s="437" t="s">
        <v>3491</v>
      </c>
      <c r="D674" s="436" t="s">
        <v>5204</v>
      </c>
      <c r="E674" s="437" t="s">
        <v>4077</v>
      </c>
      <c r="F674" s="436" t="s">
        <v>3494</v>
      </c>
      <c r="G674" s="436" t="s">
        <v>3495</v>
      </c>
      <c r="H674" s="437" t="s">
        <v>3496</v>
      </c>
      <c r="I674" s="436" t="s">
        <v>3497</v>
      </c>
      <c r="J674" s="437" t="s">
        <v>3498</v>
      </c>
      <c r="K674" s="437" t="s">
        <v>3499</v>
      </c>
      <c r="L674" s="436" t="s">
        <v>3500</v>
      </c>
      <c r="M674" s="436" t="s">
        <v>4809</v>
      </c>
      <c r="N674" s="436" t="s">
        <v>3502</v>
      </c>
      <c r="O674" s="438">
        <v>119000</v>
      </c>
      <c r="P674" s="438">
        <v>80920</v>
      </c>
      <c r="Q674" s="438">
        <v>1</v>
      </c>
      <c r="R674" s="438">
        <v>0</v>
      </c>
      <c r="S674" s="438">
        <v>0</v>
      </c>
      <c r="T674" s="438">
        <v>0</v>
      </c>
      <c r="U674" s="438">
        <v>0</v>
      </c>
      <c r="V674" s="438">
        <v>0</v>
      </c>
      <c r="W674" s="438">
        <v>32</v>
      </c>
      <c r="X674" s="438">
        <v>0</v>
      </c>
      <c r="Y674" s="438">
        <v>0</v>
      </c>
      <c r="Z674" s="438">
        <v>0</v>
      </c>
      <c r="AA674" s="438">
        <v>0</v>
      </c>
      <c r="AB674" s="438">
        <v>0</v>
      </c>
      <c r="AC674" s="438">
        <v>119000</v>
      </c>
      <c r="AD674" s="438">
        <v>80920</v>
      </c>
      <c r="AE674" s="438">
        <v>0</v>
      </c>
      <c r="AF674" s="438">
        <v>0</v>
      </c>
      <c r="AG674" s="438">
        <v>119000</v>
      </c>
      <c r="AH674" s="438">
        <v>80920</v>
      </c>
      <c r="AI674" s="438">
        <v>34618</v>
      </c>
      <c r="AJ674" s="438">
        <v>3462</v>
      </c>
      <c r="AK674" s="438">
        <v>38080</v>
      </c>
      <c r="AL674" s="414" t="str">
        <f t="shared" si="61"/>
        <v>워커힐 시그니처 양념 본갈비 300g, 8개</v>
      </c>
      <c r="AM674" s="395">
        <f t="shared" si="62"/>
        <v>46065</v>
      </c>
      <c r="AN674" s="396">
        <f t="shared" si="63"/>
        <v>1</v>
      </c>
      <c r="AO674" s="109">
        <f t="shared" si="64"/>
        <v>119000</v>
      </c>
      <c r="AP674" s="109">
        <f t="shared" si="65"/>
        <v>108181.81818181818</v>
      </c>
      <c r="AQ674" s="397">
        <f t="shared" si="66"/>
        <v>108181.81818181818</v>
      </c>
    </row>
    <row r="675" spans="1:43" ht="24">
      <c r="A675" s="436" t="s">
        <v>5246</v>
      </c>
      <c r="B675" s="436" t="s">
        <v>3490</v>
      </c>
      <c r="C675" s="437" t="s">
        <v>3491</v>
      </c>
      <c r="D675" s="436" t="s">
        <v>5206</v>
      </c>
      <c r="E675" s="437" t="s">
        <v>4077</v>
      </c>
      <c r="F675" s="436" t="s">
        <v>3494</v>
      </c>
      <c r="G675" s="436" t="s">
        <v>3495</v>
      </c>
      <c r="H675" s="437" t="s">
        <v>3496</v>
      </c>
      <c r="I675" s="436" t="s">
        <v>3497</v>
      </c>
      <c r="J675" s="437" t="s">
        <v>3498</v>
      </c>
      <c r="K675" s="437" t="s">
        <v>3499</v>
      </c>
      <c r="L675" s="436" t="s">
        <v>3500</v>
      </c>
      <c r="M675" s="436" t="s">
        <v>4809</v>
      </c>
      <c r="N675" s="436" t="s">
        <v>3502</v>
      </c>
      <c r="O675" s="438">
        <v>119000</v>
      </c>
      <c r="P675" s="438">
        <v>80920</v>
      </c>
      <c r="Q675" s="438">
        <v>1</v>
      </c>
      <c r="R675" s="438">
        <v>0</v>
      </c>
      <c r="S675" s="438">
        <v>0</v>
      </c>
      <c r="T675" s="438">
        <v>0</v>
      </c>
      <c r="U675" s="438">
        <v>0</v>
      </c>
      <c r="V675" s="438">
        <v>0</v>
      </c>
      <c r="W675" s="438">
        <v>32</v>
      </c>
      <c r="X675" s="438">
        <v>0</v>
      </c>
      <c r="Y675" s="438">
        <v>0</v>
      </c>
      <c r="Z675" s="438">
        <v>0</v>
      </c>
      <c r="AA675" s="438">
        <v>0</v>
      </c>
      <c r="AB675" s="438">
        <v>0</v>
      </c>
      <c r="AC675" s="438">
        <v>119000</v>
      </c>
      <c r="AD675" s="438">
        <v>80920</v>
      </c>
      <c r="AE675" s="438">
        <v>0</v>
      </c>
      <c r="AF675" s="438">
        <v>0</v>
      </c>
      <c r="AG675" s="438">
        <v>119000</v>
      </c>
      <c r="AH675" s="438">
        <v>80920</v>
      </c>
      <c r="AI675" s="438">
        <v>34618</v>
      </c>
      <c r="AJ675" s="438">
        <v>3462</v>
      </c>
      <c r="AK675" s="438">
        <v>38080</v>
      </c>
      <c r="AL675" s="414" t="str">
        <f t="shared" si="61"/>
        <v>워커힐 시그니처 양념 본갈비 300g, 8개</v>
      </c>
      <c r="AM675" s="395">
        <f t="shared" si="62"/>
        <v>46065</v>
      </c>
      <c r="AN675" s="396">
        <f t="shared" si="63"/>
        <v>1</v>
      </c>
      <c r="AO675" s="109">
        <f t="shared" si="64"/>
        <v>119000</v>
      </c>
      <c r="AP675" s="109">
        <f t="shared" si="65"/>
        <v>108181.81818181818</v>
      </c>
      <c r="AQ675" s="397">
        <f t="shared" si="66"/>
        <v>108181.81818181818</v>
      </c>
    </row>
    <row r="676" spans="1:43" ht="24">
      <c r="A676" s="436" t="s">
        <v>5248</v>
      </c>
      <c r="B676" s="436" t="s">
        <v>3490</v>
      </c>
      <c r="C676" s="437" t="s">
        <v>3491</v>
      </c>
      <c r="D676" s="436" t="s">
        <v>5208</v>
      </c>
      <c r="E676" s="437" t="s">
        <v>4077</v>
      </c>
      <c r="F676" s="436" t="s">
        <v>3494</v>
      </c>
      <c r="G676" s="436" t="s">
        <v>3495</v>
      </c>
      <c r="H676" s="437" t="s">
        <v>3496</v>
      </c>
      <c r="I676" s="436" t="s">
        <v>3497</v>
      </c>
      <c r="J676" s="437" t="s">
        <v>3498</v>
      </c>
      <c r="K676" s="437" t="s">
        <v>3499</v>
      </c>
      <c r="L676" s="436" t="s">
        <v>3500</v>
      </c>
      <c r="M676" s="436" t="s">
        <v>4809</v>
      </c>
      <c r="N676" s="436" t="s">
        <v>3502</v>
      </c>
      <c r="O676" s="438">
        <v>119000</v>
      </c>
      <c r="P676" s="438">
        <v>80920</v>
      </c>
      <c r="Q676" s="438">
        <v>1</v>
      </c>
      <c r="R676" s="438">
        <v>0</v>
      </c>
      <c r="S676" s="438">
        <v>0</v>
      </c>
      <c r="T676" s="438">
        <v>0</v>
      </c>
      <c r="U676" s="438">
        <v>0</v>
      </c>
      <c r="V676" s="438">
        <v>0</v>
      </c>
      <c r="W676" s="438">
        <v>32</v>
      </c>
      <c r="X676" s="438">
        <v>0</v>
      </c>
      <c r="Y676" s="438">
        <v>0</v>
      </c>
      <c r="Z676" s="438">
        <v>0</v>
      </c>
      <c r="AA676" s="438">
        <v>0</v>
      </c>
      <c r="AB676" s="438">
        <v>0</v>
      </c>
      <c r="AC676" s="438">
        <v>119000</v>
      </c>
      <c r="AD676" s="438">
        <v>80920</v>
      </c>
      <c r="AE676" s="438">
        <v>0</v>
      </c>
      <c r="AF676" s="438">
        <v>0</v>
      </c>
      <c r="AG676" s="438">
        <v>119000</v>
      </c>
      <c r="AH676" s="438">
        <v>80920</v>
      </c>
      <c r="AI676" s="438">
        <v>34618</v>
      </c>
      <c r="AJ676" s="438">
        <v>3462</v>
      </c>
      <c r="AK676" s="438">
        <v>38080</v>
      </c>
      <c r="AL676" s="414" t="str">
        <f t="shared" si="61"/>
        <v>워커힐 시그니처 양념 본갈비 300g, 8개</v>
      </c>
      <c r="AM676" s="395">
        <f t="shared" si="62"/>
        <v>46065</v>
      </c>
      <c r="AN676" s="396">
        <f t="shared" si="63"/>
        <v>1</v>
      </c>
      <c r="AO676" s="109">
        <f t="shared" si="64"/>
        <v>119000</v>
      </c>
      <c r="AP676" s="109">
        <f t="shared" si="65"/>
        <v>108181.81818181818</v>
      </c>
      <c r="AQ676" s="397">
        <f t="shared" si="66"/>
        <v>108181.81818181818</v>
      </c>
    </row>
    <row r="677" spans="1:43" ht="24">
      <c r="A677" s="436" t="s">
        <v>5250</v>
      </c>
      <c r="B677" s="436" t="s">
        <v>3490</v>
      </c>
      <c r="C677" s="437" t="s">
        <v>3491</v>
      </c>
      <c r="D677" s="436" t="s">
        <v>5210</v>
      </c>
      <c r="E677" s="437" t="s">
        <v>4077</v>
      </c>
      <c r="F677" s="436" t="s">
        <v>3494</v>
      </c>
      <c r="G677" s="436" t="s">
        <v>3495</v>
      </c>
      <c r="H677" s="437" t="s">
        <v>3496</v>
      </c>
      <c r="I677" s="436" t="s">
        <v>3497</v>
      </c>
      <c r="J677" s="437" t="s">
        <v>3498</v>
      </c>
      <c r="K677" s="437" t="s">
        <v>3499</v>
      </c>
      <c r="L677" s="436" t="s">
        <v>3500</v>
      </c>
      <c r="M677" s="436" t="s">
        <v>4809</v>
      </c>
      <c r="N677" s="436" t="s">
        <v>3502</v>
      </c>
      <c r="O677" s="438">
        <v>119000</v>
      </c>
      <c r="P677" s="438">
        <v>80920</v>
      </c>
      <c r="Q677" s="438">
        <v>1</v>
      </c>
      <c r="R677" s="438">
        <v>0</v>
      </c>
      <c r="S677" s="438">
        <v>0</v>
      </c>
      <c r="T677" s="438">
        <v>0</v>
      </c>
      <c r="U677" s="438">
        <v>0</v>
      </c>
      <c r="V677" s="438">
        <v>0</v>
      </c>
      <c r="W677" s="438">
        <v>32</v>
      </c>
      <c r="X677" s="438">
        <v>0</v>
      </c>
      <c r="Y677" s="438">
        <v>0</v>
      </c>
      <c r="Z677" s="438">
        <v>0</v>
      </c>
      <c r="AA677" s="438">
        <v>0</v>
      </c>
      <c r="AB677" s="438">
        <v>0</v>
      </c>
      <c r="AC677" s="438">
        <v>119000</v>
      </c>
      <c r="AD677" s="438">
        <v>80920</v>
      </c>
      <c r="AE677" s="438">
        <v>0</v>
      </c>
      <c r="AF677" s="438">
        <v>0</v>
      </c>
      <c r="AG677" s="438">
        <v>119000</v>
      </c>
      <c r="AH677" s="438">
        <v>80920</v>
      </c>
      <c r="AI677" s="438">
        <v>34618</v>
      </c>
      <c r="AJ677" s="438">
        <v>3462</v>
      </c>
      <c r="AK677" s="438">
        <v>38080</v>
      </c>
      <c r="AL677" s="414" t="str">
        <f t="shared" si="61"/>
        <v>워커힐 시그니처 양념 본갈비 300g, 8개</v>
      </c>
      <c r="AM677" s="395">
        <f t="shared" si="62"/>
        <v>46065</v>
      </c>
      <c r="AN677" s="396">
        <f t="shared" si="63"/>
        <v>1</v>
      </c>
      <c r="AO677" s="109">
        <f t="shared" si="64"/>
        <v>119000</v>
      </c>
      <c r="AP677" s="109">
        <f t="shared" si="65"/>
        <v>108181.81818181818</v>
      </c>
      <c r="AQ677" s="397">
        <f t="shared" si="66"/>
        <v>108181.81818181818</v>
      </c>
    </row>
    <row r="678" spans="1:43" ht="24">
      <c r="A678" s="436" t="s">
        <v>5253</v>
      </c>
      <c r="B678" s="436" t="s">
        <v>3490</v>
      </c>
      <c r="C678" s="437" t="s">
        <v>3491</v>
      </c>
      <c r="D678" s="436" t="s">
        <v>5214</v>
      </c>
      <c r="E678" s="437" t="s">
        <v>5215</v>
      </c>
      <c r="F678" s="436" t="s">
        <v>3494</v>
      </c>
      <c r="G678" s="436" t="s">
        <v>3495</v>
      </c>
      <c r="H678" s="437" t="s">
        <v>3496</v>
      </c>
      <c r="I678" s="436" t="s">
        <v>3497</v>
      </c>
      <c r="J678" s="437" t="s">
        <v>3498</v>
      </c>
      <c r="K678" s="437" t="s">
        <v>3499</v>
      </c>
      <c r="L678" s="436" t="s">
        <v>3500</v>
      </c>
      <c r="M678" s="436" t="s">
        <v>4809</v>
      </c>
      <c r="N678" s="436" t="s">
        <v>3502</v>
      </c>
      <c r="O678" s="438">
        <v>119000</v>
      </c>
      <c r="P678" s="438">
        <v>80920</v>
      </c>
      <c r="Q678" s="438">
        <v>1</v>
      </c>
      <c r="R678" s="438">
        <v>0</v>
      </c>
      <c r="S678" s="438">
        <v>0</v>
      </c>
      <c r="T678" s="438">
        <v>0</v>
      </c>
      <c r="U678" s="438">
        <v>0</v>
      </c>
      <c r="V678" s="438">
        <v>0</v>
      </c>
      <c r="W678" s="438">
        <v>32</v>
      </c>
      <c r="X678" s="438">
        <v>0</v>
      </c>
      <c r="Y678" s="438">
        <v>0</v>
      </c>
      <c r="Z678" s="438">
        <v>0</v>
      </c>
      <c r="AA678" s="438">
        <v>0</v>
      </c>
      <c r="AB678" s="438">
        <v>0</v>
      </c>
      <c r="AC678" s="438">
        <v>119000</v>
      </c>
      <c r="AD678" s="438">
        <v>80920</v>
      </c>
      <c r="AE678" s="438">
        <v>0</v>
      </c>
      <c r="AF678" s="438">
        <v>0</v>
      </c>
      <c r="AG678" s="438">
        <v>119000</v>
      </c>
      <c r="AH678" s="438">
        <v>80920</v>
      </c>
      <c r="AI678" s="438">
        <v>34618</v>
      </c>
      <c r="AJ678" s="438">
        <v>3462</v>
      </c>
      <c r="AK678" s="438">
        <v>38080</v>
      </c>
      <c r="AL678" s="414" t="str">
        <f t="shared" si="61"/>
        <v>워커힐 시그니처 양념 본갈비 300g, 8개</v>
      </c>
      <c r="AM678" s="395">
        <f t="shared" si="62"/>
        <v>46065</v>
      </c>
      <c r="AN678" s="396">
        <f t="shared" si="63"/>
        <v>1</v>
      </c>
      <c r="AO678" s="109">
        <f t="shared" si="64"/>
        <v>119000</v>
      </c>
      <c r="AP678" s="109">
        <f t="shared" si="65"/>
        <v>108181.81818181818</v>
      </c>
      <c r="AQ678" s="397">
        <f t="shared" si="66"/>
        <v>108181.81818181818</v>
      </c>
    </row>
    <row r="679" spans="1:43" ht="24">
      <c r="A679" s="436" t="s">
        <v>5255</v>
      </c>
      <c r="B679" s="436" t="s">
        <v>3490</v>
      </c>
      <c r="C679" s="437" t="s">
        <v>3491</v>
      </c>
      <c r="D679" s="436" t="s">
        <v>5385</v>
      </c>
      <c r="E679" s="437" t="s">
        <v>4065</v>
      </c>
      <c r="F679" s="436" t="s">
        <v>3494</v>
      </c>
      <c r="G679" s="436" t="s">
        <v>3495</v>
      </c>
      <c r="H679" s="437" t="s">
        <v>3496</v>
      </c>
      <c r="I679" s="436" t="s">
        <v>3497</v>
      </c>
      <c r="J679" s="437" t="s">
        <v>3498</v>
      </c>
      <c r="K679" s="437" t="s">
        <v>3548</v>
      </c>
      <c r="L679" s="436" t="s">
        <v>3500</v>
      </c>
      <c r="M679" s="436" t="s">
        <v>4809</v>
      </c>
      <c r="N679" s="436" t="s">
        <v>3502</v>
      </c>
      <c r="O679" s="438">
        <v>119000</v>
      </c>
      <c r="P679" s="438">
        <v>80920</v>
      </c>
      <c r="Q679" s="438">
        <v>1</v>
      </c>
      <c r="R679" s="438">
        <v>0</v>
      </c>
      <c r="S679" s="438">
        <v>0</v>
      </c>
      <c r="T679" s="438">
        <v>0</v>
      </c>
      <c r="U679" s="438">
        <v>0</v>
      </c>
      <c r="V679" s="438">
        <v>0</v>
      </c>
      <c r="W679" s="438">
        <v>32</v>
      </c>
      <c r="X679" s="438">
        <v>0</v>
      </c>
      <c r="Y679" s="438">
        <v>0</v>
      </c>
      <c r="Z679" s="438">
        <v>0</v>
      </c>
      <c r="AA679" s="438">
        <v>0</v>
      </c>
      <c r="AB679" s="438">
        <v>0</v>
      </c>
      <c r="AC679" s="438">
        <v>119000</v>
      </c>
      <c r="AD679" s="438">
        <v>80920</v>
      </c>
      <c r="AE679" s="438">
        <v>0</v>
      </c>
      <c r="AF679" s="438">
        <v>0</v>
      </c>
      <c r="AG679" s="438">
        <v>119000</v>
      </c>
      <c r="AH679" s="438">
        <v>80920</v>
      </c>
      <c r="AI679" s="438">
        <v>34618</v>
      </c>
      <c r="AJ679" s="438">
        <v>3462</v>
      </c>
      <c r="AK679" s="438">
        <v>38080</v>
      </c>
      <c r="AL679" s="414" t="str">
        <f t="shared" si="61"/>
        <v>워커힐 시그니처 양념 본갈비 300g, 8개</v>
      </c>
      <c r="AM679" s="395">
        <f t="shared" si="62"/>
        <v>46065</v>
      </c>
      <c r="AN679" s="396">
        <f t="shared" si="63"/>
        <v>1</v>
      </c>
      <c r="AO679" s="109">
        <f t="shared" si="64"/>
        <v>119000</v>
      </c>
      <c r="AP679" s="109">
        <f t="shared" si="65"/>
        <v>108181.81818181818</v>
      </c>
      <c r="AQ679" s="397">
        <f t="shared" si="66"/>
        <v>108181.81818181818</v>
      </c>
    </row>
    <row r="680" spans="1:43" ht="24">
      <c r="A680" s="436" t="s">
        <v>5257</v>
      </c>
      <c r="B680" s="436" t="s">
        <v>3490</v>
      </c>
      <c r="C680" s="437" t="s">
        <v>3491</v>
      </c>
      <c r="D680" s="436" t="s">
        <v>5217</v>
      </c>
      <c r="E680" s="437" t="s">
        <v>5218</v>
      </c>
      <c r="F680" s="436" t="s">
        <v>3494</v>
      </c>
      <c r="G680" s="436" t="s">
        <v>3495</v>
      </c>
      <c r="H680" s="437" t="s">
        <v>3496</v>
      </c>
      <c r="I680" s="436" t="s">
        <v>3497</v>
      </c>
      <c r="J680" s="437" t="s">
        <v>3498</v>
      </c>
      <c r="K680" s="437" t="s">
        <v>3499</v>
      </c>
      <c r="L680" s="436" t="s">
        <v>3500</v>
      </c>
      <c r="M680" s="436" t="s">
        <v>4809</v>
      </c>
      <c r="N680" s="436" t="s">
        <v>3502</v>
      </c>
      <c r="O680" s="438">
        <v>119000</v>
      </c>
      <c r="P680" s="438">
        <v>80920</v>
      </c>
      <c r="Q680" s="438">
        <v>1</v>
      </c>
      <c r="R680" s="438">
        <v>0</v>
      </c>
      <c r="S680" s="438">
        <v>0</v>
      </c>
      <c r="T680" s="438">
        <v>0</v>
      </c>
      <c r="U680" s="438">
        <v>0</v>
      </c>
      <c r="V680" s="438">
        <v>0</v>
      </c>
      <c r="W680" s="438">
        <v>32</v>
      </c>
      <c r="X680" s="438">
        <v>0</v>
      </c>
      <c r="Y680" s="438">
        <v>0</v>
      </c>
      <c r="Z680" s="438">
        <v>0</v>
      </c>
      <c r="AA680" s="438">
        <v>0</v>
      </c>
      <c r="AB680" s="438">
        <v>0</v>
      </c>
      <c r="AC680" s="438">
        <v>119000</v>
      </c>
      <c r="AD680" s="438">
        <v>80920</v>
      </c>
      <c r="AE680" s="438">
        <v>0</v>
      </c>
      <c r="AF680" s="438">
        <v>0</v>
      </c>
      <c r="AG680" s="438">
        <v>119000</v>
      </c>
      <c r="AH680" s="438">
        <v>80920</v>
      </c>
      <c r="AI680" s="438">
        <v>34618</v>
      </c>
      <c r="AJ680" s="438">
        <v>3462</v>
      </c>
      <c r="AK680" s="438">
        <v>38080</v>
      </c>
      <c r="AL680" s="414" t="str">
        <f t="shared" si="61"/>
        <v>워커힐 시그니처 양념 본갈비 300g, 8개</v>
      </c>
      <c r="AM680" s="395">
        <f t="shared" si="62"/>
        <v>46065</v>
      </c>
      <c r="AN680" s="396">
        <f t="shared" si="63"/>
        <v>1</v>
      </c>
      <c r="AO680" s="109">
        <f t="shared" si="64"/>
        <v>119000</v>
      </c>
      <c r="AP680" s="109">
        <f t="shared" si="65"/>
        <v>108181.81818181818</v>
      </c>
      <c r="AQ680" s="397">
        <f t="shared" si="66"/>
        <v>108181.81818181818</v>
      </c>
    </row>
    <row r="681" spans="1:43" ht="24">
      <c r="A681" s="436" t="s">
        <v>5260</v>
      </c>
      <c r="B681" s="436" t="s">
        <v>3490</v>
      </c>
      <c r="C681" s="437" t="s">
        <v>3491</v>
      </c>
      <c r="D681" s="436" t="s">
        <v>5220</v>
      </c>
      <c r="E681" s="437" t="s">
        <v>5218</v>
      </c>
      <c r="F681" s="436" t="s">
        <v>3494</v>
      </c>
      <c r="G681" s="436" t="s">
        <v>3495</v>
      </c>
      <c r="H681" s="437" t="s">
        <v>3496</v>
      </c>
      <c r="I681" s="436" t="s">
        <v>3497</v>
      </c>
      <c r="J681" s="437" t="s">
        <v>3498</v>
      </c>
      <c r="K681" s="437" t="s">
        <v>3499</v>
      </c>
      <c r="L681" s="436" t="s">
        <v>3500</v>
      </c>
      <c r="M681" s="436" t="s">
        <v>4809</v>
      </c>
      <c r="N681" s="436" t="s">
        <v>3502</v>
      </c>
      <c r="O681" s="438">
        <v>119000</v>
      </c>
      <c r="P681" s="438">
        <v>80920</v>
      </c>
      <c r="Q681" s="438">
        <v>1</v>
      </c>
      <c r="R681" s="438">
        <v>0</v>
      </c>
      <c r="S681" s="438">
        <v>0</v>
      </c>
      <c r="T681" s="438">
        <v>0</v>
      </c>
      <c r="U681" s="438">
        <v>0</v>
      </c>
      <c r="V681" s="438">
        <v>0</v>
      </c>
      <c r="W681" s="438">
        <v>32</v>
      </c>
      <c r="X681" s="438">
        <v>0</v>
      </c>
      <c r="Y681" s="438">
        <v>0</v>
      </c>
      <c r="Z681" s="438">
        <v>0</v>
      </c>
      <c r="AA681" s="438">
        <v>0</v>
      </c>
      <c r="AB681" s="438">
        <v>0</v>
      </c>
      <c r="AC681" s="438">
        <v>119000</v>
      </c>
      <c r="AD681" s="438">
        <v>80920</v>
      </c>
      <c r="AE681" s="438">
        <v>0</v>
      </c>
      <c r="AF681" s="438">
        <v>0</v>
      </c>
      <c r="AG681" s="438">
        <v>119000</v>
      </c>
      <c r="AH681" s="438">
        <v>80920</v>
      </c>
      <c r="AI681" s="438">
        <v>34618</v>
      </c>
      <c r="AJ681" s="438">
        <v>3462</v>
      </c>
      <c r="AK681" s="438">
        <v>38080</v>
      </c>
      <c r="AL681" s="414" t="str">
        <f t="shared" si="61"/>
        <v>워커힐 시그니처 양념 본갈비 300g, 8개</v>
      </c>
      <c r="AM681" s="395">
        <f t="shared" si="62"/>
        <v>46065</v>
      </c>
      <c r="AN681" s="396">
        <f t="shared" si="63"/>
        <v>1</v>
      </c>
      <c r="AO681" s="109">
        <f t="shared" si="64"/>
        <v>119000</v>
      </c>
      <c r="AP681" s="109">
        <f t="shared" si="65"/>
        <v>108181.81818181818</v>
      </c>
      <c r="AQ681" s="397">
        <f t="shared" si="66"/>
        <v>108181.81818181818</v>
      </c>
    </row>
    <row r="682" spans="1:43" ht="24">
      <c r="A682" s="436" t="s">
        <v>5263</v>
      </c>
      <c r="B682" s="436" t="s">
        <v>3490</v>
      </c>
      <c r="C682" s="437" t="s">
        <v>3491</v>
      </c>
      <c r="D682" s="436" t="s">
        <v>5222</v>
      </c>
      <c r="E682" s="437" t="s">
        <v>3541</v>
      </c>
      <c r="F682" s="436" t="s">
        <v>3494</v>
      </c>
      <c r="G682" s="436" t="s">
        <v>3495</v>
      </c>
      <c r="H682" s="437" t="s">
        <v>3496</v>
      </c>
      <c r="I682" s="436" t="s">
        <v>3497</v>
      </c>
      <c r="J682" s="437" t="s">
        <v>3498</v>
      </c>
      <c r="K682" s="437" t="s">
        <v>3499</v>
      </c>
      <c r="L682" s="436" t="s">
        <v>3500</v>
      </c>
      <c r="M682" s="436" t="s">
        <v>4809</v>
      </c>
      <c r="N682" s="436" t="s">
        <v>3502</v>
      </c>
      <c r="O682" s="438">
        <v>119000</v>
      </c>
      <c r="P682" s="438">
        <v>80920</v>
      </c>
      <c r="Q682" s="438">
        <v>1</v>
      </c>
      <c r="R682" s="438">
        <v>0</v>
      </c>
      <c r="S682" s="438">
        <v>0</v>
      </c>
      <c r="T682" s="438">
        <v>0</v>
      </c>
      <c r="U682" s="438">
        <v>0</v>
      </c>
      <c r="V682" s="438">
        <v>0</v>
      </c>
      <c r="W682" s="438">
        <v>32</v>
      </c>
      <c r="X682" s="438">
        <v>0</v>
      </c>
      <c r="Y682" s="438">
        <v>0</v>
      </c>
      <c r="Z682" s="438">
        <v>0</v>
      </c>
      <c r="AA682" s="438">
        <v>0</v>
      </c>
      <c r="AB682" s="438">
        <v>0</v>
      </c>
      <c r="AC682" s="438">
        <v>119000</v>
      </c>
      <c r="AD682" s="438">
        <v>80920</v>
      </c>
      <c r="AE682" s="438">
        <v>0</v>
      </c>
      <c r="AF682" s="438">
        <v>0</v>
      </c>
      <c r="AG682" s="438">
        <v>119000</v>
      </c>
      <c r="AH682" s="438">
        <v>80920</v>
      </c>
      <c r="AI682" s="438">
        <v>34618</v>
      </c>
      <c r="AJ682" s="438">
        <v>3462</v>
      </c>
      <c r="AK682" s="438">
        <v>38080</v>
      </c>
      <c r="AL682" s="414" t="str">
        <f t="shared" si="61"/>
        <v>워커힐 시그니처 양념 본갈비 300g, 8개</v>
      </c>
      <c r="AM682" s="395">
        <f t="shared" si="62"/>
        <v>46065</v>
      </c>
      <c r="AN682" s="396">
        <f t="shared" si="63"/>
        <v>1</v>
      </c>
      <c r="AO682" s="109">
        <f t="shared" si="64"/>
        <v>119000</v>
      </c>
      <c r="AP682" s="109">
        <f t="shared" si="65"/>
        <v>108181.81818181818</v>
      </c>
      <c r="AQ682" s="397">
        <f t="shared" si="66"/>
        <v>108181.81818181818</v>
      </c>
    </row>
    <row r="683" spans="1:43" ht="24">
      <c r="A683" s="436" t="s">
        <v>5265</v>
      </c>
      <c r="B683" s="436" t="s">
        <v>3490</v>
      </c>
      <c r="C683" s="437" t="s">
        <v>3491</v>
      </c>
      <c r="D683" s="436" t="s">
        <v>5224</v>
      </c>
      <c r="E683" s="437" t="s">
        <v>3592</v>
      </c>
      <c r="F683" s="436" t="s">
        <v>3494</v>
      </c>
      <c r="G683" s="436" t="s">
        <v>3495</v>
      </c>
      <c r="H683" s="437" t="s">
        <v>3496</v>
      </c>
      <c r="I683" s="436" t="s">
        <v>3497</v>
      </c>
      <c r="J683" s="437" t="s">
        <v>3498</v>
      </c>
      <c r="K683" s="437" t="s">
        <v>3499</v>
      </c>
      <c r="L683" s="436" t="s">
        <v>3500</v>
      </c>
      <c r="M683" s="436" t="s">
        <v>4809</v>
      </c>
      <c r="N683" s="436" t="s">
        <v>3502</v>
      </c>
      <c r="O683" s="438">
        <v>119000</v>
      </c>
      <c r="P683" s="438">
        <v>80920</v>
      </c>
      <c r="Q683" s="438">
        <v>1</v>
      </c>
      <c r="R683" s="438">
        <v>0</v>
      </c>
      <c r="S683" s="438">
        <v>0</v>
      </c>
      <c r="T683" s="438">
        <v>0</v>
      </c>
      <c r="U683" s="438">
        <v>0</v>
      </c>
      <c r="V683" s="438">
        <v>0</v>
      </c>
      <c r="W683" s="438">
        <v>32</v>
      </c>
      <c r="X683" s="438">
        <v>0</v>
      </c>
      <c r="Y683" s="438">
        <v>0</v>
      </c>
      <c r="Z683" s="438">
        <v>0</v>
      </c>
      <c r="AA683" s="438">
        <v>0</v>
      </c>
      <c r="AB683" s="438">
        <v>0</v>
      </c>
      <c r="AC683" s="438">
        <v>119000</v>
      </c>
      <c r="AD683" s="438">
        <v>80920</v>
      </c>
      <c r="AE683" s="438">
        <v>0</v>
      </c>
      <c r="AF683" s="438">
        <v>0</v>
      </c>
      <c r="AG683" s="438">
        <v>119000</v>
      </c>
      <c r="AH683" s="438">
        <v>80920</v>
      </c>
      <c r="AI683" s="438">
        <v>34618</v>
      </c>
      <c r="AJ683" s="438">
        <v>3462</v>
      </c>
      <c r="AK683" s="438">
        <v>38080</v>
      </c>
      <c r="AL683" s="414" t="str">
        <f t="shared" si="61"/>
        <v>워커힐 시그니처 양념 본갈비 300g, 8개</v>
      </c>
      <c r="AM683" s="395">
        <f t="shared" si="62"/>
        <v>46065</v>
      </c>
      <c r="AN683" s="396">
        <f t="shared" si="63"/>
        <v>1</v>
      </c>
      <c r="AO683" s="109">
        <f t="shared" si="64"/>
        <v>119000</v>
      </c>
      <c r="AP683" s="109">
        <f t="shared" si="65"/>
        <v>108181.81818181818</v>
      </c>
      <c r="AQ683" s="397">
        <f t="shared" si="66"/>
        <v>108181.81818181818</v>
      </c>
    </row>
    <row r="684" spans="1:43" ht="24">
      <c r="A684" s="436" t="s">
        <v>5268</v>
      </c>
      <c r="B684" s="436" t="s">
        <v>3490</v>
      </c>
      <c r="C684" s="437" t="s">
        <v>3491</v>
      </c>
      <c r="D684" s="436" t="s">
        <v>5226</v>
      </c>
      <c r="E684" s="437" t="s">
        <v>5227</v>
      </c>
      <c r="F684" s="436" t="s">
        <v>3494</v>
      </c>
      <c r="G684" s="436" t="s">
        <v>3495</v>
      </c>
      <c r="H684" s="437" t="s">
        <v>3496</v>
      </c>
      <c r="I684" s="436" t="s">
        <v>3497</v>
      </c>
      <c r="J684" s="437" t="s">
        <v>3498</v>
      </c>
      <c r="K684" s="437" t="s">
        <v>3499</v>
      </c>
      <c r="L684" s="436" t="s">
        <v>3500</v>
      </c>
      <c r="M684" s="436" t="s">
        <v>4809</v>
      </c>
      <c r="N684" s="436" t="s">
        <v>3502</v>
      </c>
      <c r="O684" s="438">
        <v>119000</v>
      </c>
      <c r="P684" s="438">
        <v>80920</v>
      </c>
      <c r="Q684" s="438">
        <v>1</v>
      </c>
      <c r="R684" s="438">
        <v>0</v>
      </c>
      <c r="S684" s="438">
        <v>0</v>
      </c>
      <c r="T684" s="438">
        <v>0</v>
      </c>
      <c r="U684" s="438">
        <v>0</v>
      </c>
      <c r="V684" s="438">
        <v>0</v>
      </c>
      <c r="W684" s="438">
        <v>32</v>
      </c>
      <c r="X684" s="438">
        <v>0</v>
      </c>
      <c r="Y684" s="438">
        <v>0</v>
      </c>
      <c r="Z684" s="438">
        <v>0</v>
      </c>
      <c r="AA684" s="438">
        <v>0</v>
      </c>
      <c r="AB684" s="438">
        <v>0</v>
      </c>
      <c r="AC684" s="438">
        <v>119000</v>
      </c>
      <c r="AD684" s="438">
        <v>80920</v>
      </c>
      <c r="AE684" s="438">
        <v>0</v>
      </c>
      <c r="AF684" s="438">
        <v>0</v>
      </c>
      <c r="AG684" s="438">
        <v>119000</v>
      </c>
      <c r="AH684" s="438">
        <v>80920</v>
      </c>
      <c r="AI684" s="438">
        <v>34618</v>
      </c>
      <c r="AJ684" s="438">
        <v>3462</v>
      </c>
      <c r="AK684" s="438">
        <v>38080</v>
      </c>
      <c r="AL684" s="414" t="str">
        <f t="shared" si="61"/>
        <v>워커힐 시그니처 양념 본갈비 300g, 8개</v>
      </c>
      <c r="AM684" s="395">
        <f t="shared" si="62"/>
        <v>46065</v>
      </c>
      <c r="AN684" s="396">
        <f t="shared" si="63"/>
        <v>1</v>
      </c>
      <c r="AO684" s="109">
        <f t="shared" si="64"/>
        <v>119000</v>
      </c>
      <c r="AP684" s="109">
        <f t="shared" si="65"/>
        <v>108181.81818181818</v>
      </c>
      <c r="AQ684" s="397">
        <f t="shared" si="66"/>
        <v>108181.81818181818</v>
      </c>
    </row>
    <row r="685" spans="1:43" ht="24">
      <c r="A685" s="436" t="s">
        <v>5271</v>
      </c>
      <c r="B685" s="436" t="s">
        <v>3490</v>
      </c>
      <c r="C685" s="437" t="s">
        <v>3491</v>
      </c>
      <c r="D685" s="436" t="s">
        <v>5229</v>
      </c>
      <c r="E685" s="437" t="s">
        <v>4825</v>
      </c>
      <c r="F685" s="436" t="s">
        <v>3494</v>
      </c>
      <c r="G685" s="436" t="s">
        <v>3495</v>
      </c>
      <c r="H685" s="437" t="s">
        <v>3496</v>
      </c>
      <c r="I685" s="436" t="s">
        <v>3497</v>
      </c>
      <c r="J685" s="437" t="s">
        <v>3498</v>
      </c>
      <c r="K685" s="437" t="s">
        <v>3499</v>
      </c>
      <c r="L685" s="436" t="s">
        <v>3500</v>
      </c>
      <c r="M685" s="436" t="s">
        <v>4809</v>
      </c>
      <c r="N685" s="436" t="s">
        <v>3502</v>
      </c>
      <c r="O685" s="438">
        <v>119000</v>
      </c>
      <c r="P685" s="438">
        <v>80920</v>
      </c>
      <c r="Q685" s="438">
        <v>1</v>
      </c>
      <c r="R685" s="438">
        <v>0</v>
      </c>
      <c r="S685" s="438">
        <v>0</v>
      </c>
      <c r="T685" s="438">
        <v>0</v>
      </c>
      <c r="U685" s="438">
        <v>0</v>
      </c>
      <c r="V685" s="438">
        <v>0</v>
      </c>
      <c r="W685" s="438">
        <v>32</v>
      </c>
      <c r="X685" s="438">
        <v>0</v>
      </c>
      <c r="Y685" s="438">
        <v>0</v>
      </c>
      <c r="Z685" s="438">
        <v>0</v>
      </c>
      <c r="AA685" s="438">
        <v>0</v>
      </c>
      <c r="AB685" s="438">
        <v>0</v>
      </c>
      <c r="AC685" s="438">
        <v>119000</v>
      </c>
      <c r="AD685" s="438">
        <v>80920</v>
      </c>
      <c r="AE685" s="438">
        <v>0</v>
      </c>
      <c r="AF685" s="438">
        <v>0</v>
      </c>
      <c r="AG685" s="438">
        <v>119000</v>
      </c>
      <c r="AH685" s="438">
        <v>80920</v>
      </c>
      <c r="AI685" s="438">
        <v>34618</v>
      </c>
      <c r="AJ685" s="438">
        <v>3462</v>
      </c>
      <c r="AK685" s="438">
        <v>38080</v>
      </c>
      <c r="AL685" s="414" t="str">
        <f t="shared" si="61"/>
        <v>워커힐 시그니처 양념 본갈비 300g, 8개</v>
      </c>
      <c r="AM685" s="395">
        <f t="shared" si="62"/>
        <v>46065</v>
      </c>
      <c r="AN685" s="396">
        <f t="shared" si="63"/>
        <v>1</v>
      </c>
      <c r="AO685" s="109">
        <f t="shared" si="64"/>
        <v>119000</v>
      </c>
      <c r="AP685" s="109">
        <f t="shared" si="65"/>
        <v>108181.81818181818</v>
      </c>
      <c r="AQ685" s="397">
        <f t="shared" si="66"/>
        <v>108181.81818181818</v>
      </c>
    </row>
    <row r="686" spans="1:43" ht="24">
      <c r="A686" s="436" t="s">
        <v>5274</v>
      </c>
      <c r="B686" s="436" t="s">
        <v>3490</v>
      </c>
      <c r="C686" s="437" t="s">
        <v>3491</v>
      </c>
      <c r="D686" s="436" t="s">
        <v>5387</v>
      </c>
      <c r="E686" s="437" t="s">
        <v>5388</v>
      </c>
      <c r="F686" s="436" t="s">
        <v>3494</v>
      </c>
      <c r="G686" s="436" t="s">
        <v>3495</v>
      </c>
      <c r="H686" s="437" t="s">
        <v>3496</v>
      </c>
      <c r="I686" s="436" t="s">
        <v>3497</v>
      </c>
      <c r="J686" s="437" t="s">
        <v>3498</v>
      </c>
      <c r="K686" s="437" t="s">
        <v>3499</v>
      </c>
      <c r="L686" s="436" t="s">
        <v>3500</v>
      </c>
      <c r="M686" s="436" t="s">
        <v>4809</v>
      </c>
      <c r="N686" s="436" t="s">
        <v>3502</v>
      </c>
      <c r="O686" s="438">
        <v>119000</v>
      </c>
      <c r="P686" s="438">
        <v>80920</v>
      </c>
      <c r="Q686" s="438">
        <v>1</v>
      </c>
      <c r="R686" s="438">
        <v>0</v>
      </c>
      <c r="S686" s="438">
        <v>0</v>
      </c>
      <c r="T686" s="438">
        <v>0</v>
      </c>
      <c r="U686" s="438">
        <v>0</v>
      </c>
      <c r="V686" s="438">
        <v>0</v>
      </c>
      <c r="W686" s="438">
        <v>32</v>
      </c>
      <c r="X686" s="438">
        <v>0</v>
      </c>
      <c r="Y686" s="438">
        <v>10000</v>
      </c>
      <c r="Z686" s="438">
        <v>0</v>
      </c>
      <c r="AA686" s="438">
        <v>0</v>
      </c>
      <c r="AB686" s="438">
        <v>0</v>
      </c>
      <c r="AC686" s="438">
        <v>119000</v>
      </c>
      <c r="AD686" s="438">
        <v>80920</v>
      </c>
      <c r="AE686" s="438">
        <v>0</v>
      </c>
      <c r="AF686" s="438">
        <v>10000</v>
      </c>
      <c r="AG686" s="438">
        <v>109000</v>
      </c>
      <c r="AH686" s="438">
        <v>80920</v>
      </c>
      <c r="AI686" s="438">
        <v>25527</v>
      </c>
      <c r="AJ686" s="438">
        <v>2553</v>
      </c>
      <c r="AK686" s="438">
        <v>28080</v>
      </c>
      <c r="AL686" s="414" t="str">
        <f t="shared" si="61"/>
        <v>워커힐 시그니처 양념 본갈비 300g, 8개</v>
      </c>
      <c r="AM686" s="395">
        <f t="shared" si="62"/>
        <v>46065</v>
      </c>
      <c r="AN686" s="396">
        <f t="shared" si="63"/>
        <v>1</v>
      </c>
      <c r="AO686" s="109">
        <f t="shared" si="64"/>
        <v>119000</v>
      </c>
      <c r="AP686" s="109">
        <f t="shared" si="65"/>
        <v>108181.81818181818</v>
      </c>
      <c r="AQ686" s="397">
        <f t="shared" si="66"/>
        <v>108181.81818181818</v>
      </c>
    </row>
    <row r="687" spans="1:43" ht="24">
      <c r="A687" s="436" t="s">
        <v>5277</v>
      </c>
      <c r="B687" s="436" t="s">
        <v>3490</v>
      </c>
      <c r="C687" s="437" t="s">
        <v>3491</v>
      </c>
      <c r="D687" s="436" t="s">
        <v>5390</v>
      </c>
      <c r="E687" s="437" t="s">
        <v>5388</v>
      </c>
      <c r="F687" s="436" t="s">
        <v>3494</v>
      </c>
      <c r="G687" s="436" t="s">
        <v>3495</v>
      </c>
      <c r="H687" s="437" t="s">
        <v>3496</v>
      </c>
      <c r="I687" s="436" t="s">
        <v>3497</v>
      </c>
      <c r="J687" s="437" t="s">
        <v>3498</v>
      </c>
      <c r="K687" s="437" t="s">
        <v>3499</v>
      </c>
      <c r="L687" s="436" t="s">
        <v>3500</v>
      </c>
      <c r="M687" s="436" t="s">
        <v>4809</v>
      </c>
      <c r="N687" s="436" t="s">
        <v>3502</v>
      </c>
      <c r="O687" s="438">
        <v>119000</v>
      </c>
      <c r="P687" s="438">
        <v>80920</v>
      </c>
      <c r="Q687" s="438">
        <v>1</v>
      </c>
      <c r="R687" s="438">
        <v>0</v>
      </c>
      <c r="S687" s="438">
        <v>0</v>
      </c>
      <c r="T687" s="438">
        <v>0</v>
      </c>
      <c r="U687" s="438">
        <v>0</v>
      </c>
      <c r="V687" s="438">
        <v>0</v>
      </c>
      <c r="W687" s="438">
        <v>32</v>
      </c>
      <c r="X687" s="438">
        <v>0</v>
      </c>
      <c r="Y687" s="438">
        <v>0</v>
      </c>
      <c r="Z687" s="438">
        <v>0</v>
      </c>
      <c r="AA687" s="438">
        <v>0</v>
      </c>
      <c r="AB687" s="438">
        <v>0</v>
      </c>
      <c r="AC687" s="438">
        <v>119000</v>
      </c>
      <c r="AD687" s="438">
        <v>80920</v>
      </c>
      <c r="AE687" s="438">
        <v>0</v>
      </c>
      <c r="AF687" s="438">
        <v>0</v>
      </c>
      <c r="AG687" s="438">
        <v>119000</v>
      </c>
      <c r="AH687" s="438">
        <v>80920</v>
      </c>
      <c r="AI687" s="438">
        <v>34618</v>
      </c>
      <c r="AJ687" s="438">
        <v>3462</v>
      </c>
      <c r="AK687" s="438">
        <v>38080</v>
      </c>
      <c r="AL687" s="414" t="str">
        <f t="shared" si="61"/>
        <v>워커힐 시그니처 양념 본갈비 300g, 8개</v>
      </c>
      <c r="AM687" s="395">
        <f t="shared" si="62"/>
        <v>46065</v>
      </c>
      <c r="AN687" s="396">
        <f t="shared" si="63"/>
        <v>1</v>
      </c>
      <c r="AO687" s="109">
        <f t="shared" si="64"/>
        <v>119000</v>
      </c>
      <c r="AP687" s="109">
        <f t="shared" si="65"/>
        <v>108181.81818181818</v>
      </c>
      <c r="AQ687" s="397">
        <f t="shared" si="66"/>
        <v>108181.81818181818</v>
      </c>
    </row>
    <row r="688" spans="1:43" ht="24">
      <c r="A688" s="436" t="s">
        <v>5280</v>
      </c>
      <c r="B688" s="436" t="s">
        <v>3490</v>
      </c>
      <c r="C688" s="437" t="s">
        <v>3491</v>
      </c>
      <c r="D688" s="436" t="s">
        <v>5512</v>
      </c>
      <c r="E688" s="437" t="s">
        <v>5142</v>
      </c>
      <c r="F688" s="436" t="s">
        <v>3494</v>
      </c>
      <c r="G688" s="436" t="s">
        <v>3495</v>
      </c>
      <c r="H688" s="437" t="s">
        <v>3496</v>
      </c>
      <c r="I688" s="436" t="s">
        <v>3497</v>
      </c>
      <c r="J688" s="437" t="s">
        <v>3498</v>
      </c>
      <c r="K688" s="437" t="s">
        <v>3499</v>
      </c>
      <c r="L688" s="436" t="s">
        <v>3500</v>
      </c>
      <c r="M688" s="436" t="s">
        <v>4809</v>
      </c>
      <c r="N688" s="436" t="s">
        <v>3502</v>
      </c>
      <c r="O688" s="438">
        <v>119000</v>
      </c>
      <c r="P688" s="438">
        <v>82110</v>
      </c>
      <c r="Q688" s="438">
        <v>1</v>
      </c>
      <c r="R688" s="438">
        <v>0</v>
      </c>
      <c r="S688" s="438">
        <v>0</v>
      </c>
      <c r="T688" s="438">
        <v>0</v>
      </c>
      <c r="U688" s="438">
        <v>0</v>
      </c>
      <c r="V688" s="438">
        <v>0</v>
      </c>
      <c r="W688" s="438">
        <v>31</v>
      </c>
      <c r="X688" s="438">
        <v>0</v>
      </c>
      <c r="Y688" s="438">
        <v>10000</v>
      </c>
      <c r="Z688" s="438">
        <v>0</v>
      </c>
      <c r="AA688" s="438">
        <v>0</v>
      </c>
      <c r="AB688" s="438">
        <v>0</v>
      </c>
      <c r="AC688" s="438">
        <v>119000</v>
      </c>
      <c r="AD688" s="438">
        <v>82110</v>
      </c>
      <c r="AE688" s="438">
        <v>0</v>
      </c>
      <c r="AF688" s="438">
        <v>10000</v>
      </c>
      <c r="AG688" s="438">
        <v>109000</v>
      </c>
      <c r="AH688" s="438">
        <v>82110</v>
      </c>
      <c r="AI688" s="438">
        <v>24445</v>
      </c>
      <c r="AJ688" s="438">
        <v>2445</v>
      </c>
      <c r="AK688" s="438">
        <v>26890</v>
      </c>
      <c r="AL688" s="414" t="str">
        <f t="shared" si="61"/>
        <v>워커힐 시그니처 양념 본갈비 300g, 8개</v>
      </c>
      <c r="AM688" s="395">
        <f t="shared" si="62"/>
        <v>46065</v>
      </c>
      <c r="AN688" s="396">
        <f t="shared" si="63"/>
        <v>1</v>
      </c>
      <c r="AO688" s="109">
        <f t="shared" si="64"/>
        <v>119000</v>
      </c>
      <c r="AP688" s="109">
        <f t="shared" si="65"/>
        <v>108181.81818181818</v>
      </c>
      <c r="AQ688" s="397">
        <f t="shared" si="66"/>
        <v>108181.81818181818</v>
      </c>
    </row>
    <row r="689" spans="1:43" ht="24">
      <c r="A689" s="436" t="s">
        <v>5283</v>
      </c>
      <c r="B689" s="436" t="s">
        <v>3490</v>
      </c>
      <c r="C689" s="437" t="s">
        <v>3491</v>
      </c>
      <c r="D689" s="436" t="s">
        <v>5419</v>
      </c>
      <c r="E689" s="437" t="s">
        <v>5420</v>
      </c>
      <c r="F689" s="436" t="s">
        <v>3494</v>
      </c>
      <c r="G689" s="436" t="s">
        <v>3495</v>
      </c>
      <c r="H689" s="437" t="s">
        <v>3496</v>
      </c>
      <c r="I689" s="436" t="s">
        <v>3497</v>
      </c>
      <c r="J689" s="437" t="s">
        <v>3498</v>
      </c>
      <c r="K689" s="437" t="s">
        <v>3499</v>
      </c>
      <c r="L689" s="436" t="s">
        <v>3500</v>
      </c>
      <c r="M689" s="436" t="s">
        <v>4809</v>
      </c>
      <c r="N689" s="436" t="s">
        <v>3502</v>
      </c>
      <c r="O689" s="438">
        <v>119000</v>
      </c>
      <c r="P689" s="438">
        <v>80920</v>
      </c>
      <c r="Q689" s="438">
        <v>1</v>
      </c>
      <c r="R689" s="438">
        <v>0</v>
      </c>
      <c r="S689" s="438">
        <v>0</v>
      </c>
      <c r="T689" s="438">
        <v>0</v>
      </c>
      <c r="U689" s="438">
        <v>0</v>
      </c>
      <c r="V689" s="438">
        <v>0</v>
      </c>
      <c r="W689" s="438">
        <v>32</v>
      </c>
      <c r="X689" s="438">
        <v>0</v>
      </c>
      <c r="Y689" s="438">
        <v>5000</v>
      </c>
      <c r="Z689" s="438">
        <v>0</v>
      </c>
      <c r="AA689" s="438">
        <v>0</v>
      </c>
      <c r="AB689" s="438">
        <v>5700</v>
      </c>
      <c r="AC689" s="438">
        <v>119000</v>
      </c>
      <c r="AD689" s="438">
        <v>80920</v>
      </c>
      <c r="AE689" s="438">
        <v>0</v>
      </c>
      <c r="AF689" s="438">
        <v>10700</v>
      </c>
      <c r="AG689" s="438">
        <v>108300</v>
      </c>
      <c r="AH689" s="438">
        <v>80920</v>
      </c>
      <c r="AI689" s="438">
        <v>24891</v>
      </c>
      <c r="AJ689" s="438">
        <v>2489</v>
      </c>
      <c r="AK689" s="438">
        <v>27380</v>
      </c>
      <c r="AL689" s="414" t="str">
        <f t="shared" si="61"/>
        <v>워커힐 시그니처 양념 본갈비 300g, 8개</v>
      </c>
      <c r="AM689" s="395">
        <f t="shared" si="62"/>
        <v>46065</v>
      </c>
      <c r="AN689" s="396">
        <f t="shared" si="63"/>
        <v>1</v>
      </c>
      <c r="AO689" s="109">
        <f t="shared" si="64"/>
        <v>119000</v>
      </c>
      <c r="AP689" s="109">
        <f t="shared" si="65"/>
        <v>108181.81818181818</v>
      </c>
      <c r="AQ689" s="397">
        <f t="shared" si="66"/>
        <v>108181.81818181818</v>
      </c>
    </row>
    <row r="690" spans="1:43" ht="24">
      <c r="A690" s="436" t="s">
        <v>5286</v>
      </c>
      <c r="B690" s="436" t="s">
        <v>3490</v>
      </c>
      <c r="C690" s="437" t="s">
        <v>3491</v>
      </c>
      <c r="D690" s="436" t="s">
        <v>5545</v>
      </c>
      <c r="E690" s="437" t="s">
        <v>5546</v>
      </c>
      <c r="F690" s="436" t="s">
        <v>3494</v>
      </c>
      <c r="G690" s="436" t="s">
        <v>3495</v>
      </c>
      <c r="H690" s="437" t="s">
        <v>3496</v>
      </c>
      <c r="I690" s="436" t="s">
        <v>3497</v>
      </c>
      <c r="J690" s="437" t="s">
        <v>3498</v>
      </c>
      <c r="K690" s="437" t="s">
        <v>163</v>
      </c>
      <c r="L690" s="436" t="s">
        <v>3500</v>
      </c>
      <c r="M690" s="436" t="s">
        <v>4809</v>
      </c>
      <c r="N690" s="436" t="s">
        <v>3502</v>
      </c>
      <c r="O690" s="438">
        <v>119000</v>
      </c>
      <c r="P690" s="438">
        <v>80920</v>
      </c>
      <c r="Q690" s="438">
        <v>1</v>
      </c>
      <c r="R690" s="438">
        <v>0</v>
      </c>
      <c r="S690" s="438">
        <v>0</v>
      </c>
      <c r="T690" s="438">
        <v>0</v>
      </c>
      <c r="U690" s="438">
        <v>0</v>
      </c>
      <c r="V690" s="438">
        <v>0</v>
      </c>
      <c r="W690" s="438">
        <v>32</v>
      </c>
      <c r="X690" s="438">
        <v>0</v>
      </c>
      <c r="Y690" s="438">
        <v>5950</v>
      </c>
      <c r="Z690" s="438">
        <v>0</v>
      </c>
      <c r="AA690" s="438">
        <v>0</v>
      </c>
      <c r="AB690" s="438">
        <v>0</v>
      </c>
      <c r="AC690" s="438">
        <v>119000</v>
      </c>
      <c r="AD690" s="438">
        <v>80920</v>
      </c>
      <c r="AE690" s="438">
        <v>0</v>
      </c>
      <c r="AF690" s="438">
        <v>5950</v>
      </c>
      <c r="AG690" s="438">
        <v>113050</v>
      </c>
      <c r="AH690" s="438">
        <v>80920</v>
      </c>
      <c r="AI690" s="438">
        <v>29209</v>
      </c>
      <c r="AJ690" s="438">
        <v>2921</v>
      </c>
      <c r="AK690" s="438">
        <v>32130</v>
      </c>
      <c r="AL690" s="414" t="str">
        <f t="shared" si="61"/>
        <v>워커힐 시그니처 양념 본갈비 300g, 8개</v>
      </c>
      <c r="AM690" s="395">
        <f t="shared" si="62"/>
        <v>46065</v>
      </c>
      <c r="AN690" s="396">
        <f t="shared" si="63"/>
        <v>1</v>
      </c>
      <c r="AO690" s="109">
        <f t="shared" si="64"/>
        <v>119000</v>
      </c>
      <c r="AP690" s="109">
        <f t="shared" si="65"/>
        <v>108181.81818181818</v>
      </c>
      <c r="AQ690" s="397">
        <f t="shared" si="66"/>
        <v>108181.81818181818</v>
      </c>
    </row>
    <row r="691" spans="1:43" ht="24">
      <c r="A691" s="436" t="s">
        <v>5288</v>
      </c>
      <c r="B691" s="436" t="s">
        <v>3490</v>
      </c>
      <c r="C691" s="437" t="s">
        <v>3491</v>
      </c>
      <c r="D691" s="436" t="s">
        <v>5551</v>
      </c>
      <c r="E691" s="437" t="s">
        <v>5552</v>
      </c>
      <c r="F691" s="436" t="s">
        <v>3494</v>
      </c>
      <c r="G691" s="436" t="s">
        <v>3495</v>
      </c>
      <c r="H691" s="437" t="s">
        <v>3496</v>
      </c>
      <c r="I691" s="436" t="s">
        <v>3497</v>
      </c>
      <c r="J691" s="437" t="s">
        <v>3498</v>
      </c>
      <c r="K691" s="437" t="s">
        <v>163</v>
      </c>
      <c r="L691" s="436" t="s">
        <v>3500</v>
      </c>
      <c r="M691" s="436" t="s">
        <v>4809</v>
      </c>
      <c r="N691" s="436" t="s">
        <v>3502</v>
      </c>
      <c r="O691" s="438">
        <v>119000</v>
      </c>
      <c r="P691" s="438">
        <v>80920</v>
      </c>
      <c r="Q691" s="438">
        <v>1</v>
      </c>
      <c r="R691" s="438">
        <v>0</v>
      </c>
      <c r="S691" s="438">
        <v>0</v>
      </c>
      <c r="T691" s="438">
        <v>0</v>
      </c>
      <c r="U691" s="438">
        <v>0</v>
      </c>
      <c r="V691" s="438">
        <v>0</v>
      </c>
      <c r="W691" s="438">
        <v>32</v>
      </c>
      <c r="X691" s="438">
        <v>0</v>
      </c>
      <c r="Y691" s="438">
        <v>5950</v>
      </c>
      <c r="Z691" s="438">
        <v>0</v>
      </c>
      <c r="AA691" s="438">
        <v>0</v>
      </c>
      <c r="AB691" s="438">
        <v>0</v>
      </c>
      <c r="AC691" s="438">
        <v>119000</v>
      </c>
      <c r="AD691" s="438">
        <v>80920</v>
      </c>
      <c r="AE691" s="438">
        <v>0</v>
      </c>
      <c r="AF691" s="438">
        <v>5950</v>
      </c>
      <c r="AG691" s="438">
        <v>113050</v>
      </c>
      <c r="AH691" s="438">
        <v>80920</v>
      </c>
      <c r="AI691" s="438">
        <v>29209</v>
      </c>
      <c r="AJ691" s="438">
        <v>2921</v>
      </c>
      <c r="AK691" s="438">
        <v>32130</v>
      </c>
      <c r="AL691" s="414" t="str">
        <f t="shared" si="61"/>
        <v>워커힐 시그니처 양념 본갈비 300g, 8개</v>
      </c>
      <c r="AM691" s="395">
        <f t="shared" si="62"/>
        <v>46065</v>
      </c>
      <c r="AN691" s="396">
        <f t="shared" si="63"/>
        <v>1</v>
      </c>
      <c r="AO691" s="109">
        <f t="shared" si="64"/>
        <v>119000</v>
      </c>
      <c r="AP691" s="109">
        <f t="shared" si="65"/>
        <v>108181.81818181818</v>
      </c>
      <c r="AQ691" s="397">
        <f t="shared" si="66"/>
        <v>108181.81818181818</v>
      </c>
    </row>
    <row r="692" spans="1:43" ht="24">
      <c r="A692" s="436" t="s">
        <v>5290</v>
      </c>
      <c r="B692" s="436" t="s">
        <v>3490</v>
      </c>
      <c r="C692" s="437" t="s">
        <v>3491</v>
      </c>
      <c r="D692" s="436" t="s">
        <v>5081</v>
      </c>
      <c r="E692" s="437" t="s">
        <v>3508</v>
      </c>
      <c r="F692" s="436" t="s">
        <v>3494</v>
      </c>
      <c r="G692" s="436" t="s">
        <v>3495</v>
      </c>
      <c r="H692" s="437" t="s">
        <v>3496</v>
      </c>
      <c r="I692" s="436" t="s">
        <v>3497</v>
      </c>
      <c r="J692" s="437" t="s">
        <v>3498</v>
      </c>
      <c r="K692" s="437" t="s">
        <v>3499</v>
      </c>
      <c r="L692" s="436" t="s">
        <v>3500</v>
      </c>
      <c r="M692" s="436" t="s">
        <v>4809</v>
      </c>
      <c r="N692" s="436" t="s">
        <v>3502</v>
      </c>
      <c r="O692" s="438">
        <v>119000</v>
      </c>
      <c r="P692" s="438">
        <v>80920</v>
      </c>
      <c r="Q692" s="438">
        <v>1</v>
      </c>
      <c r="R692" s="438">
        <v>0</v>
      </c>
      <c r="S692" s="438">
        <v>0</v>
      </c>
      <c r="T692" s="438">
        <v>0</v>
      </c>
      <c r="U692" s="438">
        <v>0</v>
      </c>
      <c r="V692" s="438">
        <v>0</v>
      </c>
      <c r="W692" s="438">
        <v>32</v>
      </c>
      <c r="X692" s="438">
        <v>0</v>
      </c>
      <c r="Y692" s="438">
        <v>0</v>
      </c>
      <c r="Z692" s="438">
        <v>0</v>
      </c>
      <c r="AA692" s="438">
        <v>0</v>
      </c>
      <c r="AB692" s="438">
        <v>0</v>
      </c>
      <c r="AC692" s="438">
        <v>119000</v>
      </c>
      <c r="AD692" s="438">
        <v>80920</v>
      </c>
      <c r="AE692" s="438">
        <v>0</v>
      </c>
      <c r="AF692" s="438">
        <v>0</v>
      </c>
      <c r="AG692" s="438">
        <v>119000</v>
      </c>
      <c r="AH692" s="438">
        <v>80920</v>
      </c>
      <c r="AI692" s="438">
        <v>34618</v>
      </c>
      <c r="AJ692" s="438">
        <v>3462</v>
      </c>
      <c r="AK692" s="438">
        <v>38080</v>
      </c>
      <c r="AL692" s="414" t="str">
        <f t="shared" si="61"/>
        <v>워커힐 시그니처 양념 본갈비 300g, 8개</v>
      </c>
      <c r="AM692" s="395">
        <f t="shared" si="62"/>
        <v>46065</v>
      </c>
      <c r="AN692" s="396">
        <f t="shared" si="63"/>
        <v>1</v>
      </c>
      <c r="AO692" s="109">
        <f t="shared" si="64"/>
        <v>119000</v>
      </c>
      <c r="AP692" s="109">
        <f t="shared" si="65"/>
        <v>108181.81818181818</v>
      </c>
      <c r="AQ692" s="397">
        <f t="shared" si="66"/>
        <v>108181.81818181818</v>
      </c>
    </row>
    <row r="693" spans="1:43" ht="24">
      <c r="A693" s="436" t="s">
        <v>5292</v>
      </c>
      <c r="B693" s="436" t="s">
        <v>3490</v>
      </c>
      <c r="C693" s="437" t="s">
        <v>3491</v>
      </c>
      <c r="D693" s="436" t="s">
        <v>4998</v>
      </c>
      <c r="E693" s="437" t="s">
        <v>4999</v>
      </c>
      <c r="F693" s="436" t="s">
        <v>3494</v>
      </c>
      <c r="G693" s="436" t="s">
        <v>3495</v>
      </c>
      <c r="H693" s="437" t="s">
        <v>3496</v>
      </c>
      <c r="I693" s="436" t="s">
        <v>3497</v>
      </c>
      <c r="J693" s="437" t="s">
        <v>3498</v>
      </c>
      <c r="K693" s="437" t="s">
        <v>3548</v>
      </c>
      <c r="L693" s="436" t="s">
        <v>3500</v>
      </c>
      <c r="M693" s="436" t="s">
        <v>4809</v>
      </c>
      <c r="N693" s="436" t="s">
        <v>3502</v>
      </c>
      <c r="O693" s="438">
        <v>119000</v>
      </c>
      <c r="P693" s="438">
        <v>80920</v>
      </c>
      <c r="Q693" s="438">
        <v>1</v>
      </c>
      <c r="R693" s="438">
        <v>0</v>
      </c>
      <c r="S693" s="438">
        <v>0</v>
      </c>
      <c r="T693" s="438">
        <v>0</v>
      </c>
      <c r="U693" s="438">
        <v>0</v>
      </c>
      <c r="V693" s="438">
        <v>0</v>
      </c>
      <c r="W693" s="438">
        <v>32</v>
      </c>
      <c r="X693" s="438">
        <v>0</v>
      </c>
      <c r="Y693" s="438">
        <v>0</v>
      </c>
      <c r="Z693" s="438">
        <v>0</v>
      </c>
      <c r="AA693" s="438">
        <v>0</v>
      </c>
      <c r="AB693" s="438">
        <v>0</v>
      </c>
      <c r="AC693" s="438">
        <v>119000</v>
      </c>
      <c r="AD693" s="438">
        <v>80920</v>
      </c>
      <c r="AE693" s="438">
        <v>0</v>
      </c>
      <c r="AF693" s="438">
        <v>0</v>
      </c>
      <c r="AG693" s="438">
        <v>119000</v>
      </c>
      <c r="AH693" s="438">
        <v>80920</v>
      </c>
      <c r="AI693" s="438">
        <v>34618</v>
      </c>
      <c r="AJ693" s="438">
        <v>3462</v>
      </c>
      <c r="AK693" s="438">
        <v>38080</v>
      </c>
      <c r="AL693" s="414" t="str">
        <f t="shared" si="61"/>
        <v>워커힐 시그니처 양념 본갈비 300g, 8개</v>
      </c>
      <c r="AM693" s="395">
        <f t="shared" si="62"/>
        <v>46065</v>
      </c>
      <c r="AN693" s="396">
        <f t="shared" si="63"/>
        <v>1</v>
      </c>
      <c r="AO693" s="109">
        <f t="shared" si="64"/>
        <v>119000</v>
      </c>
      <c r="AP693" s="109">
        <f t="shared" si="65"/>
        <v>108181.81818181818</v>
      </c>
      <c r="AQ693" s="397">
        <f t="shared" si="66"/>
        <v>108181.81818181818</v>
      </c>
    </row>
    <row r="694" spans="1:43" ht="24">
      <c r="A694" s="436" t="s">
        <v>5294</v>
      </c>
      <c r="B694" s="436" t="s">
        <v>3490</v>
      </c>
      <c r="C694" s="437" t="s">
        <v>3491</v>
      </c>
      <c r="D694" s="436" t="s">
        <v>5001</v>
      </c>
      <c r="E694" s="437" t="s">
        <v>5002</v>
      </c>
      <c r="F694" s="436" t="s">
        <v>3494</v>
      </c>
      <c r="G694" s="436" t="s">
        <v>3495</v>
      </c>
      <c r="H694" s="437" t="s">
        <v>3496</v>
      </c>
      <c r="I694" s="436" t="s">
        <v>3497</v>
      </c>
      <c r="J694" s="437" t="s">
        <v>3498</v>
      </c>
      <c r="K694" s="437" t="s">
        <v>3548</v>
      </c>
      <c r="L694" s="436" t="s">
        <v>3500</v>
      </c>
      <c r="M694" s="436" t="s">
        <v>4809</v>
      </c>
      <c r="N694" s="436" t="s">
        <v>3502</v>
      </c>
      <c r="O694" s="438">
        <v>119000</v>
      </c>
      <c r="P694" s="438">
        <v>80920</v>
      </c>
      <c r="Q694" s="438">
        <v>1</v>
      </c>
      <c r="R694" s="438">
        <v>0</v>
      </c>
      <c r="S694" s="438">
        <v>0</v>
      </c>
      <c r="T694" s="438">
        <v>0</v>
      </c>
      <c r="U694" s="438">
        <v>0</v>
      </c>
      <c r="V694" s="438">
        <v>0</v>
      </c>
      <c r="W694" s="438">
        <v>32</v>
      </c>
      <c r="X694" s="438">
        <v>23800</v>
      </c>
      <c r="Y694" s="438">
        <v>0</v>
      </c>
      <c r="Z694" s="438">
        <v>0</v>
      </c>
      <c r="AA694" s="438">
        <v>0</v>
      </c>
      <c r="AB694" s="438">
        <v>0</v>
      </c>
      <c r="AC694" s="438">
        <v>119000</v>
      </c>
      <c r="AD694" s="438">
        <v>80920</v>
      </c>
      <c r="AE694" s="438">
        <v>0</v>
      </c>
      <c r="AF694" s="438">
        <v>23800</v>
      </c>
      <c r="AG694" s="438">
        <v>95200</v>
      </c>
      <c r="AH694" s="438">
        <v>80920</v>
      </c>
      <c r="AI694" s="438">
        <v>12982</v>
      </c>
      <c r="AJ694" s="438">
        <v>1298</v>
      </c>
      <c r="AK694" s="438">
        <v>14280</v>
      </c>
      <c r="AL694" s="414" t="str">
        <f t="shared" si="61"/>
        <v>워커힐 시그니처 양념 본갈비 300g, 8개</v>
      </c>
      <c r="AM694" s="395">
        <f t="shared" si="62"/>
        <v>46065</v>
      </c>
      <c r="AN694" s="396">
        <f t="shared" si="63"/>
        <v>1</v>
      </c>
      <c r="AO694" s="109">
        <f t="shared" si="64"/>
        <v>119000</v>
      </c>
      <c r="AP694" s="109">
        <f t="shared" si="65"/>
        <v>108181.81818181818</v>
      </c>
      <c r="AQ694" s="397">
        <f t="shared" si="66"/>
        <v>108181.81818181818</v>
      </c>
    </row>
    <row r="695" spans="1:43" ht="24">
      <c r="A695" s="436" t="s">
        <v>5297</v>
      </c>
      <c r="B695" s="436" t="s">
        <v>3490</v>
      </c>
      <c r="C695" s="437" t="s">
        <v>3491</v>
      </c>
      <c r="D695" s="436" t="s">
        <v>5437</v>
      </c>
      <c r="E695" s="437" t="s">
        <v>5438</v>
      </c>
      <c r="F695" s="436" t="s">
        <v>3494</v>
      </c>
      <c r="G695" s="436" t="s">
        <v>3495</v>
      </c>
      <c r="H695" s="437" t="s">
        <v>3496</v>
      </c>
      <c r="I695" s="436" t="s">
        <v>3497</v>
      </c>
      <c r="J695" s="437" t="s">
        <v>3498</v>
      </c>
      <c r="K695" s="437" t="s">
        <v>3499</v>
      </c>
      <c r="L695" s="436" t="s">
        <v>3500</v>
      </c>
      <c r="M695" s="436" t="s">
        <v>4809</v>
      </c>
      <c r="N695" s="436" t="s">
        <v>3502</v>
      </c>
      <c r="O695" s="438">
        <v>119000</v>
      </c>
      <c r="P695" s="438">
        <v>80920</v>
      </c>
      <c r="Q695" s="438">
        <v>1</v>
      </c>
      <c r="R695" s="438">
        <v>0</v>
      </c>
      <c r="S695" s="438">
        <v>0</v>
      </c>
      <c r="T695" s="438">
        <v>0</v>
      </c>
      <c r="U695" s="438">
        <v>0</v>
      </c>
      <c r="V695" s="438">
        <v>0</v>
      </c>
      <c r="W695" s="438">
        <v>32</v>
      </c>
      <c r="X695" s="438">
        <v>0</v>
      </c>
      <c r="Y695" s="438">
        <v>0</v>
      </c>
      <c r="Z695" s="438">
        <v>0</v>
      </c>
      <c r="AA695" s="438">
        <v>0</v>
      </c>
      <c r="AB695" s="438">
        <v>0</v>
      </c>
      <c r="AC695" s="438">
        <v>119000</v>
      </c>
      <c r="AD695" s="438">
        <v>80920</v>
      </c>
      <c r="AE695" s="438">
        <v>0</v>
      </c>
      <c r="AF695" s="438">
        <v>0</v>
      </c>
      <c r="AG695" s="438">
        <v>119000</v>
      </c>
      <c r="AH695" s="438">
        <v>80920</v>
      </c>
      <c r="AI695" s="438">
        <v>34618</v>
      </c>
      <c r="AJ695" s="438">
        <v>3462</v>
      </c>
      <c r="AK695" s="438">
        <v>38080</v>
      </c>
      <c r="AL695" s="414" t="str">
        <f t="shared" si="61"/>
        <v>워커힐 시그니처 양념 본갈비 300g, 8개</v>
      </c>
      <c r="AM695" s="395">
        <f t="shared" si="62"/>
        <v>46065</v>
      </c>
      <c r="AN695" s="396">
        <f t="shared" si="63"/>
        <v>1</v>
      </c>
      <c r="AO695" s="109">
        <f t="shared" si="64"/>
        <v>119000</v>
      </c>
      <c r="AP695" s="109">
        <f t="shared" si="65"/>
        <v>108181.81818181818</v>
      </c>
      <c r="AQ695" s="397">
        <f t="shared" si="66"/>
        <v>108181.81818181818</v>
      </c>
    </row>
    <row r="696" spans="1:43" ht="24">
      <c r="A696" s="436" t="s">
        <v>5299</v>
      </c>
      <c r="B696" s="436" t="s">
        <v>3490</v>
      </c>
      <c r="C696" s="437" t="s">
        <v>3491</v>
      </c>
      <c r="D696" s="436" t="s">
        <v>5440</v>
      </c>
      <c r="E696" s="437" t="s">
        <v>3541</v>
      </c>
      <c r="F696" s="436" t="s">
        <v>3494</v>
      </c>
      <c r="G696" s="436" t="s">
        <v>3495</v>
      </c>
      <c r="H696" s="437" t="s">
        <v>3496</v>
      </c>
      <c r="I696" s="436" t="s">
        <v>3497</v>
      </c>
      <c r="J696" s="437" t="s">
        <v>3498</v>
      </c>
      <c r="K696" s="437" t="s">
        <v>3499</v>
      </c>
      <c r="L696" s="436" t="s">
        <v>3500</v>
      </c>
      <c r="M696" s="436" t="s">
        <v>4809</v>
      </c>
      <c r="N696" s="436" t="s">
        <v>3502</v>
      </c>
      <c r="O696" s="438">
        <v>119000</v>
      </c>
      <c r="P696" s="438">
        <v>80920</v>
      </c>
      <c r="Q696" s="438">
        <v>1</v>
      </c>
      <c r="R696" s="438">
        <v>0</v>
      </c>
      <c r="S696" s="438">
        <v>0</v>
      </c>
      <c r="T696" s="438">
        <v>0</v>
      </c>
      <c r="U696" s="438">
        <v>0</v>
      </c>
      <c r="V696" s="438">
        <v>0</v>
      </c>
      <c r="W696" s="438">
        <v>32</v>
      </c>
      <c r="X696" s="438">
        <v>0</v>
      </c>
      <c r="Y696" s="438">
        <v>0</v>
      </c>
      <c r="Z696" s="438">
        <v>0</v>
      </c>
      <c r="AA696" s="438">
        <v>0</v>
      </c>
      <c r="AB696" s="438">
        <v>0</v>
      </c>
      <c r="AC696" s="438">
        <v>119000</v>
      </c>
      <c r="AD696" s="438">
        <v>80920</v>
      </c>
      <c r="AE696" s="438">
        <v>0</v>
      </c>
      <c r="AF696" s="438">
        <v>0</v>
      </c>
      <c r="AG696" s="438">
        <v>119000</v>
      </c>
      <c r="AH696" s="438">
        <v>80920</v>
      </c>
      <c r="AI696" s="438">
        <v>34618</v>
      </c>
      <c r="AJ696" s="438">
        <v>3462</v>
      </c>
      <c r="AK696" s="438">
        <v>38080</v>
      </c>
      <c r="AL696" s="414" t="str">
        <f t="shared" si="61"/>
        <v>워커힐 시그니처 양념 본갈비 300g, 8개</v>
      </c>
      <c r="AM696" s="395">
        <f t="shared" si="62"/>
        <v>46065</v>
      </c>
      <c r="AN696" s="396">
        <f t="shared" si="63"/>
        <v>1</v>
      </c>
      <c r="AO696" s="109">
        <f t="shared" si="64"/>
        <v>119000</v>
      </c>
      <c r="AP696" s="109">
        <f t="shared" si="65"/>
        <v>108181.81818181818</v>
      </c>
      <c r="AQ696" s="397">
        <f t="shared" si="66"/>
        <v>108181.81818181818</v>
      </c>
    </row>
    <row r="697" spans="1:43" ht="24">
      <c r="A697" s="436" t="s">
        <v>5301</v>
      </c>
      <c r="B697" s="436" t="s">
        <v>3490</v>
      </c>
      <c r="C697" s="437" t="s">
        <v>3491</v>
      </c>
      <c r="D697" s="436" t="s">
        <v>5186</v>
      </c>
      <c r="E697" s="437" t="s">
        <v>3551</v>
      </c>
      <c r="F697" s="436" t="s">
        <v>3494</v>
      </c>
      <c r="G697" s="436" t="s">
        <v>3495</v>
      </c>
      <c r="H697" s="437" t="s">
        <v>3496</v>
      </c>
      <c r="I697" s="436" t="s">
        <v>3497</v>
      </c>
      <c r="J697" s="437" t="s">
        <v>3498</v>
      </c>
      <c r="K697" s="437" t="s">
        <v>3499</v>
      </c>
      <c r="L697" s="436" t="s">
        <v>3500</v>
      </c>
      <c r="M697" s="436" t="s">
        <v>4809</v>
      </c>
      <c r="N697" s="436" t="s">
        <v>3502</v>
      </c>
      <c r="O697" s="438">
        <v>119000</v>
      </c>
      <c r="P697" s="438">
        <v>80920</v>
      </c>
      <c r="Q697" s="438">
        <v>1</v>
      </c>
      <c r="R697" s="438">
        <v>0</v>
      </c>
      <c r="S697" s="438">
        <v>0</v>
      </c>
      <c r="T697" s="438">
        <v>0</v>
      </c>
      <c r="U697" s="438">
        <v>0</v>
      </c>
      <c r="V697" s="438">
        <v>0</v>
      </c>
      <c r="W697" s="438">
        <v>32</v>
      </c>
      <c r="X697" s="438">
        <v>0</v>
      </c>
      <c r="Y697" s="438">
        <v>0</v>
      </c>
      <c r="Z697" s="438">
        <v>0</v>
      </c>
      <c r="AA697" s="438">
        <v>0</v>
      </c>
      <c r="AB697" s="438">
        <v>0</v>
      </c>
      <c r="AC697" s="438">
        <v>119000</v>
      </c>
      <c r="AD697" s="438">
        <v>80920</v>
      </c>
      <c r="AE697" s="438">
        <v>0</v>
      </c>
      <c r="AF697" s="438">
        <v>0</v>
      </c>
      <c r="AG697" s="438">
        <v>119000</v>
      </c>
      <c r="AH697" s="438">
        <v>80920</v>
      </c>
      <c r="AI697" s="438">
        <v>34618</v>
      </c>
      <c r="AJ697" s="438">
        <v>3462</v>
      </c>
      <c r="AK697" s="438">
        <v>38080</v>
      </c>
      <c r="AL697" s="414" t="str">
        <f t="shared" si="61"/>
        <v>워커힐 시그니처 양념 본갈비 300g, 8개</v>
      </c>
      <c r="AM697" s="395">
        <f t="shared" si="62"/>
        <v>46065</v>
      </c>
      <c r="AN697" s="396">
        <f t="shared" si="63"/>
        <v>1</v>
      </c>
      <c r="AO697" s="109">
        <f t="shared" si="64"/>
        <v>119000</v>
      </c>
      <c r="AP697" s="109">
        <f t="shared" si="65"/>
        <v>108181.81818181818</v>
      </c>
      <c r="AQ697" s="397">
        <f t="shared" si="66"/>
        <v>108181.81818181818</v>
      </c>
    </row>
    <row r="698" spans="1:43" ht="24">
      <c r="A698" s="436" t="s">
        <v>5304</v>
      </c>
      <c r="B698" s="436" t="s">
        <v>3490</v>
      </c>
      <c r="C698" s="437" t="s">
        <v>3491</v>
      </c>
      <c r="D698" s="436" t="s">
        <v>5576</v>
      </c>
      <c r="E698" s="437" t="s">
        <v>5577</v>
      </c>
      <c r="F698" s="436" t="s">
        <v>3494</v>
      </c>
      <c r="G698" s="436" t="s">
        <v>3495</v>
      </c>
      <c r="H698" s="437" t="s">
        <v>3496</v>
      </c>
      <c r="I698" s="436" t="s">
        <v>3497</v>
      </c>
      <c r="J698" s="437" t="s">
        <v>3498</v>
      </c>
      <c r="K698" s="437" t="s">
        <v>3499</v>
      </c>
      <c r="L698" s="436" t="s">
        <v>3500</v>
      </c>
      <c r="M698" s="436" t="s">
        <v>4809</v>
      </c>
      <c r="N698" s="436" t="s">
        <v>3502</v>
      </c>
      <c r="O698" s="438">
        <v>119000</v>
      </c>
      <c r="P698" s="438">
        <v>80920</v>
      </c>
      <c r="Q698" s="438">
        <v>1</v>
      </c>
      <c r="R698" s="438">
        <v>0</v>
      </c>
      <c r="S698" s="438">
        <v>0</v>
      </c>
      <c r="T698" s="438">
        <v>0</v>
      </c>
      <c r="U698" s="438">
        <v>0</v>
      </c>
      <c r="V698" s="438">
        <v>0</v>
      </c>
      <c r="W698" s="438">
        <v>32</v>
      </c>
      <c r="X698" s="438">
        <v>0</v>
      </c>
      <c r="Y698" s="438">
        <v>0</v>
      </c>
      <c r="Z698" s="438">
        <v>0</v>
      </c>
      <c r="AA698" s="438">
        <v>0</v>
      </c>
      <c r="AB698" s="438">
        <v>0</v>
      </c>
      <c r="AC698" s="438">
        <v>119000</v>
      </c>
      <c r="AD698" s="438">
        <v>80920</v>
      </c>
      <c r="AE698" s="438">
        <v>0</v>
      </c>
      <c r="AF698" s="438">
        <v>0</v>
      </c>
      <c r="AG698" s="438">
        <v>119000</v>
      </c>
      <c r="AH698" s="438">
        <v>80920</v>
      </c>
      <c r="AI698" s="438">
        <v>34618</v>
      </c>
      <c r="AJ698" s="438">
        <v>3462</v>
      </c>
      <c r="AK698" s="438">
        <v>38080</v>
      </c>
      <c r="AL698" s="414" t="str">
        <f t="shared" si="61"/>
        <v>워커힐 시그니처 양념 본갈비 300g, 8개</v>
      </c>
      <c r="AM698" s="395">
        <f t="shared" si="62"/>
        <v>46065</v>
      </c>
      <c r="AN698" s="396">
        <f t="shared" si="63"/>
        <v>1</v>
      </c>
      <c r="AO698" s="109">
        <f t="shared" si="64"/>
        <v>119000</v>
      </c>
      <c r="AP698" s="109">
        <f t="shared" si="65"/>
        <v>108181.81818181818</v>
      </c>
      <c r="AQ698" s="397">
        <f t="shared" si="66"/>
        <v>108181.81818181818</v>
      </c>
    </row>
    <row r="699" spans="1:43" ht="24">
      <c r="A699" s="436" t="s">
        <v>5307</v>
      </c>
      <c r="B699" s="436" t="s">
        <v>3490</v>
      </c>
      <c r="C699" s="437" t="s">
        <v>3491</v>
      </c>
      <c r="D699" s="436" t="s">
        <v>5495</v>
      </c>
      <c r="E699" s="437" t="s">
        <v>3523</v>
      </c>
      <c r="F699" s="436" t="s">
        <v>3494</v>
      </c>
      <c r="G699" s="436" t="s">
        <v>3495</v>
      </c>
      <c r="H699" s="437" t="s">
        <v>3496</v>
      </c>
      <c r="I699" s="436" t="s">
        <v>3497</v>
      </c>
      <c r="J699" s="437" t="s">
        <v>3498</v>
      </c>
      <c r="K699" s="437" t="s">
        <v>3499</v>
      </c>
      <c r="L699" s="436" t="s">
        <v>3500</v>
      </c>
      <c r="M699" s="436" t="s">
        <v>4809</v>
      </c>
      <c r="N699" s="436" t="s">
        <v>3502</v>
      </c>
      <c r="O699" s="438">
        <v>119000</v>
      </c>
      <c r="P699" s="438">
        <v>80920</v>
      </c>
      <c r="Q699" s="438">
        <v>1</v>
      </c>
      <c r="R699" s="438">
        <v>0</v>
      </c>
      <c r="S699" s="438">
        <v>0</v>
      </c>
      <c r="T699" s="438">
        <v>0</v>
      </c>
      <c r="U699" s="438">
        <v>0</v>
      </c>
      <c r="V699" s="438">
        <v>0</v>
      </c>
      <c r="W699" s="438">
        <v>32</v>
      </c>
      <c r="X699" s="438">
        <v>0</v>
      </c>
      <c r="Y699" s="438">
        <v>0</v>
      </c>
      <c r="Z699" s="438">
        <v>0</v>
      </c>
      <c r="AA699" s="438">
        <v>0</v>
      </c>
      <c r="AB699" s="438">
        <v>0</v>
      </c>
      <c r="AC699" s="438">
        <v>119000</v>
      </c>
      <c r="AD699" s="438">
        <v>80920</v>
      </c>
      <c r="AE699" s="438">
        <v>0</v>
      </c>
      <c r="AF699" s="438">
        <v>0</v>
      </c>
      <c r="AG699" s="438">
        <v>119000</v>
      </c>
      <c r="AH699" s="438">
        <v>80920</v>
      </c>
      <c r="AI699" s="438">
        <v>34618</v>
      </c>
      <c r="AJ699" s="438">
        <v>3462</v>
      </c>
      <c r="AK699" s="438">
        <v>38080</v>
      </c>
      <c r="AL699" s="414" t="str">
        <f t="shared" si="61"/>
        <v>워커힐 시그니처 양념 본갈비 300g, 8개</v>
      </c>
      <c r="AM699" s="395">
        <f t="shared" si="62"/>
        <v>46065</v>
      </c>
      <c r="AN699" s="396">
        <f t="shared" si="63"/>
        <v>1</v>
      </c>
      <c r="AO699" s="109">
        <f t="shared" si="64"/>
        <v>119000</v>
      </c>
      <c r="AP699" s="109">
        <f t="shared" si="65"/>
        <v>108181.81818181818</v>
      </c>
      <c r="AQ699" s="397">
        <f t="shared" si="66"/>
        <v>108181.81818181818</v>
      </c>
    </row>
    <row r="700" spans="1:43" ht="24">
      <c r="A700" s="436" t="s">
        <v>5309</v>
      </c>
      <c r="B700" s="436" t="s">
        <v>3490</v>
      </c>
      <c r="C700" s="437" t="s">
        <v>3491</v>
      </c>
      <c r="D700" s="436" t="s">
        <v>5579</v>
      </c>
      <c r="E700" s="437" t="s">
        <v>5580</v>
      </c>
      <c r="F700" s="436" t="s">
        <v>3494</v>
      </c>
      <c r="G700" s="436" t="s">
        <v>3495</v>
      </c>
      <c r="H700" s="437" t="s">
        <v>3496</v>
      </c>
      <c r="I700" s="436" t="s">
        <v>3497</v>
      </c>
      <c r="J700" s="437" t="s">
        <v>3498</v>
      </c>
      <c r="K700" s="437" t="s">
        <v>3499</v>
      </c>
      <c r="L700" s="436" t="s">
        <v>3500</v>
      </c>
      <c r="M700" s="436" t="s">
        <v>4809</v>
      </c>
      <c r="N700" s="436" t="s">
        <v>3502</v>
      </c>
      <c r="O700" s="438">
        <v>119000</v>
      </c>
      <c r="P700" s="438">
        <v>80920</v>
      </c>
      <c r="Q700" s="438">
        <v>1</v>
      </c>
      <c r="R700" s="438">
        <v>0</v>
      </c>
      <c r="S700" s="438">
        <v>0</v>
      </c>
      <c r="T700" s="438">
        <v>0</v>
      </c>
      <c r="U700" s="438">
        <v>0</v>
      </c>
      <c r="V700" s="438">
        <v>0</v>
      </c>
      <c r="W700" s="438">
        <v>32</v>
      </c>
      <c r="X700" s="438">
        <v>0</v>
      </c>
      <c r="Y700" s="438">
        <v>0</v>
      </c>
      <c r="Z700" s="438">
        <v>0</v>
      </c>
      <c r="AA700" s="438">
        <v>0</v>
      </c>
      <c r="AB700" s="438">
        <v>0</v>
      </c>
      <c r="AC700" s="438">
        <v>119000</v>
      </c>
      <c r="AD700" s="438">
        <v>80920</v>
      </c>
      <c r="AE700" s="438">
        <v>0</v>
      </c>
      <c r="AF700" s="438">
        <v>0</v>
      </c>
      <c r="AG700" s="438">
        <v>119000</v>
      </c>
      <c r="AH700" s="438">
        <v>80920</v>
      </c>
      <c r="AI700" s="438">
        <v>34618</v>
      </c>
      <c r="AJ700" s="438">
        <v>3462</v>
      </c>
      <c r="AK700" s="438">
        <v>38080</v>
      </c>
      <c r="AL700" s="414" t="str">
        <f t="shared" si="61"/>
        <v>워커힐 시그니처 양념 본갈비 300g, 8개</v>
      </c>
      <c r="AM700" s="395">
        <f t="shared" si="62"/>
        <v>46065</v>
      </c>
      <c r="AN700" s="396">
        <f t="shared" si="63"/>
        <v>1</v>
      </c>
      <c r="AO700" s="109">
        <f t="shared" si="64"/>
        <v>119000</v>
      </c>
      <c r="AP700" s="109">
        <f t="shared" si="65"/>
        <v>108181.81818181818</v>
      </c>
      <c r="AQ700" s="397">
        <f t="shared" si="66"/>
        <v>108181.81818181818</v>
      </c>
    </row>
    <row r="701" spans="1:43" ht="24">
      <c r="A701" s="436" t="s">
        <v>5311</v>
      </c>
      <c r="B701" s="436" t="s">
        <v>3490</v>
      </c>
      <c r="C701" s="437" t="s">
        <v>3491</v>
      </c>
      <c r="D701" s="436" t="s">
        <v>5582</v>
      </c>
      <c r="E701" s="437" t="s">
        <v>4494</v>
      </c>
      <c r="F701" s="436" t="s">
        <v>3494</v>
      </c>
      <c r="G701" s="436" t="s">
        <v>3495</v>
      </c>
      <c r="H701" s="437" t="s">
        <v>3496</v>
      </c>
      <c r="I701" s="436" t="s">
        <v>3497</v>
      </c>
      <c r="J701" s="437" t="s">
        <v>3498</v>
      </c>
      <c r="K701" s="437" t="s">
        <v>3499</v>
      </c>
      <c r="L701" s="436" t="s">
        <v>3500</v>
      </c>
      <c r="M701" s="436" t="s">
        <v>4809</v>
      </c>
      <c r="N701" s="436" t="s">
        <v>3502</v>
      </c>
      <c r="O701" s="438">
        <v>119000</v>
      </c>
      <c r="P701" s="438">
        <v>80920</v>
      </c>
      <c r="Q701" s="438">
        <v>1</v>
      </c>
      <c r="R701" s="438">
        <v>0</v>
      </c>
      <c r="S701" s="438">
        <v>0</v>
      </c>
      <c r="T701" s="438">
        <v>0</v>
      </c>
      <c r="U701" s="438">
        <v>0</v>
      </c>
      <c r="V701" s="438">
        <v>0</v>
      </c>
      <c r="W701" s="438">
        <v>32</v>
      </c>
      <c r="X701" s="438">
        <v>0</v>
      </c>
      <c r="Y701" s="438">
        <v>0</v>
      </c>
      <c r="Z701" s="438">
        <v>0</v>
      </c>
      <c r="AA701" s="438">
        <v>0</v>
      </c>
      <c r="AB701" s="438">
        <v>0</v>
      </c>
      <c r="AC701" s="438">
        <v>119000</v>
      </c>
      <c r="AD701" s="438">
        <v>80920</v>
      </c>
      <c r="AE701" s="438">
        <v>0</v>
      </c>
      <c r="AF701" s="438">
        <v>0</v>
      </c>
      <c r="AG701" s="438">
        <v>119000</v>
      </c>
      <c r="AH701" s="438">
        <v>80920</v>
      </c>
      <c r="AI701" s="438">
        <v>34618</v>
      </c>
      <c r="AJ701" s="438">
        <v>3462</v>
      </c>
      <c r="AK701" s="438">
        <v>38080</v>
      </c>
      <c r="AL701" s="414" t="str">
        <f t="shared" si="61"/>
        <v>워커힐 시그니처 양념 본갈비 300g, 8개</v>
      </c>
      <c r="AM701" s="395">
        <f t="shared" si="62"/>
        <v>46065</v>
      </c>
      <c r="AN701" s="396">
        <f t="shared" si="63"/>
        <v>1</v>
      </c>
      <c r="AO701" s="109">
        <f t="shared" si="64"/>
        <v>119000</v>
      </c>
      <c r="AP701" s="109">
        <f t="shared" si="65"/>
        <v>108181.81818181818</v>
      </c>
      <c r="AQ701" s="397">
        <f t="shared" si="66"/>
        <v>108181.81818181818</v>
      </c>
    </row>
    <row r="702" spans="1:43" ht="24">
      <c r="A702" s="436" t="s">
        <v>5313</v>
      </c>
      <c r="B702" s="436" t="s">
        <v>3490</v>
      </c>
      <c r="C702" s="437" t="s">
        <v>3491</v>
      </c>
      <c r="D702" s="436" t="s">
        <v>5584</v>
      </c>
      <c r="E702" s="437" t="s">
        <v>5585</v>
      </c>
      <c r="F702" s="436" t="s">
        <v>3494</v>
      </c>
      <c r="G702" s="436" t="s">
        <v>3495</v>
      </c>
      <c r="H702" s="437" t="s">
        <v>3496</v>
      </c>
      <c r="I702" s="436" t="s">
        <v>3497</v>
      </c>
      <c r="J702" s="437" t="s">
        <v>3498</v>
      </c>
      <c r="K702" s="437" t="s">
        <v>3499</v>
      </c>
      <c r="L702" s="436" t="s">
        <v>3500</v>
      </c>
      <c r="M702" s="436" t="s">
        <v>4809</v>
      </c>
      <c r="N702" s="436" t="s">
        <v>3502</v>
      </c>
      <c r="O702" s="438">
        <v>119000</v>
      </c>
      <c r="P702" s="438">
        <v>80920</v>
      </c>
      <c r="Q702" s="438">
        <v>1</v>
      </c>
      <c r="R702" s="438">
        <v>0</v>
      </c>
      <c r="S702" s="438">
        <v>0</v>
      </c>
      <c r="T702" s="438">
        <v>0</v>
      </c>
      <c r="U702" s="438">
        <v>0</v>
      </c>
      <c r="V702" s="438">
        <v>0</v>
      </c>
      <c r="W702" s="438">
        <v>32</v>
      </c>
      <c r="X702" s="438">
        <v>0</v>
      </c>
      <c r="Y702" s="438">
        <v>0</v>
      </c>
      <c r="Z702" s="438">
        <v>0</v>
      </c>
      <c r="AA702" s="438">
        <v>0</v>
      </c>
      <c r="AB702" s="438">
        <v>0</v>
      </c>
      <c r="AC702" s="438">
        <v>119000</v>
      </c>
      <c r="AD702" s="438">
        <v>80920</v>
      </c>
      <c r="AE702" s="438">
        <v>0</v>
      </c>
      <c r="AF702" s="438">
        <v>0</v>
      </c>
      <c r="AG702" s="438">
        <v>119000</v>
      </c>
      <c r="AH702" s="438">
        <v>80920</v>
      </c>
      <c r="AI702" s="438">
        <v>34618</v>
      </c>
      <c r="AJ702" s="438">
        <v>3462</v>
      </c>
      <c r="AK702" s="438">
        <v>38080</v>
      </c>
      <c r="AL702" s="414" t="str">
        <f t="shared" si="61"/>
        <v>워커힐 시그니처 양념 본갈비 300g, 8개</v>
      </c>
      <c r="AM702" s="395">
        <f t="shared" si="62"/>
        <v>46065</v>
      </c>
      <c r="AN702" s="396">
        <f t="shared" si="63"/>
        <v>1</v>
      </c>
      <c r="AO702" s="109">
        <f t="shared" si="64"/>
        <v>119000</v>
      </c>
      <c r="AP702" s="109">
        <f t="shared" si="65"/>
        <v>108181.81818181818</v>
      </c>
      <c r="AQ702" s="397">
        <f t="shared" si="66"/>
        <v>108181.81818181818</v>
      </c>
    </row>
    <row r="703" spans="1:43" ht="24">
      <c r="A703" s="436" t="s">
        <v>5316</v>
      </c>
      <c r="B703" s="436" t="s">
        <v>3490</v>
      </c>
      <c r="C703" s="437" t="s">
        <v>3491</v>
      </c>
      <c r="D703" s="436" t="s">
        <v>5589</v>
      </c>
      <c r="E703" s="437" t="s">
        <v>3775</v>
      </c>
      <c r="F703" s="436" t="s">
        <v>3494</v>
      </c>
      <c r="G703" s="436" t="s">
        <v>3495</v>
      </c>
      <c r="H703" s="437" t="s">
        <v>3496</v>
      </c>
      <c r="I703" s="436" t="s">
        <v>3497</v>
      </c>
      <c r="J703" s="437" t="s">
        <v>3498</v>
      </c>
      <c r="K703" s="437" t="s">
        <v>3499</v>
      </c>
      <c r="L703" s="436" t="s">
        <v>3500</v>
      </c>
      <c r="M703" s="436" t="s">
        <v>4809</v>
      </c>
      <c r="N703" s="436" t="s">
        <v>3502</v>
      </c>
      <c r="O703" s="438">
        <v>119000</v>
      </c>
      <c r="P703" s="438">
        <v>80920</v>
      </c>
      <c r="Q703" s="438">
        <v>1</v>
      </c>
      <c r="R703" s="438">
        <v>0</v>
      </c>
      <c r="S703" s="438">
        <v>0</v>
      </c>
      <c r="T703" s="438">
        <v>0</v>
      </c>
      <c r="U703" s="438">
        <v>0</v>
      </c>
      <c r="V703" s="438">
        <v>0</v>
      </c>
      <c r="W703" s="438">
        <v>32</v>
      </c>
      <c r="X703" s="438">
        <v>5950</v>
      </c>
      <c r="Y703" s="438">
        <v>0</v>
      </c>
      <c r="Z703" s="438">
        <v>0</v>
      </c>
      <c r="AA703" s="438">
        <v>0</v>
      </c>
      <c r="AB703" s="438">
        <v>0</v>
      </c>
      <c r="AC703" s="438">
        <v>119000</v>
      </c>
      <c r="AD703" s="438">
        <v>80920</v>
      </c>
      <c r="AE703" s="438">
        <v>0</v>
      </c>
      <c r="AF703" s="438">
        <v>5950</v>
      </c>
      <c r="AG703" s="438">
        <v>113050</v>
      </c>
      <c r="AH703" s="438">
        <v>80920</v>
      </c>
      <c r="AI703" s="438">
        <v>29209</v>
      </c>
      <c r="AJ703" s="438">
        <v>2921</v>
      </c>
      <c r="AK703" s="438">
        <v>32130</v>
      </c>
      <c r="AL703" s="414" t="str">
        <f t="shared" si="61"/>
        <v>워커힐 시그니처 양념 본갈비 300g, 8개</v>
      </c>
      <c r="AM703" s="395">
        <f t="shared" si="62"/>
        <v>46065</v>
      </c>
      <c r="AN703" s="396">
        <f t="shared" si="63"/>
        <v>1</v>
      </c>
      <c r="AO703" s="109">
        <f t="shared" si="64"/>
        <v>119000</v>
      </c>
      <c r="AP703" s="109">
        <f t="shared" si="65"/>
        <v>108181.81818181818</v>
      </c>
      <c r="AQ703" s="397">
        <f t="shared" si="66"/>
        <v>108181.81818181818</v>
      </c>
    </row>
    <row r="704" spans="1:43" ht="24">
      <c r="A704" s="436" t="s">
        <v>5318</v>
      </c>
      <c r="B704" s="436" t="s">
        <v>3490</v>
      </c>
      <c r="C704" s="437" t="s">
        <v>3491</v>
      </c>
      <c r="D704" s="436" t="s">
        <v>5284</v>
      </c>
      <c r="E704" s="437" t="s">
        <v>5285</v>
      </c>
      <c r="F704" s="436" t="s">
        <v>3494</v>
      </c>
      <c r="G704" s="436" t="s">
        <v>3495</v>
      </c>
      <c r="H704" s="437" t="s">
        <v>3496</v>
      </c>
      <c r="I704" s="436" t="s">
        <v>3497</v>
      </c>
      <c r="J704" s="437" t="s">
        <v>3498</v>
      </c>
      <c r="K704" s="437" t="s">
        <v>3548</v>
      </c>
      <c r="L704" s="436" t="s">
        <v>3500</v>
      </c>
      <c r="M704" s="436" t="s">
        <v>4809</v>
      </c>
      <c r="N704" s="436" t="s">
        <v>3502</v>
      </c>
      <c r="O704" s="438">
        <v>119000</v>
      </c>
      <c r="P704" s="438">
        <v>80920</v>
      </c>
      <c r="Q704" s="438">
        <v>1</v>
      </c>
      <c r="R704" s="438">
        <v>0</v>
      </c>
      <c r="S704" s="438">
        <v>0</v>
      </c>
      <c r="T704" s="438">
        <v>0</v>
      </c>
      <c r="U704" s="438">
        <v>0</v>
      </c>
      <c r="V704" s="438">
        <v>0</v>
      </c>
      <c r="W704" s="438">
        <v>32</v>
      </c>
      <c r="X704" s="438">
        <v>0</v>
      </c>
      <c r="Y704" s="438">
        <v>0</v>
      </c>
      <c r="Z704" s="438">
        <v>0</v>
      </c>
      <c r="AA704" s="438">
        <v>0</v>
      </c>
      <c r="AB704" s="438">
        <v>0</v>
      </c>
      <c r="AC704" s="438">
        <v>119000</v>
      </c>
      <c r="AD704" s="438">
        <v>80920</v>
      </c>
      <c r="AE704" s="438">
        <v>0</v>
      </c>
      <c r="AF704" s="438">
        <v>0</v>
      </c>
      <c r="AG704" s="438">
        <v>119000</v>
      </c>
      <c r="AH704" s="438">
        <v>80920</v>
      </c>
      <c r="AI704" s="438">
        <v>34618</v>
      </c>
      <c r="AJ704" s="438">
        <v>3462</v>
      </c>
      <c r="AK704" s="438">
        <v>38080</v>
      </c>
      <c r="AL704" s="414" t="str">
        <f t="shared" si="61"/>
        <v>워커힐 시그니처 양념 본갈비 300g, 8개</v>
      </c>
      <c r="AM704" s="395">
        <f t="shared" si="62"/>
        <v>46065</v>
      </c>
      <c r="AN704" s="396">
        <f t="shared" si="63"/>
        <v>1</v>
      </c>
      <c r="AO704" s="109">
        <f t="shared" si="64"/>
        <v>119000</v>
      </c>
      <c r="AP704" s="109">
        <f t="shared" si="65"/>
        <v>108181.81818181818</v>
      </c>
      <c r="AQ704" s="397">
        <f t="shared" si="66"/>
        <v>108181.81818181818</v>
      </c>
    </row>
    <row r="705" spans="1:43" ht="24">
      <c r="A705" s="436" t="s">
        <v>5320</v>
      </c>
      <c r="B705" s="436" t="s">
        <v>3490</v>
      </c>
      <c r="C705" s="437" t="s">
        <v>3491</v>
      </c>
      <c r="D705" s="436" t="s">
        <v>5291</v>
      </c>
      <c r="E705" s="437" t="s">
        <v>3778</v>
      </c>
      <c r="F705" s="436" t="s">
        <v>3494</v>
      </c>
      <c r="G705" s="436" t="s">
        <v>3495</v>
      </c>
      <c r="H705" s="437" t="s">
        <v>3496</v>
      </c>
      <c r="I705" s="436" t="s">
        <v>3497</v>
      </c>
      <c r="J705" s="437" t="s">
        <v>3498</v>
      </c>
      <c r="K705" s="437" t="s">
        <v>3499</v>
      </c>
      <c r="L705" s="436" t="s">
        <v>3500</v>
      </c>
      <c r="M705" s="436" t="s">
        <v>4809</v>
      </c>
      <c r="N705" s="436" t="s">
        <v>3502</v>
      </c>
      <c r="O705" s="438">
        <v>119000</v>
      </c>
      <c r="P705" s="438">
        <v>80920</v>
      </c>
      <c r="Q705" s="438">
        <v>1</v>
      </c>
      <c r="R705" s="438">
        <v>0</v>
      </c>
      <c r="S705" s="438">
        <v>0</v>
      </c>
      <c r="T705" s="438">
        <v>0</v>
      </c>
      <c r="U705" s="438">
        <v>0</v>
      </c>
      <c r="V705" s="438">
        <v>0</v>
      </c>
      <c r="W705" s="438">
        <v>32</v>
      </c>
      <c r="X705" s="438">
        <v>0</v>
      </c>
      <c r="Y705" s="438">
        <v>0</v>
      </c>
      <c r="Z705" s="438">
        <v>0</v>
      </c>
      <c r="AA705" s="438">
        <v>0</v>
      </c>
      <c r="AB705" s="438">
        <v>0</v>
      </c>
      <c r="AC705" s="438">
        <v>119000</v>
      </c>
      <c r="AD705" s="438">
        <v>80920</v>
      </c>
      <c r="AE705" s="438">
        <v>0</v>
      </c>
      <c r="AF705" s="438">
        <v>0</v>
      </c>
      <c r="AG705" s="438">
        <v>119000</v>
      </c>
      <c r="AH705" s="438">
        <v>80920</v>
      </c>
      <c r="AI705" s="438">
        <v>34618</v>
      </c>
      <c r="AJ705" s="438">
        <v>3462</v>
      </c>
      <c r="AK705" s="438">
        <v>38080</v>
      </c>
      <c r="AL705" s="414" t="str">
        <f t="shared" si="61"/>
        <v>워커힐 시그니처 양념 본갈비 300g, 8개</v>
      </c>
      <c r="AM705" s="395">
        <f t="shared" si="62"/>
        <v>46065</v>
      </c>
      <c r="AN705" s="396">
        <f t="shared" si="63"/>
        <v>1</v>
      </c>
      <c r="AO705" s="109">
        <f t="shared" si="64"/>
        <v>119000</v>
      </c>
      <c r="AP705" s="109">
        <f t="shared" si="65"/>
        <v>108181.81818181818</v>
      </c>
      <c r="AQ705" s="397">
        <f t="shared" si="66"/>
        <v>108181.81818181818</v>
      </c>
    </row>
    <row r="706" spans="1:43" ht="24">
      <c r="A706" s="436" t="s">
        <v>5323</v>
      </c>
      <c r="B706" s="436" t="s">
        <v>3490</v>
      </c>
      <c r="C706" s="437" t="s">
        <v>3491</v>
      </c>
      <c r="D706" s="436" t="s">
        <v>5293</v>
      </c>
      <c r="E706" s="437" t="s">
        <v>3760</v>
      </c>
      <c r="F706" s="436" t="s">
        <v>3494</v>
      </c>
      <c r="G706" s="436" t="s">
        <v>3495</v>
      </c>
      <c r="H706" s="437" t="s">
        <v>3496</v>
      </c>
      <c r="I706" s="436" t="s">
        <v>3497</v>
      </c>
      <c r="J706" s="437" t="s">
        <v>3498</v>
      </c>
      <c r="K706" s="437" t="s">
        <v>3548</v>
      </c>
      <c r="L706" s="436" t="s">
        <v>3500</v>
      </c>
      <c r="M706" s="436" t="s">
        <v>4809</v>
      </c>
      <c r="N706" s="436" t="s">
        <v>3502</v>
      </c>
      <c r="O706" s="438">
        <v>119000</v>
      </c>
      <c r="P706" s="438">
        <v>80920</v>
      </c>
      <c r="Q706" s="438">
        <v>2</v>
      </c>
      <c r="R706" s="438">
        <v>0</v>
      </c>
      <c r="S706" s="438">
        <v>0</v>
      </c>
      <c r="T706" s="438">
        <v>0</v>
      </c>
      <c r="U706" s="438">
        <v>0</v>
      </c>
      <c r="V706" s="438">
        <v>0</v>
      </c>
      <c r="W706" s="438">
        <v>32</v>
      </c>
      <c r="X706" s="438">
        <v>0</v>
      </c>
      <c r="Y706" s="438">
        <v>0</v>
      </c>
      <c r="Z706" s="438">
        <v>0</v>
      </c>
      <c r="AA706" s="438">
        <v>0</v>
      </c>
      <c r="AB706" s="438">
        <v>0</v>
      </c>
      <c r="AC706" s="438">
        <v>238000</v>
      </c>
      <c r="AD706" s="438">
        <v>161840</v>
      </c>
      <c r="AE706" s="438">
        <v>0</v>
      </c>
      <c r="AF706" s="438">
        <v>0</v>
      </c>
      <c r="AG706" s="438">
        <v>238000</v>
      </c>
      <c r="AH706" s="438">
        <v>161840</v>
      </c>
      <c r="AI706" s="438">
        <v>69236</v>
      </c>
      <c r="AJ706" s="438">
        <v>6924</v>
      </c>
      <c r="AK706" s="438">
        <v>76160</v>
      </c>
      <c r="AL706" s="414" t="str">
        <f t="shared" si="61"/>
        <v>워커힐 시그니처 양념 본갈비 300g, 8개</v>
      </c>
      <c r="AM706" s="395">
        <f t="shared" si="62"/>
        <v>46065</v>
      </c>
      <c r="AN706" s="396">
        <f t="shared" si="63"/>
        <v>2</v>
      </c>
      <c r="AO706" s="109">
        <f t="shared" si="64"/>
        <v>119000</v>
      </c>
      <c r="AP706" s="109">
        <f t="shared" si="65"/>
        <v>108181.81818181818</v>
      </c>
      <c r="AQ706" s="397">
        <f t="shared" si="66"/>
        <v>216363.63636363635</v>
      </c>
    </row>
    <row r="707" spans="1:43" ht="24">
      <c r="A707" s="436" t="s">
        <v>5325</v>
      </c>
      <c r="B707" s="436" t="s">
        <v>3490</v>
      </c>
      <c r="C707" s="437" t="s">
        <v>3491</v>
      </c>
      <c r="D707" s="436" t="s">
        <v>5302</v>
      </c>
      <c r="E707" s="437" t="s">
        <v>5303</v>
      </c>
      <c r="F707" s="436" t="s">
        <v>3494</v>
      </c>
      <c r="G707" s="436" t="s">
        <v>3495</v>
      </c>
      <c r="H707" s="437" t="s">
        <v>3496</v>
      </c>
      <c r="I707" s="436" t="s">
        <v>3497</v>
      </c>
      <c r="J707" s="437" t="s">
        <v>3498</v>
      </c>
      <c r="K707" s="437" t="s">
        <v>3499</v>
      </c>
      <c r="L707" s="436" t="s">
        <v>3500</v>
      </c>
      <c r="M707" s="436" t="s">
        <v>4809</v>
      </c>
      <c r="N707" s="436" t="s">
        <v>3502</v>
      </c>
      <c r="O707" s="438">
        <v>119000</v>
      </c>
      <c r="P707" s="438">
        <v>80920</v>
      </c>
      <c r="Q707" s="438">
        <v>1</v>
      </c>
      <c r="R707" s="438">
        <v>0</v>
      </c>
      <c r="S707" s="438">
        <v>0</v>
      </c>
      <c r="T707" s="438">
        <v>0</v>
      </c>
      <c r="U707" s="438">
        <v>0</v>
      </c>
      <c r="V707" s="438">
        <v>0</v>
      </c>
      <c r="W707" s="438">
        <v>32</v>
      </c>
      <c r="X707" s="438">
        <v>0</v>
      </c>
      <c r="Y707" s="438">
        <v>0</v>
      </c>
      <c r="Z707" s="438">
        <v>0</v>
      </c>
      <c r="AA707" s="438">
        <v>0</v>
      </c>
      <c r="AB707" s="438">
        <v>0</v>
      </c>
      <c r="AC707" s="438">
        <v>119000</v>
      </c>
      <c r="AD707" s="438">
        <v>80920</v>
      </c>
      <c r="AE707" s="438">
        <v>0</v>
      </c>
      <c r="AF707" s="438">
        <v>0</v>
      </c>
      <c r="AG707" s="438">
        <v>119000</v>
      </c>
      <c r="AH707" s="438">
        <v>80920</v>
      </c>
      <c r="AI707" s="438">
        <v>34618</v>
      </c>
      <c r="AJ707" s="438">
        <v>3462</v>
      </c>
      <c r="AK707" s="438">
        <v>38080</v>
      </c>
      <c r="AL707" s="414" t="str">
        <f t="shared" ref="AL707:AL770" si="67">SUBSTITUTE(SUBSTITUTE(H707,"[워커힐]워커힐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707" s="395">
        <f t="shared" ref="AM707:AM770" si="68">IF(N707="배송완료", DATE(LEFT(M707,4), MID(M707,6,2), MID(M707,9,2)), "")</f>
        <v>46065</v>
      </c>
      <c r="AN707" s="396">
        <f t="shared" ref="AN707:AN770" si="69">IF(OR(N707="배송완료", Q707&lt;0), Q707, 0)</f>
        <v>1</v>
      </c>
      <c r="AO707" s="109">
        <f t="shared" ref="AO707:AO770" si="70">IF(AL707="워커힐 시그니처 양념 본갈비 300g, 8개",119000,IF(AL707="워커힐 시그니처 양념 본갈비 300g, 4개",78000,""))</f>
        <v>119000</v>
      </c>
      <c r="AP707" s="109">
        <f t="shared" ref="AP707:AP770" si="71">AO707/1.1</f>
        <v>108181.81818181818</v>
      </c>
      <c r="AQ707" s="397">
        <f t="shared" si="66"/>
        <v>108181.81818181818</v>
      </c>
    </row>
    <row r="708" spans="1:43" ht="24">
      <c r="A708" s="436" t="s">
        <v>5327</v>
      </c>
      <c r="B708" s="436" t="s">
        <v>3490</v>
      </c>
      <c r="C708" s="437" t="s">
        <v>3491</v>
      </c>
      <c r="D708" s="436" t="s">
        <v>5305</v>
      </c>
      <c r="E708" s="437" t="s">
        <v>5306</v>
      </c>
      <c r="F708" s="436" t="s">
        <v>3494</v>
      </c>
      <c r="G708" s="436" t="s">
        <v>3495</v>
      </c>
      <c r="H708" s="437" t="s">
        <v>3496</v>
      </c>
      <c r="I708" s="436" t="s">
        <v>3497</v>
      </c>
      <c r="J708" s="437" t="s">
        <v>3498</v>
      </c>
      <c r="K708" s="437" t="s">
        <v>3499</v>
      </c>
      <c r="L708" s="436" t="s">
        <v>3500</v>
      </c>
      <c r="M708" s="436" t="s">
        <v>4809</v>
      </c>
      <c r="N708" s="436" t="s">
        <v>3502</v>
      </c>
      <c r="O708" s="438">
        <v>119000</v>
      </c>
      <c r="P708" s="438">
        <v>80920</v>
      </c>
      <c r="Q708" s="438">
        <v>1</v>
      </c>
      <c r="R708" s="438">
        <v>0</v>
      </c>
      <c r="S708" s="438">
        <v>0</v>
      </c>
      <c r="T708" s="438">
        <v>0</v>
      </c>
      <c r="U708" s="438">
        <v>0</v>
      </c>
      <c r="V708" s="438">
        <v>0</v>
      </c>
      <c r="W708" s="438">
        <v>32</v>
      </c>
      <c r="X708" s="438">
        <v>0</v>
      </c>
      <c r="Y708" s="438">
        <v>0</v>
      </c>
      <c r="Z708" s="438">
        <v>0</v>
      </c>
      <c r="AA708" s="438">
        <v>0</v>
      </c>
      <c r="AB708" s="438">
        <v>0</v>
      </c>
      <c r="AC708" s="438">
        <v>119000</v>
      </c>
      <c r="AD708" s="438">
        <v>80920</v>
      </c>
      <c r="AE708" s="438">
        <v>0</v>
      </c>
      <c r="AF708" s="438">
        <v>0</v>
      </c>
      <c r="AG708" s="438">
        <v>119000</v>
      </c>
      <c r="AH708" s="438">
        <v>80920</v>
      </c>
      <c r="AI708" s="438">
        <v>34618</v>
      </c>
      <c r="AJ708" s="438">
        <v>3462</v>
      </c>
      <c r="AK708" s="438">
        <v>38080</v>
      </c>
      <c r="AL708" s="414" t="str">
        <f t="shared" si="67"/>
        <v>워커힐 시그니처 양념 본갈비 300g, 8개</v>
      </c>
      <c r="AM708" s="395">
        <f t="shared" si="68"/>
        <v>46065</v>
      </c>
      <c r="AN708" s="396">
        <f t="shared" si="69"/>
        <v>1</v>
      </c>
      <c r="AO708" s="109">
        <f t="shared" si="70"/>
        <v>119000</v>
      </c>
      <c r="AP708" s="109">
        <f t="shared" si="71"/>
        <v>108181.81818181818</v>
      </c>
      <c r="AQ708" s="397">
        <f t="shared" si="66"/>
        <v>108181.81818181818</v>
      </c>
    </row>
    <row r="709" spans="1:43" ht="24">
      <c r="A709" s="436" t="s">
        <v>5330</v>
      </c>
      <c r="B709" s="436" t="s">
        <v>3490</v>
      </c>
      <c r="C709" s="437" t="s">
        <v>3491</v>
      </c>
      <c r="D709" s="436" t="s">
        <v>5475</v>
      </c>
      <c r="E709" s="437" t="s">
        <v>4943</v>
      </c>
      <c r="F709" s="436" t="s">
        <v>3494</v>
      </c>
      <c r="G709" s="436" t="s">
        <v>3495</v>
      </c>
      <c r="H709" s="437" t="s">
        <v>3496</v>
      </c>
      <c r="I709" s="436" t="s">
        <v>3497</v>
      </c>
      <c r="J709" s="437" t="s">
        <v>3498</v>
      </c>
      <c r="K709" s="437" t="s">
        <v>3499</v>
      </c>
      <c r="L709" s="436" t="s">
        <v>3500</v>
      </c>
      <c r="M709" s="436" t="s">
        <v>4809</v>
      </c>
      <c r="N709" s="436" t="s">
        <v>3502</v>
      </c>
      <c r="O709" s="438">
        <v>119000</v>
      </c>
      <c r="P709" s="438">
        <v>80920</v>
      </c>
      <c r="Q709" s="438">
        <v>1</v>
      </c>
      <c r="R709" s="438">
        <v>0</v>
      </c>
      <c r="S709" s="438">
        <v>0</v>
      </c>
      <c r="T709" s="438">
        <v>0</v>
      </c>
      <c r="U709" s="438">
        <v>0</v>
      </c>
      <c r="V709" s="438">
        <v>0</v>
      </c>
      <c r="W709" s="438">
        <v>32</v>
      </c>
      <c r="X709" s="438">
        <v>0</v>
      </c>
      <c r="Y709" s="438">
        <v>0</v>
      </c>
      <c r="Z709" s="438">
        <v>0</v>
      </c>
      <c r="AA709" s="438">
        <v>0</v>
      </c>
      <c r="AB709" s="438">
        <v>0</v>
      </c>
      <c r="AC709" s="438">
        <v>119000</v>
      </c>
      <c r="AD709" s="438">
        <v>80920</v>
      </c>
      <c r="AE709" s="438">
        <v>0</v>
      </c>
      <c r="AF709" s="438">
        <v>0</v>
      </c>
      <c r="AG709" s="438">
        <v>119000</v>
      </c>
      <c r="AH709" s="438">
        <v>80920</v>
      </c>
      <c r="AI709" s="438">
        <v>34618</v>
      </c>
      <c r="AJ709" s="438">
        <v>3462</v>
      </c>
      <c r="AK709" s="438">
        <v>38080</v>
      </c>
      <c r="AL709" s="414" t="str">
        <f t="shared" si="67"/>
        <v>워커힐 시그니처 양념 본갈비 300g, 8개</v>
      </c>
      <c r="AM709" s="395">
        <f t="shared" si="68"/>
        <v>46065</v>
      </c>
      <c r="AN709" s="396">
        <f t="shared" si="69"/>
        <v>1</v>
      </c>
      <c r="AO709" s="109">
        <f t="shared" si="70"/>
        <v>119000</v>
      </c>
      <c r="AP709" s="109">
        <f t="shared" si="71"/>
        <v>108181.81818181818</v>
      </c>
      <c r="AQ709" s="397">
        <f t="shared" si="66"/>
        <v>108181.81818181818</v>
      </c>
    </row>
    <row r="710" spans="1:43" ht="24">
      <c r="A710" s="436" t="s">
        <v>5333</v>
      </c>
      <c r="B710" s="436" t="s">
        <v>3490</v>
      </c>
      <c r="C710" s="437" t="s">
        <v>3491</v>
      </c>
      <c r="D710" s="436" t="s">
        <v>5501</v>
      </c>
      <c r="E710" s="437" t="s">
        <v>5502</v>
      </c>
      <c r="F710" s="436" t="s">
        <v>3494</v>
      </c>
      <c r="G710" s="436" t="s">
        <v>3495</v>
      </c>
      <c r="H710" s="437" t="s">
        <v>3496</v>
      </c>
      <c r="I710" s="436" t="s">
        <v>3497</v>
      </c>
      <c r="J710" s="437" t="s">
        <v>3498</v>
      </c>
      <c r="K710" s="437" t="s">
        <v>3499</v>
      </c>
      <c r="L710" s="436" t="s">
        <v>3500</v>
      </c>
      <c r="M710" s="436" t="s">
        <v>4809</v>
      </c>
      <c r="N710" s="436" t="s">
        <v>3502</v>
      </c>
      <c r="O710" s="438">
        <v>119000</v>
      </c>
      <c r="P710" s="438">
        <v>80920</v>
      </c>
      <c r="Q710" s="438">
        <v>1</v>
      </c>
      <c r="R710" s="438">
        <v>0</v>
      </c>
      <c r="S710" s="438">
        <v>0</v>
      </c>
      <c r="T710" s="438">
        <v>0</v>
      </c>
      <c r="U710" s="438">
        <v>0</v>
      </c>
      <c r="V710" s="438">
        <v>0</v>
      </c>
      <c r="W710" s="438">
        <v>32</v>
      </c>
      <c r="X710" s="438">
        <v>20230</v>
      </c>
      <c r="Y710" s="438">
        <v>0</v>
      </c>
      <c r="Z710" s="438">
        <v>0</v>
      </c>
      <c r="AA710" s="438">
        <v>0</v>
      </c>
      <c r="AB710" s="438">
        <v>0</v>
      </c>
      <c r="AC710" s="438">
        <v>119000</v>
      </c>
      <c r="AD710" s="438">
        <v>80920</v>
      </c>
      <c r="AE710" s="438">
        <v>0</v>
      </c>
      <c r="AF710" s="438">
        <v>20230</v>
      </c>
      <c r="AG710" s="438">
        <v>98770</v>
      </c>
      <c r="AH710" s="438">
        <v>80920</v>
      </c>
      <c r="AI710" s="438">
        <v>16227</v>
      </c>
      <c r="AJ710" s="438">
        <v>1623</v>
      </c>
      <c r="AK710" s="438">
        <v>17850</v>
      </c>
      <c r="AL710" s="414" t="str">
        <f t="shared" si="67"/>
        <v>워커힐 시그니처 양념 본갈비 300g, 8개</v>
      </c>
      <c r="AM710" s="395">
        <f t="shared" si="68"/>
        <v>46065</v>
      </c>
      <c r="AN710" s="396">
        <f t="shared" si="69"/>
        <v>1</v>
      </c>
      <c r="AO710" s="109">
        <f t="shared" si="70"/>
        <v>119000</v>
      </c>
      <c r="AP710" s="109">
        <f t="shared" si="71"/>
        <v>108181.81818181818</v>
      </c>
      <c r="AQ710" s="397">
        <f t="shared" si="66"/>
        <v>108181.81818181818</v>
      </c>
    </row>
    <row r="711" spans="1:43" ht="24">
      <c r="A711" s="436" t="s">
        <v>5335</v>
      </c>
      <c r="B711" s="436" t="s">
        <v>3490</v>
      </c>
      <c r="C711" s="437" t="s">
        <v>3491</v>
      </c>
      <c r="D711" s="436" t="s">
        <v>5310</v>
      </c>
      <c r="E711" s="437" t="s">
        <v>3851</v>
      </c>
      <c r="F711" s="436" t="s">
        <v>3494</v>
      </c>
      <c r="G711" s="436" t="s">
        <v>3495</v>
      </c>
      <c r="H711" s="437" t="s">
        <v>3496</v>
      </c>
      <c r="I711" s="436" t="s">
        <v>3497</v>
      </c>
      <c r="J711" s="437" t="s">
        <v>3498</v>
      </c>
      <c r="K711" s="437" t="s">
        <v>3499</v>
      </c>
      <c r="L711" s="436" t="s">
        <v>3500</v>
      </c>
      <c r="M711" s="436" t="s">
        <v>4809</v>
      </c>
      <c r="N711" s="436" t="s">
        <v>3502</v>
      </c>
      <c r="O711" s="438">
        <v>119000</v>
      </c>
      <c r="P711" s="438">
        <v>80920</v>
      </c>
      <c r="Q711" s="438">
        <v>1</v>
      </c>
      <c r="R711" s="438">
        <v>0</v>
      </c>
      <c r="S711" s="438">
        <v>0</v>
      </c>
      <c r="T711" s="438">
        <v>0</v>
      </c>
      <c r="U711" s="438">
        <v>0</v>
      </c>
      <c r="V711" s="438">
        <v>0</v>
      </c>
      <c r="W711" s="438">
        <v>32</v>
      </c>
      <c r="X711" s="438">
        <v>0</v>
      </c>
      <c r="Y711" s="438">
        <v>0</v>
      </c>
      <c r="Z711" s="438">
        <v>0</v>
      </c>
      <c r="AA711" s="438">
        <v>0</v>
      </c>
      <c r="AB711" s="438">
        <v>0</v>
      </c>
      <c r="AC711" s="438">
        <v>119000</v>
      </c>
      <c r="AD711" s="438">
        <v>80920</v>
      </c>
      <c r="AE711" s="438">
        <v>0</v>
      </c>
      <c r="AF711" s="438">
        <v>0</v>
      </c>
      <c r="AG711" s="438">
        <v>119000</v>
      </c>
      <c r="AH711" s="438">
        <v>80920</v>
      </c>
      <c r="AI711" s="438">
        <v>34618</v>
      </c>
      <c r="AJ711" s="438">
        <v>3462</v>
      </c>
      <c r="AK711" s="438">
        <v>38080</v>
      </c>
      <c r="AL711" s="414" t="str">
        <f t="shared" si="67"/>
        <v>워커힐 시그니처 양념 본갈비 300g, 8개</v>
      </c>
      <c r="AM711" s="395">
        <f t="shared" si="68"/>
        <v>46065</v>
      </c>
      <c r="AN711" s="396">
        <f t="shared" si="69"/>
        <v>1</v>
      </c>
      <c r="AO711" s="109">
        <f t="shared" si="70"/>
        <v>119000</v>
      </c>
      <c r="AP711" s="109">
        <f t="shared" si="71"/>
        <v>108181.81818181818</v>
      </c>
      <c r="AQ711" s="397">
        <f t="shared" si="66"/>
        <v>108181.81818181818</v>
      </c>
    </row>
    <row r="712" spans="1:43" ht="24">
      <c r="A712" s="436" t="s">
        <v>5337</v>
      </c>
      <c r="B712" s="436" t="s">
        <v>3490</v>
      </c>
      <c r="C712" s="437" t="s">
        <v>3491</v>
      </c>
      <c r="D712" s="436" t="s">
        <v>5661</v>
      </c>
      <c r="E712" s="437" t="s">
        <v>4155</v>
      </c>
      <c r="F712" s="436" t="s">
        <v>3494</v>
      </c>
      <c r="G712" s="436" t="s">
        <v>3495</v>
      </c>
      <c r="H712" s="437" t="s">
        <v>3496</v>
      </c>
      <c r="I712" s="436" t="s">
        <v>3497</v>
      </c>
      <c r="J712" s="437" t="s">
        <v>3498</v>
      </c>
      <c r="K712" s="437" t="s">
        <v>3499</v>
      </c>
      <c r="L712" s="436" t="s">
        <v>3500</v>
      </c>
      <c r="M712" s="436" t="s">
        <v>4809</v>
      </c>
      <c r="N712" s="436" t="s">
        <v>3502</v>
      </c>
      <c r="O712" s="438">
        <v>119000</v>
      </c>
      <c r="P712" s="438">
        <v>80920</v>
      </c>
      <c r="Q712" s="438">
        <v>1</v>
      </c>
      <c r="R712" s="438">
        <v>0</v>
      </c>
      <c r="S712" s="438">
        <v>0</v>
      </c>
      <c r="T712" s="438">
        <v>0</v>
      </c>
      <c r="U712" s="438">
        <v>0</v>
      </c>
      <c r="V712" s="438">
        <v>0</v>
      </c>
      <c r="W712" s="438">
        <v>32</v>
      </c>
      <c r="X712" s="438">
        <v>0</v>
      </c>
      <c r="Y712" s="438">
        <v>0</v>
      </c>
      <c r="Z712" s="438">
        <v>0</v>
      </c>
      <c r="AA712" s="438">
        <v>0</v>
      </c>
      <c r="AB712" s="438">
        <v>0</v>
      </c>
      <c r="AC712" s="438">
        <v>119000</v>
      </c>
      <c r="AD712" s="438">
        <v>80920</v>
      </c>
      <c r="AE712" s="438">
        <v>0</v>
      </c>
      <c r="AF712" s="438">
        <v>0</v>
      </c>
      <c r="AG712" s="438">
        <v>119000</v>
      </c>
      <c r="AH712" s="438">
        <v>80920</v>
      </c>
      <c r="AI712" s="438">
        <v>34618</v>
      </c>
      <c r="AJ712" s="438">
        <v>3462</v>
      </c>
      <c r="AK712" s="438">
        <v>38080</v>
      </c>
      <c r="AL712" s="414" t="str">
        <f t="shared" si="67"/>
        <v>워커힐 시그니처 양념 본갈비 300g, 8개</v>
      </c>
      <c r="AM712" s="395">
        <f t="shared" si="68"/>
        <v>46065</v>
      </c>
      <c r="AN712" s="396">
        <f t="shared" si="69"/>
        <v>1</v>
      </c>
      <c r="AO712" s="109">
        <f t="shared" si="70"/>
        <v>119000</v>
      </c>
      <c r="AP712" s="109">
        <f t="shared" si="71"/>
        <v>108181.81818181818</v>
      </c>
      <c r="AQ712" s="397">
        <f t="shared" si="66"/>
        <v>108181.81818181818</v>
      </c>
    </row>
    <row r="713" spans="1:43" ht="24">
      <c r="A713" s="436" t="s">
        <v>5339</v>
      </c>
      <c r="B713" s="436" t="s">
        <v>3490</v>
      </c>
      <c r="C713" s="437" t="s">
        <v>3491</v>
      </c>
      <c r="D713" s="436" t="s">
        <v>5314</v>
      </c>
      <c r="E713" s="437" t="s">
        <v>5315</v>
      </c>
      <c r="F713" s="436" t="s">
        <v>3494</v>
      </c>
      <c r="G713" s="436" t="s">
        <v>3495</v>
      </c>
      <c r="H713" s="437" t="s">
        <v>3496</v>
      </c>
      <c r="I713" s="436" t="s">
        <v>3497</v>
      </c>
      <c r="J713" s="437" t="s">
        <v>3498</v>
      </c>
      <c r="K713" s="437" t="s">
        <v>3499</v>
      </c>
      <c r="L713" s="436" t="s">
        <v>3500</v>
      </c>
      <c r="M713" s="436" t="s">
        <v>4809</v>
      </c>
      <c r="N713" s="436" t="s">
        <v>3502</v>
      </c>
      <c r="O713" s="438">
        <v>119000</v>
      </c>
      <c r="P713" s="438">
        <v>80920</v>
      </c>
      <c r="Q713" s="438">
        <v>1</v>
      </c>
      <c r="R713" s="438">
        <v>0</v>
      </c>
      <c r="S713" s="438">
        <v>0</v>
      </c>
      <c r="T713" s="438">
        <v>0</v>
      </c>
      <c r="U713" s="438">
        <v>0</v>
      </c>
      <c r="V713" s="438">
        <v>0</v>
      </c>
      <c r="W713" s="438">
        <v>32</v>
      </c>
      <c r="X713" s="438">
        <v>0</v>
      </c>
      <c r="Y713" s="438">
        <v>0</v>
      </c>
      <c r="Z713" s="438">
        <v>0</v>
      </c>
      <c r="AA713" s="438">
        <v>0</v>
      </c>
      <c r="AB713" s="438">
        <v>0</v>
      </c>
      <c r="AC713" s="438">
        <v>119000</v>
      </c>
      <c r="AD713" s="438">
        <v>80920</v>
      </c>
      <c r="AE713" s="438">
        <v>0</v>
      </c>
      <c r="AF713" s="438">
        <v>0</v>
      </c>
      <c r="AG713" s="438">
        <v>119000</v>
      </c>
      <c r="AH713" s="438">
        <v>80920</v>
      </c>
      <c r="AI713" s="438">
        <v>34618</v>
      </c>
      <c r="AJ713" s="438">
        <v>3462</v>
      </c>
      <c r="AK713" s="438">
        <v>38080</v>
      </c>
      <c r="AL713" s="414" t="str">
        <f t="shared" si="67"/>
        <v>워커힐 시그니처 양념 본갈비 300g, 8개</v>
      </c>
      <c r="AM713" s="395">
        <f t="shared" si="68"/>
        <v>46065</v>
      </c>
      <c r="AN713" s="396">
        <f t="shared" si="69"/>
        <v>1</v>
      </c>
      <c r="AO713" s="109">
        <f t="shared" si="70"/>
        <v>119000</v>
      </c>
      <c r="AP713" s="109">
        <f t="shared" si="71"/>
        <v>108181.81818181818</v>
      </c>
      <c r="AQ713" s="397">
        <f t="shared" si="66"/>
        <v>108181.81818181818</v>
      </c>
    </row>
    <row r="714" spans="1:43" ht="24">
      <c r="A714" s="436" t="s">
        <v>5342</v>
      </c>
      <c r="B714" s="436" t="s">
        <v>3490</v>
      </c>
      <c r="C714" s="437" t="s">
        <v>3491</v>
      </c>
      <c r="D714" s="436" t="s">
        <v>5317</v>
      </c>
      <c r="E714" s="437" t="s">
        <v>4059</v>
      </c>
      <c r="F714" s="436" t="s">
        <v>3494</v>
      </c>
      <c r="G714" s="436" t="s">
        <v>3495</v>
      </c>
      <c r="H714" s="437" t="s">
        <v>3496</v>
      </c>
      <c r="I714" s="436" t="s">
        <v>3497</v>
      </c>
      <c r="J714" s="437" t="s">
        <v>3498</v>
      </c>
      <c r="K714" s="437" t="s">
        <v>3499</v>
      </c>
      <c r="L714" s="436" t="s">
        <v>3500</v>
      </c>
      <c r="M714" s="436" t="s">
        <v>4809</v>
      </c>
      <c r="N714" s="436" t="s">
        <v>3502</v>
      </c>
      <c r="O714" s="438">
        <v>119000</v>
      </c>
      <c r="P714" s="438">
        <v>80920</v>
      </c>
      <c r="Q714" s="438">
        <v>1</v>
      </c>
      <c r="R714" s="438">
        <v>0</v>
      </c>
      <c r="S714" s="438">
        <v>0</v>
      </c>
      <c r="T714" s="438">
        <v>0</v>
      </c>
      <c r="U714" s="438">
        <v>0</v>
      </c>
      <c r="V714" s="438">
        <v>0</v>
      </c>
      <c r="W714" s="438">
        <v>32</v>
      </c>
      <c r="X714" s="438">
        <v>0</v>
      </c>
      <c r="Y714" s="438">
        <v>0</v>
      </c>
      <c r="Z714" s="438">
        <v>0</v>
      </c>
      <c r="AA714" s="438">
        <v>0</v>
      </c>
      <c r="AB714" s="438">
        <v>0</v>
      </c>
      <c r="AC714" s="438">
        <v>119000</v>
      </c>
      <c r="AD714" s="438">
        <v>80920</v>
      </c>
      <c r="AE714" s="438">
        <v>0</v>
      </c>
      <c r="AF714" s="438">
        <v>0</v>
      </c>
      <c r="AG714" s="438">
        <v>119000</v>
      </c>
      <c r="AH714" s="438">
        <v>80920</v>
      </c>
      <c r="AI714" s="438">
        <v>34618</v>
      </c>
      <c r="AJ714" s="438">
        <v>3462</v>
      </c>
      <c r="AK714" s="438">
        <v>38080</v>
      </c>
      <c r="AL714" s="414" t="str">
        <f t="shared" si="67"/>
        <v>워커힐 시그니처 양념 본갈비 300g, 8개</v>
      </c>
      <c r="AM714" s="395">
        <f t="shared" si="68"/>
        <v>46065</v>
      </c>
      <c r="AN714" s="396">
        <f t="shared" si="69"/>
        <v>1</v>
      </c>
      <c r="AO714" s="109">
        <f t="shared" si="70"/>
        <v>119000</v>
      </c>
      <c r="AP714" s="109">
        <f t="shared" si="71"/>
        <v>108181.81818181818</v>
      </c>
      <c r="AQ714" s="397">
        <f t="shared" si="66"/>
        <v>108181.81818181818</v>
      </c>
    </row>
    <row r="715" spans="1:43" ht="24">
      <c r="A715" s="436" t="s">
        <v>5344</v>
      </c>
      <c r="B715" s="436" t="s">
        <v>3490</v>
      </c>
      <c r="C715" s="437" t="s">
        <v>3491</v>
      </c>
      <c r="D715" s="436" t="s">
        <v>5319</v>
      </c>
      <c r="E715" s="437" t="s">
        <v>4059</v>
      </c>
      <c r="F715" s="436" t="s">
        <v>3494</v>
      </c>
      <c r="G715" s="436" t="s">
        <v>3495</v>
      </c>
      <c r="H715" s="437" t="s">
        <v>3496</v>
      </c>
      <c r="I715" s="436" t="s">
        <v>3497</v>
      </c>
      <c r="J715" s="437" t="s">
        <v>3498</v>
      </c>
      <c r="K715" s="437" t="s">
        <v>3499</v>
      </c>
      <c r="L715" s="436" t="s">
        <v>3500</v>
      </c>
      <c r="M715" s="436" t="s">
        <v>4809</v>
      </c>
      <c r="N715" s="436" t="s">
        <v>3502</v>
      </c>
      <c r="O715" s="438">
        <v>119000</v>
      </c>
      <c r="P715" s="438">
        <v>80920</v>
      </c>
      <c r="Q715" s="438">
        <v>1</v>
      </c>
      <c r="R715" s="438">
        <v>0</v>
      </c>
      <c r="S715" s="438">
        <v>0</v>
      </c>
      <c r="T715" s="438">
        <v>0</v>
      </c>
      <c r="U715" s="438">
        <v>0</v>
      </c>
      <c r="V715" s="438">
        <v>0</v>
      </c>
      <c r="W715" s="438">
        <v>32</v>
      </c>
      <c r="X715" s="438">
        <v>0</v>
      </c>
      <c r="Y715" s="438">
        <v>0</v>
      </c>
      <c r="Z715" s="438">
        <v>0</v>
      </c>
      <c r="AA715" s="438">
        <v>0</v>
      </c>
      <c r="AB715" s="438">
        <v>0</v>
      </c>
      <c r="AC715" s="438">
        <v>119000</v>
      </c>
      <c r="AD715" s="438">
        <v>80920</v>
      </c>
      <c r="AE715" s="438">
        <v>0</v>
      </c>
      <c r="AF715" s="438">
        <v>0</v>
      </c>
      <c r="AG715" s="438">
        <v>119000</v>
      </c>
      <c r="AH715" s="438">
        <v>80920</v>
      </c>
      <c r="AI715" s="438">
        <v>34618</v>
      </c>
      <c r="AJ715" s="438">
        <v>3462</v>
      </c>
      <c r="AK715" s="438">
        <v>38080</v>
      </c>
      <c r="AL715" s="414" t="str">
        <f t="shared" si="67"/>
        <v>워커힐 시그니처 양념 본갈비 300g, 8개</v>
      </c>
      <c r="AM715" s="395">
        <f t="shared" si="68"/>
        <v>46065</v>
      </c>
      <c r="AN715" s="396">
        <f t="shared" si="69"/>
        <v>1</v>
      </c>
      <c r="AO715" s="109">
        <f t="shared" si="70"/>
        <v>119000</v>
      </c>
      <c r="AP715" s="109">
        <f t="shared" si="71"/>
        <v>108181.81818181818</v>
      </c>
      <c r="AQ715" s="397">
        <f t="shared" si="66"/>
        <v>108181.81818181818</v>
      </c>
    </row>
    <row r="716" spans="1:43" ht="24">
      <c r="A716" s="436" t="s">
        <v>5347</v>
      </c>
      <c r="B716" s="436" t="s">
        <v>3490</v>
      </c>
      <c r="C716" s="437" t="s">
        <v>3491</v>
      </c>
      <c r="D716" s="436" t="s">
        <v>5321</v>
      </c>
      <c r="E716" s="437" t="s">
        <v>5322</v>
      </c>
      <c r="F716" s="436" t="s">
        <v>3494</v>
      </c>
      <c r="G716" s="436" t="s">
        <v>3495</v>
      </c>
      <c r="H716" s="437" t="s">
        <v>3496</v>
      </c>
      <c r="I716" s="436" t="s">
        <v>3497</v>
      </c>
      <c r="J716" s="437" t="s">
        <v>3498</v>
      </c>
      <c r="K716" s="437" t="s">
        <v>3499</v>
      </c>
      <c r="L716" s="436" t="s">
        <v>3500</v>
      </c>
      <c r="M716" s="436" t="s">
        <v>4809</v>
      </c>
      <c r="N716" s="436" t="s">
        <v>3502</v>
      </c>
      <c r="O716" s="438">
        <v>119000</v>
      </c>
      <c r="P716" s="438">
        <v>80920</v>
      </c>
      <c r="Q716" s="438">
        <v>1</v>
      </c>
      <c r="R716" s="438">
        <v>0</v>
      </c>
      <c r="S716" s="438">
        <v>0</v>
      </c>
      <c r="T716" s="438">
        <v>0</v>
      </c>
      <c r="U716" s="438">
        <v>0</v>
      </c>
      <c r="V716" s="438">
        <v>0</v>
      </c>
      <c r="W716" s="438">
        <v>32</v>
      </c>
      <c r="X716" s="438">
        <v>0</v>
      </c>
      <c r="Y716" s="438">
        <v>0</v>
      </c>
      <c r="Z716" s="438">
        <v>0</v>
      </c>
      <c r="AA716" s="438">
        <v>0</v>
      </c>
      <c r="AB716" s="438">
        <v>0</v>
      </c>
      <c r="AC716" s="438">
        <v>119000</v>
      </c>
      <c r="AD716" s="438">
        <v>80920</v>
      </c>
      <c r="AE716" s="438">
        <v>0</v>
      </c>
      <c r="AF716" s="438">
        <v>0</v>
      </c>
      <c r="AG716" s="438">
        <v>119000</v>
      </c>
      <c r="AH716" s="438">
        <v>80920</v>
      </c>
      <c r="AI716" s="438">
        <v>34618</v>
      </c>
      <c r="AJ716" s="438">
        <v>3462</v>
      </c>
      <c r="AK716" s="438">
        <v>38080</v>
      </c>
      <c r="AL716" s="414" t="str">
        <f t="shared" si="67"/>
        <v>워커힐 시그니처 양념 본갈비 300g, 8개</v>
      </c>
      <c r="AM716" s="395">
        <f t="shared" si="68"/>
        <v>46065</v>
      </c>
      <c r="AN716" s="396">
        <f t="shared" si="69"/>
        <v>1</v>
      </c>
      <c r="AO716" s="109">
        <f t="shared" si="70"/>
        <v>119000</v>
      </c>
      <c r="AP716" s="109">
        <f t="shared" si="71"/>
        <v>108181.81818181818</v>
      </c>
      <c r="AQ716" s="397">
        <f t="shared" si="66"/>
        <v>108181.81818181818</v>
      </c>
    </row>
    <row r="717" spans="1:43" ht="24">
      <c r="A717" s="436" t="s">
        <v>5350</v>
      </c>
      <c r="B717" s="436" t="s">
        <v>3490</v>
      </c>
      <c r="C717" s="437" t="s">
        <v>3491</v>
      </c>
      <c r="D717" s="436" t="s">
        <v>5324</v>
      </c>
      <c r="E717" s="437" t="s">
        <v>4155</v>
      </c>
      <c r="F717" s="436" t="s">
        <v>3494</v>
      </c>
      <c r="G717" s="436" t="s">
        <v>3495</v>
      </c>
      <c r="H717" s="437" t="s">
        <v>3496</v>
      </c>
      <c r="I717" s="436" t="s">
        <v>3497</v>
      </c>
      <c r="J717" s="437" t="s">
        <v>3498</v>
      </c>
      <c r="K717" s="437" t="s">
        <v>3499</v>
      </c>
      <c r="L717" s="436" t="s">
        <v>3500</v>
      </c>
      <c r="M717" s="436" t="s">
        <v>4809</v>
      </c>
      <c r="N717" s="436" t="s">
        <v>3502</v>
      </c>
      <c r="O717" s="438">
        <v>119000</v>
      </c>
      <c r="P717" s="438">
        <v>80920</v>
      </c>
      <c r="Q717" s="438">
        <v>1</v>
      </c>
      <c r="R717" s="438">
        <v>0</v>
      </c>
      <c r="S717" s="438">
        <v>0</v>
      </c>
      <c r="T717" s="438">
        <v>0</v>
      </c>
      <c r="U717" s="438">
        <v>0</v>
      </c>
      <c r="V717" s="438">
        <v>0</v>
      </c>
      <c r="W717" s="438">
        <v>32</v>
      </c>
      <c r="X717" s="438">
        <v>0</v>
      </c>
      <c r="Y717" s="438">
        <v>0</v>
      </c>
      <c r="Z717" s="438">
        <v>0</v>
      </c>
      <c r="AA717" s="438">
        <v>0</v>
      </c>
      <c r="AB717" s="438">
        <v>0</v>
      </c>
      <c r="AC717" s="438">
        <v>119000</v>
      </c>
      <c r="AD717" s="438">
        <v>80920</v>
      </c>
      <c r="AE717" s="438">
        <v>0</v>
      </c>
      <c r="AF717" s="438">
        <v>0</v>
      </c>
      <c r="AG717" s="438">
        <v>119000</v>
      </c>
      <c r="AH717" s="438">
        <v>80920</v>
      </c>
      <c r="AI717" s="438">
        <v>34618</v>
      </c>
      <c r="AJ717" s="438">
        <v>3462</v>
      </c>
      <c r="AK717" s="438">
        <v>38080</v>
      </c>
      <c r="AL717" s="414" t="str">
        <f t="shared" si="67"/>
        <v>워커힐 시그니처 양념 본갈비 300g, 8개</v>
      </c>
      <c r="AM717" s="395">
        <f t="shared" si="68"/>
        <v>46065</v>
      </c>
      <c r="AN717" s="396">
        <f t="shared" si="69"/>
        <v>1</v>
      </c>
      <c r="AO717" s="109">
        <f t="shared" si="70"/>
        <v>119000</v>
      </c>
      <c r="AP717" s="109">
        <f t="shared" si="71"/>
        <v>108181.81818181818</v>
      </c>
      <c r="AQ717" s="397">
        <f t="shared" si="66"/>
        <v>108181.81818181818</v>
      </c>
    </row>
    <row r="718" spans="1:43" ht="24">
      <c r="A718" s="436" t="s">
        <v>5352</v>
      </c>
      <c r="B718" s="436" t="s">
        <v>3490</v>
      </c>
      <c r="C718" s="437" t="s">
        <v>3491</v>
      </c>
      <c r="D718" s="436" t="s">
        <v>5666</v>
      </c>
      <c r="E718" s="437" t="s">
        <v>5667</v>
      </c>
      <c r="F718" s="436" t="s">
        <v>3494</v>
      </c>
      <c r="G718" s="436" t="s">
        <v>3495</v>
      </c>
      <c r="H718" s="437" t="s">
        <v>3496</v>
      </c>
      <c r="I718" s="436" t="s">
        <v>3497</v>
      </c>
      <c r="J718" s="437" t="s">
        <v>3498</v>
      </c>
      <c r="K718" s="437" t="s">
        <v>3499</v>
      </c>
      <c r="L718" s="436" t="s">
        <v>3500</v>
      </c>
      <c r="M718" s="436" t="s">
        <v>4809</v>
      </c>
      <c r="N718" s="436" t="s">
        <v>3502</v>
      </c>
      <c r="O718" s="438">
        <v>119000</v>
      </c>
      <c r="P718" s="438">
        <v>80920</v>
      </c>
      <c r="Q718" s="438">
        <v>1</v>
      </c>
      <c r="R718" s="438">
        <v>0</v>
      </c>
      <c r="S718" s="438">
        <v>0</v>
      </c>
      <c r="T718" s="438">
        <v>0</v>
      </c>
      <c r="U718" s="438">
        <v>0</v>
      </c>
      <c r="V718" s="438">
        <v>0</v>
      </c>
      <c r="W718" s="438">
        <v>32</v>
      </c>
      <c r="X718" s="438">
        <v>0</v>
      </c>
      <c r="Y718" s="438">
        <v>0</v>
      </c>
      <c r="Z718" s="438">
        <v>0</v>
      </c>
      <c r="AA718" s="438">
        <v>0</v>
      </c>
      <c r="AB718" s="438">
        <v>0</v>
      </c>
      <c r="AC718" s="438">
        <v>119000</v>
      </c>
      <c r="AD718" s="438">
        <v>80920</v>
      </c>
      <c r="AE718" s="438">
        <v>0</v>
      </c>
      <c r="AF718" s="438">
        <v>0</v>
      </c>
      <c r="AG718" s="438">
        <v>119000</v>
      </c>
      <c r="AH718" s="438">
        <v>80920</v>
      </c>
      <c r="AI718" s="438">
        <v>34618</v>
      </c>
      <c r="AJ718" s="438">
        <v>3462</v>
      </c>
      <c r="AK718" s="438">
        <v>38080</v>
      </c>
      <c r="AL718" s="414" t="str">
        <f t="shared" si="67"/>
        <v>워커힐 시그니처 양념 본갈비 300g, 8개</v>
      </c>
      <c r="AM718" s="395">
        <f t="shared" si="68"/>
        <v>46065</v>
      </c>
      <c r="AN718" s="396">
        <f t="shared" si="69"/>
        <v>1</v>
      </c>
      <c r="AO718" s="109">
        <f t="shared" si="70"/>
        <v>119000</v>
      </c>
      <c r="AP718" s="109">
        <f t="shared" si="71"/>
        <v>108181.81818181818</v>
      </c>
      <c r="AQ718" s="397">
        <f t="shared" si="66"/>
        <v>108181.81818181818</v>
      </c>
    </row>
    <row r="719" spans="1:43" ht="24">
      <c r="A719" s="436" t="s">
        <v>5355</v>
      </c>
      <c r="B719" s="436" t="s">
        <v>3490</v>
      </c>
      <c r="C719" s="437" t="s">
        <v>3491</v>
      </c>
      <c r="D719" s="436" t="s">
        <v>5326</v>
      </c>
      <c r="E719" s="437" t="s">
        <v>4155</v>
      </c>
      <c r="F719" s="436" t="s">
        <v>3494</v>
      </c>
      <c r="G719" s="436" t="s">
        <v>3495</v>
      </c>
      <c r="H719" s="437" t="s">
        <v>3496</v>
      </c>
      <c r="I719" s="436" t="s">
        <v>3497</v>
      </c>
      <c r="J719" s="437" t="s">
        <v>3498</v>
      </c>
      <c r="K719" s="437" t="s">
        <v>3499</v>
      </c>
      <c r="L719" s="436" t="s">
        <v>3500</v>
      </c>
      <c r="M719" s="436" t="s">
        <v>4809</v>
      </c>
      <c r="N719" s="436" t="s">
        <v>3502</v>
      </c>
      <c r="O719" s="438">
        <v>119000</v>
      </c>
      <c r="P719" s="438">
        <v>80920</v>
      </c>
      <c r="Q719" s="438">
        <v>1</v>
      </c>
      <c r="R719" s="438">
        <v>0</v>
      </c>
      <c r="S719" s="438">
        <v>0</v>
      </c>
      <c r="T719" s="438">
        <v>0</v>
      </c>
      <c r="U719" s="438">
        <v>0</v>
      </c>
      <c r="V719" s="438">
        <v>0</v>
      </c>
      <c r="W719" s="438">
        <v>32</v>
      </c>
      <c r="X719" s="438">
        <v>0</v>
      </c>
      <c r="Y719" s="438">
        <v>0</v>
      </c>
      <c r="Z719" s="438">
        <v>0</v>
      </c>
      <c r="AA719" s="438">
        <v>0</v>
      </c>
      <c r="AB719" s="438">
        <v>0</v>
      </c>
      <c r="AC719" s="438">
        <v>119000</v>
      </c>
      <c r="AD719" s="438">
        <v>80920</v>
      </c>
      <c r="AE719" s="438">
        <v>0</v>
      </c>
      <c r="AF719" s="438">
        <v>0</v>
      </c>
      <c r="AG719" s="438">
        <v>119000</v>
      </c>
      <c r="AH719" s="438">
        <v>80920</v>
      </c>
      <c r="AI719" s="438">
        <v>34618</v>
      </c>
      <c r="AJ719" s="438">
        <v>3462</v>
      </c>
      <c r="AK719" s="438">
        <v>38080</v>
      </c>
      <c r="AL719" s="414" t="str">
        <f t="shared" si="67"/>
        <v>워커힐 시그니처 양념 본갈비 300g, 8개</v>
      </c>
      <c r="AM719" s="395">
        <f t="shared" si="68"/>
        <v>46065</v>
      </c>
      <c r="AN719" s="396">
        <f t="shared" si="69"/>
        <v>1</v>
      </c>
      <c r="AO719" s="109">
        <f t="shared" si="70"/>
        <v>119000</v>
      </c>
      <c r="AP719" s="109">
        <f t="shared" si="71"/>
        <v>108181.81818181818</v>
      </c>
      <c r="AQ719" s="397">
        <f t="shared" si="66"/>
        <v>108181.81818181818</v>
      </c>
    </row>
    <row r="720" spans="1:43" ht="24">
      <c r="A720" s="436" t="s">
        <v>5358</v>
      </c>
      <c r="B720" s="436" t="s">
        <v>3490</v>
      </c>
      <c r="C720" s="437" t="s">
        <v>3491</v>
      </c>
      <c r="D720" s="436" t="s">
        <v>5328</v>
      </c>
      <c r="E720" s="437" t="s">
        <v>5329</v>
      </c>
      <c r="F720" s="436" t="s">
        <v>3494</v>
      </c>
      <c r="G720" s="436" t="s">
        <v>3495</v>
      </c>
      <c r="H720" s="437" t="s">
        <v>3496</v>
      </c>
      <c r="I720" s="436" t="s">
        <v>3497</v>
      </c>
      <c r="J720" s="437" t="s">
        <v>3498</v>
      </c>
      <c r="K720" s="437" t="s">
        <v>3499</v>
      </c>
      <c r="L720" s="436" t="s">
        <v>3500</v>
      </c>
      <c r="M720" s="436" t="s">
        <v>4809</v>
      </c>
      <c r="N720" s="436" t="s">
        <v>3502</v>
      </c>
      <c r="O720" s="438">
        <v>119000</v>
      </c>
      <c r="P720" s="438">
        <v>80920</v>
      </c>
      <c r="Q720" s="438">
        <v>1</v>
      </c>
      <c r="R720" s="438">
        <v>0</v>
      </c>
      <c r="S720" s="438">
        <v>0</v>
      </c>
      <c r="T720" s="438">
        <v>0</v>
      </c>
      <c r="U720" s="438">
        <v>0</v>
      </c>
      <c r="V720" s="438">
        <v>0</v>
      </c>
      <c r="W720" s="438">
        <v>32</v>
      </c>
      <c r="X720" s="438">
        <v>0</v>
      </c>
      <c r="Y720" s="438">
        <v>0</v>
      </c>
      <c r="Z720" s="438">
        <v>0</v>
      </c>
      <c r="AA720" s="438">
        <v>0</v>
      </c>
      <c r="AB720" s="438">
        <v>0</v>
      </c>
      <c r="AC720" s="438">
        <v>119000</v>
      </c>
      <c r="AD720" s="438">
        <v>80920</v>
      </c>
      <c r="AE720" s="438">
        <v>0</v>
      </c>
      <c r="AF720" s="438">
        <v>0</v>
      </c>
      <c r="AG720" s="438">
        <v>119000</v>
      </c>
      <c r="AH720" s="438">
        <v>80920</v>
      </c>
      <c r="AI720" s="438">
        <v>34618</v>
      </c>
      <c r="AJ720" s="438">
        <v>3462</v>
      </c>
      <c r="AK720" s="438">
        <v>38080</v>
      </c>
      <c r="AL720" s="414" t="str">
        <f t="shared" si="67"/>
        <v>워커힐 시그니처 양념 본갈비 300g, 8개</v>
      </c>
      <c r="AM720" s="395">
        <f t="shared" si="68"/>
        <v>46065</v>
      </c>
      <c r="AN720" s="396">
        <f t="shared" si="69"/>
        <v>1</v>
      </c>
      <c r="AO720" s="109">
        <f t="shared" si="70"/>
        <v>119000</v>
      </c>
      <c r="AP720" s="109">
        <f t="shared" si="71"/>
        <v>108181.81818181818</v>
      </c>
      <c r="AQ720" s="397">
        <f t="shared" si="66"/>
        <v>108181.81818181818</v>
      </c>
    </row>
    <row r="721" spans="1:43" ht="24">
      <c r="A721" s="436" t="s">
        <v>5360</v>
      </c>
      <c r="B721" s="436" t="s">
        <v>3490</v>
      </c>
      <c r="C721" s="437" t="s">
        <v>3491</v>
      </c>
      <c r="D721" s="436" t="s">
        <v>5504</v>
      </c>
      <c r="E721" s="437" t="s">
        <v>4494</v>
      </c>
      <c r="F721" s="436" t="s">
        <v>3494</v>
      </c>
      <c r="G721" s="436" t="s">
        <v>3495</v>
      </c>
      <c r="H721" s="437" t="s">
        <v>3496</v>
      </c>
      <c r="I721" s="436" t="s">
        <v>3497</v>
      </c>
      <c r="J721" s="437" t="s">
        <v>3498</v>
      </c>
      <c r="K721" s="437" t="s">
        <v>3499</v>
      </c>
      <c r="L721" s="436" t="s">
        <v>3500</v>
      </c>
      <c r="M721" s="436" t="s">
        <v>4809</v>
      </c>
      <c r="N721" s="436" t="s">
        <v>3502</v>
      </c>
      <c r="O721" s="438">
        <v>119000</v>
      </c>
      <c r="P721" s="438">
        <v>80920</v>
      </c>
      <c r="Q721" s="438">
        <v>1</v>
      </c>
      <c r="R721" s="438">
        <v>0</v>
      </c>
      <c r="S721" s="438">
        <v>0</v>
      </c>
      <c r="T721" s="438">
        <v>0</v>
      </c>
      <c r="U721" s="438">
        <v>0</v>
      </c>
      <c r="V721" s="438">
        <v>0</v>
      </c>
      <c r="W721" s="438">
        <v>32</v>
      </c>
      <c r="X721" s="438">
        <v>0</v>
      </c>
      <c r="Y721" s="438">
        <v>0</v>
      </c>
      <c r="Z721" s="438">
        <v>0</v>
      </c>
      <c r="AA721" s="438">
        <v>0</v>
      </c>
      <c r="AB721" s="438">
        <v>0</v>
      </c>
      <c r="AC721" s="438">
        <v>119000</v>
      </c>
      <c r="AD721" s="438">
        <v>80920</v>
      </c>
      <c r="AE721" s="438">
        <v>0</v>
      </c>
      <c r="AF721" s="438">
        <v>0</v>
      </c>
      <c r="AG721" s="438">
        <v>119000</v>
      </c>
      <c r="AH721" s="438">
        <v>80920</v>
      </c>
      <c r="AI721" s="438">
        <v>34618</v>
      </c>
      <c r="AJ721" s="438">
        <v>3462</v>
      </c>
      <c r="AK721" s="438">
        <v>38080</v>
      </c>
      <c r="AL721" s="414" t="str">
        <f t="shared" si="67"/>
        <v>워커힐 시그니처 양념 본갈비 300g, 8개</v>
      </c>
      <c r="AM721" s="395">
        <f t="shared" si="68"/>
        <v>46065</v>
      </c>
      <c r="AN721" s="396">
        <f t="shared" si="69"/>
        <v>1</v>
      </c>
      <c r="AO721" s="109">
        <f t="shared" si="70"/>
        <v>119000</v>
      </c>
      <c r="AP721" s="109">
        <f t="shared" si="71"/>
        <v>108181.81818181818</v>
      </c>
      <c r="AQ721" s="397">
        <f t="shared" si="66"/>
        <v>108181.81818181818</v>
      </c>
    </row>
    <row r="722" spans="1:43" ht="24">
      <c r="A722" s="436" t="s">
        <v>5363</v>
      </c>
      <c r="B722" s="436" t="s">
        <v>3490</v>
      </c>
      <c r="C722" s="437" t="s">
        <v>3491</v>
      </c>
      <c r="D722" s="436" t="s">
        <v>5331</v>
      </c>
      <c r="E722" s="437" t="s">
        <v>5332</v>
      </c>
      <c r="F722" s="436" t="s">
        <v>3494</v>
      </c>
      <c r="G722" s="436" t="s">
        <v>3495</v>
      </c>
      <c r="H722" s="437" t="s">
        <v>3496</v>
      </c>
      <c r="I722" s="436" t="s">
        <v>3497</v>
      </c>
      <c r="J722" s="437" t="s">
        <v>3498</v>
      </c>
      <c r="K722" s="437" t="s">
        <v>3499</v>
      </c>
      <c r="L722" s="436" t="s">
        <v>3500</v>
      </c>
      <c r="M722" s="436" t="s">
        <v>4809</v>
      </c>
      <c r="N722" s="436" t="s">
        <v>3502</v>
      </c>
      <c r="O722" s="438">
        <v>119000</v>
      </c>
      <c r="P722" s="438">
        <v>80920</v>
      </c>
      <c r="Q722" s="438">
        <v>1</v>
      </c>
      <c r="R722" s="438">
        <v>0</v>
      </c>
      <c r="S722" s="438">
        <v>0</v>
      </c>
      <c r="T722" s="438">
        <v>0</v>
      </c>
      <c r="U722" s="438">
        <v>0</v>
      </c>
      <c r="V722" s="438">
        <v>0</v>
      </c>
      <c r="W722" s="438">
        <v>32</v>
      </c>
      <c r="X722" s="438">
        <v>0</v>
      </c>
      <c r="Y722" s="438">
        <v>0</v>
      </c>
      <c r="Z722" s="438">
        <v>0</v>
      </c>
      <c r="AA722" s="438">
        <v>0</v>
      </c>
      <c r="AB722" s="438">
        <v>0</v>
      </c>
      <c r="AC722" s="438">
        <v>119000</v>
      </c>
      <c r="AD722" s="438">
        <v>80920</v>
      </c>
      <c r="AE722" s="438">
        <v>0</v>
      </c>
      <c r="AF722" s="438">
        <v>0</v>
      </c>
      <c r="AG722" s="438">
        <v>119000</v>
      </c>
      <c r="AH722" s="438">
        <v>80920</v>
      </c>
      <c r="AI722" s="438">
        <v>34618</v>
      </c>
      <c r="AJ722" s="438">
        <v>3462</v>
      </c>
      <c r="AK722" s="438">
        <v>38080</v>
      </c>
      <c r="AL722" s="414" t="str">
        <f t="shared" si="67"/>
        <v>워커힐 시그니처 양념 본갈비 300g, 8개</v>
      </c>
      <c r="AM722" s="395">
        <f t="shared" si="68"/>
        <v>46065</v>
      </c>
      <c r="AN722" s="396">
        <f t="shared" si="69"/>
        <v>1</v>
      </c>
      <c r="AO722" s="109">
        <f t="shared" si="70"/>
        <v>119000</v>
      </c>
      <c r="AP722" s="109">
        <f t="shared" si="71"/>
        <v>108181.81818181818</v>
      </c>
      <c r="AQ722" s="397">
        <f t="shared" si="66"/>
        <v>108181.81818181818</v>
      </c>
    </row>
    <row r="723" spans="1:43" ht="24">
      <c r="A723" s="436" t="s">
        <v>5365</v>
      </c>
      <c r="B723" s="436" t="s">
        <v>3490</v>
      </c>
      <c r="C723" s="437" t="s">
        <v>3491</v>
      </c>
      <c r="D723" s="436" t="s">
        <v>5334</v>
      </c>
      <c r="E723" s="437" t="s">
        <v>3763</v>
      </c>
      <c r="F723" s="436" t="s">
        <v>3494</v>
      </c>
      <c r="G723" s="436" t="s">
        <v>3495</v>
      </c>
      <c r="H723" s="437" t="s">
        <v>3496</v>
      </c>
      <c r="I723" s="436" t="s">
        <v>3497</v>
      </c>
      <c r="J723" s="437" t="s">
        <v>3498</v>
      </c>
      <c r="K723" s="437" t="s">
        <v>3499</v>
      </c>
      <c r="L723" s="436" t="s">
        <v>3500</v>
      </c>
      <c r="M723" s="436" t="s">
        <v>4809</v>
      </c>
      <c r="N723" s="436" t="s">
        <v>3502</v>
      </c>
      <c r="O723" s="438">
        <v>119000</v>
      </c>
      <c r="P723" s="438">
        <v>80920</v>
      </c>
      <c r="Q723" s="438">
        <v>1</v>
      </c>
      <c r="R723" s="438">
        <v>0</v>
      </c>
      <c r="S723" s="438">
        <v>0</v>
      </c>
      <c r="T723" s="438">
        <v>0</v>
      </c>
      <c r="U723" s="438">
        <v>0</v>
      </c>
      <c r="V723" s="438">
        <v>0</v>
      </c>
      <c r="W723" s="438">
        <v>32</v>
      </c>
      <c r="X723" s="438">
        <v>0</v>
      </c>
      <c r="Y723" s="438">
        <v>0</v>
      </c>
      <c r="Z723" s="438">
        <v>0</v>
      </c>
      <c r="AA723" s="438">
        <v>0</v>
      </c>
      <c r="AB723" s="438">
        <v>0</v>
      </c>
      <c r="AC723" s="438">
        <v>119000</v>
      </c>
      <c r="AD723" s="438">
        <v>80920</v>
      </c>
      <c r="AE723" s="438">
        <v>0</v>
      </c>
      <c r="AF723" s="438">
        <v>0</v>
      </c>
      <c r="AG723" s="438">
        <v>119000</v>
      </c>
      <c r="AH723" s="438">
        <v>80920</v>
      </c>
      <c r="AI723" s="438">
        <v>34618</v>
      </c>
      <c r="AJ723" s="438">
        <v>3462</v>
      </c>
      <c r="AK723" s="438">
        <v>38080</v>
      </c>
      <c r="AL723" s="414" t="str">
        <f t="shared" si="67"/>
        <v>워커힐 시그니처 양념 본갈비 300g, 8개</v>
      </c>
      <c r="AM723" s="395">
        <f t="shared" si="68"/>
        <v>46065</v>
      </c>
      <c r="AN723" s="396">
        <f t="shared" si="69"/>
        <v>1</v>
      </c>
      <c r="AO723" s="109">
        <f t="shared" si="70"/>
        <v>119000</v>
      </c>
      <c r="AP723" s="109">
        <f t="shared" si="71"/>
        <v>108181.81818181818</v>
      </c>
      <c r="AQ723" s="397">
        <f t="shared" si="66"/>
        <v>108181.81818181818</v>
      </c>
    </row>
    <row r="724" spans="1:43" ht="24">
      <c r="A724" s="436" t="s">
        <v>5367</v>
      </c>
      <c r="B724" s="436" t="s">
        <v>3490</v>
      </c>
      <c r="C724" s="437" t="s">
        <v>3491</v>
      </c>
      <c r="D724" s="436" t="s">
        <v>5479</v>
      </c>
      <c r="E724" s="437" t="s">
        <v>5480</v>
      </c>
      <c r="F724" s="436" t="s">
        <v>3494</v>
      </c>
      <c r="G724" s="436" t="s">
        <v>3495</v>
      </c>
      <c r="H724" s="437" t="s">
        <v>3496</v>
      </c>
      <c r="I724" s="436" t="s">
        <v>3497</v>
      </c>
      <c r="J724" s="437" t="s">
        <v>3498</v>
      </c>
      <c r="K724" s="437" t="s">
        <v>3499</v>
      </c>
      <c r="L724" s="436" t="s">
        <v>3500</v>
      </c>
      <c r="M724" s="436" t="s">
        <v>4809</v>
      </c>
      <c r="N724" s="436" t="s">
        <v>3502</v>
      </c>
      <c r="O724" s="438">
        <v>119000</v>
      </c>
      <c r="P724" s="438">
        <v>80920</v>
      </c>
      <c r="Q724" s="438">
        <v>1</v>
      </c>
      <c r="R724" s="438">
        <v>0</v>
      </c>
      <c r="S724" s="438">
        <v>0</v>
      </c>
      <c r="T724" s="438">
        <v>0</v>
      </c>
      <c r="U724" s="438">
        <v>0</v>
      </c>
      <c r="V724" s="438">
        <v>0</v>
      </c>
      <c r="W724" s="438">
        <v>32</v>
      </c>
      <c r="X724" s="438">
        <v>0</v>
      </c>
      <c r="Y724" s="438">
        <v>0</v>
      </c>
      <c r="Z724" s="438">
        <v>0</v>
      </c>
      <c r="AA724" s="438">
        <v>0</v>
      </c>
      <c r="AB724" s="438">
        <v>0</v>
      </c>
      <c r="AC724" s="438">
        <v>119000</v>
      </c>
      <c r="AD724" s="438">
        <v>80920</v>
      </c>
      <c r="AE724" s="438">
        <v>0</v>
      </c>
      <c r="AF724" s="438">
        <v>0</v>
      </c>
      <c r="AG724" s="438">
        <v>119000</v>
      </c>
      <c r="AH724" s="438">
        <v>80920</v>
      </c>
      <c r="AI724" s="438">
        <v>34618</v>
      </c>
      <c r="AJ724" s="438">
        <v>3462</v>
      </c>
      <c r="AK724" s="438">
        <v>38080</v>
      </c>
      <c r="AL724" s="414" t="str">
        <f t="shared" si="67"/>
        <v>워커힐 시그니처 양념 본갈비 300g, 8개</v>
      </c>
      <c r="AM724" s="395">
        <f t="shared" si="68"/>
        <v>46065</v>
      </c>
      <c r="AN724" s="396">
        <f t="shared" si="69"/>
        <v>1</v>
      </c>
      <c r="AO724" s="109">
        <f t="shared" si="70"/>
        <v>119000</v>
      </c>
      <c r="AP724" s="109">
        <f t="shared" si="71"/>
        <v>108181.81818181818</v>
      </c>
      <c r="AQ724" s="397">
        <f t="shared" si="66"/>
        <v>108181.81818181818</v>
      </c>
    </row>
    <row r="725" spans="1:43" ht="24">
      <c r="A725" s="436" t="s">
        <v>5369</v>
      </c>
      <c r="B725" s="436" t="s">
        <v>3490</v>
      </c>
      <c r="C725" s="437" t="s">
        <v>3491</v>
      </c>
      <c r="D725" s="436" t="s">
        <v>5338</v>
      </c>
      <c r="E725" s="437" t="s">
        <v>3541</v>
      </c>
      <c r="F725" s="436" t="s">
        <v>3494</v>
      </c>
      <c r="G725" s="436" t="s">
        <v>3495</v>
      </c>
      <c r="H725" s="437" t="s">
        <v>3496</v>
      </c>
      <c r="I725" s="436" t="s">
        <v>3497</v>
      </c>
      <c r="J725" s="437" t="s">
        <v>3498</v>
      </c>
      <c r="K725" s="437" t="s">
        <v>3499</v>
      </c>
      <c r="L725" s="436" t="s">
        <v>3500</v>
      </c>
      <c r="M725" s="436" t="s">
        <v>4809</v>
      </c>
      <c r="N725" s="436" t="s">
        <v>3502</v>
      </c>
      <c r="O725" s="438">
        <v>119000</v>
      </c>
      <c r="P725" s="438">
        <v>80920</v>
      </c>
      <c r="Q725" s="438">
        <v>1</v>
      </c>
      <c r="R725" s="438">
        <v>0</v>
      </c>
      <c r="S725" s="438">
        <v>0</v>
      </c>
      <c r="T725" s="438">
        <v>0</v>
      </c>
      <c r="U725" s="438">
        <v>0</v>
      </c>
      <c r="V725" s="438">
        <v>0</v>
      </c>
      <c r="W725" s="438">
        <v>32</v>
      </c>
      <c r="X725" s="438">
        <v>0</v>
      </c>
      <c r="Y725" s="438">
        <v>0</v>
      </c>
      <c r="Z725" s="438">
        <v>0</v>
      </c>
      <c r="AA725" s="438">
        <v>0</v>
      </c>
      <c r="AB725" s="438">
        <v>0</v>
      </c>
      <c r="AC725" s="438">
        <v>119000</v>
      </c>
      <c r="AD725" s="438">
        <v>80920</v>
      </c>
      <c r="AE725" s="438">
        <v>0</v>
      </c>
      <c r="AF725" s="438">
        <v>0</v>
      </c>
      <c r="AG725" s="438">
        <v>119000</v>
      </c>
      <c r="AH725" s="438">
        <v>80920</v>
      </c>
      <c r="AI725" s="438">
        <v>34618</v>
      </c>
      <c r="AJ725" s="438">
        <v>3462</v>
      </c>
      <c r="AK725" s="438">
        <v>38080</v>
      </c>
      <c r="AL725" s="414" t="str">
        <f t="shared" si="67"/>
        <v>워커힐 시그니처 양념 본갈비 300g, 8개</v>
      </c>
      <c r="AM725" s="395">
        <f t="shared" si="68"/>
        <v>46065</v>
      </c>
      <c r="AN725" s="396">
        <f t="shared" si="69"/>
        <v>1</v>
      </c>
      <c r="AO725" s="109">
        <f t="shared" si="70"/>
        <v>119000</v>
      </c>
      <c r="AP725" s="109">
        <f t="shared" si="71"/>
        <v>108181.81818181818</v>
      </c>
      <c r="AQ725" s="397">
        <f t="shared" si="66"/>
        <v>108181.81818181818</v>
      </c>
    </row>
    <row r="726" spans="1:43" ht="24">
      <c r="A726" s="436" t="s">
        <v>5372</v>
      </c>
      <c r="B726" s="436" t="s">
        <v>3490</v>
      </c>
      <c r="C726" s="437" t="s">
        <v>3491</v>
      </c>
      <c r="D726" s="436" t="s">
        <v>5482</v>
      </c>
      <c r="E726" s="437" t="s">
        <v>3813</v>
      </c>
      <c r="F726" s="436" t="s">
        <v>3494</v>
      </c>
      <c r="G726" s="436" t="s">
        <v>3495</v>
      </c>
      <c r="H726" s="437" t="s">
        <v>3496</v>
      </c>
      <c r="I726" s="436" t="s">
        <v>3497</v>
      </c>
      <c r="J726" s="437" t="s">
        <v>3498</v>
      </c>
      <c r="K726" s="437" t="s">
        <v>3499</v>
      </c>
      <c r="L726" s="436" t="s">
        <v>3500</v>
      </c>
      <c r="M726" s="436" t="s">
        <v>4809</v>
      </c>
      <c r="N726" s="436" t="s">
        <v>3502</v>
      </c>
      <c r="O726" s="438">
        <v>119000</v>
      </c>
      <c r="P726" s="438">
        <v>80920</v>
      </c>
      <c r="Q726" s="438">
        <v>1</v>
      </c>
      <c r="R726" s="438">
        <v>0</v>
      </c>
      <c r="S726" s="438">
        <v>0</v>
      </c>
      <c r="T726" s="438">
        <v>0</v>
      </c>
      <c r="U726" s="438">
        <v>0</v>
      </c>
      <c r="V726" s="438">
        <v>0</v>
      </c>
      <c r="W726" s="438">
        <v>32</v>
      </c>
      <c r="X726" s="438">
        <v>0</v>
      </c>
      <c r="Y726" s="438">
        <v>0</v>
      </c>
      <c r="Z726" s="438">
        <v>0</v>
      </c>
      <c r="AA726" s="438">
        <v>0</v>
      </c>
      <c r="AB726" s="438">
        <v>0</v>
      </c>
      <c r="AC726" s="438">
        <v>119000</v>
      </c>
      <c r="AD726" s="438">
        <v>80920</v>
      </c>
      <c r="AE726" s="438">
        <v>0</v>
      </c>
      <c r="AF726" s="438">
        <v>0</v>
      </c>
      <c r="AG726" s="438">
        <v>119000</v>
      </c>
      <c r="AH726" s="438">
        <v>80920</v>
      </c>
      <c r="AI726" s="438">
        <v>34618</v>
      </c>
      <c r="AJ726" s="438">
        <v>3462</v>
      </c>
      <c r="AK726" s="438">
        <v>38080</v>
      </c>
      <c r="AL726" s="414" t="str">
        <f t="shared" si="67"/>
        <v>워커힐 시그니처 양념 본갈비 300g, 8개</v>
      </c>
      <c r="AM726" s="395">
        <f t="shared" si="68"/>
        <v>46065</v>
      </c>
      <c r="AN726" s="396">
        <f t="shared" si="69"/>
        <v>1</v>
      </c>
      <c r="AO726" s="109">
        <f t="shared" si="70"/>
        <v>119000</v>
      </c>
      <c r="AP726" s="109">
        <f t="shared" si="71"/>
        <v>108181.81818181818</v>
      </c>
      <c r="AQ726" s="397">
        <f t="shared" si="66"/>
        <v>108181.81818181818</v>
      </c>
    </row>
    <row r="727" spans="1:43" ht="24">
      <c r="A727" s="436" t="s">
        <v>5375</v>
      </c>
      <c r="B727" s="436" t="s">
        <v>3490</v>
      </c>
      <c r="C727" s="437" t="s">
        <v>3491</v>
      </c>
      <c r="D727" s="436" t="s">
        <v>5343</v>
      </c>
      <c r="E727" s="437" t="s">
        <v>3533</v>
      </c>
      <c r="F727" s="436" t="s">
        <v>3494</v>
      </c>
      <c r="G727" s="436" t="s">
        <v>3495</v>
      </c>
      <c r="H727" s="437" t="s">
        <v>3496</v>
      </c>
      <c r="I727" s="436" t="s">
        <v>3497</v>
      </c>
      <c r="J727" s="437" t="s">
        <v>3498</v>
      </c>
      <c r="K727" s="437" t="s">
        <v>3499</v>
      </c>
      <c r="L727" s="436" t="s">
        <v>3500</v>
      </c>
      <c r="M727" s="436" t="s">
        <v>4809</v>
      </c>
      <c r="N727" s="436" t="s">
        <v>3502</v>
      </c>
      <c r="O727" s="438">
        <v>119000</v>
      </c>
      <c r="P727" s="438">
        <v>80920</v>
      </c>
      <c r="Q727" s="438">
        <v>1</v>
      </c>
      <c r="R727" s="438">
        <v>0</v>
      </c>
      <c r="S727" s="438">
        <v>0</v>
      </c>
      <c r="T727" s="438">
        <v>0</v>
      </c>
      <c r="U727" s="438">
        <v>0</v>
      </c>
      <c r="V727" s="438">
        <v>0</v>
      </c>
      <c r="W727" s="438">
        <v>32</v>
      </c>
      <c r="X727" s="438">
        <v>0</v>
      </c>
      <c r="Y727" s="438">
        <v>0</v>
      </c>
      <c r="Z727" s="438">
        <v>0</v>
      </c>
      <c r="AA727" s="438">
        <v>0</v>
      </c>
      <c r="AB727" s="438">
        <v>0</v>
      </c>
      <c r="AC727" s="438">
        <v>119000</v>
      </c>
      <c r="AD727" s="438">
        <v>80920</v>
      </c>
      <c r="AE727" s="438">
        <v>0</v>
      </c>
      <c r="AF727" s="438">
        <v>0</v>
      </c>
      <c r="AG727" s="438">
        <v>119000</v>
      </c>
      <c r="AH727" s="438">
        <v>80920</v>
      </c>
      <c r="AI727" s="438">
        <v>34618</v>
      </c>
      <c r="AJ727" s="438">
        <v>3462</v>
      </c>
      <c r="AK727" s="438">
        <v>38080</v>
      </c>
      <c r="AL727" s="414" t="str">
        <f t="shared" si="67"/>
        <v>워커힐 시그니처 양념 본갈비 300g, 8개</v>
      </c>
      <c r="AM727" s="395">
        <f t="shared" si="68"/>
        <v>46065</v>
      </c>
      <c r="AN727" s="396">
        <f t="shared" si="69"/>
        <v>1</v>
      </c>
      <c r="AO727" s="109">
        <f t="shared" si="70"/>
        <v>119000</v>
      </c>
      <c r="AP727" s="109">
        <f t="shared" si="71"/>
        <v>108181.81818181818</v>
      </c>
      <c r="AQ727" s="397">
        <f t="shared" si="66"/>
        <v>108181.81818181818</v>
      </c>
    </row>
    <row r="728" spans="1:43" ht="24">
      <c r="A728" s="436" t="s">
        <v>5377</v>
      </c>
      <c r="B728" s="436" t="s">
        <v>3490</v>
      </c>
      <c r="C728" s="437" t="s">
        <v>3491</v>
      </c>
      <c r="D728" s="436" t="s">
        <v>5345</v>
      </c>
      <c r="E728" s="437" t="s">
        <v>5346</v>
      </c>
      <c r="F728" s="436" t="s">
        <v>3494</v>
      </c>
      <c r="G728" s="436" t="s">
        <v>3495</v>
      </c>
      <c r="H728" s="437" t="s">
        <v>3496</v>
      </c>
      <c r="I728" s="436" t="s">
        <v>3497</v>
      </c>
      <c r="J728" s="437" t="s">
        <v>3498</v>
      </c>
      <c r="K728" s="437" t="s">
        <v>3499</v>
      </c>
      <c r="L728" s="436" t="s">
        <v>3500</v>
      </c>
      <c r="M728" s="436" t="s">
        <v>4809</v>
      </c>
      <c r="N728" s="436" t="s">
        <v>3502</v>
      </c>
      <c r="O728" s="438">
        <v>119000</v>
      </c>
      <c r="P728" s="438">
        <v>80920</v>
      </c>
      <c r="Q728" s="438">
        <v>1</v>
      </c>
      <c r="R728" s="438">
        <v>0</v>
      </c>
      <c r="S728" s="438">
        <v>0</v>
      </c>
      <c r="T728" s="438">
        <v>0</v>
      </c>
      <c r="U728" s="438">
        <v>0</v>
      </c>
      <c r="V728" s="438">
        <v>0</v>
      </c>
      <c r="W728" s="438">
        <v>32</v>
      </c>
      <c r="X728" s="438">
        <v>0</v>
      </c>
      <c r="Y728" s="438">
        <v>0</v>
      </c>
      <c r="Z728" s="438">
        <v>0</v>
      </c>
      <c r="AA728" s="438">
        <v>0</v>
      </c>
      <c r="AB728" s="438">
        <v>0</v>
      </c>
      <c r="AC728" s="438">
        <v>119000</v>
      </c>
      <c r="AD728" s="438">
        <v>80920</v>
      </c>
      <c r="AE728" s="438">
        <v>0</v>
      </c>
      <c r="AF728" s="438">
        <v>0</v>
      </c>
      <c r="AG728" s="438">
        <v>119000</v>
      </c>
      <c r="AH728" s="438">
        <v>80920</v>
      </c>
      <c r="AI728" s="438">
        <v>34618</v>
      </c>
      <c r="AJ728" s="438">
        <v>3462</v>
      </c>
      <c r="AK728" s="438">
        <v>38080</v>
      </c>
      <c r="AL728" s="414" t="str">
        <f t="shared" si="67"/>
        <v>워커힐 시그니처 양념 본갈비 300g, 8개</v>
      </c>
      <c r="AM728" s="395">
        <f t="shared" si="68"/>
        <v>46065</v>
      </c>
      <c r="AN728" s="396">
        <f t="shared" si="69"/>
        <v>1</v>
      </c>
      <c r="AO728" s="109">
        <f t="shared" si="70"/>
        <v>119000</v>
      </c>
      <c r="AP728" s="109">
        <f t="shared" si="71"/>
        <v>108181.81818181818</v>
      </c>
      <c r="AQ728" s="397">
        <f t="shared" si="66"/>
        <v>108181.81818181818</v>
      </c>
    </row>
    <row r="729" spans="1:43" ht="24">
      <c r="A729" s="436" t="s">
        <v>5379</v>
      </c>
      <c r="B729" s="436" t="s">
        <v>3490</v>
      </c>
      <c r="C729" s="437" t="s">
        <v>3491</v>
      </c>
      <c r="D729" s="436" t="s">
        <v>5353</v>
      </c>
      <c r="E729" s="437" t="s">
        <v>5354</v>
      </c>
      <c r="F729" s="436" t="s">
        <v>3494</v>
      </c>
      <c r="G729" s="436" t="s">
        <v>3495</v>
      </c>
      <c r="H729" s="437" t="s">
        <v>3496</v>
      </c>
      <c r="I729" s="436" t="s">
        <v>3497</v>
      </c>
      <c r="J729" s="437" t="s">
        <v>3498</v>
      </c>
      <c r="K729" s="437" t="s">
        <v>3499</v>
      </c>
      <c r="L729" s="436" t="s">
        <v>3500</v>
      </c>
      <c r="M729" s="436" t="s">
        <v>4809</v>
      </c>
      <c r="N729" s="436" t="s">
        <v>3502</v>
      </c>
      <c r="O729" s="438">
        <v>119000</v>
      </c>
      <c r="P729" s="438">
        <v>80920</v>
      </c>
      <c r="Q729" s="438">
        <v>1</v>
      </c>
      <c r="R729" s="438">
        <v>0</v>
      </c>
      <c r="S729" s="438">
        <v>0</v>
      </c>
      <c r="T729" s="438">
        <v>0</v>
      </c>
      <c r="U729" s="438">
        <v>0</v>
      </c>
      <c r="V729" s="438">
        <v>0</v>
      </c>
      <c r="W729" s="438">
        <v>32</v>
      </c>
      <c r="X729" s="438">
        <v>0</v>
      </c>
      <c r="Y729" s="438">
        <v>0</v>
      </c>
      <c r="Z729" s="438">
        <v>0</v>
      </c>
      <c r="AA729" s="438">
        <v>0</v>
      </c>
      <c r="AB729" s="438">
        <v>0</v>
      </c>
      <c r="AC729" s="438">
        <v>119000</v>
      </c>
      <c r="AD729" s="438">
        <v>80920</v>
      </c>
      <c r="AE729" s="438">
        <v>0</v>
      </c>
      <c r="AF729" s="438">
        <v>0</v>
      </c>
      <c r="AG729" s="438">
        <v>119000</v>
      </c>
      <c r="AH729" s="438">
        <v>80920</v>
      </c>
      <c r="AI729" s="438">
        <v>34618</v>
      </c>
      <c r="AJ729" s="438">
        <v>3462</v>
      </c>
      <c r="AK729" s="438">
        <v>38080</v>
      </c>
      <c r="AL729" s="414" t="str">
        <f t="shared" si="67"/>
        <v>워커힐 시그니처 양념 본갈비 300g, 8개</v>
      </c>
      <c r="AM729" s="395">
        <f t="shared" si="68"/>
        <v>46065</v>
      </c>
      <c r="AN729" s="396">
        <f t="shared" si="69"/>
        <v>1</v>
      </c>
      <c r="AO729" s="109">
        <f t="shared" si="70"/>
        <v>119000</v>
      </c>
      <c r="AP729" s="109">
        <f t="shared" si="71"/>
        <v>108181.81818181818</v>
      </c>
      <c r="AQ729" s="397">
        <f t="shared" si="66"/>
        <v>108181.81818181818</v>
      </c>
    </row>
    <row r="730" spans="1:43" ht="24">
      <c r="A730" s="436" t="s">
        <v>5381</v>
      </c>
      <c r="B730" s="436" t="s">
        <v>3490</v>
      </c>
      <c r="C730" s="437" t="s">
        <v>3491</v>
      </c>
      <c r="D730" s="436" t="s">
        <v>5688</v>
      </c>
      <c r="E730" s="437" t="s">
        <v>3533</v>
      </c>
      <c r="F730" s="436" t="s">
        <v>3494</v>
      </c>
      <c r="G730" s="436" t="s">
        <v>3495</v>
      </c>
      <c r="H730" s="437" t="s">
        <v>3496</v>
      </c>
      <c r="I730" s="436" t="s">
        <v>3497</v>
      </c>
      <c r="J730" s="437" t="s">
        <v>3498</v>
      </c>
      <c r="K730" s="437" t="s">
        <v>3499</v>
      </c>
      <c r="L730" s="436" t="s">
        <v>3500</v>
      </c>
      <c r="M730" s="436" t="s">
        <v>4809</v>
      </c>
      <c r="N730" s="436" t="s">
        <v>3502</v>
      </c>
      <c r="O730" s="438">
        <v>119000</v>
      </c>
      <c r="P730" s="438">
        <v>80920</v>
      </c>
      <c r="Q730" s="438">
        <v>1</v>
      </c>
      <c r="R730" s="438">
        <v>0</v>
      </c>
      <c r="S730" s="438">
        <v>0</v>
      </c>
      <c r="T730" s="438">
        <v>0</v>
      </c>
      <c r="U730" s="438">
        <v>0</v>
      </c>
      <c r="V730" s="438">
        <v>0</v>
      </c>
      <c r="W730" s="438">
        <v>32</v>
      </c>
      <c r="X730" s="438">
        <v>0</v>
      </c>
      <c r="Y730" s="438">
        <v>10000</v>
      </c>
      <c r="Z730" s="438">
        <v>0</v>
      </c>
      <c r="AA730" s="438">
        <v>0</v>
      </c>
      <c r="AB730" s="438">
        <v>0</v>
      </c>
      <c r="AC730" s="438">
        <v>119000</v>
      </c>
      <c r="AD730" s="438">
        <v>80920</v>
      </c>
      <c r="AE730" s="438">
        <v>0</v>
      </c>
      <c r="AF730" s="438">
        <v>10000</v>
      </c>
      <c r="AG730" s="438">
        <v>109000</v>
      </c>
      <c r="AH730" s="438">
        <v>80920</v>
      </c>
      <c r="AI730" s="438">
        <v>25527</v>
      </c>
      <c r="AJ730" s="438">
        <v>2553</v>
      </c>
      <c r="AK730" s="438">
        <v>28080</v>
      </c>
      <c r="AL730" s="414" t="str">
        <f t="shared" si="67"/>
        <v>워커힐 시그니처 양념 본갈비 300g, 8개</v>
      </c>
      <c r="AM730" s="395">
        <f t="shared" si="68"/>
        <v>46065</v>
      </c>
      <c r="AN730" s="396">
        <f t="shared" si="69"/>
        <v>1</v>
      </c>
      <c r="AO730" s="109">
        <f t="shared" si="70"/>
        <v>119000</v>
      </c>
      <c r="AP730" s="109">
        <f t="shared" si="71"/>
        <v>108181.81818181818</v>
      </c>
      <c r="AQ730" s="397">
        <f t="shared" si="66"/>
        <v>108181.81818181818</v>
      </c>
    </row>
    <row r="731" spans="1:43" ht="24">
      <c r="A731" s="436" t="s">
        <v>5384</v>
      </c>
      <c r="B731" s="436" t="s">
        <v>3490</v>
      </c>
      <c r="C731" s="437" t="s">
        <v>3491</v>
      </c>
      <c r="D731" s="436" t="s">
        <v>5356</v>
      </c>
      <c r="E731" s="437" t="s">
        <v>5357</v>
      </c>
      <c r="F731" s="436" t="s">
        <v>3494</v>
      </c>
      <c r="G731" s="436" t="s">
        <v>3495</v>
      </c>
      <c r="H731" s="437" t="s">
        <v>3496</v>
      </c>
      <c r="I731" s="436" t="s">
        <v>3497</v>
      </c>
      <c r="J731" s="437" t="s">
        <v>3498</v>
      </c>
      <c r="K731" s="437" t="s">
        <v>3499</v>
      </c>
      <c r="L731" s="436" t="s">
        <v>3500</v>
      </c>
      <c r="M731" s="436" t="s">
        <v>4809</v>
      </c>
      <c r="N731" s="436" t="s">
        <v>3502</v>
      </c>
      <c r="O731" s="438">
        <v>119000</v>
      </c>
      <c r="P731" s="438">
        <v>80920</v>
      </c>
      <c r="Q731" s="438">
        <v>1</v>
      </c>
      <c r="R731" s="438">
        <v>0</v>
      </c>
      <c r="S731" s="438">
        <v>0</v>
      </c>
      <c r="T731" s="438">
        <v>0</v>
      </c>
      <c r="U731" s="438">
        <v>0</v>
      </c>
      <c r="V731" s="438">
        <v>0</v>
      </c>
      <c r="W731" s="438">
        <v>32</v>
      </c>
      <c r="X731" s="438">
        <v>0</v>
      </c>
      <c r="Y731" s="438">
        <v>0</v>
      </c>
      <c r="Z731" s="438">
        <v>0</v>
      </c>
      <c r="AA731" s="438">
        <v>0</v>
      </c>
      <c r="AB731" s="438">
        <v>0</v>
      </c>
      <c r="AC731" s="438">
        <v>119000</v>
      </c>
      <c r="AD731" s="438">
        <v>80920</v>
      </c>
      <c r="AE731" s="438">
        <v>0</v>
      </c>
      <c r="AF731" s="438">
        <v>0</v>
      </c>
      <c r="AG731" s="438">
        <v>119000</v>
      </c>
      <c r="AH731" s="438">
        <v>80920</v>
      </c>
      <c r="AI731" s="438">
        <v>34618</v>
      </c>
      <c r="AJ731" s="438">
        <v>3462</v>
      </c>
      <c r="AK731" s="438">
        <v>38080</v>
      </c>
      <c r="AL731" s="414" t="str">
        <f t="shared" si="67"/>
        <v>워커힐 시그니처 양념 본갈비 300g, 8개</v>
      </c>
      <c r="AM731" s="395">
        <f t="shared" si="68"/>
        <v>46065</v>
      </c>
      <c r="AN731" s="396">
        <f t="shared" si="69"/>
        <v>1</v>
      </c>
      <c r="AO731" s="109">
        <f t="shared" si="70"/>
        <v>119000</v>
      </c>
      <c r="AP731" s="109">
        <f t="shared" si="71"/>
        <v>108181.81818181818</v>
      </c>
      <c r="AQ731" s="397">
        <f t="shared" si="66"/>
        <v>108181.81818181818</v>
      </c>
    </row>
    <row r="732" spans="1:43" ht="24">
      <c r="A732" s="436" t="s">
        <v>5386</v>
      </c>
      <c r="B732" s="436" t="s">
        <v>3490</v>
      </c>
      <c r="C732" s="437" t="s">
        <v>3491</v>
      </c>
      <c r="D732" s="436" t="s">
        <v>5359</v>
      </c>
      <c r="E732" s="437" t="s">
        <v>3839</v>
      </c>
      <c r="F732" s="436" t="s">
        <v>3494</v>
      </c>
      <c r="G732" s="436" t="s">
        <v>3495</v>
      </c>
      <c r="H732" s="437" t="s">
        <v>3496</v>
      </c>
      <c r="I732" s="436" t="s">
        <v>3497</v>
      </c>
      <c r="J732" s="437" t="s">
        <v>3498</v>
      </c>
      <c r="K732" s="437" t="s">
        <v>3499</v>
      </c>
      <c r="L732" s="436" t="s">
        <v>3500</v>
      </c>
      <c r="M732" s="436" t="s">
        <v>4809</v>
      </c>
      <c r="N732" s="436" t="s">
        <v>3502</v>
      </c>
      <c r="O732" s="438">
        <v>119000</v>
      </c>
      <c r="P732" s="438">
        <v>80920</v>
      </c>
      <c r="Q732" s="438">
        <v>1</v>
      </c>
      <c r="R732" s="438">
        <v>0</v>
      </c>
      <c r="S732" s="438">
        <v>0</v>
      </c>
      <c r="T732" s="438">
        <v>0</v>
      </c>
      <c r="U732" s="438">
        <v>0</v>
      </c>
      <c r="V732" s="438">
        <v>0</v>
      </c>
      <c r="W732" s="438">
        <v>32</v>
      </c>
      <c r="X732" s="438">
        <v>0</v>
      </c>
      <c r="Y732" s="438">
        <v>0</v>
      </c>
      <c r="Z732" s="438">
        <v>0</v>
      </c>
      <c r="AA732" s="438">
        <v>0</v>
      </c>
      <c r="AB732" s="438">
        <v>0</v>
      </c>
      <c r="AC732" s="438">
        <v>119000</v>
      </c>
      <c r="AD732" s="438">
        <v>80920</v>
      </c>
      <c r="AE732" s="438">
        <v>0</v>
      </c>
      <c r="AF732" s="438">
        <v>0</v>
      </c>
      <c r="AG732" s="438">
        <v>119000</v>
      </c>
      <c r="AH732" s="438">
        <v>80920</v>
      </c>
      <c r="AI732" s="438">
        <v>34618</v>
      </c>
      <c r="AJ732" s="438">
        <v>3462</v>
      </c>
      <c r="AK732" s="438">
        <v>38080</v>
      </c>
      <c r="AL732" s="414" t="str">
        <f t="shared" si="67"/>
        <v>워커힐 시그니처 양념 본갈비 300g, 8개</v>
      </c>
      <c r="AM732" s="395">
        <f t="shared" si="68"/>
        <v>46065</v>
      </c>
      <c r="AN732" s="396">
        <f t="shared" si="69"/>
        <v>1</v>
      </c>
      <c r="AO732" s="109">
        <f t="shared" si="70"/>
        <v>119000</v>
      </c>
      <c r="AP732" s="109">
        <f t="shared" si="71"/>
        <v>108181.81818181818</v>
      </c>
      <c r="AQ732" s="397">
        <f t="shared" si="66"/>
        <v>108181.81818181818</v>
      </c>
    </row>
    <row r="733" spans="1:43" ht="24">
      <c r="A733" s="436" t="s">
        <v>5389</v>
      </c>
      <c r="B733" s="436" t="s">
        <v>3490</v>
      </c>
      <c r="C733" s="437" t="s">
        <v>3491</v>
      </c>
      <c r="D733" s="436" t="s">
        <v>5361</v>
      </c>
      <c r="E733" s="437" t="s">
        <v>5362</v>
      </c>
      <c r="F733" s="436" t="s">
        <v>3494</v>
      </c>
      <c r="G733" s="436" t="s">
        <v>3495</v>
      </c>
      <c r="H733" s="437" t="s">
        <v>3496</v>
      </c>
      <c r="I733" s="436" t="s">
        <v>3497</v>
      </c>
      <c r="J733" s="437" t="s">
        <v>3498</v>
      </c>
      <c r="K733" s="437" t="s">
        <v>3499</v>
      </c>
      <c r="L733" s="436" t="s">
        <v>3500</v>
      </c>
      <c r="M733" s="436" t="s">
        <v>4809</v>
      </c>
      <c r="N733" s="436" t="s">
        <v>3502</v>
      </c>
      <c r="O733" s="438">
        <v>119000</v>
      </c>
      <c r="P733" s="438">
        <v>80920</v>
      </c>
      <c r="Q733" s="438">
        <v>1</v>
      </c>
      <c r="R733" s="438">
        <v>0</v>
      </c>
      <c r="S733" s="438">
        <v>0</v>
      </c>
      <c r="T733" s="438">
        <v>0</v>
      </c>
      <c r="U733" s="438">
        <v>0</v>
      </c>
      <c r="V733" s="438">
        <v>0</v>
      </c>
      <c r="W733" s="438">
        <v>32</v>
      </c>
      <c r="X733" s="438">
        <v>0</v>
      </c>
      <c r="Y733" s="438">
        <v>0</v>
      </c>
      <c r="Z733" s="438">
        <v>0</v>
      </c>
      <c r="AA733" s="438">
        <v>0</v>
      </c>
      <c r="AB733" s="438">
        <v>0</v>
      </c>
      <c r="AC733" s="438">
        <v>119000</v>
      </c>
      <c r="AD733" s="438">
        <v>80920</v>
      </c>
      <c r="AE733" s="438">
        <v>0</v>
      </c>
      <c r="AF733" s="438">
        <v>0</v>
      </c>
      <c r="AG733" s="438">
        <v>119000</v>
      </c>
      <c r="AH733" s="438">
        <v>80920</v>
      </c>
      <c r="AI733" s="438">
        <v>34618</v>
      </c>
      <c r="AJ733" s="438">
        <v>3462</v>
      </c>
      <c r="AK733" s="438">
        <v>38080</v>
      </c>
      <c r="AL733" s="414" t="str">
        <f t="shared" si="67"/>
        <v>워커힐 시그니처 양념 본갈비 300g, 8개</v>
      </c>
      <c r="AM733" s="395">
        <f t="shared" si="68"/>
        <v>46065</v>
      </c>
      <c r="AN733" s="396">
        <f t="shared" si="69"/>
        <v>1</v>
      </c>
      <c r="AO733" s="109">
        <f t="shared" si="70"/>
        <v>119000</v>
      </c>
      <c r="AP733" s="109">
        <f t="shared" si="71"/>
        <v>108181.81818181818</v>
      </c>
      <c r="AQ733" s="397">
        <f t="shared" ref="AQ733:AQ796" si="72">AN733*AP733</f>
        <v>108181.81818181818</v>
      </c>
    </row>
    <row r="734" spans="1:43" ht="24">
      <c r="A734" s="436" t="s">
        <v>5391</v>
      </c>
      <c r="B734" s="436" t="s">
        <v>3490</v>
      </c>
      <c r="C734" s="437" t="s">
        <v>3491</v>
      </c>
      <c r="D734" s="436" t="s">
        <v>5364</v>
      </c>
      <c r="E734" s="437" t="s">
        <v>3493</v>
      </c>
      <c r="F734" s="436" t="s">
        <v>3494</v>
      </c>
      <c r="G734" s="436" t="s">
        <v>3495</v>
      </c>
      <c r="H734" s="437" t="s">
        <v>3496</v>
      </c>
      <c r="I734" s="436" t="s">
        <v>3497</v>
      </c>
      <c r="J734" s="437" t="s">
        <v>3498</v>
      </c>
      <c r="K734" s="437" t="s">
        <v>3499</v>
      </c>
      <c r="L734" s="436" t="s">
        <v>3500</v>
      </c>
      <c r="M734" s="436" t="s">
        <v>4809</v>
      </c>
      <c r="N734" s="436" t="s">
        <v>3502</v>
      </c>
      <c r="O734" s="438">
        <v>119000</v>
      </c>
      <c r="P734" s="438">
        <v>80920</v>
      </c>
      <c r="Q734" s="438">
        <v>1</v>
      </c>
      <c r="R734" s="438">
        <v>0</v>
      </c>
      <c r="S734" s="438">
        <v>0</v>
      </c>
      <c r="T734" s="438">
        <v>0</v>
      </c>
      <c r="U734" s="438">
        <v>0</v>
      </c>
      <c r="V734" s="438">
        <v>0</v>
      </c>
      <c r="W734" s="438">
        <v>32</v>
      </c>
      <c r="X734" s="438">
        <v>0</v>
      </c>
      <c r="Y734" s="438">
        <v>0</v>
      </c>
      <c r="Z734" s="438">
        <v>0</v>
      </c>
      <c r="AA734" s="438">
        <v>0</v>
      </c>
      <c r="AB734" s="438">
        <v>0</v>
      </c>
      <c r="AC734" s="438">
        <v>119000</v>
      </c>
      <c r="AD734" s="438">
        <v>80920</v>
      </c>
      <c r="AE734" s="438">
        <v>0</v>
      </c>
      <c r="AF734" s="438">
        <v>0</v>
      </c>
      <c r="AG734" s="438">
        <v>119000</v>
      </c>
      <c r="AH734" s="438">
        <v>80920</v>
      </c>
      <c r="AI734" s="438">
        <v>34618</v>
      </c>
      <c r="AJ734" s="438">
        <v>3462</v>
      </c>
      <c r="AK734" s="438">
        <v>38080</v>
      </c>
      <c r="AL734" s="414" t="str">
        <f t="shared" si="67"/>
        <v>워커힐 시그니처 양념 본갈비 300g, 8개</v>
      </c>
      <c r="AM734" s="395">
        <f t="shared" si="68"/>
        <v>46065</v>
      </c>
      <c r="AN734" s="396">
        <f t="shared" si="69"/>
        <v>1</v>
      </c>
      <c r="AO734" s="109">
        <f t="shared" si="70"/>
        <v>119000</v>
      </c>
      <c r="AP734" s="109">
        <f t="shared" si="71"/>
        <v>108181.81818181818</v>
      </c>
      <c r="AQ734" s="397">
        <f t="shared" si="72"/>
        <v>108181.81818181818</v>
      </c>
    </row>
    <row r="735" spans="1:43" ht="24">
      <c r="A735" s="436" t="s">
        <v>5393</v>
      </c>
      <c r="B735" s="436" t="s">
        <v>3490</v>
      </c>
      <c r="C735" s="437" t="s">
        <v>3491</v>
      </c>
      <c r="D735" s="436" t="s">
        <v>5366</v>
      </c>
      <c r="E735" s="437" t="s">
        <v>3836</v>
      </c>
      <c r="F735" s="436" t="s">
        <v>3494</v>
      </c>
      <c r="G735" s="436" t="s">
        <v>3495</v>
      </c>
      <c r="H735" s="437" t="s">
        <v>3496</v>
      </c>
      <c r="I735" s="436" t="s">
        <v>3497</v>
      </c>
      <c r="J735" s="437" t="s">
        <v>3498</v>
      </c>
      <c r="K735" s="437" t="s">
        <v>3499</v>
      </c>
      <c r="L735" s="436" t="s">
        <v>3500</v>
      </c>
      <c r="M735" s="436" t="s">
        <v>4809</v>
      </c>
      <c r="N735" s="436" t="s">
        <v>3502</v>
      </c>
      <c r="O735" s="438">
        <v>119000</v>
      </c>
      <c r="P735" s="438">
        <v>80920</v>
      </c>
      <c r="Q735" s="438">
        <v>1</v>
      </c>
      <c r="R735" s="438">
        <v>0</v>
      </c>
      <c r="S735" s="438">
        <v>0</v>
      </c>
      <c r="T735" s="438">
        <v>0</v>
      </c>
      <c r="U735" s="438">
        <v>0</v>
      </c>
      <c r="V735" s="438">
        <v>0</v>
      </c>
      <c r="W735" s="438">
        <v>32</v>
      </c>
      <c r="X735" s="438">
        <v>0</v>
      </c>
      <c r="Y735" s="438">
        <v>0</v>
      </c>
      <c r="Z735" s="438">
        <v>0</v>
      </c>
      <c r="AA735" s="438">
        <v>0</v>
      </c>
      <c r="AB735" s="438">
        <v>0</v>
      </c>
      <c r="AC735" s="438">
        <v>119000</v>
      </c>
      <c r="AD735" s="438">
        <v>80920</v>
      </c>
      <c r="AE735" s="438">
        <v>0</v>
      </c>
      <c r="AF735" s="438">
        <v>0</v>
      </c>
      <c r="AG735" s="438">
        <v>119000</v>
      </c>
      <c r="AH735" s="438">
        <v>80920</v>
      </c>
      <c r="AI735" s="438">
        <v>34618</v>
      </c>
      <c r="AJ735" s="438">
        <v>3462</v>
      </c>
      <c r="AK735" s="438">
        <v>38080</v>
      </c>
      <c r="AL735" s="414" t="str">
        <f t="shared" si="67"/>
        <v>워커힐 시그니처 양념 본갈비 300g, 8개</v>
      </c>
      <c r="AM735" s="395">
        <f t="shared" si="68"/>
        <v>46065</v>
      </c>
      <c r="AN735" s="396">
        <f t="shared" si="69"/>
        <v>1</v>
      </c>
      <c r="AO735" s="109">
        <f t="shared" si="70"/>
        <v>119000</v>
      </c>
      <c r="AP735" s="109">
        <f t="shared" si="71"/>
        <v>108181.81818181818</v>
      </c>
      <c r="AQ735" s="397">
        <f t="shared" si="72"/>
        <v>108181.81818181818</v>
      </c>
    </row>
    <row r="736" spans="1:43" ht="24">
      <c r="A736" s="436" t="s">
        <v>5396</v>
      </c>
      <c r="B736" s="436" t="s">
        <v>3490</v>
      </c>
      <c r="C736" s="437" t="s">
        <v>3491</v>
      </c>
      <c r="D736" s="436" t="s">
        <v>5368</v>
      </c>
      <c r="E736" s="437" t="s">
        <v>4486</v>
      </c>
      <c r="F736" s="436" t="s">
        <v>3494</v>
      </c>
      <c r="G736" s="436" t="s">
        <v>3495</v>
      </c>
      <c r="H736" s="437" t="s">
        <v>3496</v>
      </c>
      <c r="I736" s="436" t="s">
        <v>3497</v>
      </c>
      <c r="J736" s="437" t="s">
        <v>3498</v>
      </c>
      <c r="K736" s="437" t="s">
        <v>3499</v>
      </c>
      <c r="L736" s="436" t="s">
        <v>3500</v>
      </c>
      <c r="M736" s="436" t="s">
        <v>4809</v>
      </c>
      <c r="N736" s="436" t="s">
        <v>3502</v>
      </c>
      <c r="O736" s="438">
        <v>119000</v>
      </c>
      <c r="P736" s="438">
        <v>80920</v>
      </c>
      <c r="Q736" s="438">
        <v>1</v>
      </c>
      <c r="R736" s="438">
        <v>0</v>
      </c>
      <c r="S736" s="438">
        <v>0</v>
      </c>
      <c r="T736" s="438">
        <v>0</v>
      </c>
      <c r="U736" s="438">
        <v>0</v>
      </c>
      <c r="V736" s="438">
        <v>0</v>
      </c>
      <c r="W736" s="438">
        <v>32</v>
      </c>
      <c r="X736" s="438">
        <v>0</v>
      </c>
      <c r="Y736" s="438">
        <v>0</v>
      </c>
      <c r="Z736" s="438">
        <v>0</v>
      </c>
      <c r="AA736" s="438">
        <v>0</v>
      </c>
      <c r="AB736" s="438">
        <v>0</v>
      </c>
      <c r="AC736" s="438">
        <v>119000</v>
      </c>
      <c r="AD736" s="438">
        <v>80920</v>
      </c>
      <c r="AE736" s="438">
        <v>0</v>
      </c>
      <c r="AF736" s="438">
        <v>0</v>
      </c>
      <c r="AG736" s="438">
        <v>119000</v>
      </c>
      <c r="AH736" s="438">
        <v>80920</v>
      </c>
      <c r="AI736" s="438">
        <v>34618</v>
      </c>
      <c r="AJ736" s="438">
        <v>3462</v>
      </c>
      <c r="AK736" s="438">
        <v>38080</v>
      </c>
      <c r="AL736" s="414" t="str">
        <f t="shared" si="67"/>
        <v>워커힐 시그니처 양념 본갈비 300g, 8개</v>
      </c>
      <c r="AM736" s="395">
        <f t="shared" si="68"/>
        <v>46065</v>
      </c>
      <c r="AN736" s="396">
        <f t="shared" si="69"/>
        <v>1</v>
      </c>
      <c r="AO736" s="109">
        <f t="shared" si="70"/>
        <v>119000</v>
      </c>
      <c r="AP736" s="109">
        <f t="shared" si="71"/>
        <v>108181.81818181818</v>
      </c>
      <c r="AQ736" s="397">
        <f t="shared" si="72"/>
        <v>108181.81818181818</v>
      </c>
    </row>
    <row r="737" spans="1:43" ht="24">
      <c r="A737" s="436" t="s">
        <v>5399</v>
      </c>
      <c r="B737" s="436" t="s">
        <v>3490</v>
      </c>
      <c r="C737" s="437" t="s">
        <v>3491</v>
      </c>
      <c r="D737" s="436" t="s">
        <v>5490</v>
      </c>
      <c r="E737" s="437" t="s">
        <v>3760</v>
      </c>
      <c r="F737" s="436" t="s">
        <v>3494</v>
      </c>
      <c r="G737" s="436" t="s">
        <v>3495</v>
      </c>
      <c r="H737" s="437" t="s">
        <v>3496</v>
      </c>
      <c r="I737" s="436" t="s">
        <v>3497</v>
      </c>
      <c r="J737" s="437" t="s">
        <v>3498</v>
      </c>
      <c r="K737" s="437" t="s">
        <v>3499</v>
      </c>
      <c r="L737" s="436" t="s">
        <v>3500</v>
      </c>
      <c r="M737" s="436" t="s">
        <v>4809</v>
      </c>
      <c r="N737" s="436" t="s">
        <v>3502</v>
      </c>
      <c r="O737" s="438">
        <v>119000</v>
      </c>
      <c r="P737" s="438">
        <v>80920</v>
      </c>
      <c r="Q737" s="438">
        <v>1</v>
      </c>
      <c r="R737" s="438">
        <v>0</v>
      </c>
      <c r="S737" s="438">
        <v>0</v>
      </c>
      <c r="T737" s="438">
        <v>0</v>
      </c>
      <c r="U737" s="438">
        <v>0</v>
      </c>
      <c r="V737" s="438">
        <v>0</v>
      </c>
      <c r="W737" s="438">
        <v>32</v>
      </c>
      <c r="X737" s="438">
        <v>0</v>
      </c>
      <c r="Y737" s="438">
        <v>0</v>
      </c>
      <c r="Z737" s="438">
        <v>0</v>
      </c>
      <c r="AA737" s="438">
        <v>0</v>
      </c>
      <c r="AB737" s="438">
        <v>0</v>
      </c>
      <c r="AC737" s="438">
        <v>119000</v>
      </c>
      <c r="AD737" s="438">
        <v>80920</v>
      </c>
      <c r="AE737" s="438">
        <v>0</v>
      </c>
      <c r="AF737" s="438">
        <v>0</v>
      </c>
      <c r="AG737" s="438">
        <v>119000</v>
      </c>
      <c r="AH737" s="438">
        <v>80920</v>
      </c>
      <c r="AI737" s="438">
        <v>34618</v>
      </c>
      <c r="AJ737" s="438">
        <v>3462</v>
      </c>
      <c r="AK737" s="438">
        <v>38080</v>
      </c>
      <c r="AL737" s="414" t="str">
        <f t="shared" si="67"/>
        <v>워커힐 시그니처 양념 본갈비 300g, 8개</v>
      </c>
      <c r="AM737" s="395">
        <f t="shared" si="68"/>
        <v>46065</v>
      </c>
      <c r="AN737" s="396">
        <f t="shared" si="69"/>
        <v>1</v>
      </c>
      <c r="AO737" s="109">
        <f t="shared" si="70"/>
        <v>119000</v>
      </c>
      <c r="AP737" s="109">
        <f t="shared" si="71"/>
        <v>108181.81818181818</v>
      </c>
      <c r="AQ737" s="397">
        <f t="shared" si="72"/>
        <v>108181.81818181818</v>
      </c>
    </row>
    <row r="738" spans="1:43" ht="24">
      <c r="A738" s="436" t="s">
        <v>5401</v>
      </c>
      <c r="B738" s="436" t="s">
        <v>3490</v>
      </c>
      <c r="C738" s="437" t="s">
        <v>3491</v>
      </c>
      <c r="D738" s="436" t="s">
        <v>5159</v>
      </c>
      <c r="E738" s="437" t="s">
        <v>3813</v>
      </c>
      <c r="F738" s="436" t="s">
        <v>3494</v>
      </c>
      <c r="G738" s="436" t="s">
        <v>3495</v>
      </c>
      <c r="H738" s="437" t="s">
        <v>3496</v>
      </c>
      <c r="I738" s="436" t="s">
        <v>3497</v>
      </c>
      <c r="J738" s="437" t="s">
        <v>3498</v>
      </c>
      <c r="K738" s="437" t="s">
        <v>3499</v>
      </c>
      <c r="L738" s="436" t="s">
        <v>3500</v>
      </c>
      <c r="M738" s="436" t="s">
        <v>4809</v>
      </c>
      <c r="N738" s="436" t="s">
        <v>3502</v>
      </c>
      <c r="O738" s="438">
        <v>119000</v>
      </c>
      <c r="P738" s="438">
        <v>80920</v>
      </c>
      <c r="Q738" s="438">
        <v>1</v>
      </c>
      <c r="R738" s="438">
        <v>0</v>
      </c>
      <c r="S738" s="438">
        <v>0</v>
      </c>
      <c r="T738" s="438">
        <v>0</v>
      </c>
      <c r="U738" s="438">
        <v>0</v>
      </c>
      <c r="V738" s="438">
        <v>0</v>
      </c>
      <c r="W738" s="438">
        <v>32</v>
      </c>
      <c r="X738" s="438">
        <v>0</v>
      </c>
      <c r="Y738" s="438">
        <v>0</v>
      </c>
      <c r="Z738" s="438">
        <v>0</v>
      </c>
      <c r="AA738" s="438">
        <v>0</v>
      </c>
      <c r="AB738" s="438">
        <v>0</v>
      </c>
      <c r="AC738" s="438">
        <v>119000</v>
      </c>
      <c r="AD738" s="438">
        <v>80920</v>
      </c>
      <c r="AE738" s="438">
        <v>0</v>
      </c>
      <c r="AF738" s="438">
        <v>0</v>
      </c>
      <c r="AG738" s="438">
        <v>119000</v>
      </c>
      <c r="AH738" s="438">
        <v>80920</v>
      </c>
      <c r="AI738" s="438">
        <v>34618</v>
      </c>
      <c r="AJ738" s="438">
        <v>3462</v>
      </c>
      <c r="AK738" s="438">
        <v>38080</v>
      </c>
      <c r="AL738" s="414" t="str">
        <f t="shared" si="67"/>
        <v>워커힐 시그니처 양념 본갈비 300g, 8개</v>
      </c>
      <c r="AM738" s="395">
        <f t="shared" si="68"/>
        <v>46065</v>
      </c>
      <c r="AN738" s="396">
        <f t="shared" si="69"/>
        <v>1</v>
      </c>
      <c r="AO738" s="109">
        <f t="shared" si="70"/>
        <v>119000</v>
      </c>
      <c r="AP738" s="109">
        <f t="shared" si="71"/>
        <v>108181.81818181818</v>
      </c>
      <c r="AQ738" s="397">
        <f t="shared" si="72"/>
        <v>108181.81818181818</v>
      </c>
    </row>
    <row r="739" spans="1:43" ht="24">
      <c r="A739" s="436" t="s">
        <v>5404</v>
      </c>
      <c r="B739" s="436" t="s">
        <v>3490</v>
      </c>
      <c r="C739" s="437" t="s">
        <v>3491</v>
      </c>
      <c r="D739" s="436" t="s">
        <v>5164</v>
      </c>
      <c r="E739" s="437" t="s">
        <v>4225</v>
      </c>
      <c r="F739" s="436" t="s">
        <v>3494</v>
      </c>
      <c r="G739" s="436" t="s">
        <v>3495</v>
      </c>
      <c r="H739" s="437" t="s">
        <v>3496</v>
      </c>
      <c r="I739" s="436" t="s">
        <v>3497</v>
      </c>
      <c r="J739" s="437" t="s">
        <v>3498</v>
      </c>
      <c r="K739" s="437" t="s">
        <v>3499</v>
      </c>
      <c r="L739" s="436" t="s">
        <v>3500</v>
      </c>
      <c r="M739" s="436" t="s">
        <v>4809</v>
      </c>
      <c r="N739" s="436" t="s">
        <v>3502</v>
      </c>
      <c r="O739" s="438">
        <v>119000</v>
      </c>
      <c r="P739" s="438">
        <v>80920</v>
      </c>
      <c r="Q739" s="438">
        <v>1</v>
      </c>
      <c r="R739" s="438">
        <v>0</v>
      </c>
      <c r="S739" s="438">
        <v>0</v>
      </c>
      <c r="T739" s="438">
        <v>0</v>
      </c>
      <c r="U739" s="438">
        <v>0</v>
      </c>
      <c r="V739" s="438">
        <v>0</v>
      </c>
      <c r="W739" s="438">
        <v>32</v>
      </c>
      <c r="X739" s="438">
        <v>0</v>
      </c>
      <c r="Y739" s="438">
        <v>0</v>
      </c>
      <c r="Z739" s="438">
        <v>0</v>
      </c>
      <c r="AA739" s="438">
        <v>0</v>
      </c>
      <c r="AB739" s="438">
        <v>0</v>
      </c>
      <c r="AC739" s="438">
        <v>119000</v>
      </c>
      <c r="AD739" s="438">
        <v>80920</v>
      </c>
      <c r="AE739" s="438">
        <v>0</v>
      </c>
      <c r="AF739" s="438">
        <v>0</v>
      </c>
      <c r="AG739" s="438">
        <v>119000</v>
      </c>
      <c r="AH739" s="438">
        <v>80920</v>
      </c>
      <c r="AI739" s="438">
        <v>34618</v>
      </c>
      <c r="AJ739" s="438">
        <v>3462</v>
      </c>
      <c r="AK739" s="438">
        <v>38080</v>
      </c>
      <c r="AL739" s="414" t="str">
        <f t="shared" si="67"/>
        <v>워커힐 시그니처 양념 본갈비 300g, 8개</v>
      </c>
      <c r="AM739" s="395">
        <f t="shared" si="68"/>
        <v>46065</v>
      </c>
      <c r="AN739" s="396">
        <f t="shared" si="69"/>
        <v>1</v>
      </c>
      <c r="AO739" s="109">
        <f t="shared" si="70"/>
        <v>119000</v>
      </c>
      <c r="AP739" s="109">
        <f t="shared" si="71"/>
        <v>108181.81818181818</v>
      </c>
      <c r="AQ739" s="397">
        <f t="shared" si="72"/>
        <v>108181.81818181818</v>
      </c>
    </row>
    <row r="740" spans="1:43" ht="24">
      <c r="A740" s="436" t="s">
        <v>5406</v>
      </c>
      <c r="B740" s="436" t="s">
        <v>3490</v>
      </c>
      <c r="C740" s="437" t="s">
        <v>3491</v>
      </c>
      <c r="D740" s="436" t="s">
        <v>5166</v>
      </c>
      <c r="E740" s="437" t="s">
        <v>5167</v>
      </c>
      <c r="F740" s="436" t="s">
        <v>3494</v>
      </c>
      <c r="G740" s="436" t="s">
        <v>3495</v>
      </c>
      <c r="H740" s="437" t="s">
        <v>3496</v>
      </c>
      <c r="I740" s="436" t="s">
        <v>3497</v>
      </c>
      <c r="J740" s="437" t="s">
        <v>3498</v>
      </c>
      <c r="K740" s="437" t="s">
        <v>3499</v>
      </c>
      <c r="L740" s="436" t="s">
        <v>3500</v>
      </c>
      <c r="M740" s="436" t="s">
        <v>4809</v>
      </c>
      <c r="N740" s="436" t="s">
        <v>3502</v>
      </c>
      <c r="O740" s="438">
        <v>119000</v>
      </c>
      <c r="P740" s="438">
        <v>80920</v>
      </c>
      <c r="Q740" s="438">
        <v>1</v>
      </c>
      <c r="R740" s="438">
        <v>0</v>
      </c>
      <c r="S740" s="438">
        <v>0</v>
      </c>
      <c r="T740" s="438">
        <v>0</v>
      </c>
      <c r="U740" s="438">
        <v>0</v>
      </c>
      <c r="V740" s="438">
        <v>0</v>
      </c>
      <c r="W740" s="438">
        <v>32</v>
      </c>
      <c r="X740" s="438">
        <v>0</v>
      </c>
      <c r="Y740" s="438">
        <v>0</v>
      </c>
      <c r="Z740" s="438">
        <v>0</v>
      </c>
      <c r="AA740" s="438">
        <v>0</v>
      </c>
      <c r="AB740" s="438">
        <v>0</v>
      </c>
      <c r="AC740" s="438">
        <v>119000</v>
      </c>
      <c r="AD740" s="438">
        <v>80920</v>
      </c>
      <c r="AE740" s="438">
        <v>0</v>
      </c>
      <c r="AF740" s="438">
        <v>0</v>
      </c>
      <c r="AG740" s="438">
        <v>119000</v>
      </c>
      <c r="AH740" s="438">
        <v>80920</v>
      </c>
      <c r="AI740" s="438">
        <v>34618</v>
      </c>
      <c r="AJ740" s="438">
        <v>3462</v>
      </c>
      <c r="AK740" s="438">
        <v>38080</v>
      </c>
      <c r="AL740" s="414" t="str">
        <f t="shared" si="67"/>
        <v>워커힐 시그니처 양념 본갈비 300g, 8개</v>
      </c>
      <c r="AM740" s="395">
        <f t="shared" si="68"/>
        <v>46065</v>
      </c>
      <c r="AN740" s="396">
        <f t="shared" si="69"/>
        <v>1</v>
      </c>
      <c r="AO740" s="109">
        <f t="shared" si="70"/>
        <v>119000</v>
      </c>
      <c r="AP740" s="109">
        <f t="shared" si="71"/>
        <v>108181.81818181818</v>
      </c>
      <c r="AQ740" s="397">
        <f t="shared" si="72"/>
        <v>108181.81818181818</v>
      </c>
    </row>
    <row r="741" spans="1:43" ht="24">
      <c r="A741" s="436" t="s">
        <v>5408</v>
      </c>
      <c r="B741" s="436" t="s">
        <v>3490</v>
      </c>
      <c r="C741" s="437" t="s">
        <v>3491</v>
      </c>
      <c r="D741" s="436" t="s">
        <v>5169</v>
      </c>
      <c r="E741" s="437" t="s">
        <v>5170</v>
      </c>
      <c r="F741" s="436" t="s">
        <v>3494</v>
      </c>
      <c r="G741" s="436" t="s">
        <v>3495</v>
      </c>
      <c r="H741" s="437" t="s">
        <v>3496</v>
      </c>
      <c r="I741" s="436" t="s">
        <v>3497</v>
      </c>
      <c r="J741" s="437" t="s">
        <v>3498</v>
      </c>
      <c r="K741" s="437" t="s">
        <v>3499</v>
      </c>
      <c r="L741" s="436" t="s">
        <v>3500</v>
      </c>
      <c r="M741" s="436" t="s">
        <v>4809</v>
      </c>
      <c r="N741" s="436" t="s">
        <v>3502</v>
      </c>
      <c r="O741" s="438">
        <v>119000</v>
      </c>
      <c r="P741" s="438">
        <v>80920</v>
      </c>
      <c r="Q741" s="438">
        <v>1</v>
      </c>
      <c r="R741" s="438">
        <v>0</v>
      </c>
      <c r="S741" s="438">
        <v>0</v>
      </c>
      <c r="T741" s="438">
        <v>0</v>
      </c>
      <c r="U741" s="438">
        <v>0</v>
      </c>
      <c r="V741" s="438">
        <v>0</v>
      </c>
      <c r="W741" s="438">
        <v>32</v>
      </c>
      <c r="X741" s="438">
        <v>0</v>
      </c>
      <c r="Y741" s="438">
        <v>0</v>
      </c>
      <c r="Z741" s="438">
        <v>0</v>
      </c>
      <c r="AA741" s="438">
        <v>0</v>
      </c>
      <c r="AB741" s="438">
        <v>0</v>
      </c>
      <c r="AC741" s="438">
        <v>119000</v>
      </c>
      <c r="AD741" s="438">
        <v>80920</v>
      </c>
      <c r="AE741" s="438">
        <v>0</v>
      </c>
      <c r="AF741" s="438">
        <v>0</v>
      </c>
      <c r="AG741" s="438">
        <v>119000</v>
      </c>
      <c r="AH741" s="438">
        <v>80920</v>
      </c>
      <c r="AI741" s="438">
        <v>34618</v>
      </c>
      <c r="AJ741" s="438">
        <v>3462</v>
      </c>
      <c r="AK741" s="438">
        <v>38080</v>
      </c>
      <c r="AL741" s="414" t="str">
        <f t="shared" si="67"/>
        <v>워커힐 시그니처 양념 본갈비 300g, 8개</v>
      </c>
      <c r="AM741" s="395">
        <f t="shared" si="68"/>
        <v>46065</v>
      </c>
      <c r="AN741" s="396">
        <f t="shared" si="69"/>
        <v>1</v>
      </c>
      <c r="AO741" s="109">
        <f t="shared" si="70"/>
        <v>119000</v>
      </c>
      <c r="AP741" s="109">
        <f t="shared" si="71"/>
        <v>108181.81818181818</v>
      </c>
      <c r="AQ741" s="397">
        <f t="shared" si="72"/>
        <v>108181.81818181818</v>
      </c>
    </row>
    <row r="742" spans="1:43" ht="24">
      <c r="A742" s="436" t="s">
        <v>5411</v>
      </c>
      <c r="B742" s="436" t="s">
        <v>3490</v>
      </c>
      <c r="C742" s="437" t="s">
        <v>3491</v>
      </c>
      <c r="D742" s="436" t="s">
        <v>5508</v>
      </c>
      <c r="E742" s="437" t="s">
        <v>4062</v>
      </c>
      <c r="F742" s="436" t="s">
        <v>3494</v>
      </c>
      <c r="G742" s="436" t="s">
        <v>3495</v>
      </c>
      <c r="H742" s="437" t="s">
        <v>3496</v>
      </c>
      <c r="I742" s="436" t="s">
        <v>3497</v>
      </c>
      <c r="J742" s="437" t="s">
        <v>3498</v>
      </c>
      <c r="K742" s="437" t="s">
        <v>3499</v>
      </c>
      <c r="L742" s="436" t="s">
        <v>3500</v>
      </c>
      <c r="M742" s="436" t="s">
        <v>4809</v>
      </c>
      <c r="N742" s="436" t="s">
        <v>3502</v>
      </c>
      <c r="O742" s="438">
        <v>119000</v>
      </c>
      <c r="P742" s="438">
        <v>80920</v>
      </c>
      <c r="Q742" s="438">
        <v>1</v>
      </c>
      <c r="R742" s="438">
        <v>0</v>
      </c>
      <c r="S742" s="438">
        <v>0</v>
      </c>
      <c r="T742" s="438">
        <v>0</v>
      </c>
      <c r="U742" s="438">
        <v>0</v>
      </c>
      <c r="V742" s="438">
        <v>0</v>
      </c>
      <c r="W742" s="438">
        <v>32</v>
      </c>
      <c r="X742" s="438">
        <v>17850</v>
      </c>
      <c r="Y742" s="438">
        <v>0</v>
      </c>
      <c r="Z742" s="438">
        <v>0</v>
      </c>
      <c r="AA742" s="438">
        <v>0</v>
      </c>
      <c r="AB742" s="438">
        <v>0</v>
      </c>
      <c r="AC742" s="438">
        <v>119000</v>
      </c>
      <c r="AD742" s="438">
        <v>80920</v>
      </c>
      <c r="AE742" s="438">
        <v>0</v>
      </c>
      <c r="AF742" s="438">
        <v>17850</v>
      </c>
      <c r="AG742" s="438">
        <v>101150</v>
      </c>
      <c r="AH742" s="438">
        <v>80920</v>
      </c>
      <c r="AI742" s="438">
        <v>18391</v>
      </c>
      <c r="AJ742" s="438">
        <v>1839</v>
      </c>
      <c r="AK742" s="438">
        <v>20230</v>
      </c>
      <c r="AL742" s="414" t="str">
        <f t="shared" si="67"/>
        <v>워커힐 시그니처 양념 본갈비 300g, 8개</v>
      </c>
      <c r="AM742" s="395">
        <f t="shared" si="68"/>
        <v>46065</v>
      </c>
      <c r="AN742" s="396">
        <f t="shared" si="69"/>
        <v>1</v>
      </c>
      <c r="AO742" s="109">
        <f t="shared" si="70"/>
        <v>119000</v>
      </c>
      <c r="AP742" s="109">
        <f t="shared" si="71"/>
        <v>108181.81818181818</v>
      </c>
      <c r="AQ742" s="397">
        <f t="shared" si="72"/>
        <v>108181.81818181818</v>
      </c>
    </row>
    <row r="743" spans="1:43" ht="24">
      <c r="A743" s="436" t="s">
        <v>5413</v>
      </c>
      <c r="B743" s="436" t="s">
        <v>3490</v>
      </c>
      <c r="C743" s="437" t="s">
        <v>3491</v>
      </c>
      <c r="D743" s="436" t="s">
        <v>5177</v>
      </c>
      <c r="E743" s="437" t="s">
        <v>4246</v>
      </c>
      <c r="F743" s="436" t="s">
        <v>3494</v>
      </c>
      <c r="G743" s="436" t="s">
        <v>3495</v>
      </c>
      <c r="H743" s="437" t="s">
        <v>3496</v>
      </c>
      <c r="I743" s="436" t="s">
        <v>3497</v>
      </c>
      <c r="J743" s="437" t="s">
        <v>3498</v>
      </c>
      <c r="K743" s="437" t="s">
        <v>3499</v>
      </c>
      <c r="L743" s="436" t="s">
        <v>3500</v>
      </c>
      <c r="M743" s="436" t="s">
        <v>4809</v>
      </c>
      <c r="N743" s="436" t="s">
        <v>3502</v>
      </c>
      <c r="O743" s="438">
        <v>119000</v>
      </c>
      <c r="P743" s="438">
        <v>80920</v>
      </c>
      <c r="Q743" s="438">
        <v>1</v>
      </c>
      <c r="R743" s="438">
        <v>0</v>
      </c>
      <c r="S743" s="438">
        <v>0</v>
      </c>
      <c r="T743" s="438">
        <v>0</v>
      </c>
      <c r="U743" s="438">
        <v>0</v>
      </c>
      <c r="V743" s="438">
        <v>0</v>
      </c>
      <c r="W743" s="438">
        <v>32</v>
      </c>
      <c r="X743" s="438">
        <v>0</v>
      </c>
      <c r="Y743" s="438">
        <v>0</v>
      </c>
      <c r="Z743" s="438">
        <v>0</v>
      </c>
      <c r="AA743" s="438">
        <v>0</v>
      </c>
      <c r="AB743" s="438">
        <v>0</v>
      </c>
      <c r="AC743" s="438">
        <v>119000</v>
      </c>
      <c r="AD743" s="438">
        <v>80920</v>
      </c>
      <c r="AE743" s="438">
        <v>0</v>
      </c>
      <c r="AF743" s="438">
        <v>0</v>
      </c>
      <c r="AG743" s="438">
        <v>119000</v>
      </c>
      <c r="AH743" s="438">
        <v>80920</v>
      </c>
      <c r="AI743" s="438">
        <v>34618</v>
      </c>
      <c r="AJ743" s="438">
        <v>3462</v>
      </c>
      <c r="AK743" s="438">
        <v>38080</v>
      </c>
      <c r="AL743" s="414" t="str">
        <f t="shared" si="67"/>
        <v>워커힐 시그니처 양념 본갈비 300g, 8개</v>
      </c>
      <c r="AM743" s="395">
        <f t="shared" si="68"/>
        <v>46065</v>
      </c>
      <c r="AN743" s="396">
        <f t="shared" si="69"/>
        <v>1</v>
      </c>
      <c r="AO743" s="109">
        <f t="shared" si="70"/>
        <v>119000</v>
      </c>
      <c r="AP743" s="109">
        <f t="shared" si="71"/>
        <v>108181.81818181818</v>
      </c>
      <c r="AQ743" s="397">
        <f t="shared" si="72"/>
        <v>108181.81818181818</v>
      </c>
    </row>
    <row r="744" spans="1:43" ht="24">
      <c r="A744" s="436" t="s">
        <v>5416</v>
      </c>
      <c r="B744" s="436" t="s">
        <v>3490</v>
      </c>
      <c r="C744" s="437" t="s">
        <v>3491</v>
      </c>
      <c r="D744" s="436" t="s">
        <v>5179</v>
      </c>
      <c r="E744" s="437" t="s">
        <v>3763</v>
      </c>
      <c r="F744" s="436" t="s">
        <v>3494</v>
      </c>
      <c r="G744" s="436" t="s">
        <v>3495</v>
      </c>
      <c r="H744" s="437" t="s">
        <v>3496</v>
      </c>
      <c r="I744" s="436" t="s">
        <v>3497</v>
      </c>
      <c r="J744" s="437" t="s">
        <v>3498</v>
      </c>
      <c r="K744" s="437" t="s">
        <v>3499</v>
      </c>
      <c r="L744" s="436" t="s">
        <v>3500</v>
      </c>
      <c r="M744" s="436" t="s">
        <v>4809</v>
      </c>
      <c r="N744" s="436" t="s">
        <v>3502</v>
      </c>
      <c r="O744" s="438">
        <v>119000</v>
      </c>
      <c r="P744" s="438">
        <v>80920</v>
      </c>
      <c r="Q744" s="438">
        <v>1</v>
      </c>
      <c r="R744" s="438">
        <v>0</v>
      </c>
      <c r="S744" s="438">
        <v>0</v>
      </c>
      <c r="T744" s="438">
        <v>0</v>
      </c>
      <c r="U744" s="438">
        <v>0</v>
      </c>
      <c r="V744" s="438">
        <v>0</v>
      </c>
      <c r="W744" s="438">
        <v>32</v>
      </c>
      <c r="X744" s="438">
        <v>0</v>
      </c>
      <c r="Y744" s="438">
        <v>0</v>
      </c>
      <c r="Z744" s="438">
        <v>0</v>
      </c>
      <c r="AA744" s="438">
        <v>0</v>
      </c>
      <c r="AB744" s="438">
        <v>0</v>
      </c>
      <c r="AC744" s="438">
        <v>119000</v>
      </c>
      <c r="AD744" s="438">
        <v>80920</v>
      </c>
      <c r="AE744" s="438">
        <v>0</v>
      </c>
      <c r="AF744" s="438">
        <v>0</v>
      </c>
      <c r="AG744" s="438">
        <v>119000</v>
      </c>
      <c r="AH744" s="438">
        <v>80920</v>
      </c>
      <c r="AI744" s="438">
        <v>34618</v>
      </c>
      <c r="AJ744" s="438">
        <v>3462</v>
      </c>
      <c r="AK744" s="438">
        <v>38080</v>
      </c>
      <c r="AL744" s="414" t="str">
        <f t="shared" si="67"/>
        <v>워커힐 시그니처 양념 본갈비 300g, 8개</v>
      </c>
      <c r="AM744" s="395">
        <f t="shared" si="68"/>
        <v>46065</v>
      </c>
      <c r="AN744" s="396">
        <f t="shared" si="69"/>
        <v>1</v>
      </c>
      <c r="AO744" s="109">
        <f t="shared" si="70"/>
        <v>119000</v>
      </c>
      <c r="AP744" s="109">
        <f t="shared" si="71"/>
        <v>108181.81818181818</v>
      </c>
      <c r="AQ744" s="397">
        <f t="shared" si="72"/>
        <v>108181.81818181818</v>
      </c>
    </row>
    <row r="745" spans="1:43" ht="24">
      <c r="A745" s="436" t="s">
        <v>5418</v>
      </c>
      <c r="B745" s="436" t="s">
        <v>3490</v>
      </c>
      <c r="C745" s="437" t="s">
        <v>3491</v>
      </c>
      <c r="D745" s="436" t="s">
        <v>5183</v>
      </c>
      <c r="E745" s="437" t="s">
        <v>5184</v>
      </c>
      <c r="F745" s="436" t="s">
        <v>3494</v>
      </c>
      <c r="G745" s="436" t="s">
        <v>3495</v>
      </c>
      <c r="H745" s="437" t="s">
        <v>3496</v>
      </c>
      <c r="I745" s="436" t="s">
        <v>3497</v>
      </c>
      <c r="J745" s="437" t="s">
        <v>3498</v>
      </c>
      <c r="K745" s="437" t="s">
        <v>3499</v>
      </c>
      <c r="L745" s="436" t="s">
        <v>3500</v>
      </c>
      <c r="M745" s="436" t="s">
        <v>4809</v>
      </c>
      <c r="N745" s="436" t="s">
        <v>3502</v>
      </c>
      <c r="O745" s="438">
        <v>119000</v>
      </c>
      <c r="P745" s="438">
        <v>80920</v>
      </c>
      <c r="Q745" s="438">
        <v>1</v>
      </c>
      <c r="R745" s="438">
        <v>0</v>
      </c>
      <c r="S745" s="438">
        <v>0</v>
      </c>
      <c r="T745" s="438">
        <v>0</v>
      </c>
      <c r="U745" s="438">
        <v>0</v>
      </c>
      <c r="V745" s="438">
        <v>0</v>
      </c>
      <c r="W745" s="438">
        <v>32</v>
      </c>
      <c r="X745" s="438">
        <v>0</v>
      </c>
      <c r="Y745" s="438">
        <v>0</v>
      </c>
      <c r="Z745" s="438">
        <v>0</v>
      </c>
      <c r="AA745" s="438">
        <v>0</v>
      </c>
      <c r="AB745" s="438">
        <v>0</v>
      </c>
      <c r="AC745" s="438">
        <v>119000</v>
      </c>
      <c r="AD745" s="438">
        <v>80920</v>
      </c>
      <c r="AE745" s="438">
        <v>0</v>
      </c>
      <c r="AF745" s="438">
        <v>0</v>
      </c>
      <c r="AG745" s="438">
        <v>119000</v>
      </c>
      <c r="AH745" s="438">
        <v>80920</v>
      </c>
      <c r="AI745" s="438">
        <v>34618</v>
      </c>
      <c r="AJ745" s="438">
        <v>3462</v>
      </c>
      <c r="AK745" s="438">
        <v>38080</v>
      </c>
      <c r="AL745" s="414" t="str">
        <f t="shared" si="67"/>
        <v>워커힐 시그니처 양념 본갈비 300g, 8개</v>
      </c>
      <c r="AM745" s="395">
        <f t="shared" si="68"/>
        <v>46065</v>
      </c>
      <c r="AN745" s="396">
        <f t="shared" si="69"/>
        <v>1</v>
      </c>
      <c r="AO745" s="109">
        <f t="shared" si="70"/>
        <v>119000</v>
      </c>
      <c r="AP745" s="109">
        <f t="shared" si="71"/>
        <v>108181.81818181818</v>
      </c>
      <c r="AQ745" s="397">
        <f t="shared" si="72"/>
        <v>108181.81818181818</v>
      </c>
    </row>
    <row r="746" spans="1:43" ht="24">
      <c r="A746" s="436" t="s">
        <v>5421</v>
      </c>
      <c r="B746" s="436" t="s">
        <v>3490</v>
      </c>
      <c r="C746" s="437" t="s">
        <v>3491</v>
      </c>
      <c r="D746" s="436" t="s">
        <v>5200</v>
      </c>
      <c r="E746" s="437" t="s">
        <v>3829</v>
      </c>
      <c r="F746" s="436" t="s">
        <v>3494</v>
      </c>
      <c r="G746" s="436" t="s">
        <v>3495</v>
      </c>
      <c r="H746" s="437" t="s">
        <v>3496</v>
      </c>
      <c r="I746" s="436" t="s">
        <v>3497</v>
      </c>
      <c r="J746" s="437" t="s">
        <v>3498</v>
      </c>
      <c r="K746" s="437" t="s">
        <v>3499</v>
      </c>
      <c r="L746" s="436" t="s">
        <v>3500</v>
      </c>
      <c r="M746" s="436" t="s">
        <v>4809</v>
      </c>
      <c r="N746" s="436" t="s">
        <v>3502</v>
      </c>
      <c r="O746" s="438">
        <v>119000</v>
      </c>
      <c r="P746" s="438">
        <v>80920</v>
      </c>
      <c r="Q746" s="438">
        <v>1</v>
      </c>
      <c r="R746" s="438">
        <v>0</v>
      </c>
      <c r="S746" s="438">
        <v>0</v>
      </c>
      <c r="T746" s="438">
        <v>0</v>
      </c>
      <c r="U746" s="438">
        <v>0</v>
      </c>
      <c r="V746" s="438">
        <v>0</v>
      </c>
      <c r="W746" s="438">
        <v>32</v>
      </c>
      <c r="X746" s="438">
        <v>0</v>
      </c>
      <c r="Y746" s="438">
        <v>0</v>
      </c>
      <c r="Z746" s="438">
        <v>0</v>
      </c>
      <c r="AA746" s="438">
        <v>0</v>
      </c>
      <c r="AB746" s="438">
        <v>0</v>
      </c>
      <c r="AC746" s="438">
        <v>119000</v>
      </c>
      <c r="AD746" s="438">
        <v>80920</v>
      </c>
      <c r="AE746" s="438">
        <v>0</v>
      </c>
      <c r="AF746" s="438">
        <v>0</v>
      </c>
      <c r="AG746" s="438">
        <v>119000</v>
      </c>
      <c r="AH746" s="438">
        <v>80920</v>
      </c>
      <c r="AI746" s="438">
        <v>34618</v>
      </c>
      <c r="AJ746" s="438">
        <v>3462</v>
      </c>
      <c r="AK746" s="438">
        <v>38080</v>
      </c>
      <c r="AL746" s="414" t="str">
        <f t="shared" si="67"/>
        <v>워커힐 시그니처 양념 본갈비 300g, 8개</v>
      </c>
      <c r="AM746" s="395">
        <f t="shared" si="68"/>
        <v>46065</v>
      </c>
      <c r="AN746" s="396">
        <f t="shared" si="69"/>
        <v>1</v>
      </c>
      <c r="AO746" s="109">
        <f t="shared" si="70"/>
        <v>119000</v>
      </c>
      <c r="AP746" s="109">
        <f t="shared" si="71"/>
        <v>108181.81818181818</v>
      </c>
      <c r="AQ746" s="397">
        <f t="shared" si="72"/>
        <v>108181.81818181818</v>
      </c>
    </row>
    <row r="747" spans="1:43" ht="24">
      <c r="A747" s="436" t="s">
        <v>5424</v>
      </c>
      <c r="B747" s="436" t="s">
        <v>3490</v>
      </c>
      <c r="C747" s="437" t="s">
        <v>3491</v>
      </c>
      <c r="D747" s="436" t="s">
        <v>5231</v>
      </c>
      <c r="E747" s="437" t="s">
        <v>5232</v>
      </c>
      <c r="F747" s="436" t="s">
        <v>3494</v>
      </c>
      <c r="G747" s="436" t="s">
        <v>3495</v>
      </c>
      <c r="H747" s="437" t="s">
        <v>3496</v>
      </c>
      <c r="I747" s="436" t="s">
        <v>3497</v>
      </c>
      <c r="J747" s="437" t="s">
        <v>3498</v>
      </c>
      <c r="K747" s="437" t="s">
        <v>3548</v>
      </c>
      <c r="L747" s="436" t="s">
        <v>3500</v>
      </c>
      <c r="M747" s="436" t="s">
        <v>4809</v>
      </c>
      <c r="N747" s="436" t="s">
        <v>3502</v>
      </c>
      <c r="O747" s="438">
        <v>119000</v>
      </c>
      <c r="P747" s="438">
        <v>80920</v>
      </c>
      <c r="Q747" s="438">
        <v>1</v>
      </c>
      <c r="R747" s="438">
        <v>0</v>
      </c>
      <c r="S747" s="438">
        <v>0</v>
      </c>
      <c r="T747" s="438">
        <v>0</v>
      </c>
      <c r="U747" s="438">
        <v>0</v>
      </c>
      <c r="V747" s="438">
        <v>0</v>
      </c>
      <c r="W747" s="438">
        <v>32</v>
      </c>
      <c r="X747" s="438">
        <v>0</v>
      </c>
      <c r="Y747" s="438">
        <v>0</v>
      </c>
      <c r="Z747" s="438">
        <v>0</v>
      </c>
      <c r="AA747" s="438">
        <v>0</v>
      </c>
      <c r="AB747" s="438">
        <v>0</v>
      </c>
      <c r="AC747" s="438">
        <v>119000</v>
      </c>
      <c r="AD747" s="438">
        <v>80920</v>
      </c>
      <c r="AE747" s="438">
        <v>0</v>
      </c>
      <c r="AF747" s="438">
        <v>0</v>
      </c>
      <c r="AG747" s="438">
        <v>119000</v>
      </c>
      <c r="AH747" s="438">
        <v>80920</v>
      </c>
      <c r="AI747" s="438">
        <v>34618</v>
      </c>
      <c r="AJ747" s="438">
        <v>3462</v>
      </c>
      <c r="AK747" s="438">
        <v>38080</v>
      </c>
      <c r="AL747" s="414" t="str">
        <f t="shared" si="67"/>
        <v>워커힐 시그니처 양념 본갈비 300g, 8개</v>
      </c>
      <c r="AM747" s="395">
        <f t="shared" si="68"/>
        <v>46065</v>
      </c>
      <c r="AN747" s="396">
        <f t="shared" si="69"/>
        <v>1</v>
      </c>
      <c r="AO747" s="109">
        <f t="shared" si="70"/>
        <v>119000</v>
      </c>
      <c r="AP747" s="109">
        <f t="shared" si="71"/>
        <v>108181.81818181818</v>
      </c>
      <c r="AQ747" s="397">
        <f t="shared" si="72"/>
        <v>108181.81818181818</v>
      </c>
    </row>
    <row r="748" spans="1:43" ht="24">
      <c r="A748" s="436" t="s">
        <v>5427</v>
      </c>
      <c r="B748" s="436" t="s">
        <v>3490</v>
      </c>
      <c r="C748" s="437" t="s">
        <v>3491</v>
      </c>
      <c r="D748" s="436" t="s">
        <v>5517</v>
      </c>
      <c r="E748" s="437" t="s">
        <v>5518</v>
      </c>
      <c r="F748" s="436" t="s">
        <v>3494</v>
      </c>
      <c r="G748" s="436" t="s">
        <v>3495</v>
      </c>
      <c r="H748" s="437" t="s">
        <v>3496</v>
      </c>
      <c r="I748" s="436" t="s">
        <v>3497</v>
      </c>
      <c r="J748" s="437" t="s">
        <v>3498</v>
      </c>
      <c r="K748" s="437" t="s">
        <v>3499</v>
      </c>
      <c r="L748" s="436" t="s">
        <v>3500</v>
      </c>
      <c r="M748" s="436" t="s">
        <v>4809</v>
      </c>
      <c r="N748" s="436" t="s">
        <v>3502</v>
      </c>
      <c r="O748" s="438">
        <v>119000</v>
      </c>
      <c r="P748" s="438">
        <v>80920</v>
      </c>
      <c r="Q748" s="438">
        <v>1</v>
      </c>
      <c r="R748" s="438">
        <v>0</v>
      </c>
      <c r="S748" s="438">
        <v>0</v>
      </c>
      <c r="T748" s="438">
        <v>0</v>
      </c>
      <c r="U748" s="438">
        <v>0</v>
      </c>
      <c r="V748" s="438">
        <v>0</v>
      </c>
      <c r="W748" s="438">
        <v>32</v>
      </c>
      <c r="X748" s="438">
        <v>0</v>
      </c>
      <c r="Y748" s="438">
        <v>0</v>
      </c>
      <c r="Z748" s="438">
        <v>0</v>
      </c>
      <c r="AA748" s="438">
        <v>0</v>
      </c>
      <c r="AB748" s="438">
        <v>0</v>
      </c>
      <c r="AC748" s="438">
        <v>119000</v>
      </c>
      <c r="AD748" s="438">
        <v>80920</v>
      </c>
      <c r="AE748" s="438">
        <v>0</v>
      </c>
      <c r="AF748" s="438">
        <v>0</v>
      </c>
      <c r="AG748" s="438">
        <v>119000</v>
      </c>
      <c r="AH748" s="438">
        <v>80920</v>
      </c>
      <c r="AI748" s="438">
        <v>34618</v>
      </c>
      <c r="AJ748" s="438">
        <v>3462</v>
      </c>
      <c r="AK748" s="438">
        <v>38080</v>
      </c>
      <c r="AL748" s="414" t="str">
        <f t="shared" si="67"/>
        <v>워커힐 시그니처 양념 본갈비 300g, 8개</v>
      </c>
      <c r="AM748" s="395">
        <f t="shared" si="68"/>
        <v>46065</v>
      </c>
      <c r="AN748" s="396">
        <f t="shared" si="69"/>
        <v>1</v>
      </c>
      <c r="AO748" s="109">
        <f t="shared" si="70"/>
        <v>119000</v>
      </c>
      <c r="AP748" s="109">
        <f t="shared" si="71"/>
        <v>108181.81818181818</v>
      </c>
      <c r="AQ748" s="397">
        <f t="shared" si="72"/>
        <v>108181.81818181818</v>
      </c>
    </row>
    <row r="749" spans="1:43" ht="24">
      <c r="A749" s="436" t="s">
        <v>5430</v>
      </c>
      <c r="B749" s="436" t="s">
        <v>3490</v>
      </c>
      <c r="C749" s="437" t="s">
        <v>3491</v>
      </c>
      <c r="D749" s="436" t="s">
        <v>5520</v>
      </c>
      <c r="E749" s="437" t="s">
        <v>4056</v>
      </c>
      <c r="F749" s="436" t="s">
        <v>3494</v>
      </c>
      <c r="G749" s="436" t="s">
        <v>3495</v>
      </c>
      <c r="H749" s="437" t="s">
        <v>3496</v>
      </c>
      <c r="I749" s="436" t="s">
        <v>3497</v>
      </c>
      <c r="J749" s="437" t="s">
        <v>3498</v>
      </c>
      <c r="K749" s="437" t="s">
        <v>163</v>
      </c>
      <c r="L749" s="436" t="s">
        <v>3500</v>
      </c>
      <c r="M749" s="436" t="s">
        <v>4809</v>
      </c>
      <c r="N749" s="436" t="s">
        <v>3502</v>
      </c>
      <c r="O749" s="438">
        <v>119000</v>
      </c>
      <c r="P749" s="438">
        <v>80920</v>
      </c>
      <c r="Q749" s="438">
        <v>1</v>
      </c>
      <c r="R749" s="438">
        <v>0</v>
      </c>
      <c r="S749" s="438">
        <v>0</v>
      </c>
      <c r="T749" s="438">
        <v>0</v>
      </c>
      <c r="U749" s="438">
        <v>0</v>
      </c>
      <c r="V749" s="438">
        <v>0</v>
      </c>
      <c r="W749" s="438">
        <v>32</v>
      </c>
      <c r="X749" s="438">
        <v>0</v>
      </c>
      <c r="Y749" s="438">
        <v>5950</v>
      </c>
      <c r="Z749" s="438">
        <v>0</v>
      </c>
      <c r="AA749" s="438">
        <v>0</v>
      </c>
      <c r="AB749" s="438">
        <v>0</v>
      </c>
      <c r="AC749" s="438">
        <v>119000</v>
      </c>
      <c r="AD749" s="438">
        <v>80920</v>
      </c>
      <c r="AE749" s="438">
        <v>0</v>
      </c>
      <c r="AF749" s="438">
        <v>5950</v>
      </c>
      <c r="AG749" s="438">
        <v>113050</v>
      </c>
      <c r="AH749" s="438">
        <v>80920</v>
      </c>
      <c r="AI749" s="438">
        <v>29209</v>
      </c>
      <c r="AJ749" s="438">
        <v>2921</v>
      </c>
      <c r="AK749" s="438">
        <v>32130</v>
      </c>
      <c r="AL749" s="414" t="str">
        <f t="shared" si="67"/>
        <v>워커힐 시그니처 양념 본갈비 300g, 8개</v>
      </c>
      <c r="AM749" s="395">
        <f t="shared" si="68"/>
        <v>46065</v>
      </c>
      <c r="AN749" s="396">
        <f t="shared" si="69"/>
        <v>1</v>
      </c>
      <c r="AO749" s="109">
        <f t="shared" si="70"/>
        <v>119000</v>
      </c>
      <c r="AP749" s="109">
        <f t="shared" si="71"/>
        <v>108181.81818181818</v>
      </c>
      <c r="AQ749" s="397">
        <f t="shared" si="72"/>
        <v>108181.81818181818</v>
      </c>
    </row>
    <row r="750" spans="1:43" ht="24">
      <c r="A750" s="436" t="s">
        <v>5433</v>
      </c>
      <c r="B750" s="436" t="s">
        <v>3490</v>
      </c>
      <c r="C750" s="437" t="s">
        <v>3491</v>
      </c>
      <c r="D750" s="436" t="s">
        <v>5397</v>
      </c>
      <c r="E750" s="437" t="s">
        <v>5398</v>
      </c>
      <c r="F750" s="436" t="s">
        <v>3494</v>
      </c>
      <c r="G750" s="436" t="s">
        <v>3495</v>
      </c>
      <c r="H750" s="437" t="s">
        <v>3496</v>
      </c>
      <c r="I750" s="436" t="s">
        <v>3497</v>
      </c>
      <c r="J750" s="437" t="s">
        <v>3498</v>
      </c>
      <c r="K750" s="437" t="s">
        <v>3499</v>
      </c>
      <c r="L750" s="436" t="s">
        <v>3500</v>
      </c>
      <c r="M750" s="436" t="s">
        <v>4809</v>
      </c>
      <c r="N750" s="436" t="s">
        <v>3502</v>
      </c>
      <c r="O750" s="438">
        <v>119000</v>
      </c>
      <c r="P750" s="438">
        <v>80920</v>
      </c>
      <c r="Q750" s="438">
        <v>1</v>
      </c>
      <c r="R750" s="438">
        <v>0</v>
      </c>
      <c r="S750" s="438">
        <v>0</v>
      </c>
      <c r="T750" s="438">
        <v>0</v>
      </c>
      <c r="U750" s="438">
        <v>0</v>
      </c>
      <c r="V750" s="438">
        <v>0</v>
      </c>
      <c r="W750" s="438">
        <v>32</v>
      </c>
      <c r="X750" s="438">
        <v>0</v>
      </c>
      <c r="Y750" s="438">
        <v>0</v>
      </c>
      <c r="Z750" s="438">
        <v>0</v>
      </c>
      <c r="AA750" s="438">
        <v>0</v>
      </c>
      <c r="AB750" s="438">
        <v>0</v>
      </c>
      <c r="AC750" s="438">
        <v>119000</v>
      </c>
      <c r="AD750" s="438">
        <v>80920</v>
      </c>
      <c r="AE750" s="438">
        <v>0</v>
      </c>
      <c r="AF750" s="438">
        <v>0</v>
      </c>
      <c r="AG750" s="438">
        <v>119000</v>
      </c>
      <c r="AH750" s="438">
        <v>80920</v>
      </c>
      <c r="AI750" s="438">
        <v>34618</v>
      </c>
      <c r="AJ750" s="438">
        <v>3462</v>
      </c>
      <c r="AK750" s="438">
        <v>38080</v>
      </c>
      <c r="AL750" s="414" t="str">
        <f t="shared" si="67"/>
        <v>워커힐 시그니처 양념 본갈비 300g, 8개</v>
      </c>
      <c r="AM750" s="395">
        <f t="shared" si="68"/>
        <v>46065</v>
      </c>
      <c r="AN750" s="396">
        <f t="shared" si="69"/>
        <v>1</v>
      </c>
      <c r="AO750" s="109">
        <f t="shared" si="70"/>
        <v>119000</v>
      </c>
      <c r="AP750" s="109">
        <f t="shared" si="71"/>
        <v>108181.81818181818</v>
      </c>
      <c r="AQ750" s="397">
        <f t="shared" si="72"/>
        <v>108181.81818181818</v>
      </c>
    </row>
    <row r="751" spans="1:43" ht="24">
      <c r="A751" s="436" t="s">
        <v>5436</v>
      </c>
      <c r="B751" s="436" t="s">
        <v>3490</v>
      </c>
      <c r="C751" s="437" t="s">
        <v>3491</v>
      </c>
      <c r="D751" s="436" t="s">
        <v>5239</v>
      </c>
      <c r="E751" s="437" t="s">
        <v>4576</v>
      </c>
      <c r="F751" s="436" t="s">
        <v>3494</v>
      </c>
      <c r="G751" s="436" t="s">
        <v>3495</v>
      </c>
      <c r="H751" s="437" t="s">
        <v>3496</v>
      </c>
      <c r="I751" s="436" t="s">
        <v>3497</v>
      </c>
      <c r="J751" s="437" t="s">
        <v>3498</v>
      </c>
      <c r="K751" s="437" t="s">
        <v>3499</v>
      </c>
      <c r="L751" s="436" t="s">
        <v>3500</v>
      </c>
      <c r="M751" s="436" t="s">
        <v>4809</v>
      </c>
      <c r="N751" s="436" t="s">
        <v>3502</v>
      </c>
      <c r="O751" s="438">
        <v>119000</v>
      </c>
      <c r="P751" s="438">
        <v>80920</v>
      </c>
      <c r="Q751" s="438">
        <v>1</v>
      </c>
      <c r="R751" s="438">
        <v>0</v>
      </c>
      <c r="S751" s="438">
        <v>0</v>
      </c>
      <c r="T751" s="438">
        <v>0</v>
      </c>
      <c r="U751" s="438">
        <v>0</v>
      </c>
      <c r="V751" s="438">
        <v>0</v>
      </c>
      <c r="W751" s="438">
        <v>32</v>
      </c>
      <c r="X751" s="438">
        <v>0</v>
      </c>
      <c r="Y751" s="438">
        <v>0</v>
      </c>
      <c r="Z751" s="438">
        <v>0</v>
      </c>
      <c r="AA751" s="438">
        <v>0</v>
      </c>
      <c r="AB751" s="438">
        <v>0</v>
      </c>
      <c r="AC751" s="438">
        <v>119000</v>
      </c>
      <c r="AD751" s="438">
        <v>80920</v>
      </c>
      <c r="AE751" s="438">
        <v>0</v>
      </c>
      <c r="AF751" s="438">
        <v>0</v>
      </c>
      <c r="AG751" s="438">
        <v>119000</v>
      </c>
      <c r="AH751" s="438">
        <v>80920</v>
      </c>
      <c r="AI751" s="438">
        <v>34618</v>
      </c>
      <c r="AJ751" s="438">
        <v>3462</v>
      </c>
      <c r="AK751" s="438">
        <v>38080</v>
      </c>
      <c r="AL751" s="414" t="str">
        <f t="shared" si="67"/>
        <v>워커힐 시그니처 양념 본갈비 300g, 8개</v>
      </c>
      <c r="AM751" s="395">
        <f t="shared" si="68"/>
        <v>46065</v>
      </c>
      <c r="AN751" s="396">
        <f t="shared" si="69"/>
        <v>1</v>
      </c>
      <c r="AO751" s="109">
        <f t="shared" si="70"/>
        <v>119000</v>
      </c>
      <c r="AP751" s="109">
        <f t="shared" si="71"/>
        <v>108181.81818181818</v>
      </c>
      <c r="AQ751" s="397">
        <f t="shared" si="72"/>
        <v>108181.81818181818</v>
      </c>
    </row>
    <row r="752" spans="1:43" ht="24">
      <c r="A752" s="436" t="s">
        <v>5439</v>
      </c>
      <c r="B752" s="436" t="s">
        <v>3490</v>
      </c>
      <c r="C752" s="437" t="s">
        <v>3491</v>
      </c>
      <c r="D752" s="436" t="s">
        <v>5400</v>
      </c>
      <c r="E752" s="437" t="s">
        <v>4624</v>
      </c>
      <c r="F752" s="436" t="s">
        <v>3494</v>
      </c>
      <c r="G752" s="436" t="s">
        <v>3495</v>
      </c>
      <c r="H752" s="437" t="s">
        <v>3496</v>
      </c>
      <c r="I752" s="436" t="s">
        <v>3497</v>
      </c>
      <c r="J752" s="437" t="s">
        <v>3498</v>
      </c>
      <c r="K752" s="437" t="s">
        <v>3499</v>
      </c>
      <c r="L752" s="436" t="s">
        <v>3500</v>
      </c>
      <c r="M752" s="436" t="s">
        <v>4809</v>
      </c>
      <c r="N752" s="436" t="s">
        <v>3502</v>
      </c>
      <c r="O752" s="438">
        <v>119000</v>
      </c>
      <c r="P752" s="438">
        <v>80920</v>
      </c>
      <c r="Q752" s="438">
        <v>1</v>
      </c>
      <c r="R752" s="438">
        <v>0</v>
      </c>
      <c r="S752" s="438">
        <v>0</v>
      </c>
      <c r="T752" s="438">
        <v>0</v>
      </c>
      <c r="U752" s="438">
        <v>0</v>
      </c>
      <c r="V752" s="438">
        <v>0</v>
      </c>
      <c r="W752" s="438">
        <v>32</v>
      </c>
      <c r="X752" s="438">
        <v>0</v>
      </c>
      <c r="Y752" s="438">
        <v>0</v>
      </c>
      <c r="Z752" s="438">
        <v>0</v>
      </c>
      <c r="AA752" s="438">
        <v>0</v>
      </c>
      <c r="AB752" s="438">
        <v>0</v>
      </c>
      <c r="AC752" s="438">
        <v>119000</v>
      </c>
      <c r="AD752" s="438">
        <v>80920</v>
      </c>
      <c r="AE752" s="438">
        <v>0</v>
      </c>
      <c r="AF752" s="438">
        <v>0</v>
      </c>
      <c r="AG752" s="438">
        <v>119000</v>
      </c>
      <c r="AH752" s="438">
        <v>80920</v>
      </c>
      <c r="AI752" s="438">
        <v>34618</v>
      </c>
      <c r="AJ752" s="438">
        <v>3462</v>
      </c>
      <c r="AK752" s="438">
        <v>38080</v>
      </c>
      <c r="AL752" s="414" t="str">
        <f t="shared" si="67"/>
        <v>워커힐 시그니처 양념 본갈비 300g, 8개</v>
      </c>
      <c r="AM752" s="395">
        <f t="shared" si="68"/>
        <v>46065</v>
      </c>
      <c r="AN752" s="396">
        <f t="shared" si="69"/>
        <v>1</v>
      </c>
      <c r="AO752" s="109">
        <f t="shared" si="70"/>
        <v>119000</v>
      </c>
      <c r="AP752" s="109">
        <f t="shared" si="71"/>
        <v>108181.81818181818</v>
      </c>
      <c r="AQ752" s="397">
        <f t="shared" si="72"/>
        <v>108181.81818181818</v>
      </c>
    </row>
    <row r="753" spans="1:43" ht="24">
      <c r="A753" s="436" t="s">
        <v>5441</v>
      </c>
      <c r="B753" s="436" t="s">
        <v>3490</v>
      </c>
      <c r="C753" s="437" t="s">
        <v>3491</v>
      </c>
      <c r="D753" s="436" t="s">
        <v>5635</v>
      </c>
      <c r="E753" s="437" t="s">
        <v>3829</v>
      </c>
      <c r="F753" s="436" t="s">
        <v>3494</v>
      </c>
      <c r="G753" s="436" t="s">
        <v>3495</v>
      </c>
      <c r="H753" s="437" t="s">
        <v>3496</v>
      </c>
      <c r="I753" s="436" t="s">
        <v>3497</v>
      </c>
      <c r="J753" s="437" t="s">
        <v>3498</v>
      </c>
      <c r="K753" s="437" t="s">
        <v>3499</v>
      </c>
      <c r="L753" s="436" t="s">
        <v>3500</v>
      </c>
      <c r="M753" s="436" t="s">
        <v>4809</v>
      </c>
      <c r="N753" s="436" t="s">
        <v>3502</v>
      </c>
      <c r="O753" s="438">
        <v>119000</v>
      </c>
      <c r="P753" s="438">
        <v>80920</v>
      </c>
      <c r="Q753" s="438">
        <v>1</v>
      </c>
      <c r="R753" s="438">
        <v>0</v>
      </c>
      <c r="S753" s="438">
        <v>0</v>
      </c>
      <c r="T753" s="438">
        <v>0</v>
      </c>
      <c r="U753" s="438">
        <v>0</v>
      </c>
      <c r="V753" s="438">
        <v>0</v>
      </c>
      <c r="W753" s="438">
        <v>32</v>
      </c>
      <c r="X753" s="438">
        <v>0</v>
      </c>
      <c r="Y753" s="438">
        <v>0</v>
      </c>
      <c r="Z753" s="438">
        <v>0</v>
      </c>
      <c r="AA753" s="438">
        <v>0</v>
      </c>
      <c r="AB753" s="438">
        <v>0</v>
      </c>
      <c r="AC753" s="438">
        <v>119000</v>
      </c>
      <c r="AD753" s="438">
        <v>80920</v>
      </c>
      <c r="AE753" s="438">
        <v>0</v>
      </c>
      <c r="AF753" s="438">
        <v>0</v>
      </c>
      <c r="AG753" s="438">
        <v>119000</v>
      </c>
      <c r="AH753" s="438">
        <v>80920</v>
      </c>
      <c r="AI753" s="438">
        <v>34618</v>
      </c>
      <c r="AJ753" s="438">
        <v>3462</v>
      </c>
      <c r="AK753" s="438">
        <v>38080</v>
      </c>
      <c r="AL753" s="414" t="str">
        <f t="shared" si="67"/>
        <v>워커힐 시그니처 양념 본갈비 300g, 8개</v>
      </c>
      <c r="AM753" s="395">
        <f t="shared" si="68"/>
        <v>46065</v>
      </c>
      <c r="AN753" s="396">
        <f t="shared" si="69"/>
        <v>1</v>
      </c>
      <c r="AO753" s="109">
        <f t="shared" si="70"/>
        <v>119000</v>
      </c>
      <c r="AP753" s="109">
        <f t="shared" si="71"/>
        <v>108181.81818181818</v>
      </c>
      <c r="AQ753" s="397">
        <f t="shared" si="72"/>
        <v>108181.81818181818</v>
      </c>
    </row>
    <row r="754" spans="1:43" ht="24">
      <c r="A754" s="436" t="s">
        <v>5443</v>
      </c>
      <c r="B754" s="436" t="s">
        <v>3490</v>
      </c>
      <c r="C754" s="437" t="s">
        <v>3491</v>
      </c>
      <c r="D754" s="436" t="s">
        <v>5744</v>
      </c>
      <c r="E754" s="437" t="s">
        <v>4155</v>
      </c>
      <c r="F754" s="436" t="s">
        <v>3494</v>
      </c>
      <c r="G754" s="436" t="s">
        <v>3495</v>
      </c>
      <c r="H754" s="437" t="s">
        <v>3496</v>
      </c>
      <c r="I754" s="436" t="s">
        <v>3497</v>
      </c>
      <c r="J754" s="437" t="s">
        <v>3498</v>
      </c>
      <c r="K754" s="437" t="s">
        <v>3499</v>
      </c>
      <c r="L754" s="436" t="s">
        <v>3500</v>
      </c>
      <c r="M754" s="436" t="s">
        <v>4809</v>
      </c>
      <c r="N754" s="436" t="s">
        <v>3502</v>
      </c>
      <c r="O754" s="438">
        <v>119000</v>
      </c>
      <c r="P754" s="438">
        <v>80920</v>
      </c>
      <c r="Q754" s="438">
        <v>1</v>
      </c>
      <c r="R754" s="438">
        <v>0</v>
      </c>
      <c r="S754" s="438">
        <v>0</v>
      </c>
      <c r="T754" s="438">
        <v>0</v>
      </c>
      <c r="U754" s="438">
        <v>0</v>
      </c>
      <c r="V754" s="438">
        <v>0</v>
      </c>
      <c r="W754" s="438">
        <v>32</v>
      </c>
      <c r="X754" s="438">
        <v>0</v>
      </c>
      <c r="Y754" s="438">
        <v>0</v>
      </c>
      <c r="Z754" s="438">
        <v>0</v>
      </c>
      <c r="AA754" s="438">
        <v>0</v>
      </c>
      <c r="AB754" s="438">
        <v>0</v>
      </c>
      <c r="AC754" s="438">
        <v>119000</v>
      </c>
      <c r="AD754" s="438">
        <v>80920</v>
      </c>
      <c r="AE754" s="438">
        <v>0</v>
      </c>
      <c r="AF754" s="438">
        <v>0</v>
      </c>
      <c r="AG754" s="438">
        <v>119000</v>
      </c>
      <c r="AH754" s="438">
        <v>80920</v>
      </c>
      <c r="AI754" s="438">
        <v>34618</v>
      </c>
      <c r="AJ754" s="438">
        <v>3462</v>
      </c>
      <c r="AK754" s="438">
        <v>38080</v>
      </c>
      <c r="AL754" s="414" t="str">
        <f t="shared" si="67"/>
        <v>워커힐 시그니처 양념 본갈비 300g, 8개</v>
      </c>
      <c r="AM754" s="395">
        <f t="shared" si="68"/>
        <v>46065</v>
      </c>
      <c r="AN754" s="396">
        <f t="shared" si="69"/>
        <v>1</v>
      </c>
      <c r="AO754" s="109">
        <f t="shared" si="70"/>
        <v>119000</v>
      </c>
      <c r="AP754" s="109">
        <f t="shared" si="71"/>
        <v>108181.81818181818</v>
      </c>
      <c r="AQ754" s="397">
        <f t="shared" si="72"/>
        <v>108181.81818181818</v>
      </c>
    </row>
    <row r="755" spans="1:43" ht="24">
      <c r="A755" s="436" t="s">
        <v>5445</v>
      </c>
      <c r="B755" s="436" t="s">
        <v>3490</v>
      </c>
      <c r="C755" s="437" t="s">
        <v>3491</v>
      </c>
      <c r="D755" s="436" t="s">
        <v>5746</v>
      </c>
      <c r="E755" s="437" t="s">
        <v>5747</v>
      </c>
      <c r="F755" s="436" t="s">
        <v>3494</v>
      </c>
      <c r="G755" s="436" t="s">
        <v>3495</v>
      </c>
      <c r="H755" s="437" t="s">
        <v>3496</v>
      </c>
      <c r="I755" s="436" t="s">
        <v>3497</v>
      </c>
      <c r="J755" s="437" t="s">
        <v>3498</v>
      </c>
      <c r="K755" s="437" t="s">
        <v>3499</v>
      </c>
      <c r="L755" s="436" t="s">
        <v>3500</v>
      </c>
      <c r="M755" s="436" t="s">
        <v>4809</v>
      </c>
      <c r="N755" s="436" t="s">
        <v>3502</v>
      </c>
      <c r="O755" s="438">
        <v>119000</v>
      </c>
      <c r="P755" s="438">
        <v>80920</v>
      </c>
      <c r="Q755" s="438">
        <v>1</v>
      </c>
      <c r="R755" s="438">
        <v>0</v>
      </c>
      <c r="S755" s="438">
        <v>0</v>
      </c>
      <c r="T755" s="438">
        <v>0</v>
      </c>
      <c r="U755" s="438">
        <v>0</v>
      </c>
      <c r="V755" s="438">
        <v>0</v>
      </c>
      <c r="W755" s="438">
        <v>32</v>
      </c>
      <c r="X755" s="438">
        <v>0</v>
      </c>
      <c r="Y755" s="438">
        <v>0</v>
      </c>
      <c r="Z755" s="438">
        <v>0</v>
      </c>
      <c r="AA755" s="438">
        <v>0</v>
      </c>
      <c r="AB755" s="438">
        <v>0</v>
      </c>
      <c r="AC755" s="438">
        <v>119000</v>
      </c>
      <c r="AD755" s="438">
        <v>80920</v>
      </c>
      <c r="AE755" s="438">
        <v>0</v>
      </c>
      <c r="AF755" s="438">
        <v>0</v>
      </c>
      <c r="AG755" s="438">
        <v>119000</v>
      </c>
      <c r="AH755" s="438">
        <v>80920</v>
      </c>
      <c r="AI755" s="438">
        <v>34618</v>
      </c>
      <c r="AJ755" s="438">
        <v>3462</v>
      </c>
      <c r="AK755" s="438">
        <v>38080</v>
      </c>
      <c r="AL755" s="414" t="str">
        <f t="shared" si="67"/>
        <v>워커힐 시그니처 양념 본갈비 300g, 8개</v>
      </c>
      <c r="AM755" s="395">
        <f t="shared" si="68"/>
        <v>46065</v>
      </c>
      <c r="AN755" s="396">
        <f t="shared" si="69"/>
        <v>1</v>
      </c>
      <c r="AO755" s="109">
        <f t="shared" si="70"/>
        <v>119000</v>
      </c>
      <c r="AP755" s="109">
        <f t="shared" si="71"/>
        <v>108181.81818181818</v>
      </c>
      <c r="AQ755" s="397">
        <f t="shared" si="72"/>
        <v>108181.81818181818</v>
      </c>
    </row>
    <row r="756" spans="1:43" ht="24">
      <c r="A756" s="436" t="s">
        <v>5447</v>
      </c>
      <c r="B756" s="436" t="s">
        <v>3490</v>
      </c>
      <c r="C756" s="437" t="s">
        <v>3491</v>
      </c>
      <c r="D756" s="436" t="s">
        <v>5448</v>
      </c>
      <c r="E756" s="437" t="s">
        <v>5449</v>
      </c>
      <c r="F756" s="436" t="s">
        <v>3494</v>
      </c>
      <c r="G756" s="436" t="s">
        <v>3495</v>
      </c>
      <c r="H756" s="437" t="s">
        <v>3496</v>
      </c>
      <c r="I756" s="436" t="s">
        <v>3497</v>
      </c>
      <c r="J756" s="437" t="s">
        <v>3498</v>
      </c>
      <c r="K756" s="437" t="s">
        <v>3499</v>
      </c>
      <c r="L756" s="436" t="s">
        <v>3500</v>
      </c>
      <c r="M756" s="436" t="s">
        <v>4809</v>
      </c>
      <c r="N756" s="436" t="s">
        <v>3502</v>
      </c>
      <c r="O756" s="438">
        <v>119000</v>
      </c>
      <c r="P756" s="438">
        <v>80920</v>
      </c>
      <c r="Q756" s="438">
        <v>1</v>
      </c>
      <c r="R756" s="438">
        <v>0</v>
      </c>
      <c r="S756" s="438">
        <v>0</v>
      </c>
      <c r="T756" s="438">
        <v>0</v>
      </c>
      <c r="U756" s="438">
        <v>0</v>
      </c>
      <c r="V756" s="438">
        <v>0</v>
      </c>
      <c r="W756" s="438">
        <v>32</v>
      </c>
      <c r="X756" s="438">
        <v>0</v>
      </c>
      <c r="Y756" s="438">
        <v>0</v>
      </c>
      <c r="Z756" s="438">
        <v>0</v>
      </c>
      <c r="AA756" s="438">
        <v>0</v>
      </c>
      <c r="AB756" s="438">
        <v>0</v>
      </c>
      <c r="AC756" s="438">
        <v>119000</v>
      </c>
      <c r="AD756" s="438">
        <v>80920</v>
      </c>
      <c r="AE756" s="438">
        <v>0</v>
      </c>
      <c r="AF756" s="438">
        <v>0</v>
      </c>
      <c r="AG756" s="438">
        <v>119000</v>
      </c>
      <c r="AH756" s="438">
        <v>80920</v>
      </c>
      <c r="AI756" s="438">
        <v>34618</v>
      </c>
      <c r="AJ756" s="438">
        <v>3462</v>
      </c>
      <c r="AK756" s="438">
        <v>38080</v>
      </c>
      <c r="AL756" s="414" t="str">
        <f t="shared" si="67"/>
        <v>워커힐 시그니처 양념 본갈비 300g, 8개</v>
      </c>
      <c r="AM756" s="395">
        <f t="shared" si="68"/>
        <v>46065</v>
      </c>
      <c r="AN756" s="396">
        <f t="shared" si="69"/>
        <v>1</v>
      </c>
      <c r="AO756" s="109">
        <f t="shared" si="70"/>
        <v>119000</v>
      </c>
      <c r="AP756" s="109">
        <f t="shared" si="71"/>
        <v>108181.81818181818</v>
      </c>
      <c r="AQ756" s="397">
        <f t="shared" si="72"/>
        <v>108181.81818181818</v>
      </c>
    </row>
    <row r="757" spans="1:43" ht="24">
      <c r="A757" s="436" t="s">
        <v>5450</v>
      </c>
      <c r="B757" s="436" t="s">
        <v>3490</v>
      </c>
      <c r="C757" s="437" t="s">
        <v>3491</v>
      </c>
      <c r="D757" s="436" t="s">
        <v>5626</v>
      </c>
      <c r="E757" s="437" t="s">
        <v>5627</v>
      </c>
      <c r="F757" s="436" t="s">
        <v>3494</v>
      </c>
      <c r="G757" s="436" t="s">
        <v>3495</v>
      </c>
      <c r="H757" s="437" t="s">
        <v>3496</v>
      </c>
      <c r="I757" s="436" t="s">
        <v>3497</v>
      </c>
      <c r="J757" s="437" t="s">
        <v>3498</v>
      </c>
      <c r="K757" s="437" t="s">
        <v>3499</v>
      </c>
      <c r="L757" s="436" t="s">
        <v>3500</v>
      </c>
      <c r="M757" s="436" t="s">
        <v>4809</v>
      </c>
      <c r="N757" s="436" t="s">
        <v>3502</v>
      </c>
      <c r="O757" s="438">
        <v>119000</v>
      </c>
      <c r="P757" s="438">
        <v>80920</v>
      </c>
      <c r="Q757" s="438">
        <v>1</v>
      </c>
      <c r="R757" s="438">
        <v>0</v>
      </c>
      <c r="S757" s="438">
        <v>0</v>
      </c>
      <c r="T757" s="438">
        <v>0</v>
      </c>
      <c r="U757" s="438">
        <v>0</v>
      </c>
      <c r="V757" s="438">
        <v>0</v>
      </c>
      <c r="W757" s="438">
        <v>32</v>
      </c>
      <c r="X757" s="438">
        <v>0</v>
      </c>
      <c r="Y757" s="438">
        <v>0</v>
      </c>
      <c r="Z757" s="438">
        <v>0</v>
      </c>
      <c r="AA757" s="438">
        <v>0</v>
      </c>
      <c r="AB757" s="438">
        <v>0</v>
      </c>
      <c r="AC757" s="438">
        <v>119000</v>
      </c>
      <c r="AD757" s="438">
        <v>80920</v>
      </c>
      <c r="AE757" s="438">
        <v>0</v>
      </c>
      <c r="AF757" s="438">
        <v>0</v>
      </c>
      <c r="AG757" s="438">
        <v>119000</v>
      </c>
      <c r="AH757" s="438">
        <v>80920</v>
      </c>
      <c r="AI757" s="438">
        <v>34618</v>
      </c>
      <c r="AJ757" s="438">
        <v>3462</v>
      </c>
      <c r="AK757" s="438">
        <v>38080</v>
      </c>
      <c r="AL757" s="414" t="str">
        <f t="shared" si="67"/>
        <v>워커힐 시그니처 양념 본갈비 300g, 8개</v>
      </c>
      <c r="AM757" s="395">
        <f t="shared" si="68"/>
        <v>46065</v>
      </c>
      <c r="AN757" s="396">
        <f t="shared" si="69"/>
        <v>1</v>
      </c>
      <c r="AO757" s="109">
        <f t="shared" si="70"/>
        <v>119000</v>
      </c>
      <c r="AP757" s="109">
        <f t="shared" si="71"/>
        <v>108181.81818181818</v>
      </c>
      <c r="AQ757" s="397">
        <f t="shared" si="72"/>
        <v>108181.81818181818</v>
      </c>
    </row>
    <row r="758" spans="1:43" ht="24">
      <c r="A758" s="436" t="s">
        <v>5452</v>
      </c>
      <c r="B758" s="436" t="s">
        <v>3490</v>
      </c>
      <c r="C758" s="437" t="s">
        <v>3491</v>
      </c>
      <c r="D758" s="436" t="s">
        <v>5637</v>
      </c>
      <c r="E758" s="437" t="s">
        <v>3937</v>
      </c>
      <c r="F758" s="436" t="s">
        <v>3494</v>
      </c>
      <c r="G758" s="436" t="s">
        <v>3495</v>
      </c>
      <c r="H758" s="437" t="s">
        <v>3496</v>
      </c>
      <c r="I758" s="436" t="s">
        <v>3497</v>
      </c>
      <c r="J758" s="437" t="s">
        <v>3498</v>
      </c>
      <c r="K758" s="437" t="s">
        <v>3499</v>
      </c>
      <c r="L758" s="436" t="s">
        <v>3500</v>
      </c>
      <c r="M758" s="436" t="s">
        <v>4809</v>
      </c>
      <c r="N758" s="436" t="s">
        <v>3502</v>
      </c>
      <c r="O758" s="438">
        <v>119000</v>
      </c>
      <c r="P758" s="438">
        <v>80920</v>
      </c>
      <c r="Q758" s="438">
        <v>1</v>
      </c>
      <c r="R758" s="438">
        <v>0</v>
      </c>
      <c r="S758" s="438">
        <v>0</v>
      </c>
      <c r="T758" s="438">
        <v>0</v>
      </c>
      <c r="U758" s="438">
        <v>0</v>
      </c>
      <c r="V758" s="438">
        <v>0</v>
      </c>
      <c r="W758" s="438">
        <v>32</v>
      </c>
      <c r="X758" s="438">
        <v>0</v>
      </c>
      <c r="Y758" s="438">
        <v>0</v>
      </c>
      <c r="Z758" s="438">
        <v>0</v>
      </c>
      <c r="AA758" s="438">
        <v>0</v>
      </c>
      <c r="AB758" s="438">
        <v>0</v>
      </c>
      <c r="AC758" s="438">
        <v>119000</v>
      </c>
      <c r="AD758" s="438">
        <v>80920</v>
      </c>
      <c r="AE758" s="438">
        <v>0</v>
      </c>
      <c r="AF758" s="438">
        <v>0</v>
      </c>
      <c r="AG758" s="438">
        <v>119000</v>
      </c>
      <c r="AH758" s="438">
        <v>80920</v>
      </c>
      <c r="AI758" s="438">
        <v>34618</v>
      </c>
      <c r="AJ758" s="438">
        <v>3462</v>
      </c>
      <c r="AK758" s="438">
        <v>38080</v>
      </c>
      <c r="AL758" s="414" t="str">
        <f t="shared" si="67"/>
        <v>워커힐 시그니처 양념 본갈비 300g, 8개</v>
      </c>
      <c r="AM758" s="395">
        <f t="shared" si="68"/>
        <v>46065</v>
      </c>
      <c r="AN758" s="396">
        <f t="shared" si="69"/>
        <v>1</v>
      </c>
      <c r="AO758" s="109">
        <f t="shared" si="70"/>
        <v>119000</v>
      </c>
      <c r="AP758" s="109">
        <f t="shared" si="71"/>
        <v>108181.81818181818</v>
      </c>
      <c r="AQ758" s="397">
        <f t="shared" si="72"/>
        <v>108181.81818181818</v>
      </c>
    </row>
    <row r="759" spans="1:43" ht="24">
      <c r="A759" s="436" t="s">
        <v>5454</v>
      </c>
      <c r="B759" s="436" t="s">
        <v>3490</v>
      </c>
      <c r="C759" s="437" t="s">
        <v>3491</v>
      </c>
      <c r="D759" s="436" t="s">
        <v>5458</v>
      </c>
      <c r="E759" s="437" t="s">
        <v>5459</v>
      </c>
      <c r="F759" s="436" t="s">
        <v>3494</v>
      </c>
      <c r="G759" s="436" t="s">
        <v>3495</v>
      </c>
      <c r="H759" s="437" t="s">
        <v>3496</v>
      </c>
      <c r="I759" s="436" t="s">
        <v>3497</v>
      </c>
      <c r="J759" s="437" t="s">
        <v>3498</v>
      </c>
      <c r="K759" s="437" t="s">
        <v>3499</v>
      </c>
      <c r="L759" s="436" t="s">
        <v>3500</v>
      </c>
      <c r="M759" s="436" t="s">
        <v>4809</v>
      </c>
      <c r="N759" s="436" t="s">
        <v>3502</v>
      </c>
      <c r="O759" s="438">
        <v>119000</v>
      </c>
      <c r="P759" s="438">
        <v>80920</v>
      </c>
      <c r="Q759" s="438">
        <v>1</v>
      </c>
      <c r="R759" s="438">
        <v>0</v>
      </c>
      <c r="S759" s="438">
        <v>0</v>
      </c>
      <c r="T759" s="438">
        <v>0</v>
      </c>
      <c r="U759" s="438">
        <v>0</v>
      </c>
      <c r="V759" s="438">
        <v>0</v>
      </c>
      <c r="W759" s="438">
        <v>32</v>
      </c>
      <c r="X759" s="438">
        <v>0</v>
      </c>
      <c r="Y759" s="438">
        <v>0</v>
      </c>
      <c r="Z759" s="438">
        <v>0</v>
      </c>
      <c r="AA759" s="438">
        <v>0</v>
      </c>
      <c r="AB759" s="438">
        <v>0</v>
      </c>
      <c r="AC759" s="438">
        <v>119000</v>
      </c>
      <c r="AD759" s="438">
        <v>80920</v>
      </c>
      <c r="AE759" s="438">
        <v>0</v>
      </c>
      <c r="AF759" s="438">
        <v>0</v>
      </c>
      <c r="AG759" s="438">
        <v>119000</v>
      </c>
      <c r="AH759" s="438">
        <v>80920</v>
      </c>
      <c r="AI759" s="438">
        <v>34618</v>
      </c>
      <c r="AJ759" s="438">
        <v>3462</v>
      </c>
      <c r="AK759" s="438">
        <v>38080</v>
      </c>
      <c r="AL759" s="414" t="str">
        <f t="shared" si="67"/>
        <v>워커힐 시그니처 양념 본갈비 300g, 8개</v>
      </c>
      <c r="AM759" s="395">
        <f t="shared" si="68"/>
        <v>46065</v>
      </c>
      <c r="AN759" s="396">
        <f t="shared" si="69"/>
        <v>1</v>
      </c>
      <c r="AO759" s="109">
        <f t="shared" si="70"/>
        <v>119000</v>
      </c>
      <c r="AP759" s="109">
        <f t="shared" si="71"/>
        <v>108181.81818181818</v>
      </c>
      <c r="AQ759" s="397">
        <f t="shared" si="72"/>
        <v>108181.81818181818</v>
      </c>
    </row>
    <row r="760" spans="1:43" ht="24">
      <c r="A760" s="436" t="s">
        <v>5457</v>
      </c>
      <c r="B760" s="436" t="s">
        <v>3490</v>
      </c>
      <c r="C760" s="437" t="s">
        <v>3491</v>
      </c>
      <c r="D760" s="436" t="s">
        <v>5461</v>
      </c>
      <c r="E760" s="437" t="s">
        <v>3752</v>
      </c>
      <c r="F760" s="436" t="s">
        <v>3494</v>
      </c>
      <c r="G760" s="436" t="s">
        <v>3495</v>
      </c>
      <c r="H760" s="437" t="s">
        <v>3496</v>
      </c>
      <c r="I760" s="436" t="s">
        <v>3497</v>
      </c>
      <c r="J760" s="437" t="s">
        <v>3498</v>
      </c>
      <c r="K760" s="437" t="s">
        <v>3499</v>
      </c>
      <c r="L760" s="436" t="s">
        <v>3500</v>
      </c>
      <c r="M760" s="436" t="s">
        <v>4809</v>
      </c>
      <c r="N760" s="436" t="s">
        <v>3502</v>
      </c>
      <c r="O760" s="438">
        <v>119000</v>
      </c>
      <c r="P760" s="438">
        <v>80920</v>
      </c>
      <c r="Q760" s="438">
        <v>1</v>
      </c>
      <c r="R760" s="438">
        <v>0</v>
      </c>
      <c r="S760" s="438">
        <v>0</v>
      </c>
      <c r="T760" s="438">
        <v>0</v>
      </c>
      <c r="U760" s="438">
        <v>0</v>
      </c>
      <c r="V760" s="438">
        <v>0</v>
      </c>
      <c r="W760" s="438">
        <v>32</v>
      </c>
      <c r="X760" s="438">
        <v>0</v>
      </c>
      <c r="Y760" s="438">
        <v>0</v>
      </c>
      <c r="Z760" s="438">
        <v>0</v>
      </c>
      <c r="AA760" s="438">
        <v>0</v>
      </c>
      <c r="AB760" s="438">
        <v>0</v>
      </c>
      <c r="AC760" s="438">
        <v>119000</v>
      </c>
      <c r="AD760" s="438">
        <v>80920</v>
      </c>
      <c r="AE760" s="438">
        <v>0</v>
      </c>
      <c r="AF760" s="438">
        <v>0</v>
      </c>
      <c r="AG760" s="438">
        <v>119000</v>
      </c>
      <c r="AH760" s="438">
        <v>80920</v>
      </c>
      <c r="AI760" s="438">
        <v>34618</v>
      </c>
      <c r="AJ760" s="438">
        <v>3462</v>
      </c>
      <c r="AK760" s="438">
        <v>38080</v>
      </c>
      <c r="AL760" s="414" t="str">
        <f t="shared" si="67"/>
        <v>워커힐 시그니처 양념 본갈비 300g, 8개</v>
      </c>
      <c r="AM760" s="395">
        <f t="shared" si="68"/>
        <v>46065</v>
      </c>
      <c r="AN760" s="396">
        <f t="shared" si="69"/>
        <v>1</v>
      </c>
      <c r="AO760" s="109">
        <f t="shared" si="70"/>
        <v>119000</v>
      </c>
      <c r="AP760" s="109">
        <f t="shared" si="71"/>
        <v>108181.81818181818</v>
      </c>
      <c r="AQ760" s="397">
        <f t="shared" si="72"/>
        <v>108181.81818181818</v>
      </c>
    </row>
    <row r="761" spans="1:43" ht="24">
      <c r="A761" s="436" t="s">
        <v>5460</v>
      </c>
      <c r="B761" s="436" t="s">
        <v>3490</v>
      </c>
      <c r="C761" s="437" t="s">
        <v>3491</v>
      </c>
      <c r="D761" s="436" t="s">
        <v>5463</v>
      </c>
      <c r="E761" s="437" t="s">
        <v>3862</v>
      </c>
      <c r="F761" s="436" t="s">
        <v>3494</v>
      </c>
      <c r="G761" s="436" t="s">
        <v>3495</v>
      </c>
      <c r="H761" s="437" t="s">
        <v>3496</v>
      </c>
      <c r="I761" s="436" t="s">
        <v>3497</v>
      </c>
      <c r="J761" s="437" t="s">
        <v>3498</v>
      </c>
      <c r="K761" s="437" t="s">
        <v>3499</v>
      </c>
      <c r="L761" s="436" t="s">
        <v>3500</v>
      </c>
      <c r="M761" s="436" t="s">
        <v>4809</v>
      </c>
      <c r="N761" s="436" t="s">
        <v>3502</v>
      </c>
      <c r="O761" s="438">
        <v>119000</v>
      </c>
      <c r="P761" s="438">
        <v>80920</v>
      </c>
      <c r="Q761" s="438">
        <v>1</v>
      </c>
      <c r="R761" s="438">
        <v>0</v>
      </c>
      <c r="S761" s="438">
        <v>0</v>
      </c>
      <c r="T761" s="438">
        <v>0</v>
      </c>
      <c r="U761" s="438">
        <v>0</v>
      </c>
      <c r="V761" s="438">
        <v>0</v>
      </c>
      <c r="W761" s="438">
        <v>32</v>
      </c>
      <c r="X761" s="438">
        <v>0</v>
      </c>
      <c r="Y761" s="438">
        <v>0</v>
      </c>
      <c r="Z761" s="438">
        <v>0</v>
      </c>
      <c r="AA761" s="438">
        <v>0</v>
      </c>
      <c r="AB761" s="438">
        <v>0</v>
      </c>
      <c r="AC761" s="438">
        <v>119000</v>
      </c>
      <c r="AD761" s="438">
        <v>80920</v>
      </c>
      <c r="AE761" s="438">
        <v>0</v>
      </c>
      <c r="AF761" s="438">
        <v>0</v>
      </c>
      <c r="AG761" s="438">
        <v>119000</v>
      </c>
      <c r="AH761" s="438">
        <v>80920</v>
      </c>
      <c r="AI761" s="438">
        <v>34618</v>
      </c>
      <c r="AJ761" s="438">
        <v>3462</v>
      </c>
      <c r="AK761" s="438">
        <v>38080</v>
      </c>
      <c r="AL761" s="414" t="str">
        <f t="shared" si="67"/>
        <v>워커힐 시그니처 양념 본갈비 300g, 8개</v>
      </c>
      <c r="AM761" s="395">
        <f t="shared" si="68"/>
        <v>46065</v>
      </c>
      <c r="AN761" s="396">
        <f t="shared" si="69"/>
        <v>1</v>
      </c>
      <c r="AO761" s="109">
        <f t="shared" si="70"/>
        <v>119000</v>
      </c>
      <c r="AP761" s="109">
        <f t="shared" si="71"/>
        <v>108181.81818181818</v>
      </c>
      <c r="AQ761" s="397">
        <f t="shared" si="72"/>
        <v>108181.81818181818</v>
      </c>
    </row>
    <row r="762" spans="1:43" ht="24">
      <c r="A762" s="436" t="s">
        <v>5462</v>
      </c>
      <c r="B762" s="436" t="s">
        <v>3490</v>
      </c>
      <c r="C762" s="437" t="s">
        <v>3491</v>
      </c>
      <c r="D762" s="436" t="s">
        <v>5692</v>
      </c>
      <c r="E762" s="437" t="s">
        <v>5693</v>
      </c>
      <c r="F762" s="436" t="s">
        <v>3494</v>
      </c>
      <c r="G762" s="436" t="s">
        <v>3495</v>
      </c>
      <c r="H762" s="437" t="s">
        <v>3496</v>
      </c>
      <c r="I762" s="436" t="s">
        <v>3497</v>
      </c>
      <c r="J762" s="437" t="s">
        <v>3498</v>
      </c>
      <c r="K762" s="437" t="s">
        <v>3499</v>
      </c>
      <c r="L762" s="436" t="s">
        <v>3500</v>
      </c>
      <c r="M762" s="436" t="s">
        <v>4809</v>
      </c>
      <c r="N762" s="436" t="s">
        <v>3502</v>
      </c>
      <c r="O762" s="438">
        <v>119000</v>
      </c>
      <c r="P762" s="438">
        <v>80920</v>
      </c>
      <c r="Q762" s="438">
        <v>1</v>
      </c>
      <c r="R762" s="438">
        <v>0</v>
      </c>
      <c r="S762" s="438">
        <v>0</v>
      </c>
      <c r="T762" s="438">
        <v>0</v>
      </c>
      <c r="U762" s="438">
        <v>0</v>
      </c>
      <c r="V762" s="438">
        <v>0</v>
      </c>
      <c r="W762" s="438">
        <v>32</v>
      </c>
      <c r="X762" s="438">
        <v>0</v>
      </c>
      <c r="Y762" s="438">
        <v>0</v>
      </c>
      <c r="Z762" s="438">
        <v>0</v>
      </c>
      <c r="AA762" s="438">
        <v>0</v>
      </c>
      <c r="AB762" s="438">
        <v>0</v>
      </c>
      <c r="AC762" s="438">
        <v>119000</v>
      </c>
      <c r="AD762" s="438">
        <v>80920</v>
      </c>
      <c r="AE762" s="438">
        <v>0</v>
      </c>
      <c r="AF762" s="438">
        <v>0</v>
      </c>
      <c r="AG762" s="438">
        <v>119000</v>
      </c>
      <c r="AH762" s="438">
        <v>80920</v>
      </c>
      <c r="AI762" s="438">
        <v>34618</v>
      </c>
      <c r="AJ762" s="438">
        <v>3462</v>
      </c>
      <c r="AK762" s="438">
        <v>38080</v>
      </c>
      <c r="AL762" s="414" t="str">
        <f t="shared" si="67"/>
        <v>워커힐 시그니처 양념 본갈비 300g, 8개</v>
      </c>
      <c r="AM762" s="395">
        <f t="shared" si="68"/>
        <v>46065</v>
      </c>
      <c r="AN762" s="396">
        <f t="shared" si="69"/>
        <v>1</v>
      </c>
      <c r="AO762" s="109">
        <f t="shared" si="70"/>
        <v>119000</v>
      </c>
      <c r="AP762" s="109">
        <f t="shared" si="71"/>
        <v>108181.81818181818</v>
      </c>
      <c r="AQ762" s="397">
        <f t="shared" si="72"/>
        <v>108181.81818181818</v>
      </c>
    </row>
    <row r="763" spans="1:43" ht="24">
      <c r="A763" s="436" t="s">
        <v>5464</v>
      </c>
      <c r="B763" s="436" t="s">
        <v>3490</v>
      </c>
      <c r="C763" s="437" t="s">
        <v>3491</v>
      </c>
      <c r="D763" s="436" t="s">
        <v>5639</v>
      </c>
      <c r="E763" s="437" t="s">
        <v>5640</v>
      </c>
      <c r="F763" s="436" t="s">
        <v>3494</v>
      </c>
      <c r="G763" s="436" t="s">
        <v>3495</v>
      </c>
      <c r="H763" s="437" t="s">
        <v>3496</v>
      </c>
      <c r="I763" s="436" t="s">
        <v>3497</v>
      </c>
      <c r="J763" s="437" t="s">
        <v>3498</v>
      </c>
      <c r="K763" s="437" t="s">
        <v>3499</v>
      </c>
      <c r="L763" s="436" t="s">
        <v>3500</v>
      </c>
      <c r="M763" s="436" t="s">
        <v>4809</v>
      </c>
      <c r="N763" s="436" t="s">
        <v>3502</v>
      </c>
      <c r="O763" s="438">
        <v>119000</v>
      </c>
      <c r="P763" s="438">
        <v>80920</v>
      </c>
      <c r="Q763" s="438">
        <v>1</v>
      </c>
      <c r="R763" s="438">
        <v>0</v>
      </c>
      <c r="S763" s="438">
        <v>0</v>
      </c>
      <c r="T763" s="438">
        <v>0</v>
      </c>
      <c r="U763" s="438">
        <v>0</v>
      </c>
      <c r="V763" s="438">
        <v>0</v>
      </c>
      <c r="W763" s="438">
        <v>32</v>
      </c>
      <c r="X763" s="438">
        <v>0</v>
      </c>
      <c r="Y763" s="438">
        <v>0</v>
      </c>
      <c r="Z763" s="438">
        <v>0</v>
      </c>
      <c r="AA763" s="438">
        <v>0</v>
      </c>
      <c r="AB763" s="438">
        <v>0</v>
      </c>
      <c r="AC763" s="438">
        <v>119000</v>
      </c>
      <c r="AD763" s="438">
        <v>80920</v>
      </c>
      <c r="AE763" s="438">
        <v>0</v>
      </c>
      <c r="AF763" s="438">
        <v>0</v>
      </c>
      <c r="AG763" s="438">
        <v>119000</v>
      </c>
      <c r="AH763" s="438">
        <v>80920</v>
      </c>
      <c r="AI763" s="438">
        <v>34618</v>
      </c>
      <c r="AJ763" s="438">
        <v>3462</v>
      </c>
      <c r="AK763" s="438">
        <v>38080</v>
      </c>
      <c r="AL763" s="414" t="str">
        <f t="shared" si="67"/>
        <v>워커힐 시그니처 양념 본갈비 300g, 8개</v>
      </c>
      <c r="AM763" s="395">
        <f t="shared" si="68"/>
        <v>46065</v>
      </c>
      <c r="AN763" s="396">
        <f t="shared" si="69"/>
        <v>1</v>
      </c>
      <c r="AO763" s="109">
        <f t="shared" si="70"/>
        <v>119000</v>
      </c>
      <c r="AP763" s="109">
        <f t="shared" si="71"/>
        <v>108181.81818181818</v>
      </c>
      <c r="AQ763" s="397">
        <f t="shared" si="72"/>
        <v>108181.81818181818</v>
      </c>
    </row>
    <row r="764" spans="1:43" ht="24">
      <c r="A764" s="436" t="s">
        <v>5467</v>
      </c>
      <c r="B764" s="436" t="s">
        <v>3490</v>
      </c>
      <c r="C764" s="437" t="s">
        <v>3491</v>
      </c>
      <c r="D764" s="436" t="s">
        <v>5492</v>
      </c>
      <c r="E764" s="437" t="s">
        <v>5493</v>
      </c>
      <c r="F764" s="436" t="s">
        <v>3494</v>
      </c>
      <c r="G764" s="436" t="s">
        <v>3495</v>
      </c>
      <c r="H764" s="437" t="s">
        <v>3496</v>
      </c>
      <c r="I764" s="436" t="s">
        <v>3497</v>
      </c>
      <c r="J764" s="437" t="s">
        <v>3498</v>
      </c>
      <c r="K764" s="437" t="s">
        <v>3499</v>
      </c>
      <c r="L764" s="436" t="s">
        <v>3500</v>
      </c>
      <c r="M764" s="436" t="s">
        <v>4809</v>
      </c>
      <c r="N764" s="436" t="s">
        <v>3502</v>
      </c>
      <c r="O764" s="438">
        <v>119000</v>
      </c>
      <c r="P764" s="438">
        <v>80920</v>
      </c>
      <c r="Q764" s="438">
        <v>2</v>
      </c>
      <c r="R764" s="438">
        <v>0</v>
      </c>
      <c r="S764" s="438">
        <v>0</v>
      </c>
      <c r="T764" s="438">
        <v>0</v>
      </c>
      <c r="U764" s="438">
        <v>0</v>
      </c>
      <c r="V764" s="438">
        <v>0</v>
      </c>
      <c r="W764" s="438">
        <v>32</v>
      </c>
      <c r="X764" s="438">
        <v>0</v>
      </c>
      <c r="Y764" s="438">
        <v>0</v>
      </c>
      <c r="Z764" s="438">
        <v>0</v>
      </c>
      <c r="AA764" s="438">
        <v>0</v>
      </c>
      <c r="AB764" s="438">
        <v>0</v>
      </c>
      <c r="AC764" s="438">
        <v>238000</v>
      </c>
      <c r="AD764" s="438">
        <v>161840</v>
      </c>
      <c r="AE764" s="438">
        <v>0</v>
      </c>
      <c r="AF764" s="438">
        <v>0</v>
      </c>
      <c r="AG764" s="438">
        <v>238000</v>
      </c>
      <c r="AH764" s="438">
        <v>161840</v>
      </c>
      <c r="AI764" s="438">
        <v>69236</v>
      </c>
      <c r="AJ764" s="438">
        <v>6924</v>
      </c>
      <c r="AK764" s="438">
        <v>76160</v>
      </c>
      <c r="AL764" s="414" t="str">
        <f t="shared" si="67"/>
        <v>워커힐 시그니처 양념 본갈비 300g, 8개</v>
      </c>
      <c r="AM764" s="395">
        <f t="shared" si="68"/>
        <v>46065</v>
      </c>
      <c r="AN764" s="396">
        <f t="shared" si="69"/>
        <v>2</v>
      </c>
      <c r="AO764" s="109">
        <f t="shared" si="70"/>
        <v>119000</v>
      </c>
      <c r="AP764" s="109">
        <f t="shared" si="71"/>
        <v>108181.81818181818</v>
      </c>
      <c r="AQ764" s="397">
        <f t="shared" si="72"/>
        <v>216363.63636363635</v>
      </c>
    </row>
    <row r="765" spans="1:43" ht="24">
      <c r="A765" s="436" t="s">
        <v>5470</v>
      </c>
      <c r="B765" s="436" t="s">
        <v>3490</v>
      </c>
      <c r="C765" s="437" t="s">
        <v>3491</v>
      </c>
      <c r="D765" s="436" t="s">
        <v>5465</v>
      </c>
      <c r="E765" s="437" t="s">
        <v>5466</v>
      </c>
      <c r="F765" s="436" t="s">
        <v>3494</v>
      </c>
      <c r="G765" s="436" t="s">
        <v>3495</v>
      </c>
      <c r="H765" s="437" t="s">
        <v>3496</v>
      </c>
      <c r="I765" s="436" t="s">
        <v>3497</v>
      </c>
      <c r="J765" s="437" t="s">
        <v>3498</v>
      </c>
      <c r="K765" s="437" t="s">
        <v>3499</v>
      </c>
      <c r="L765" s="436" t="s">
        <v>3500</v>
      </c>
      <c r="M765" s="436" t="s">
        <v>4809</v>
      </c>
      <c r="N765" s="436" t="s">
        <v>3502</v>
      </c>
      <c r="O765" s="438">
        <v>119000</v>
      </c>
      <c r="P765" s="438">
        <v>80920</v>
      </c>
      <c r="Q765" s="438">
        <v>1</v>
      </c>
      <c r="R765" s="438">
        <v>0</v>
      </c>
      <c r="S765" s="438">
        <v>0</v>
      </c>
      <c r="T765" s="438">
        <v>0</v>
      </c>
      <c r="U765" s="438">
        <v>0</v>
      </c>
      <c r="V765" s="438">
        <v>0</v>
      </c>
      <c r="W765" s="438">
        <v>32</v>
      </c>
      <c r="X765" s="438">
        <v>0</v>
      </c>
      <c r="Y765" s="438">
        <v>0</v>
      </c>
      <c r="Z765" s="438">
        <v>0</v>
      </c>
      <c r="AA765" s="438">
        <v>0</v>
      </c>
      <c r="AB765" s="438">
        <v>0</v>
      </c>
      <c r="AC765" s="438">
        <v>119000</v>
      </c>
      <c r="AD765" s="438">
        <v>80920</v>
      </c>
      <c r="AE765" s="438">
        <v>0</v>
      </c>
      <c r="AF765" s="438">
        <v>0</v>
      </c>
      <c r="AG765" s="438">
        <v>119000</v>
      </c>
      <c r="AH765" s="438">
        <v>80920</v>
      </c>
      <c r="AI765" s="438">
        <v>34618</v>
      </c>
      <c r="AJ765" s="438">
        <v>3462</v>
      </c>
      <c r="AK765" s="438">
        <v>38080</v>
      </c>
      <c r="AL765" s="414" t="str">
        <f t="shared" si="67"/>
        <v>워커힐 시그니처 양념 본갈비 300g, 8개</v>
      </c>
      <c r="AM765" s="395">
        <f t="shared" si="68"/>
        <v>46065</v>
      </c>
      <c r="AN765" s="396">
        <f t="shared" si="69"/>
        <v>1</v>
      </c>
      <c r="AO765" s="109">
        <f t="shared" si="70"/>
        <v>119000</v>
      </c>
      <c r="AP765" s="109">
        <f t="shared" si="71"/>
        <v>108181.81818181818</v>
      </c>
      <c r="AQ765" s="397">
        <f t="shared" si="72"/>
        <v>108181.81818181818</v>
      </c>
    </row>
    <row r="766" spans="1:43" ht="24">
      <c r="A766" s="436" t="s">
        <v>5472</v>
      </c>
      <c r="B766" s="436" t="s">
        <v>3490</v>
      </c>
      <c r="C766" s="437" t="s">
        <v>3491</v>
      </c>
      <c r="D766" s="436" t="s">
        <v>5564</v>
      </c>
      <c r="E766" s="437" t="s">
        <v>4851</v>
      </c>
      <c r="F766" s="436" t="s">
        <v>3494</v>
      </c>
      <c r="G766" s="436" t="s">
        <v>3495</v>
      </c>
      <c r="H766" s="437" t="s">
        <v>3496</v>
      </c>
      <c r="I766" s="436" t="s">
        <v>3497</v>
      </c>
      <c r="J766" s="437" t="s">
        <v>3498</v>
      </c>
      <c r="K766" s="437" t="s">
        <v>3499</v>
      </c>
      <c r="L766" s="436" t="s">
        <v>3500</v>
      </c>
      <c r="M766" s="436" t="s">
        <v>4809</v>
      </c>
      <c r="N766" s="436" t="s">
        <v>3502</v>
      </c>
      <c r="O766" s="438">
        <v>119000</v>
      </c>
      <c r="P766" s="438">
        <v>80920</v>
      </c>
      <c r="Q766" s="438">
        <v>1</v>
      </c>
      <c r="R766" s="438">
        <v>0</v>
      </c>
      <c r="S766" s="438">
        <v>0</v>
      </c>
      <c r="T766" s="438">
        <v>0</v>
      </c>
      <c r="U766" s="438">
        <v>0</v>
      </c>
      <c r="V766" s="438">
        <v>0</v>
      </c>
      <c r="W766" s="438">
        <v>32</v>
      </c>
      <c r="X766" s="438">
        <v>0</v>
      </c>
      <c r="Y766" s="438">
        <v>0</v>
      </c>
      <c r="Z766" s="438">
        <v>0</v>
      </c>
      <c r="AA766" s="438">
        <v>0</v>
      </c>
      <c r="AB766" s="438">
        <v>0</v>
      </c>
      <c r="AC766" s="438">
        <v>119000</v>
      </c>
      <c r="AD766" s="438">
        <v>80920</v>
      </c>
      <c r="AE766" s="438">
        <v>0</v>
      </c>
      <c r="AF766" s="438">
        <v>0</v>
      </c>
      <c r="AG766" s="438">
        <v>119000</v>
      </c>
      <c r="AH766" s="438">
        <v>80920</v>
      </c>
      <c r="AI766" s="438">
        <v>34618</v>
      </c>
      <c r="AJ766" s="438">
        <v>3462</v>
      </c>
      <c r="AK766" s="438">
        <v>38080</v>
      </c>
      <c r="AL766" s="414" t="str">
        <f t="shared" si="67"/>
        <v>워커힐 시그니처 양념 본갈비 300g, 8개</v>
      </c>
      <c r="AM766" s="395">
        <f t="shared" si="68"/>
        <v>46065</v>
      </c>
      <c r="AN766" s="396">
        <f t="shared" si="69"/>
        <v>1</v>
      </c>
      <c r="AO766" s="109">
        <f t="shared" si="70"/>
        <v>119000</v>
      </c>
      <c r="AP766" s="109">
        <f t="shared" si="71"/>
        <v>108181.81818181818</v>
      </c>
      <c r="AQ766" s="397">
        <f t="shared" si="72"/>
        <v>108181.81818181818</v>
      </c>
    </row>
    <row r="767" spans="1:43" ht="24">
      <c r="A767" s="436" t="s">
        <v>5474</v>
      </c>
      <c r="B767" s="436" t="s">
        <v>3490</v>
      </c>
      <c r="C767" s="437" t="s">
        <v>3491</v>
      </c>
      <c r="D767" s="436" t="s">
        <v>5568</v>
      </c>
      <c r="E767" s="437" t="s">
        <v>5569</v>
      </c>
      <c r="F767" s="436" t="s">
        <v>3494</v>
      </c>
      <c r="G767" s="436" t="s">
        <v>3495</v>
      </c>
      <c r="H767" s="437" t="s">
        <v>3496</v>
      </c>
      <c r="I767" s="436" t="s">
        <v>3497</v>
      </c>
      <c r="J767" s="437" t="s">
        <v>3498</v>
      </c>
      <c r="K767" s="437" t="s">
        <v>3499</v>
      </c>
      <c r="L767" s="436" t="s">
        <v>3500</v>
      </c>
      <c r="M767" s="436" t="s">
        <v>4809</v>
      </c>
      <c r="N767" s="436" t="s">
        <v>3502</v>
      </c>
      <c r="O767" s="438">
        <v>119000</v>
      </c>
      <c r="P767" s="438">
        <v>80920</v>
      </c>
      <c r="Q767" s="438">
        <v>1</v>
      </c>
      <c r="R767" s="438">
        <v>0</v>
      </c>
      <c r="S767" s="438">
        <v>0</v>
      </c>
      <c r="T767" s="438">
        <v>0</v>
      </c>
      <c r="U767" s="438">
        <v>0</v>
      </c>
      <c r="V767" s="438">
        <v>0</v>
      </c>
      <c r="W767" s="438">
        <v>32</v>
      </c>
      <c r="X767" s="438">
        <v>0</v>
      </c>
      <c r="Y767" s="438">
        <v>0</v>
      </c>
      <c r="Z767" s="438">
        <v>0</v>
      </c>
      <c r="AA767" s="438">
        <v>0</v>
      </c>
      <c r="AB767" s="438">
        <v>0</v>
      </c>
      <c r="AC767" s="438">
        <v>119000</v>
      </c>
      <c r="AD767" s="438">
        <v>80920</v>
      </c>
      <c r="AE767" s="438">
        <v>0</v>
      </c>
      <c r="AF767" s="438">
        <v>0</v>
      </c>
      <c r="AG767" s="438">
        <v>119000</v>
      </c>
      <c r="AH767" s="438">
        <v>80920</v>
      </c>
      <c r="AI767" s="438">
        <v>34618</v>
      </c>
      <c r="AJ767" s="438">
        <v>3462</v>
      </c>
      <c r="AK767" s="438">
        <v>38080</v>
      </c>
      <c r="AL767" s="414" t="str">
        <f t="shared" si="67"/>
        <v>워커힐 시그니처 양념 본갈비 300g, 8개</v>
      </c>
      <c r="AM767" s="395">
        <f t="shared" si="68"/>
        <v>46065</v>
      </c>
      <c r="AN767" s="396">
        <f t="shared" si="69"/>
        <v>1</v>
      </c>
      <c r="AO767" s="109">
        <f t="shared" si="70"/>
        <v>119000</v>
      </c>
      <c r="AP767" s="109">
        <f t="shared" si="71"/>
        <v>108181.81818181818</v>
      </c>
      <c r="AQ767" s="397">
        <f t="shared" si="72"/>
        <v>108181.81818181818</v>
      </c>
    </row>
    <row r="768" spans="1:43" ht="24">
      <c r="A768" s="436" t="s">
        <v>5476</v>
      </c>
      <c r="B768" s="436" t="s">
        <v>3490</v>
      </c>
      <c r="C768" s="437" t="s">
        <v>3491</v>
      </c>
      <c r="D768" s="436" t="s">
        <v>5642</v>
      </c>
      <c r="E768" s="437" t="s">
        <v>5062</v>
      </c>
      <c r="F768" s="436" t="s">
        <v>3494</v>
      </c>
      <c r="G768" s="436" t="s">
        <v>3495</v>
      </c>
      <c r="H768" s="437" t="s">
        <v>3496</v>
      </c>
      <c r="I768" s="436" t="s">
        <v>3497</v>
      </c>
      <c r="J768" s="437" t="s">
        <v>3498</v>
      </c>
      <c r="K768" s="437" t="s">
        <v>3499</v>
      </c>
      <c r="L768" s="436" t="s">
        <v>3500</v>
      </c>
      <c r="M768" s="436" t="s">
        <v>4809</v>
      </c>
      <c r="N768" s="436" t="s">
        <v>3502</v>
      </c>
      <c r="O768" s="438">
        <v>119000</v>
      </c>
      <c r="P768" s="438">
        <v>80920</v>
      </c>
      <c r="Q768" s="438">
        <v>1</v>
      </c>
      <c r="R768" s="438">
        <v>0</v>
      </c>
      <c r="S768" s="438">
        <v>0</v>
      </c>
      <c r="T768" s="438">
        <v>0</v>
      </c>
      <c r="U768" s="438">
        <v>0</v>
      </c>
      <c r="V768" s="438">
        <v>0</v>
      </c>
      <c r="W768" s="438">
        <v>32</v>
      </c>
      <c r="X768" s="438">
        <v>23800</v>
      </c>
      <c r="Y768" s="438">
        <v>0</v>
      </c>
      <c r="Z768" s="438">
        <v>0</v>
      </c>
      <c r="AA768" s="438">
        <v>0</v>
      </c>
      <c r="AB768" s="438">
        <v>0</v>
      </c>
      <c r="AC768" s="438">
        <v>119000</v>
      </c>
      <c r="AD768" s="438">
        <v>80920</v>
      </c>
      <c r="AE768" s="438">
        <v>0</v>
      </c>
      <c r="AF768" s="438">
        <v>23800</v>
      </c>
      <c r="AG768" s="438">
        <v>95200</v>
      </c>
      <c r="AH768" s="438">
        <v>80920</v>
      </c>
      <c r="AI768" s="438">
        <v>12982</v>
      </c>
      <c r="AJ768" s="438">
        <v>1298</v>
      </c>
      <c r="AK768" s="438">
        <v>14280</v>
      </c>
      <c r="AL768" s="414" t="str">
        <f t="shared" si="67"/>
        <v>워커힐 시그니처 양념 본갈비 300g, 8개</v>
      </c>
      <c r="AM768" s="395">
        <f t="shared" si="68"/>
        <v>46065</v>
      </c>
      <c r="AN768" s="396">
        <f t="shared" si="69"/>
        <v>1</v>
      </c>
      <c r="AO768" s="109">
        <f t="shared" si="70"/>
        <v>119000</v>
      </c>
      <c r="AP768" s="109">
        <f t="shared" si="71"/>
        <v>108181.81818181818</v>
      </c>
      <c r="AQ768" s="397">
        <f t="shared" si="72"/>
        <v>108181.81818181818</v>
      </c>
    </row>
    <row r="769" spans="1:43" ht="24">
      <c r="A769" s="436" t="s">
        <v>5478</v>
      </c>
      <c r="B769" s="436" t="s">
        <v>3490</v>
      </c>
      <c r="C769" s="437" t="s">
        <v>3491</v>
      </c>
      <c r="D769" s="436" t="s">
        <v>5571</v>
      </c>
      <c r="E769" s="437" t="s">
        <v>5572</v>
      </c>
      <c r="F769" s="436" t="s">
        <v>3494</v>
      </c>
      <c r="G769" s="436" t="s">
        <v>3495</v>
      </c>
      <c r="H769" s="437" t="s">
        <v>3496</v>
      </c>
      <c r="I769" s="436" t="s">
        <v>3497</v>
      </c>
      <c r="J769" s="437" t="s">
        <v>3498</v>
      </c>
      <c r="K769" s="437" t="s">
        <v>3499</v>
      </c>
      <c r="L769" s="436" t="s">
        <v>3500</v>
      </c>
      <c r="M769" s="436" t="s">
        <v>4809</v>
      </c>
      <c r="N769" s="436" t="s">
        <v>3502</v>
      </c>
      <c r="O769" s="438">
        <v>119000</v>
      </c>
      <c r="P769" s="438">
        <v>80920</v>
      </c>
      <c r="Q769" s="438">
        <v>1</v>
      </c>
      <c r="R769" s="438">
        <v>0</v>
      </c>
      <c r="S769" s="438">
        <v>0</v>
      </c>
      <c r="T769" s="438">
        <v>0</v>
      </c>
      <c r="U769" s="438">
        <v>0</v>
      </c>
      <c r="V769" s="438">
        <v>0</v>
      </c>
      <c r="W769" s="438">
        <v>32</v>
      </c>
      <c r="X769" s="438">
        <v>0</v>
      </c>
      <c r="Y769" s="438">
        <v>0</v>
      </c>
      <c r="Z769" s="438">
        <v>0</v>
      </c>
      <c r="AA769" s="438">
        <v>0</v>
      </c>
      <c r="AB769" s="438">
        <v>0</v>
      </c>
      <c r="AC769" s="438">
        <v>119000</v>
      </c>
      <c r="AD769" s="438">
        <v>80920</v>
      </c>
      <c r="AE769" s="438">
        <v>0</v>
      </c>
      <c r="AF769" s="438">
        <v>0</v>
      </c>
      <c r="AG769" s="438">
        <v>119000</v>
      </c>
      <c r="AH769" s="438">
        <v>80920</v>
      </c>
      <c r="AI769" s="438">
        <v>34618</v>
      </c>
      <c r="AJ769" s="438">
        <v>3462</v>
      </c>
      <c r="AK769" s="438">
        <v>38080</v>
      </c>
      <c r="AL769" s="414" t="str">
        <f t="shared" si="67"/>
        <v>워커힐 시그니처 양념 본갈비 300g, 8개</v>
      </c>
      <c r="AM769" s="395">
        <f t="shared" si="68"/>
        <v>46065</v>
      </c>
      <c r="AN769" s="396">
        <f t="shared" si="69"/>
        <v>1</v>
      </c>
      <c r="AO769" s="109">
        <f t="shared" si="70"/>
        <v>119000</v>
      </c>
      <c r="AP769" s="109">
        <f t="shared" si="71"/>
        <v>108181.81818181818</v>
      </c>
      <c r="AQ769" s="397">
        <f t="shared" si="72"/>
        <v>108181.81818181818</v>
      </c>
    </row>
    <row r="770" spans="1:43" ht="24">
      <c r="A770" s="436" t="s">
        <v>5481</v>
      </c>
      <c r="B770" s="436" t="s">
        <v>3490</v>
      </c>
      <c r="C770" s="437" t="s">
        <v>3491</v>
      </c>
      <c r="D770" s="436" t="s">
        <v>5471</v>
      </c>
      <c r="E770" s="437" t="s">
        <v>3533</v>
      </c>
      <c r="F770" s="436" t="s">
        <v>3494</v>
      </c>
      <c r="G770" s="436" t="s">
        <v>3495</v>
      </c>
      <c r="H770" s="437" t="s">
        <v>3496</v>
      </c>
      <c r="I770" s="436" t="s">
        <v>3497</v>
      </c>
      <c r="J770" s="437" t="s">
        <v>3498</v>
      </c>
      <c r="K770" s="437" t="s">
        <v>3499</v>
      </c>
      <c r="L770" s="436" t="s">
        <v>3500</v>
      </c>
      <c r="M770" s="436" t="s">
        <v>4809</v>
      </c>
      <c r="N770" s="436" t="s">
        <v>3502</v>
      </c>
      <c r="O770" s="438">
        <v>119000</v>
      </c>
      <c r="P770" s="438">
        <v>80920</v>
      </c>
      <c r="Q770" s="438">
        <v>1</v>
      </c>
      <c r="R770" s="438">
        <v>0</v>
      </c>
      <c r="S770" s="438">
        <v>0</v>
      </c>
      <c r="T770" s="438">
        <v>0</v>
      </c>
      <c r="U770" s="438">
        <v>0</v>
      </c>
      <c r="V770" s="438">
        <v>0</v>
      </c>
      <c r="W770" s="438">
        <v>32</v>
      </c>
      <c r="X770" s="438">
        <v>0</v>
      </c>
      <c r="Y770" s="438">
        <v>0</v>
      </c>
      <c r="Z770" s="438">
        <v>0</v>
      </c>
      <c r="AA770" s="438">
        <v>0</v>
      </c>
      <c r="AB770" s="438">
        <v>0</v>
      </c>
      <c r="AC770" s="438">
        <v>119000</v>
      </c>
      <c r="AD770" s="438">
        <v>80920</v>
      </c>
      <c r="AE770" s="438">
        <v>0</v>
      </c>
      <c r="AF770" s="438">
        <v>0</v>
      </c>
      <c r="AG770" s="438">
        <v>119000</v>
      </c>
      <c r="AH770" s="438">
        <v>80920</v>
      </c>
      <c r="AI770" s="438">
        <v>34618</v>
      </c>
      <c r="AJ770" s="438">
        <v>3462</v>
      </c>
      <c r="AK770" s="438">
        <v>38080</v>
      </c>
      <c r="AL770" s="414" t="str">
        <f t="shared" si="67"/>
        <v>워커힐 시그니처 양념 본갈비 300g, 8개</v>
      </c>
      <c r="AM770" s="395">
        <f t="shared" si="68"/>
        <v>46065</v>
      </c>
      <c r="AN770" s="396">
        <f t="shared" si="69"/>
        <v>1</v>
      </c>
      <c r="AO770" s="109">
        <f t="shared" si="70"/>
        <v>119000</v>
      </c>
      <c r="AP770" s="109">
        <f t="shared" si="71"/>
        <v>108181.81818181818</v>
      </c>
      <c r="AQ770" s="397">
        <f t="shared" si="72"/>
        <v>108181.81818181818</v>
      </c>
    </row>
    <row r="771" spans="1:43" ht="24">
      <c r="A771" s="436" t="s">
        <v>5483</v>
      </c>
      <c r="B771" s="436" t="s">
        <v>3490</v>
      </c>
      <c r="C771" s="437" t="s">
        <v>3491</v>
      </c>
      <c r="D771" s="436" t="s">
        <v>5646</v>
      </c>
      <c r="E771" s="437" t="s">
        <v>4155</v>
      </c>
      <c r="F771" s="436" t="s">
        <v>3494</v>
      </c>
      <c r="G771" s="436" t="s">
        <v>3495</v>
      </c>
      <c r="H771" s="437" t="s">
        <v>3496</v>
      </c>
      <c r="I771" s="436" t="s">
        <v>3497</v>
      </c>
      <c r="J771" s="437" t="s">
        <v>3498</v>
      </c>
      <c r="K771" s="437" t="s">
        <v>3499</v>
      </c>
      <c r="L771" s="436" t="s">
        <v>3500</v>
      </c>
      <c r="M771" s="436" t="s">
        <v>4809</v>
      </c>
      <c r="N771" s="436" t="s">
        <v>3502</v>
      </c>
      <c r="O771" s="438">
        <v>119000</v>
      </c>
      <c r="P771" s="438">
        <v>80920</v>
      </c>
      <c r="Q771" s="438">
        <v>1</v>
      </c>
      <c r="R771" s="438">
        <v>0</v>
      </c>
      <c r="S771" s="438">
        <v>0</v>
      </c>
      <c r="T771" s="438">
        <v>0</v>
      </c>
      <c r="U771" s="438">
        <v>0</v>
      </c>
      <c r="V771" s="438">
        <v>0</v>
      </c>
      <c r="W771" s="438">
        <v>32</v>
      </c>
      <c r="X771" s="438">
        <v>0</v>
      </c>
      <c r="Y771" s="438">
        <v>0</v>
      </c>
      <c r="Z771" s="438">
        <v>0</v>
      </c>
      <c r="AA771" s="438">
        <v>0</v>
      </c>
      <c r="AB771" s="438">
        <v>0</v>
      </c>
      <c r="AC771" s="438">
        <v>119000</v>
      </c>
      <c r="AD771" s="438">
        <v>80920</v>
      </c>
      <c r="AE771" s="438">
        <v>0</v>
      </c>
      <c r="AF771" s="438">
        <v>0</v>
      </c>
      <c r="AG771" s="438">
        <v>119000</v>
      </c>
      <c r="AH771" s="438">
        <v>80920</v>
      </c>
      <c r="AI771" s="438">
        <v>34618</v>
      </c>
      <c r="AJ771" s="438">
        <v>3462</v>
      </c>
      <c r="AK771" s="438">
        <v>38080</v>
      </c>
      <c r="AL771" s="414" t="str">
        <f t="shared" ref="AL771:AL834" si="73">SUBSTITUTE(SUBSTITUTE(H771,"[워커힐]워커힐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771" s="395">
        <f t="shared" ref="AM771:AM834" si="74">IF(N771="배송완료", DATE(LEFT(M771,4), MID(M771,6,2), MID(M771,9,2)), "")</f>
        <v>46065</v>
      </c>
      <c r="AN771" s="396">
        <f t="shared" ref="AN771:AN834" si="75">IF(OR(N771="배송완료", Q771&lt;0), Q771, 0)</f>
        <v>1</v>
      </c>
      <c r="AO771" s="109">
        <f t="shared" ref="AO771:AO834" si="76">IF(AL771="워커힐 시그니처 양념 본갈비 300g, 8개",119000,IF(AL771="워커힐 시그니처 양념 본갈비 300g, 4개",78000,""))</f>
        <v>119000</v>
      </c>
      <c r="AP771" s="109">
        <f t="shared" ref="AP771:AP834" si="77">AO771/1.1</f>
        <v>108181.81818181818</v>
      </c>
      <c r="AQ771" s="397">
        <f t="shared" si="72"/>
        <v>108181.81818181818</v>
      </c>
    </row>
    <row r="772" spans="1:43" ht="24">
      <c r="A772" s="436" t="s">
        <v>5485</v>
      </c>
      <c r="B772" s="436" t="s">
        <v>3490</v>
      </c>
      <c r="C772" s="437" t="s">
        <v>3491</v>
      </c>
      <c r="D772" s="436" t="s">
        <v>5587</v>
      </c>
      <c r="E772" s="437" t="s">
        <v>4585</v>
      </c>
      <c r="F772" s="436" t="s">
        <v>3494</v>
      </c>
      <c r="G772" s="436" t="s">
        <v>3495</v>
      </c>
      <c r="H772" s="437" t="s">
        <v>3496</v>
      </c>
      <c r="I772" s="436" t="s">
        <v>3497</v>
      </c>
      <c r="J772" s="437" t="s">
        <v>3498</v>
      </c>
      <c r="K772" s="437" t="s">
        <v>3499</v>
      </c>
      <c r="L772" s="436" t="s">
        <v>3500</v>
      </c>
      <c r="M772" s="436" t="s">
        <v>4809</v>
      </c>
      <c r="N772" s="436" t="s">
        <v>3502</v>
      </c>
      <c r="O772" s="438">
        <v>119000</v>
      </c>
      <c r="P772" s="438">
        <v>80920</v>
      </c>
      <c r="Q772" s="438">
        <v>1</v>
      </c>
      <c r="R772" s="438">
        <v>0</v>
      </c>
      <c r="S772" s="438">
        <v>0</v>
      </c>
      <c r="T772" s="438">
        <v>0</v>
      </c>
      <c r="U772" s="438">
        <v>0</v>
      </c>
      <c r="V772" s="438">
        <v>0</v>
      </c>
      <c r="W772" s="438">
        <v>32</v>
      </c>
      <c r="X772" s="438">
        <v>0</v>
      </c>
      <c r="Y772" s="438">
        <v>0</v>
      </c>
      <c r="Z772" s="438">
        <v>0</v>
      </c>
      <c r="AA772" s="438">
        <v>0</v>
      </c>
      <c r="AB772" s="438">
        <v>0</v>
      </c>
      <c r="AC772" s="438">
        <v>119000</v>
      </c>
      <c r="AD772" s="438">
        <v>80920</v>
      </c>
      <c r="AE772" s="438">
        <v>0</v>
      </c>
      <c r="AF772" s="438">
        <v>0</v>
      </c>
      <c r="AG772" s="438">
        <v>119000</v>
      </c>
      <c r="AH772" s="438">
        <v>80920</v>
      </c>
      <c r="AI772" s="438">
        <v>34618</v>
      </c>
      <c r="AJ772" s="438">
        <v>3462</v>
      </c>
      <c r="AK772" s="438">
        <v>38080</v>
      </c>
      <c r="AL772" s="414" t="str">
        <f t="shared" si="73"/>
        <v>워커힐 시그니처 양념 본갈비 300g, 8개</v>
      </c>
      <c r="AM772" s="395">
        <f t="shared" si="74"/>
        <v>46065</v>
      </c>
      <c r="AN772" s="396">
        <f t="shared" si="75"/>
        <v>1</v>
      </c>
      <c r="AO772" s="109">
        <f t="shared" si="76"/>
        <v>119000</v>
      </c>
      <c r="AP772" s="109">
        <f t="shared" si="77"/>
        <v>108181.81818181818</v>
      </c>
      <c r="AQ772" s="397">
        <f t="shared" si="72"/>
        <v>108181.81818181818</v>
      </c>
    </row>
    <row r="773" spans="1:43" ht="24">
      <c r="A773" s="436" t="s">
        <v>5487</v>
      </c>
      <c r="B773" s="436" t="s">
        <v>3490</v>
      </c>
      <c r="C773" s="437" t="s">
        <v>3491</v>
      </c>
      <c r="D773" s="436" t="s">
        <v>5473</v>
      </c>
      <c r="E773" s="437" t="s">
        <v>4155</v>
      </c>
      <c r="F773" s="436" t="s">
        <v>3494</v>
      </c>
      <c r="G773" s="436" t="s">
        <v>3495</v>
      </c>
      <c r="H773" s="437" t="s">
        <v>3496</v>
      </c>
      <c r="I773" s="436" t="s">
        <v>3497</v>
      </c>
      <c r="J773" s="437" t="s">
        <v>3498</v>
      </c>
      <c r="K773" s="437" t="s">
        <v>3548</v>
      </c>
      <c r="L773" s="436" t="s">
        <v>3500</v>
      </c>
      <c r="M773" s="436" t="s">
        <v>4809</v>
      </c>
      <c r="N773" s="436" t="s">
        <v>3502</v>
      </c>
      <c r="O773" s="438">
        <v>119000</v>
      </c>
      <c r="P773" s="438">
        <v>80920</v>
      </c>
      <c r="Q773" s="438">
        <v>1</v>
      </c>
      <c r="R773" s="438">
        <v>0</v>
      </c>
      <c r="S773" s="438">
        <v>0</v>
      </c>
      <c r="T773" s="438">
        <v>0</v>
      </c>
      <c r="U773" s="438">
        <v>0</v>
      </c>
      <c r="V773" s="438">
        <v>0</v>
      </c>
      <c r="W773" s="438">
        <v>32</v>
      </c>
      <c r="X773" s="438">
        <v>0</v>
      </c>
      <c r="Y773" s="438">
        <v>0</v>
      </c>
      <c r="Z773" s="438">
        <v>0</v>
      </c>
      <c r="AA773" s="438">
        <v>0</v>
      </c>
      <c r="AB773" s="438">
        <v>0</v>
      </c>
      <c r="AC773" s="438">
        <v>119000</v>
      </c>
      <c r="AD773" s="438">
        <v>80920</v>
      </c>
      <c r="AE773" s="438">
        <v>0</v>
      </c>
      <c r="AF773" s="438">
        <v>0</v>
      </c>
      <c r="AG773" s="438">
        <v>119000</v>
      </c>
      <c r="AH773" s="438">
        <v>80920</v>
      </c>
      <c r="AI773" s="438">
        <v>34618</v>
      </c>
      <c r="AJ773" s="438">
        <v>3462</v>
      </c>
      <c r="AK773" s="438">
        <v>38080</v>
      </c>
      <c r="AL773" s="414" t="str">
        <f t="shared" si="73"/>
        <v>워커힐 시그니처 양념 본갈비 300g, 8개</v>
      </c>
      <c r="AM773" s="395">
        <f t="shared" si="74"/>
        <v>46065</v>
      </c>
      <c r="AN773" s="396">
        <f t="shared" si="75"/>
        <v>1</v>
      </c>
      <c r="AO773" s="109">
        <f t="shared" si="76"/>
        <v>119000</v>
      </c>
      <c r="AP773" s="109">
        <f t="shared" si="77"/>
        <v>108181.81818181818</v>
      </c>
      <c r="AQ773" s="397">
        <f t="shared" si="72"/>
        <v>108181.81818181818</v>
      </c>
    </row>
    <row r="774" spans="1:43" ht="24">
      <c r="A774" s="436" t="s">
        <v>5489</v>
      </c>
      <c r="B774" s="436" t="s">
        <v>3490</v>
      </c>
      <c r="C774" s="437" t="s">
        <v>3491</v>
      </c>
      <c r="D774" s="436" t="s">
        <v>5591</v>
      </c>
      <c r="E774" s="437" t="s">
        <v>3760</v>
      </c>
      <c r="F774" s="436" t="s">
        <v>3494</v>
      </c>
      <c r="G774" s="436" t="s">
        <v>3495</v>
      </c>
      <c r="H774" s="437" t="s">
        <v>3496</v>
      </c>
      <c r="I774" s="436" t="s">
        <v>3497</v>
      </c>
      <c r="J774" s="437" t="s">
        <v>3498</v>
      </c>
      <c r="K774" s="437" t="s">
        <v>3499</v>
      </c>
      <c r="L774" s="436" t="s">
        <v>3500</v>
      </c>
      <c r="M774" s="436" t="s">
        <v>4809</v>
      </c>
      <c r="N774" s="436" t="s">
        <v>3502</v>
      </c>
      <c r="O774" s="438">
        <v>119000</v>
      </c>
      <c r="P774" s="438">
        <v>80920</v>
      </c>
      <c r="Q774" s="438">
        <v>1</v>
      </c>
      <c r="R774" s="438">
        <v>0</v>
      </c>
      <c r="S774" s="438">
        <v>0</v>
      </c>
      <c r="T774" s="438">
        <v>0</v>
      </c>
      <c r="U774" s="438">
        <v>0</v>
      </c>
      <c r="V774" s="438">
        <v>0</v>
      </c>
      <c r="W774" s="438">
        <v>32</v>
      </c>
      <c r="X774" s="438">
        <v>0</v>
      </c>
      <c r="Y774" s="438">
        <v>0</v>
      </c>
      <c r="Z774" s="438">
        <v>0</v>
      </c>
      <c r="AA774" s="438">
        <v>0</v>
      </c>
      <c r="AB774" s="438">
        <v>0</v>
      </c>
      <c r="AC774" s="438">
        <v>119000</v>
      </c>
      <c r="AD774" s="438">
        <v>80920</v>
      </c>
      <c r="AE774" s="438">
        <v>0</v>
      </c>
      <c r="AF774" s="438">
        <v>0</v>
      </c>
      <c r="AG774" s="438">
        <v>119000</v>
      </c>
      <c r="AH774" s="438">
        <v>80920</v>
      </c>
      <c r="AI774" s="438">
        <v>34618</v>
      </c>
      <c r="AJ774" s="438">
        <v>3462</v>
      </c>
      <c r="AK774" s="438">
        <v>38080</v>
      </c>
      <c r="AL774" s="414" t="str">
        <f t="shared" si="73"/>
        <v>워커힐 시그니처 양념 본갈비 300g, 8개</v>
      </c>
      <c r="AM774" s="395">
        <f t="shared" si="74"/>
        <v>46065</v>
      </c>
      <c r="AN774" s="396">
        <f t="shared" si="75"/>
        <v>1</v>
      </c>
      <c r="AO774" s="109">
        <f t="shared" si="76"/>
        <v>119000</v>
      </c>
      <c r="AP774" s="109">
        <f t="shared" si="77"/>
        <v>108181.81818181818</v>
      </c>
      <c r="AQ774" s="397">
        <f t="shared" si="72"/>
        <v>108181.81818181818</v>
      </c>
    </row>
    <row r="775" spans="1:43" ht="24">
      <c r="A775" s="436" t="s">
        <v>5491</v>
      </c>
      <c r="B775" s="436" t="s">
        <v>3490</v>
      </c>
      <c r="C775" s="437" t="s">
        <v>3491</v>
      </c>
      <c r="D775" s="436" t="s">
        <v>5593</v>
      </c>
      <c r="E775" s="437" t="s">
        <v>5594</v>
      </c>
      <c r="F775" s="436" t="s">
        <v>3494</v>
      </c>
      <c r="G775" s="436" t="s">
        <v>3495</v>
      </c>
      <c r="H775" s="437" t="s">
        <v>3496</v>
      </c>
      <c r="I775" s="436" t="s">
        <v>3497</v>
      </c>
      <c r="J775" s="437" t="s">
        <v>3498</v>
      </c>
      <c r="K775" s="437" t="s">
        <v>3499</v>
      </c>
      <c r="L775" s="436" t="s">
        <v>3500</v>
      </c>
      <c r="M775" s="436" t="s">
        <v>4809</v>
      </c>
      <c r="N775" s="436" t="s">
        <v>3502</v>
      </c>
      <c r="O775" s="438">
        <v>119000</v>
      </c>
      <c r="P775" s="438">
        <v>80920</v>
      </c>
      <c r="Q775" s="438">
        <v>1</v>
      </c>
      <c r="R775" s="438">
        <v>0</v>
      </c>
      <c r="S775" s="438">
        <v>0</v>
      </c>
      <c r="T775" s="438">
        <v>0</v>
      </c>
      <c r="U775" s="438">
        <v>0</v>
      </c>
      <c r="V775" s="438">
        <v>0</v>
      </c>
      <c r="W775" s="438">
        <v>32</v>
      </c>
      <c r="X775" s="438">
        <v>0</v>
      </c>
      <c r="Y775" s="438">
        <v>0</v>
      </c>
      <c r="Z775" s="438">
        <v>0</v>
      </c>
      <c r="AA775" s="438">
        <v>0</v>
      </c>
      <c r="AB775" s="438">
        <v>0</v>
      </c>
      <c r="AC775" s="438">
        <v>119000</v>
      </c>
      <c r="AD775" s="438">
        <v>80920</v>
      </c>
      <c r="AE775" s="438">
        <v>0</v>
      </c>
      <c r="AF775" s="438">
        <v>0</v>
      </c>
      <c r="AG775" s="438">
        <v>119000</v>
      </c>
      <c r="AH775" s="438">
        <v>80920</v>
      </c>
      <c r="AI775" s="438">
        <v>34618</v>
      </c>
      <c r="AJ775" s="438">
        <v>3462</v>
      </c>
      <c r="AK775" s="438">
        <v>38080</v>
      </c>
      <c r="AL775" s="414" t="str">
        <f t="shared" si="73"/>
        <v>워커힐 시그니처 양념 본갈비 300g, 8개</v>
      </c>
      <c r="AM775" s="395">
        <f t="shared" si="74"/>
        <v>46065</v>
      </c>
      <c r="AN775" s="396">
        <f t="shared" si="75"/>
        <v>1</v>
      </c>
      <c r="AO775" s="109">
        <f t="shared" si="76"/>
        <v>119000</v>
      </c>
      <c r="AP775" s="109">
        <f t="shared" si="77"/>
        <v>108181.81818181818</v>
      </c>
      <c r="AQ775" s="397">
        <f t="shared" si="72"/>
        <v>108181.81818181818</v>
      </c>
    </row>
    <row r="776" spans="1:43" ht="24">
      <c r="A776" s="436" t="s">
        <v>5494</v>
      </c>
      <c r="B776" s="436" t="s">
        <v>3490</v>
      </c>
      <c r="C776" s="437" t="s">
        <v>3491</v>
      </c>
      <c r="D776" s="436" t="s">
        <v>5295</v>
      </c>
      <c r="E776" s="437" t="s">
        <v>5296</v>
      </c>
      <c r="F776" s="436" t="s">
        <v>3494</v>
      </c>
      <c r="G776" s="436" t="s">
        <v>3495</v>
      </c>
      <c r="H776" s="437" t="s">
        <v>3496</v>
      </c>
      <c r="I776" s="436" t="s">
        <v>3497</v>
      </c>
      <c r="J776" s="437" t="s">
        <v>3498</v>
      </c>
      <c r="K776" s="437" t="s">
        <v>3499</v>
      </c>
      <c r="L776" s="436" t="s">
        <v>3500</v>
      </c>
      <c r="M776" s="436" t="s">
        <v>4809</v>
      </c>
      <c r="N776" s="436" t="s">
        <v>3502</v>
      </c>
      <c r="O776" s="438">
        <v>119000</v>
      </c>
      <c r="P776" s="438">
        <v>80920</v>
      </c>
      <c r="Q776" s="438">
        <v>2</v>
      </c>
      <c r="R776" s="438">
        <v>0</v>
      </c>
      <c r="S776" s="438">
        <v>0</v>
      </c>
      <c r="T776" s="438">
        <v>0</v>
      </c>
      <c r="U776" s="438">
        <v>0</v>
      </c>
      <c r="V776" s="438">
        <v>0</v>
      </c>
      <c r="W776" s="438">
        <v>32</v>
      </c>
      <c r="X776" s="438">
        <v>0</v>
      </c>
      <c r="Y776" s="438">
        <v>0</v>
      </c>
      <c r="Z776" s="438">
        <v>0</v>
      </c>
      <c r="AA776" s="438">
        <v>0</v>
      </c>
      <c r="AB776" s="438">
        <v>0</v>
      </c>
      <c r="AC776" s="438">
        <v>238000</v>
      </c>
      <c r="AD776" s="438">
        <v>161840</v>
      </c>
      <c r="AE776" s="438">
        <v>0</v>
      </c>
      <c r="AF776" s="438">
        <v>0</v>
      </c>
      <c r="AG776" s="438">
        <v>238000</v>
      </c>
      <c r="AH776" s="438">
        <v>161840</v>
      </c>
      <c r="AI776" s="438">
        <v>69236</v>
      </c>
      <c r="AJ776" s="438">
        <v>6924</v>
      </c>
      <c r="AK776" s="438">
        <v>76160</v>
      </c>
      <c r="AL776" s="414" t="str">
        <f t="shared" si="73"/>
        <v>워커힐 시그니처 양념 본갈비 300g, 8개</v>
      </c>
      <c r="AM776" s="395">
        <f t="shared" si="74"/>
        <v>46065</v>
      </c>
      <c r="AN776" s="396">
        <f t="shared" si="75"/>
        <v>2</v>
      </c>
      <c r="AO776" s="109">
        <f t="shared" si="76"/>
        <v>119000</v>
      </c>
      <c r="AP776" s="109">
        <f t="shared" si="77"/>
        <v>108181.81818181818</v>
      </c>
      <c r="AQ776" s="397">
        <f t="shared" si="72"/>
        <v>216363.63636363635</v>
      </c>
    </row>
    <row r="777" spans="1:43" ht="24">
      <c r="A777" s="436" t="s">
        <v>5496</v>
      </c>
      <c r="B777" s="436" t="s">
        <v>3490</v>
      </c>
      <c r="C777" s="437" t="s">
        <v>3491</v>
      </c>
      <c r="D777" s="436" t="s">
        <v>5298</v>
      </c>
      <c r="E777" s="437" t="s">
        <v>4111</v>
      </c>
      <c r="F777" s="436" t="s">
        <v>3494</v>
      </c>
      <c r="G777" s="436" t="s">
        <v>3495</v>
      </c>
      <c r="H777" s="437" t="s">
        <v>3496</v>
      </c>
      <c r="I777" s="436" t="s">
        <v>3497</v>
      </c>
      <c r="J777" s="437" t="s">
        <v>3498</v>
      </c>
      <c r="K777" s="437" t="s">
        <v>3499</v>
      </c>
      <c r="L777" s="436" t="s">
        <v>3500</v>
      </c>
      <c r="M777" s="436" t="s">
        <v>4809</v>
      </c>
      <c r="N777" s="436" t="s">
        <v>3502</v>
      </c>
      <c r="O777" s="438">
        <v>119000</v>
      </c>
      <c r="P777" s="438">
        <v>80920</v>
      </c>
      <c r="Q777" s="438">
        <v>1</v>
      </c>
      <c r="R777" s="438">
        <v>0</v>
      </c>
      <c r="S777" s="438">
        <v>0</v>
      </c>
      <c r="T777" s="438">
        <v>0</v>
      </c>
      <c r="U777" s="438">
        <v>0</v>
      </c>
      <c r="V777" s="438">
        <v>0</v>
      </c>
      <c r="W777" s="438">
        <v>32</v>
      </c>
      <c r="X777" s="438">
        <v>0</v>
      </c>
      <c r="Y777" s="438">
        <v>0</v>
      </c>
      <c r="Z777" s="438">
        <v>0</v>
      </c>
      <c r="AA777" s="438">
        <v>0</v>
      </c>
      <c r="AB777" s="438">
        <v>0</v>
      </c>
      <c r="AC777" s="438">
        <v>119000</v>
      </c>
      <c r="AD777" s="438">
        <v>80920</v>
      </c>
      <c r="AE777" s="438">
        <v>0</v>
      </c>
      <c r="AF777" s="438">
        <v>0</v>
      </c>
      <c r="AG777" s="438">
        <v>119000</v>
      </c>
      <c r="AH777" s="438">
        <v>80920</v>
      </c>
      <c r="AI777" s="438">
        <v>34618</v>
      </c>
      <c r="AJ777" s="438">
        <v>3462</v>
      </c>
      <c r="AK777" s="438">
        <v>38080</v>
      </c>
      <c r="AL777" s="414" t="str">
        <f t="shared" si="73"/>
        <v>워커힐 시그니처 양념 본갈비 300g, 8개</v>
      </c>
      <c r="AM777" s="395">
        <f t="shared" si="74"/>
        <v>46065</v>
      </c>
      <c r="AN777" s="396">
        <f t="shared" si="75"/>
        <v>1</v>
      </c>
      <c r="AO777" s="109">
        <f t="shared" si="76"/>
        <v>119000</v>
      </c>
      <c r="AP777" s="109">
        <f t="shared" si="77"/>
        <v>108181.81818181818</v>
      </c>
      <c r="AQ777" s="397">
        <f t="shared" si="72"/>
        <v>108181.81818181818</v>
      </c>
    </row>
    <row r="778" spans="1:43" ht="24">
      <c r="A778" s="436" t="s">
        <v>5498</v>
      </c>
      <c r="B778" s="436" t="s">
        <v>3490</v>
      </c>
      <c r="C778" s="437" t="s">
        <v>3491</v>
      </c>
      <c r="D778" s="436" t="s">
        <v>5653</v>
      </c>
      <c r="E778" s="437" t="s">
        <v>4036</v>
      </c>
      <c r="F778" s="436" t="s">
        <v>3494</v>
      </c>
      <c r="G778" s="436" t="s">
        <v>3495</v>
      </c>
      <c r="H778" s="437" t="s">
        <v>3496</v>
      </c>
      <c r="I778" s="436" t="s">
        <v>3497</v>
      </c>
      <c r="J778" s="437" t="s">
        <v>3498</v>
      </c>
      <c r="K778" s="437" t="s">
        <v>3499</v>
      </c>
      <c r="L778" s="436" t="s">
        <v>3500</v>
      </c>
      <c r="M778" s="436" t="s">
        <v>4809</v>
      </c>
      <c r="N778" s="436" t="s">
        <v>3502</v>
      </c>
      <c r="O778" s="438">
        <v>119000</v>
      </c>
      <c r="P778" s="438">
        <v>80920</v>
      </c>
      <c r="Q778" s="438">
        <v>1</v>
      </c>
      <c r="R778" s="438">
        <v>0</v>
      </c>
      <c r="S778" s="438">
        <v>0</v>
      </c>
      <c r="T778" s="438">
        <v>0</v>
      </c>
      <c r="U778" s="438">
        <v>0</v>
      </c>
      <c r="V778" s="438">
        <v>0</v>
      </c>
      <c r="W778" s="438">
        <v>32</v>
      </c>
      <c r="X778" s="438">
        <v>0</v>
      </c>
      <c r="Y778" s="438">
        <v>0</v>
      </c>
      <c r="Z778" s="438">
        <v>0</v>
      </c>
      <c r="AA778" s="438">
        <v>0</v>
      </c>
      <c r="AB778" s="438">
        <v>0</v>
      </c>
      <c r="AC778" s="438">
        <v>119000</v>
      </c>
      <c r="AD778" s="438">
        <v>80920</v>
      </c>
      <c r="AE778" s="438">
        <v>0</v>
      </c>
      <c r="AF778" s="438">
        <v>0</v>
      </c>
      <c r="AG778" s="438">
        <v>119000</v>
      </c>
      <c r="AH778" s="438">
        <v>80920</v>
      </c>
      <c r="AI778" s="438">
        <v>34618</v>
      </c>
      <c r="AJ778" s="438">
        <v>3462</v>
      </c>
      <c r="AK778" s="438">
        <v>38080</v>
      </c>
      <c r="AL778" s="414" t="str">
        <f t="shared" si="73"/>
        <v>워커힐 시그니처 양념 본갈비 300g, 8개</v>
      </c>
      <c r="AM778" s="395">
        <f t="shared" si="74"/>
        <v>46065</v>
      </c>
      <c r="AN778" s="396">
        <f t="shared" si="75"/>
        <v>1</v>
      </c>
      <c r="AO778" s="109">
        <f t="shared" si="76"/>
        <v>119000</v>
      </c>
      <c r="AP778" s="109">
        <f t="shared" si="77"/>
        <v>108181.81818181818</v>
      </c>
      <c r="AQ778" s="397">
        <f t="shared" si="72"/>
        <v>108181.81818181818</v>
      </c>
    </row>
    <row r="779" spans="1:43" ht="24">
      <c r="A779" s="436" t="s">
        <v>5500</v>
      </c>
      <c r="B779" s="436" t="s">
        <v>3490</v>
      </c>
      <c r="C779" s="437" t="s">
        <v>3491</v>
      </c>
      <c r="D779" s="436" t="s">
        <v>5655</v>
      </c>
      <c r="E779" s="437" t="s">
        <v>3967</v>
      </c>
      <c r="F779" s="436" t="s">
        <v>3494</v>
      </c>
      <c r="G779" s="436" t="s">
        <v>3495</v>
      </c>
      <c r="H779" s="437" t="s">
        <v>3496</v>
      </c>
      <c r="I779" s="436" t="s">
        <v>3497</v>
      </c>
      <c r="J779" s="437" t="s">
        <v>3498</v>
      </c>
      <c r="K779" s="437" t="s">
        <v>3499</v>
      </c>
      <c r="L779" s="436" t="s">
        <v>3500</v>
      </c>
      <c r="M779" s="436" t="s">
        <v>4809</v>
      </c>
      <c r="N779" s="436" t="s">
        <v>3502</v>
      </c>
      <c r="O779" s="438">
        <v>119000</v>
      </c>
      <c r="P779" s="438">
        <v>80920</v>
      </c>
      <c r="Q779" s="438">
        <v>1</v>
      </c>
      <c r="R779" s="438">
        <v>0</v>
      </c>
      <c r="S779" s="438">
        <v>0</v>
      </c>
      <c r="T779" s="438">
        <v>0</v>
      </c>
      <c r="U779" s="438">
        <v>0</v>
      </c>
      <c r="V779" s="438">
        <v>0</v>
      </c>
      <c r="W779" s="438">
        <v>32</v>
      </c>
      <c r="X779" s="438">
        <v>20230</v>
      </c>
      <c r="Y779" s="438">
        <v>0</v>
      </c>
      <c r="Z779" s="438">
        <v>0</v>
      </c>
      <c r="AA779" s="438">
        <v>0</v>
      </c>
      <c r="AB779" s="438">
        <v>0</v>
      </c>
      <c r="AC779" s="438">
        <v>119000</v>
      </c>
      <c r="AD779" s="438">
        <v>80920</v>
      </c>
      <c r="AE779" s="438">
        <v>0</v>
      </c>
      <c r="AF779" s="438">
        <v>20230</v>
      </c>
      <c r="AG779" s="438">
        <v>98770</v>
      </c>
      <c r="AH779" s="438">
        <v>80920</v>
      </c>
      <c r="AI779" s="438">
        <v>16227</v>
      </c>
      <c r="AJ779" s="438">
        <v>1623</v>
      </c>
      <c r="AK779" s="438">
        <v>17850</v>
      </c>
      <c r="AL779" s="414" t="str">
        <f t="shared" si="73"/>
        <v>워커힐 시그니처 양념 본갈비 300g, 8개</v>
      </c>
      <c r="AM779" s="395">
        <f t="shared" si="74"/>
        <v>46065</v>
      </c>
      <c r="AN779" s="396">
        <f t="shared" si="75"/>
        <v>1</v>
      </c>
      <c r="AO779" s="109">
        <f t="shared" si="76"/>
        <v>119000</v>
      </c>
      <c r="AP779" s="109">
        <f t="shared" si="77"/>
        <v>108181.81818181818</v>
      </c>
      <c r="AQ779" s="397">
        <f t="shared" si="72"/>
        <v>108181.81818181818</v>
      </c>
    </row>
    <row r="780" spans="1:43" ht="24">
      <c r="A780" s="436" t="s">
        <v>5503</v>
      </c>
      <c r="B780" s="436" t="s">
        <v>3490</v>
      </c>
      <c r="C780" s="437" t="s">
        <v>3491</v>
      </c>
      <c r="D780" s="436" t="s">
        <v>5657</v>
      </c>
      <c r="E780" s="437" t="s">
        <v>3649</v>
      </c>
      <c r="F780" s="436" t="s">
        <v>3494</v>
      </c>
      <c r="G780" s="436" t="s">
        <v>3495</v>
      </c>
      <c r="H780" s="437" t="s">
        <v>3496</v>
      </c>
      <c r="I780" s="436" t="s">
        <v>3497</v>
      </c>
      <c r="J780" s="437" t="s">
        <v>3498</v>
      </c>
      <c r="K780" s="437" t="s">
        <v>163</v>
      </c>
      <c r="L780" s="436" t="s">
        <v>3500</v>
      </c>
      <c r="M780" s="436" t="s">
        <v>4809</v>
      </c>
      <c r="N780" s="436" t="s">
        <v>3502</v>
      </c>
      <c r="O780" s="438">
        <v>119000</v>
      </c>
      <c r="P780" s="438">
        <v>80920</v>
      </c>
      <c r="Q780" s="438">
        <v>1</v>
      </c>
      <c r="R780" s="438">
        <v>0</v>
      </c>
      <c r="S780" s="438">
        <v>0</v>
      </c>
      <c r="T780" s="438">
        <v>0</v>
      </c>
      <c r="U780" s="438">
        <v>0</v>
      </c>
      <c r="V780" s="438">
        <v>0</v>
      </c>
      <c r="W780" s="438">
        <v>32</v>
      </c>
      <c r="X780" s="438">
        <v>0</v>
      </c>
      <c r="Y780" s="438">
        <v>10000</v>
      </c>
      <c r="Z780" s="438">
        <v>0</v>
      </c>
      <c r="AA780" s="438">
        <v>0</v>
      </c>
      <c r="AB780" s="438">
        <v>0</v>
      </c>
      <c r="AC780" s="438">
        <v>119000</v>
      </c>
      <c r="AD780" s="438">
        <v>80920</v>
      </c>
      <c r="AE780" s="438">
        <v>0</v>
      </c>
      <c r="AF780" s="438">
        <v>10000</v>
      </c>
      <c r="AG780" s="438">
        <v>109000</v>
      </c>
      <c r="AH780" s="438">
        <v>80920</v>
      </c>
      <c r="AI780" s="438">
        <v>25527</v>
      </c>
      <c r="AJ780" s="438">
        <v>2553</v>
      </c>
      <c r="AK780" s="438">
        <v>28080</v>
      </c>
      <c r="AL780" s="414" t="str">
        <f t="shared" si="73"/>
        <v>워커힐 시그니처 양념 본갈비 300g, 8개</v>
      </c>
      <c r="AM780" s="395">
        <f t="shared" si="74"/>
        <v>46065</v>
      </c>
      <c r="AN780" s="396">
        <f t="shared" si="75"/>
        <v>1</v>
      </c>
      <c r="AO780" s="109">
        <f t="shared" si="76"/>
        <v>119000</v>
      </c>
      <c r="AP780" s="109">
        <f t="shared" si="77"/>
        <v>108181.81818181818</v>
      </c>
      <c r="AQ780" s="397">
        <f t="shared" si="72"/>
        <v>108181.81818181818</v>
      </c>
    </row>
    <row r="781" spans="1:43" ht="24">
      <c r="A781" s="436" t="s">
        <v>5505</v>
      </c>
      <c r="B781" s="436" t="s">
        <v>3490</v>
      </c>
      <c r="C781" s="437" t="s">
        <v>3491</v>
      </c>
      <c r="D781" s="436" t="s">
        <v>5674</v>
      </c>
      <c r="E781" s="437" t="s">
        <v>4062</v>
      </c>
      <c r="F781" s="436" t="s">
        <v>3494</v>
      </c>
      <c r="G781" s="436" t="s">
        <v>3495</v>
      </c>
      <c r="H781" s="437" t="s">
        <v>3496</v>
      </c>
      <c r="I781" s="436" t="s">
        <v>3497</v>
      </c>
      <c r="J781" s="437" t="s">
        <v>3498</v>
      </c>
      <c r="K781" s="437" t="s">
        <v>3499</v>
      </c>
      <c r="L781" s="436" t="s">
        <v>3500</v>
      </c>
      <c r="M781" s="436" t="s">
        <v>4809</v>
      </c>
      <c r="N781" s="436" t="s">
        <v>3502</v>
      </c>
      <c r="O781" s="438">
        <v>119000</v>
      </c>
      <c r="P781" s="438">
        <v>80920</v>
      </c>
      <c r="Q781" s="438">
        <v>1</v>
      </c>
      <c r="R781" s="438">
        <v>0</v>
      </c>
      <c r="S781" s="438">
        <v>0</v>
      </c>
      <c r="T781" s="438">
        <v>0</v>
      </c>
      <c r="U781" s="438">
        <v>0</v>
      </c>
      <c r="V781" s="438">
        <v>0</v>
      </c>
      <c r="W781" s="438">
        <v>32</v>
      </c>
      <c r="X781" s="438">
        <v>0</v>
      </c>
      <c r="Y781" s="438">
        <v>10000</v>
      </c>
      <c r="Z781" s="438">
        <v>0</v>
      </c>
      <c r="AA781" s="438">
        <v>0</v>
      </c>
      <c r="AB781" s="438">
        <v>0</v>
      </c>
      <c r="AC781" s="438">
        <v>119000</v>
      </c>
      <c r="AD781" s="438">
        <v>80920</v>
      </c>
      <c r="AE781" s="438">
        <v>0</v>
      </c>
      <c r="AF781" s="438">
        <v>10000</v>
      </c>
      <c r="AG781" s="438">
        <v>109000</v>
      </c>
      <c r="AH781" s="438">
        <v>80920</v>
      </c>
      <c r="AI781" s="438">
        <v>25527</v>
      </c>
      <c r="AJ781" s="438">
        <v>2553</v>
      </c>
      <c r="AK781" s="438">
        <v>28080</v>
      </c>
      <c r="AL781" s="414" t="str">
        <f t="shared" si="73"/>
        <v>워커힐 시그니처 양념 본갈비 300g, 8개</v>
      </c>
      <c r="AM781" s="395">
        <f t="shared" si="74"/>
        <v>46065</v>
      </c>
      <c r="AN781" s="396">
        <f t="shared" si="75"/>
        <v>1</v>
      </c>
      <c r="AO781" s="109">
        <f t="shared" si="76"/>
        <v>119000</v>
      </c>
      <c r="AP781" s="109">
        <f t="shared" si="77"/>
        <v>108181.81818181818</v>
      </c>
      <c r="AQ781" s="397">
        <f t="shared" si="72"/>
        <v>108181.81818181818</v>
      </c>
    </row>
    <row r="782" spans="1:43" ht="24">
      <c r="A782" s="436" t="s">
        <v>5507</v>
      </c>
      <c r="B782" s="436" t="s">
        <v>3490</v>
      </c>
      <c r="C782" s="437" t="s">
        <v>3491</v>
      </c>
      <c r="D782" s="436" t="s">
        <v>5308</v>
      </c>
      <c r="E782" s="437" t="s">
        <v>3746</v>
      </c>
      <c r="F782" s="436" t="s">
        <v>3494</v>
      </c>
      <c r="G782" s="436" t="s">
        <v>3495</v>
      </c>
      <c r="H782" s="437" t="s">
        <v>3496</v>
      </c>
      <c r="I782" s="436" t="s">
        <v>3497</v>
      </c>
      <c r="J782" s="437" t="s">
        <v>3498</v>
      </c>
      <c r="K782" s="437" t="s">
        <v>3499</v>
      </c>
      <c r="L782" s="436" t="s">
        <v>3500</v>
      </c>
      <c r="M782" s="436" t="s">
        <v>4809</v>
      </c>
      <c r="N782" s="436" t="s">
        <v>3502</v>
      </c>
      <c r="O782" s="438">
        <v>119000</v>
      </c>
      <c r="P782" s="438">
        <v>80920</v>
      </c>
      <c r="Q782" s="438">
        <v>1</v>
      </c>
      <c r="R782" s="438">
        <v>0</v>
      </c>
      <c r="S782" s="438">
        <v>0</v>
      </c>
      <c r="T782" s="438">
        <v>0</v>
      </c>
      <c r="U782" s="438">
        <v>0</v>
      </c>
      <c r="V782" s="438">
        <v>0</v>
      </c>
      <c r="W782" s="438">
        <v>32</v>
      </c>
      <c r="X782" s="438">
        <v>0</v>
      </c>
      <c r="Y782" s="438">
        <v>0</v>
      </c>
      <c r="Z782" s="438">
        <v>0</v>
      </c>
      <c r="AA782" s="438">
        <v>0</v>
      </c>
      <c r="AB782" s="438">
        <v>0</v>
      </c>
      <c r="AC782" s="438">
        <v>119000</v>
      </c>
      <c r="AD782" s="438">
        <v>80920</v>
      </c>
      <c r="AE782" s="438">
        <v>0</v>
      </c>
      <c r="AF782" s="438">
        <v>0</v>
      </c>
      <c r="AG782" s="438">
        <v>119000</v>
      </c>
      <c r="AH782" s="438">
        <v>80920</v>
      </c>
      <c r="AI782" s="438">
        <v>34618</v>
      </c>
      <c r="AJ782" s="438">
        <v>3462</v>
      </c>
      <c r="AK782" s="438">
        <v>38080</v>
      </c>
      <c r="AL782" s="414" t="str">
        <f t="shared" si="73"/>
        <v>워커힐 시그니처 양념 본갈비 300g, 8개</v>
      </c>
      <c r="AM782" s="395">
        <f t="shared" si="74"/>
        <v>46065</v>
      </c>
      <c r="AN782" s="396">
        <f t="shared" si="75"/>
        <v>1</v>
      </c>
      <c r="AO782" s="109">
        <f t="shared" si="76"/>
        <v>119000</v>
      </c>
      <c r="AP782" s="109">
        <f t="shared" si="77"/>
        <v>108181.81818181818</v>
      </c>
      <c r="AQ782" s="397">
        <f t="shared" si="72"/>
        <v>108181.81818181818</v>
      </c>
    </row>
    <row r="783" spans="1:43" ht="24">
      <c r="A783" s="436" t="s">
        <v>5509</v>
      </c>
      <c r="B783" s="436" t="s">
        <v>3490</v>
      </c>
      <c r="C783" s="437" t="s">
        <v>3491</v>
      </c>
      <c r="D783" s="436" t="s">
        <v>5312</v>
      </c>
      <c r="E783" s="437" t="s">
        <v>4483</v>
      </c>
      <c r="F783" s="436" t="s">
        <v>3494</v>
      </c>
      <c r="G783" s="436" t="s">
        <v>3495</v>
      </c>
      <c r="H783" s="437" t="s">
        <v>3496</v>
      </c>
      <c r="I783" s="436" t="s">
        <v>3497</v>
      </c>
      <c r="J783" s="437" t="s">
        <v>3498</v>
      </c>
      <c r="K783" s="437" t="s">
        <v>3499</v>
      </c>
      <c r="L783" s="436" t="s">
        <v>3500</v>
      </c>
      <c r="M783" s="436" t="s">
        <v>4809</v>
      </c>
      <c r="N783" s="436" t="s">
        <v>3502</v>
      </c>
      <c r="O783" s="438">
        <v>119000</v>
      </c>
      <c r="P783" s="438">
        <v>80920</v>
      </c>
      <c r="Q783" s="438">
        <v>1</v>
      </c>
      <c r="R783" s="438">
        <v>0</v>
      </c>
      <c r="S783" s="438">
        <v>0</v>
      </c>
      <c r="T783" s="438">
        <v>0</v>
      </c>
      <c r="U783" s="438">
        <v>0</v>
      </c>
      <c r="V783" s="438">
        <v>0</v>
      </c>
      <c r="W783" s="438">
        <v>32</v>
      </c>
      <c r="X783" s="438">
        <v>0</v>
      </c>
      <c r="Y783" s="438">
        <v>0</v>
      </c>
      <c r="Z783" s="438">
        <v>0</v>
      </c>
      <c r="AA783" s="438">
        <v>0</v>
      </c>
      <c r="AB783" s="438">
        <v>0</v>
      </c>
      <c r="AC783" s="438">
        <v>119000</v>
      </c>
      <c r="AD783" s="438">
        <v>80920</v>
      </c>
      <c r="AE783" s="438">
        <v>0</v>
      </c>
      <c r="AF783" s="438">
        <v>0</v>
      </c>
      <c r="AG783" s="438">
        <v>119000</v>
      </c>
      <c r="AH783" s="438">
        <v>80920</v>
      </c>
      <c r="AI783" s="438">
        <v>34618</v>
      </c>
      <c r="AJ783" s="438">
        <v>3462</v>
      </c>
      <c r="AK783" s="438">
        <v>38080</v>
      </c>
      <c r="AL783" s="414" t="str">
        <f t="shared" si="73"/>
        <v>워커힐 시그니처 양념 본갈비 300g, 8개</v>
      </c>
      <c r="AM783" s="395">
        <f t="shared" si="74"/>
        <v>46065</v>
      </c>
      <c r="AN783" s="396">
        <f t="shared" si="75"/>
        <v>1</v>
      </c>
      <c r="AO783" s="109">
        <f t="shared" si="76"/>
        <v>119000</v>
      </c>
      <c r="AP783" s="109">
        <f t="shared" si="77"/>
        <v>108181.81818181818</v>
      </c>
      <c r="AQ783" s="397">
        <f t="shared" si="72"/>
        <v>108181.81818181818</v>
      </c>
    </row>
    <row r="784" spans="1:43" ht="24">
      <c r="A784" s="436" t="s">
        <v>5511</v>
      </c>
      <c r="B784" s="436" t="s">
        <v>3490</v>
      </c>
      <c r="C784" s="437" t="s">
        <v>3491</v>
      </c>
      <c r="D784" s="436" t="s">
        <v>5663</v>
      </c>
      <c r="E784" s="437" t="s">
        <v>5664</v>
      </c>
      <c r="F784" s="436" t="s">
        <v>3494</v>
      </c>
      <c r="G784" s="436" t="s">
        <v>3495</v>
      </c>
      <c r="H784" s="437" t="s">
        <v>3496</v>
      </c>
      <c r="I784" s="436" t="s">
        <v>3497</v>
      </c>
      <c r="J784" s="437" t="s">
        <v>3498</v>
      </c>
      <c r="K784" s="437" t="s">
        <v>3548</v>
      </c>
      <c r="L784" s="436" t="s">
        <v>3500</v>
      </c>
      <c r="M784" s="436" t="s">
        <v>4809</v>
      </c>
      <c r="N784" s="436" t="s">
        <v>3502</v>
      </c>
      <c r="O784" s="438">
        <v>119000</v>
      </c>
      <c r="P784" s="438">
        <v>82110</v>
      </c>
      <c r="Q784" s="438">
        <v>1</v>
      </c>
      <c r="R784" s="438">
        <v>0</v>
      </c>
      <c r="S784" s="438">
        <v>0</v>
      </c>
      <c r="T784" s="438">
        <v>0</v>
      </c>
      <c r="U784" s="438">
        <v>0</v>
      </c>
      <c r="V784" s="438">
        <v>0</v>
      </c>
      <c r="W784" s="438">
        <v>31</v>
      </c>
      <c r="X784" s="438">
        <v>0</v>
      </c>
      <c r="Y784" s="438">
        <v>0</v>
      </c>
      <c r="Z784" s="438">
        <v>0</v>
      </c>
      <c r="AA784" s="438">
        <v>0</v>
      </c>
      <c r="AB784" s="438">
        <v>0</v>
      </c>
      <c r="AC784" s="438">
        <v>119000</v>
      </c>
      <c r="AD784" s="438">
        <v>82110</v>
      </c>
      <c r="AE784" s="438">
        <v>0</v>
      </c>
      <c r="AF784" s="438">
        <v>0</v>
      </c>
      <c r="AG784" s="438">
        <v>119000</v>
      </c>
      <c r="AH784" s="438">
        <v>82110</v>
      </c>
      <c r="AI784" s="438">
        <v>33536</v>
      </c>
      <c r="AJ784" s="438">
        <v>3354</v>
      </c>
      <c r="AK784" s="438">
        <v>36890</v>
      </c>
      <c r="AL784" s="414" t="str">
        <f t="shared" si="73"/>
        <v>워커힐 시그니처 양념 본갈비 300g, 8개</v>
      </c>
      <c r="AM784" s="395">
        <f t="shared" si="74"/>
        <v>46065</v>
      </c>
      <c r="AN784" s="396">
        <f t="shared" si="75"/>
        <v>1</v>
      </c>
      <c r="AO784" s="109">
        <f t="shared" si="76"/>
        <v>119000</v>
      </c>
      <c r="AP784" s="109">
        <f t="shared" si="77"/>
        <v>108181.81818181818</v>
      </c>
      <c r="AQ784" s="397">
        <f t="shared" si="72"/>
        <v>108181.81818181818</v>
      </c>
    </row>
    <row r="785" spans="1:43" ht="24">
      <c r="A785" s="436" t="s">
        <v>5513</v>
      </c>
      <c r="B785" s="436" t="s">
        <v>3490</v>
      </c>
      <c r="C785" s="437" t="s">
        <v>3491</v>
      </c>
      <c r="D785" s="436" t="s">
        <v>5669</v>
      </c>
      <c r="E785" s="437" t="s">
        <v>5670</v>
      </c>
      <c r="F785" s="436" t="s">
        <v>3494</v>
      </c>
      <c r="G785" s="436" t="s">
        <v>3495</v>
      </c>
      <c r="H785" s="437" t="s">
        <v>3496</v>
      </c>
      <c r="I785" s="436" t="s">
        <v>3497</v>
      </c>
      <c r="J785" s="437" t="s">
        <v>3498</v>
      </c>
      <c r="K785" s="437" t="s">
        <v>163</v>
      </c>
      <c r="L785" s="436" t="s">
        <v>3500</v>
      </c>
      <c r="M785" s="436" t="s">
        <v>4809</v>
      </c>
      <c r="N785" s="436" t="s">
        <v>3502</v>
      </c>
      <c r="O785" s="438">
        <v>119000</v>
      </c>
      <c r="P785" s="438">
        <v>80920</v>
      </c>
      <c r="Q785" s="438">
        <v>1</v>
      </c>
      <c r="R785" s="438">
        <v>0</v>
      </c>
      <c r="S785" s="438">
        <v>0</v>
      </c>
      <c r="T785" s="438">
        <v>0</v>
      </c>
      <c r="U785" s="438">
        <v>0</v>
      </c>
      <c r="V785" s="438">
        <v>0</v>
      </c>
      <c r="W785" s="438">
        <v>32</v>
      </c>
      <c r="X785" s="438">
        <v>0</v>
      </c>
      <c r="Y785" s="438">
        <v>5950</v>
      </c>
      <c r="Z785" s="438">
        <v>0</v>
      </c>
      <c r="AA785" s="438">
        <v>0</v>
      </c>
      <c r="AB785" s="438">
        <v>0</v>
      </c>
      <c r="AC785" s="438">
        <v>119000</v>
      </c>
      <c r="AD785" s="438">
        <v>80920</v>
      </c>
      <c r="AE785" s="438">
        <v>0</v>
      </c>
      <c r="AF785" s="438">
        <v>5950</v>
      </c>
      <c r="AG785" s="438">
        <v>113050</v>
      </c>
      <c r="AH785" s="438">
        <v>80920</v>
      </c>
      <c r="AI785" s="438">
        <v>29209</v>
      </c>
      <c r="AJ785" s="438">
        <v>2921</v>
      </c>
      <c r="AK785" s="438">
        <v>32130</v>
      </c>
      <c r="AL785" s="414" t="str">
        <f t="shared" si="73"/>
        <v>워커힐 시그니처 양념 본갈비 300g, 8개</v>
      </c>
      <c r="AM785" s="395">
        <f t="shared" si="74"/>
        <v>46065</v>
      </c>
      <c r="AN785" s="396">
        <f t="shared" si="75"/>
        <v>1</v>
      </c>
      <c r="AO785" s="109">
        <f t="shared" si="76"/>
        <v>119000</v>
      </c>
      <c r="AP785" s="109">
        <f t="shared" si="77"/>
        <v>108181.81818181818</v>
      </c>
      <c r="AQ785" s="397">
        <f t="shared" si="72"/>
        <v>108181.81818181818</v>
      </c>
    </row>
    <row r="786" spans="1:43" ht="24">
      <c r="A786" s="436" t="s">
        <v>5516</v>
      </c>
      <c r="B786" s="436" t="s">
        <v>3490</v>
      </c>
      <c r="C786" s="437" t="s">
        <v>3491</v>
      </c>
      <c r="D786" s="436" t="s">
        <v>5336</v>
      </c>
      <c r="E786" s="437" t="s">
        <v>3533</v>
      </c>
      <c r="F786" s="436" t="s">
        <v>3494</v>
      </c>
      <c r="G786" s="436" t="s">
        <v>3495</v>
      </c>
      <c r="H786" s="437" t="s">
        <v>3496</v>
      </c>
      <c r="I786" s="436" t="s">
        <v>3497</v>
      </c>
      <c r="J786" s="437" t="s">
        <v>3498</v>
      </c>
      <c r="K786" s="437" t="s">
        <v>3499</v>
      </c>
      <c r="L786" s="436" t="s">
        <v>3500</v>
      </c>
      <c r="M786" s="436" t="s">
        <v>4809</v>
      </c>
      <c r="N786" s="436" t="s">
        <v>3502</v>
      </c>
      <c r="O786" s="438">
        <v>119000</v>
      </c>
      <c r="P786" s="438">
        <v>80920</v>
      </c>
      <c r="Q786" s="438">
        <v>1</v>
      </c>
      <c r="R786" s="438">
        <v>0</v>
      </c>
      <c r="S786" s="438">
        <v>0</v>
      </c>
      <c r="T786" s="438">
        <v>0</v>
      </c>
      <c r="U786" s="438">
        <v>0</v>
      </c>
      <c r="V786" s="438">
        <v>0</v>
      </c>
      <c r="W786" s="438">
        <v>32</v>
      </c>
      <c r="X786" s="438">
        <v>0</v>
      </c>
      <c r="Y786" s="438">
        <v>0</v>
      </c>
      <c r="Z786" s="438">
        <v>0</v>
      </c>
      <c r="AA786" s="438">
        <v>0</v>
      </c>
      <c r="AB786" s="438">
        <v>0</v>
      </c>
      <c r="AC786" s="438">
        <v>119000</v>
      </c>
      <c r="AD786" s="438">
        <v>80920</v>
      </c>
      <c r="AE786" s="438">
        <v>0</v>
      </c>
      <c r="AF786" s="438">
        <v>0</v>
      </c>
      <c r="AG786" s="438">
        <v>119000</v>
      </c>
      <c r="AH786" s="438">
        <v>80920</v>
      </c>
      <c r="AI786" s="438">
        <v>34618</v>
      </c>
      <c r="AJ786" s="438">
        <v>3462</v>
      </c>
      <c r="AK786" s="438">
        <v>38080</v>
      </c>
      <c r="AL786" s="414" t="str">
        <f t="shared" si="73"/>
        <v>워커힐 시그니처 양념 본갈비 300g, 8개</v>
      </c>
      <c r="AM786" s="395">
        <f t="shared" si="74"/>
        <v>46065</v>
      </c>
      <c r="AN786" s="396">
        <f t="shared" si="75"/>
        <v>1</v>
      </c>
      <c r="AO786" s="109">
        <f t="shared" si="76"/>
        <v>119000</v>
      </c>
      <c r="AP786" s="109">
        <f t="shared" si="77"/>
        <v>108181.81818181818</v>
      </c>
      <c r="AQ786" s="397">
        <f t="shared" si="72"/>
        <v>108181.81818181818</v>
      </c>
    </row>
    <row r="787" spans="1:43" ht="24">
      <c r="A787" s="436" t="s">
        <v>5519</v>
      </c>
      <c r="B787" s="436" t="s">
        <v>3490</v>
      </c>
      <c r="C787" s="437" t="s">
        <v>3491</v>
      </c>
      <c r="D787" s="436" t="s">
        <v>5340</v>
      </c>
      <c r="E787" s="437" t="s">
        <v>5341</v>
      </c>
      <c r="F787" s="436" t="s">
        <v>3494</v>
      </c>
      <c r="G787" s="436" t="s">
        <v>3495</v>
      </c>
      <c r="H787" s="437" t="s">
        <v>3496</v>
      </c>
      <c r="I787" s="436" t="s">
        <v>3497</v>
      </c>
      <c r="J787" s="437" t="s">
        <v>3498</v>
      </c>
      <c r="K787" s="437" t="s">
        <v>3499</v>
      </c>
      <c r="L787" s="436" t="s">
        <v>3500</v>
      </c>
      <c r="M787" s="436" t="s">
        <v>4809</v>
      </c>
      <c r="N787" s="436" t="s">
        <v>3502</v>
      </c>
      <c r="O787" s="438">
        <v>119000</v>
      </c>
      <c r="P787" s="438">
        <v>80920</v>
      </c>
      <c r="Q787" s="438">
        <v>1</v>
      </c>
      <c r="R787" s="438">
        <v>0</v>
      </c>
      <c r="S787" s="438">
        <v>0</v>
      </c>
      <c r="T787" s="438">
        <v>0</v>
      </c>
      <c r="U787" s="438">
        <v>0</v>
      </c>
      <c r="V787" s="438">
        <v>0</v>
      </c>
      <c r="W787" s="438">
        <v>32</v>
      </c>
      <c r="X787" s="438">
        <v>0</v>
      </c>
      <c r="Y787" s="438">
        <v>0</v>
      </c>
      <c r="Z787" s="438">
        <v>0</v>
      </c>
      <c r="AA787" s="438">
        <v>0</v>
      </c>
      <c r="AB787" s="438">
        <v>0</v>
      </c>
      <c r="AC787" s="438">
        <v>119000</v>
      </c>
      <c r="AD787" s="438">
        <v>80920</v>
      </c>
      <c r="AE787" s="438">
        <v>0</v>
      </c>
      <c r="AF787" s="438">
        <v>0</v>
      </c>
      <c r="AG787" s="438">
        <v>119000</v>
      </c>
      <c r="AH787" s="438">
        <v>80920</v>
      </c>
      <c r="AI787" s="438">
        <v>34618</v>
      </c>
      <c r="AJ787" s="438">
        <v>3462</v>
      </c>
      <c r="AK787" s="438">
        <v>38080</v>
      </c>
      <c r="AL787" s="414" t="str">
        <f t="shared" si="73"/>
        <v>워커힐 시그니처 양념 본갈비 300g, 8개</v>
      </c>
      <c r="AM787" s="395">
        <f t="shared" si="74"/>
        <v>46065</v>
      </c>
      <c r="AN787" s="396">
        <f t="shared" si="75"/>
        <v>1</v>
      </c>
      <c r="AO787" s="109">
        <f t="shared" si="76"/>
        <v>119000</v>
      </c>
      <c r="AP787" s="109">
        <f t="shared" si="77"/>
        <v>108181.81818181818</v>
      </c>
      <c r="AQ787" s="397">
        <f t="shared" si="72"/>
        <v>108181.81818181818</v>
      </c>
    </row>
    <row r="788" spans="1:43" ht="24">
      <c r="A788" s="436" t="s">
        <v>5521</v>
      </c>
      <c r="B788" s="436" t="s">
        <v>3490</v>
      </c>
      <c r="C788" s="437" t="s">
        <v>3491</v>
      </c>
      <c r="D788" s="436" t="s">
        <v>5676</v>
      </c>
      <c r="E788" s="437" t="s">
        <v>3600</v>
      </c>
      <c r="F788" s="436" t="s">
        <v>3494</v>
      </c>
      <c r="G788" s="436" t="s">
        <v>3495</v>
      </c>
      <c r="H788" s="437" t="s">
        <v>3496</v>
      </c>
      <c r="I788" s="436" t="s">
        <v>3497</v>
      </c>
      <c r="J788" s="437" t="s">
        <v>3498</v>
      </c>
      <c r="K788" s="437" t="s">
        <v>3499</v>
      </c>
      <c r="L788" s="436" t="s">
        <v>3500</v>
      </c>
      <c r="M788" s="436" t="s">
        <v>4809</v>
      </c>
      <c r="N788" s="436" t="s">
        <v>3502</v>
      </c>
      <c r="O788" s="438">
        <v>119000</v>
      </c>
      <c r="P788" s="438">
        <v>80920</v>
      </c>
      <c r="Q788" s="438">
        <v>1</v>
      </c>
      <c r="R788" s="438">
        <v>0</v>
      </c>
      <c r="S788" s="438">
        <v>0</v>
      </c>
      <c r="T788" s="438">
        <v>0</v>
      </c>
      <c r="U788" s="438">
        <v>0</v>
      </c>
      <c r="V788" s="438">
        <v>0</v>
      </c>
      <c r="W788" s="438">
        <v>32</v>
      </c>
      <c r="X788" s="438">
        <v>0</v>
      </c>
      <c r="Y788" s="438">
        <v>0</v>
      </c>
      <c r="Z788" s="438">
        <v>0</v>
      </c>
      <c r="AA788" s="438">
        <v>0</v>
      </c>
      <c r="AB788" s="438">
        <v>0</v>
      </c>
      <c r="AC788" s="438">
        <v>119000</v>
      </c>
      <c r="AD788" s="438">
        <v>80920</v>
      </c>
      <c r="AE788" s="438">
        <v>0</v>
      </c>
      <c r="AF788" s="438">
        <v>0</v>
      </c>
      <c r="AG788" s="438">
        <v>119000</v>
      </c>
      <c r="AH788" s="438">
        <v>80920</v>
      </c>
      <c r="AI788" s="438">
        <v>34618</v>
      </c>
      <c r="AJ788" s="438">
        <v>3462</v>
      </c>
      <c r="AK788" s="438">
        <v>38080</v>
      </c>
      <c r="AL788" s="414" t="str">
        <f t="shared" si="73"/>
        <v>워커힐 시그니처 양념 본갈비 300g, 8개</v>
      </c>
      <c r="AM788" s="395">
        <f t="shared" si="74"/>
        <v>46065</v>
      </c>
      <c r="AN788" s="396">
        <f t="shared" si="75"/>
        <v>1</v>
      </c>
      <c r="AO788" s="109">
        <f t="shared" si="76"/>
        <v>119000</v>
      </c>
      <c r="AP788" s="109">
        <f t="shared" si="77"/>
        <v>108181.81818181818</v>
      </c>
      <c r="AQ788" s="397">
        <f t="shared" si="72"/>
        <v>108181.81818181818</v>
      </c>
    </row>
    <row r="789" spans="1:43" ht="24">
      <c r="A789" s="436" t="s">
        <v>5524</v>
      </c>
      <c r="B789" s="436" t="s">
        <v>3490</v>
      </c>
      <c r="C789" s="437" t="s">
        <v>3491</v>
      </c>
      <c r="D789" s="436" t="s">
        <v>5484</v>
      </c>
      <c r="E789" s="437" t="s">
        <v>3925</v>
      </c>
      <c r="F789" s="436" t="s">
        <v>3494</v>
      </c>
      <c r="G789" s="436" t="s">
        <v>3495</v>
      </c>
      <c r="H789" s="437" t="s">
        <v>3496</v>
      </c>
      <c r="I789" s="436" t="s">
        <v>3497</v>
      </c>
      <c r="J789" s="437" t="s">
        <v>3498</v>
      </c>
      <c r="K789" s="437" t="s">
        <v>3499</v>
      </c>
      <c r="L789" s="436" t="s">
        <v>3500</v>
      </c>
      <c r="M789" s="436" t="s">
        <v>4809</v>
      </c>
      <c r="N789" s="436" t="s">
        <v>3502</v>
      </c>
      <c r="O789" s="438">
        <v>119000</v>
      </c>
      <c r="P789" s="438">
        <v>80920</v>
      </c>
      <c r="Q789" s="438">
        <v>1</v>
      </c>
      <c r="R789" s="438">
        <v>0</v>
      </c>
      <c r="S789" s="438">
        <v>0</v>
      </c>
      <c r="T789" s="438">
        <v>0</v>
      </c>
      <c r="U789" s="438">
        <v>0</v>
      </c>
      <c r="V789" s="438">
        <v>0</v>
      </c>
      <c r="W789" s="438">
        <v>32</v>
      </c>
      <c r="X789" s="438">
        <v>0</v>
      </c>
      <c r="Y789" s="438">
        <v>0</v>
      </c>
      <c r="Z789" s="438">
        <v>0</v>
      </c>
      <c r="AA789" s="438">
        <v>0</v>
      </c>
      <c r="AB789" s="438">
        <v>5950</v>
      </c>
      <c r="AC789" s="438">
        <v>119000</v>
      </c>
      <c r="AD789" s="438">
        <v>80920</v>
      </c>
      <c r="AE789" s="438">
        <v>0</v>
      </c>
      <c r="AF789" s="438">
        <v>5950</v>
      </c>
      <c r="AG789" s="438">
        <v>113050</v>
      </c>
      <c r="AH789" s="438">
        <v>80920</v>
      </c>
      <c r="AI789" s="438">
        <v>29209</v>
      </c>
      <c r="AJ789" s="438">
        <v>2921</v>
      </c>
      <c r="AK789" s="438">
        <v>32130</v>
      </c>
      <c r="AL789" s="414" t="str">
        <f t="shared" si="73"/>
        <v>워커힐 시그니처 양념 본갈비 300g, 8개</v>
      </c>
      <c r="AM789" s="395">
        <f t="shared" si="74"/>
        <v>46065</v>
      </c>
      <c r="AN789" s="396">
        <f t="shared" si="75"/>
        <v>1</v>
      </c>
      <c r="AO789" s="109">
        <f t="shared" si="76"/>
        <v>119000</v>
      </c>
      <c r="AP789" s="109">
        <f t="shared" si="77"/>
        <v>108181.81818181818</v>
      </c>
      <c r="AQ789" s="397">
        <f t="shared" si="72"/>
        <v>108181.81818181818</v>
      </c>
    </row>
    <row r="790" spans="1:43" ht="24">
      <c r="A790" s="436" t="s">
        <v>5526</v>
      </c>
      <c r="B790" s="436" t="s">
        <v>3490</v>
      </c>
      <c r="C790" s="437" t="s">
        <v>3491</v>
      </c>
      <c r="D790" s="436" t="s">
        <v>5678</v>
      </c>
      <c r="E790" s="437" t="s">
        <v>3493</v>
      </c>
      <c r="F790" s="436" t="s">
        <v>3494</v>
      </c>
      <c r="G790" s="436" t="s">
        <v>3495</v>
      </c>
      <c r="H790" s="437" t="s">
        <v>3496</v>
      </c>
      <c r="I790" s="436" t="s">
        <v>3497</v>
      </c>
      <c r="J790" s="437" t="s">
        <v>3498</v>
      </c>
      <c r="K790" s="437" t="s">
        <v>163</v>
      </c>
      <c r="L790" s="436" t="s">
        <v>3500</v>
      </c>
      <c r="M790" s="436" t="s">
        <v>4809</v>
      </c>
      <c r="N790" s="436" t="s">
        <v>3502</v>
      </c>
      <c r="O790" s="438">
        <v>119000</v>
      </c>
      <c r="P790" s="438">
        <v>80920</v>
      </c>
      <c r="Q790" s="438">
        <v>1</v>
      </c>
      <c r="R790" s="438">
        <v>0</v>
      </c>
      <c r="S790" s="438">
        <v>0</v>
      </c>
      <c r="T790" s="438">
        <v>0</v>
      </c>
      <c r="U790" s="438">
        <v>0</v>
      </c>
      <c r="V790" s="438">
        <v>0</v>
      </c>
      <c r="W790" s="438">
        <v>32</v>
      </c>
      <c r="X790" s="438">
        <v>0</v>
      </c>
      <c r="Y790" s="438">
        <v>5950</v>
      </c>
      <c r="Z790" s="438">
        <v>0</v>
      </c>
      <c r="AA790" s="438">
        <v>0</v>
      </c>
      <c r="AB790" s="438">
        <v>0</v>
      </c>
      <c r="AC790" s="438">
        <v>119000</v>
      </c>
      <c r="AD790" s="438">
        <v>80920</v>
      </c>
      <c r="AE790" s="438">
        <v>0</v>
      </c>
      <c r="AF790" s="438">
        <v>5950</v>
      </c>
      <c r="AG790" s="438">
        <v>113050</v>
      </c>
      <c r="AH790" s="438">
        <v>80920</v>
      </c>
      <c r="AI790" s="438">
        <v>29209</v>
      </c>
      <c r="AJ790" s="438">
        <v>2921</v>
      </c>
      <c r="AK790" s="438">
        <v>32130</v>
      </c>
      <c r="AL790" s="414" t="str">
        <f t="shared" si="73"/>
        <v>워커힐 시그니처 양념 본갈비 300g, 8개</v>
      </c>
      <c r="AM790" s="395">
        <f t="shared" si="74"/>
        <v>46065</v>
      </c>
      <c r="AN790" s="396">
        <f t="shared" si="75"/>
        <v>1</v>
      </c>
      <c r="AO790" s="109">
        <f t="shared" si="76"/>
        <v>119000</v>
      </c>
      <c r="AP790" s="109">
        <f t="shared" si="77"/>
        <v>108181.81818181818</v>
      </c>
      <c r="AQ790" s="397">
        <f t="shared" si="72"/>
        <v>108181.81818181818</v>
      </c>
    </row>
    <row r="791" spans="1:43" ht="24">
      <c r="A791" s="436" t="s">
        <v>5529</v>
      </c>
      <c r="B791" s="436" t="s">
        <v>3490</v>
      </c>
      <c r="C791" s="437" t="s">
        <v>3491</v>
      </c>
      <c r="D791" s="436" t="s">
        <v>5678</v>
      </c>
      <c r="E791" s="437" t="s">
        <v>3493</v>
      </c>
      <c r="F791" s="436" t="s">
        <v>3494</v>
      </c>
      <c r="G791" s="436" t="s">
        <v>3495</v>
      </c>
      <c r="H791" s="437" t="s">
        <v>3496</v>
      </c>
      <c r="I791" s="436" t="s">
        <v>3497</v>
      </c>
      <c r="J791" s="437" t="s">
        <v>3498</v>
      </c>
      <c r="K791" s="437" t="s">
        <v>163</v>
      </c>
      <c r="L791" s="436" t="s">
        <v>3500</v>
      </c>
      <c r="M791" s="436" t="s">
        <v>4809</v>
      </c>
      <c r="N791" s="436" t="s">
        <v>3502</v>
      </c>
      <c r="O791" s="438">
        <v>119000</v>
      </c>
      <c r="P791" s="438">
        <v>80920</v>
      </c>
      <c r="Q791" s="438">
        <v>1</v>
      </c>
      <c r="R791" s="438">
        <v>0</v>
      </c>
      <c r="S791" s="438">
        <v>0</v>
      </c>
      <c r="T791" s="438">
        <v>0</v>
      </c>
      <c r="U791" s="438">
        <v>0</v>
      </c>
      <c r="V791" s="438">
        <v>0</v>
      </c>
      <c r="W791" s="438">
        <v>32</v>
      </c>
      <c r="X791" s="438">
        <v>0</v>
      </c>
      <c r="Y791" s="438">
        <v>5950</v>
      </c>
      <c r="Z791" s="438">
        <v>0</v>
      </c>
      <c r="AA791" s="438">
        <v>0</v>
      </c>
      <c r="AB791" s="438">
        <v>0</v>
      </c>
      <c r="AC791" s="438">
        <v>119000</v>
      </c>
      <c r="AD791" s="438">
        <v>80920</v>
      </c>
      <c r="AE791" s="438">
        <v>0</v>
      </c>
      <c r="AF791" s="438">
        <v>5950</v>
      </c>
      <c r="AG791" s="438">
        <v>113050</v>
      </c>
      <c r="AH791" s="438">
        <v>80920</v>
      </c>
      <c r="AI791" s="438">
        <v>29209</v>
      </c>
      <c r="AJ791" s="438">
        <v>2921</v>
      </c>
      <c r="AK791" s="438">
        <v>32130</v>
      </c>
      <c r="AL791" s="414" t="str">
        <f t="shared" si="73"/>
        <v>워커힐 시그니처 양념 본갈비 300g, 8개</v>
      </c>
      <c r="AM791" s="395">
        <f t="shared" si="74"/>
        <v>46065</v>
      </c>
      <c r="AN791" s="396">
        <f t="shared" si="75"/>
        <v>1</v>
      </c>
      <c r="AO791" s="109">
        <f t="shared" si="76"/>
        <v>119000</v>
      </c>
      <c r="AP791" s="109">
        <f t="shared" si="77"/>
        <v>108181.81818181818</v>
      </c>
      <c r="AQ791" s="397">
        <f t="shared" si="72"/>
        <v>108181.81818181818</v>
      </c>
    </row>
    <row r="792" spans="1:43" ht="24">
      <c r="A792" s="436" t="s">
        <v>5532</v>
      </c>
      <c r="B792" s="436" t="s">
        <v>3490</v>
      </c>
      <c r="C792" s="437" t="s">
        <v>3491</v>
      </c>
      <c r="D792" s="436" t="s">
        <v>5348</v>
      </c>
      <c r="E792" s="437" t="s">
        <v>5349</v>
      </c>
      <c r="F792" s="436" t="s">
        <v>3494</v>
      </c>
      <c r="G792" s="436" t="s">
        <v>3495</v>
      </c>
      <c r="H792" s="437" t="s">
        <v>3496</v>
      </c>
      <c r="I792" s="436" t="s">
        <v>3497</v>
      </c>
      <c r="J792" s="437" t="s">
        <v>3498</v>
      </c>
      <c r="K792" s="437" t="s">
        <v>3499</v>
      </c>
      <c r="L792" s="436" t="s">
        <v>3500</v>
      </c>
      <c r="M792" s="436" t="s">
        <v>4809</v>
      </c>
      <c r="N792" s="436" t="s">
        <v>3502</v>
      </c>
      <c r="O792" s="438">
        <v>119000</v>
      </c>
      <c r="P792" s="438">
        <v>80920</v>
      </c>
      <c r="Q792" s="438">
        <v>1</v>
      </c>
      <c r="R792" s="438">
        <v>0</v>
      </c>
      <c r="S792" s="438">
        <v>0</v>
      </c>
      <c r="T792" s="438">
        <v>0</v>
      </c>
      <c r="U792" s="438">
        <v>0</v>
      </c>
      <c r="V792" s="438">
        <v>0</v>
      </c>
      <c r="W792" s="438">
        <v>32</v>
      </c>
      <c r="X792" s="438">
        <v>0</v>
      </c>
      <c r="Y792" s="438">
        <v>0</v>
      </c>
      <c r="Z792" s="438">
        <v>0</v>
      </c>
      <c r="AA792" s="438">
        <v>0</v>
      </c>
      <c r="AB792" s="438">
        <v>0</v>
      </c>
      <c r="AC792" s="438">
        <v>119000</v>
      </c>
      <c r="AD792" s="438">
        <v>80920</v>
      </c>
      <c r="AE792" s="438">
        <v>0</v>
      </c>
      <c r="AF792" s="438">
        <v>0</v>
      </c>
      <c r="AG792" s="438">
        <v>119000</v>
      </c>
      <c r="AH792" s="438">
        <v>80920</v>
      </c>
      <c r="AI792" s="438">
        <v>34618</v>
      </c>
      <c r="AJ792" s="438">
        <v>3462</v>
      </c>
      <c r="AK792" s="438">
        <v>38080</v>
      </c>
      <c r="AL792" s="414" t="str">
        <f t="shared" si="73"/>
        <v>워커힐 시그니처 양념 본갈비 300g, 8개</v>
      </c>
      <c r="AM792" s="395">
        <f t="shared" si="74"/>
        <v>46065</v>
      </c>
      <c r="AN792" s="396">
        <f t="shared" si="75"/>
        <v>1</v>
      </c>
      <c r="AO792" s="109">
        <f t="shared" si="76"/>
        <v>119000</v>
      </c>
      <c r="AP792" s="109">
        <f t="shared" si="77"/>
        <v>108181.81818181818</v>
      </c>
      <c r="AQ792" s="397">
        <f t="shared" si="72"/>
        <v>108181.81818181818</v>
      </c>
    </row>
    <row r="793" spans="1:43" ht="24">
      <c r="A793" s="436" t="s">
        <v>5534</v>
      </c>
      <c r="B793" s="436" t="s">
        <v>3490</v>
      </c>
      <c r="C793" s="437" t="s">
        <v>3491</v>
      </c>
      <c r="D793" s="436" t="s">
        <v>5351</v>
      </c>
      <c r="E793" s="437" t="s">
        <v>3600</v>
      </c>
      <c r="F793" s="436" t="s">
        <v>3494</v>
      </c>
      <c r="G793" s="436" t="s">
        <v>3495</v>
      </c>
      <c r="H793" s="437" t="s">
        <v>3496</v>
      </c>
      <c r="I793" s="436" t="s">
        <v>3497</v>
      </c>
      <c r="J793" s="437" t="s">
        <v>3498</v>
      </c>
      <c r="K793" s="437" t="s">
        <v>3499</v>
      </c>
      <c r="L793" s="436" t="s">
        <v>3500</v>
      </c>
      <c r="M793" s="436" t="s">
        <v>4809</v>
      </c>
      <c r="N793" s="436" t="s">
        <v>3502</v>
      </c>
      <c r="O793" s="438">
        <v>119000</v>
      </c>
      <c r="P793" s="438">
        <v>80920</v>
      </c>
      <c r="Q793" s="438">
        <v>1</v>
      </c>
      <c r="R793" s="438">
        <v>0</v>
      </c>
      <c r="S793" s="438">
        <v>0</v>
      </c>
      <c r="T793" s="438">
        <v>0</v>
      </c>
      <c r="U793" s="438">
        <v>0</v>
      </c>
      <c r="V793" s="438">
        <v>0</v>
      </c>
      <c r="W793" s="438">
        <v>32</v>
      </c>
      <c r="X793" s="438">
        <v>0</v>
      </c>
      <c r="Y793" s="438">
        <v>0</v>
      </c>
      <c r="Z793" s="438">
        <v>0</v>
      </c>
      <c r="AA793" s="438">
        <v>0</v>
      </c>
      <c r="AB793" s="438">
        <v>0</v>
      </c>
      <c r="AC793" s="438">
        <v>119000</v>
      </c>
      <c r="AD793" s="438">
        <v>80920</v>
      </c>
      <c r="AE793" s="438">
        <v>0</v>
      </c>
      <c r="AF793" s="438">
        <v>0</v>
      </c>
      <c r="AG793" s="438">
        <v>119000</v>
      </c>
      <c r="AH793" s="438">
        <v>80920</v>
      </c>
      <c r="AI793" s="438">
        <v>34618</v>
      </c>
      <c r="AJ793" s="438">
        <v>3462</v>
      </c>
      <c r="AK793" s="438">
        <v>38080</v>
      </c>
      <c r="AL793" s="414" t="str">
        <f t="shared" si="73"/>
        <v>워커힐 시그니처 양념 본갈비 300g, 8개</v>
      </c>
      <c r="AM793" s="395">
        <f t="shared" si="74"/>
        <v>46065</v>
      </c>
      <c r="AN793" s="396">
        <f t="shared" si="75"/>
        <v>1</v>
      </c>
      <c r="AO793" s="109">
        <f t="shared" si="76"/>
        <v>119000</v>
      </c>
      <c r="AP793" s="109">
        <f t="shared" si="77"/>
        <v>108181.81818181818</v>
      </c>
      <c r="AQ793" s="397">
        <f t="shared" si="72"/>
        <v>108181.81818181818</v>
      </c>
    </row>
    <row r="794" spans="1:43" ht="24">
      <c r="A794" s="436" t="s">
        <v>5537</v>
      </c>
      <c r="B794" s="436" t="s">
        <v>3490</v>
      </c>
      <c r="C794" s="437" t="s">
        <v>3491</v>
      </c>
      <c r="D794" s="436" t="s">
        <v>5488</v>
      </c>
      <c r="E794" s="437" t="s">
        <v>3712</v>
      </c>
      <c r="F794" s="436" t="s">
        <v>3494</v>
      </c>
      <c r="G794" s="436" t="s">
        <v>3495</v>
      </c>
      <c r="H794" s="437" t="s">
        <v>3496</v>
      </c>
      <c r="I794" s="436" t="s">
        <v>3497</v>
      </c>
      <c r="J794" s="437" t="s">
        <v>3498</v>
      </c>
      <c r="K794" s="437" t="s">
        <v>3499</v>
      </c>
      <c r="L794" s="436" t="s">
        <v>3500</v>
      </c>
      <c r="M794" s="436" t="s">
        <v>4809</v>
      </c>
      <c r="N794" s="436" t="s">
        <v>3502</v>
      </c>
      <c r="O794" s="438">
        <v>119000</v>
      </c>
      <c r="P794" s="438">
        <v>80920</v>
      </c>
      <c r="Q794" s="438">
        <v>1</v>
      </c>
      <c r="R794" s="438">
        <v>0</v>
      </c>
      <c r="S794" s="438">
        <v>0</v>
      </c>
      <c r="T794" s="438">
        <v>0</v>
      </c>
      <c r="U794" s="438">
        <v>0</v>
      </c>
      <c r="V794" s="438">
        <v>0</v>
      </c>
      <c r="W794" s="438">
        <v>32</v>
      </c>
      <c r="X794" s="438">
        <v>0</v>
      </c>
      <c r="Y794" s="438">
        <v>0</v>
      </c>
      <c r="Z794" s="438">
        <v>0</v>
      </c>
      <c r="AA794" s="438">
        <v>0</v>
      </c>
      <c r="AB794" s="438">
        <v>0</v>
      </c>
      <c r="AC794" s="438">
        <v>119000</v>
      </c>
      <c r="AD794" s="438">
        <v>80920</v>
      </c>
      <c r="AE794" s="438">
        <v>0</v>
      </c>
      <c r="AF794" s="438">
        <v>0</v>
      </c>
      <c r="AG794" s="438">
        <v>119000</v>
      </c>
      <c r="AH794" s="438">
        <v>80920</v>
      </c>
      <c r="AI794" s="438">
        <v>34618</v>
      </c>
      <c r="AJ794" s="438">
        <v>3462</v>
      </c>
      <c r="AK794" s="438">
        <v>38080</v>
      </c>
      <c r="AL794" s="414" t="str">
        <f t="shared" si="73"/>
        <v>워커힐 시그니처 양념 본갈비 300g, 8개</v>
      </c>
      <c r="AM794" s="395">
        <f t="shared" si="74"/>
        <v>46065</v>
      </c>
      <c r="AN794" s="396">
        <f t="shared" si="75"/>
        <v>1</v>
      </c>
      <c r="AO794" s="109">
        <f t="shared" si="76"/>
        <v>119000</v>
      </c>
      <c r="AP794" s="109">
        <f t="shared" si="77"/>
        <v>108181.81818181818</v>
      </c>
      <c r="AQ794" s="397">
        <f t="shared" si="72"/>
        <v>108181.81818181818</v>
      </c>
    </row>
    <row r="795" spans="1:43" ht="24">
      <c r="A795" s="436" t="s">
        <v>5539</v>
      </c>
      <c r="B795" s="436" t="s">
        <v>3490</v>
      </c>
      <c r="C795" s="437" t="s">
        <v>3491</v>
      </c>
      <c r="D795" s="436" t="s">
        <v>5690</v>
      </c>
      <c r="E795" s="437" t="s">
        <v>3760</v>
      </c>
      <c r="F795" s="436" t="s">
        <v>3494</v>
      </c>
      <c r="G795" s="436" t="s">
        <v>3495</v>
      </c>
      <c r="H795" s="437" t="s">
        <v>3496</v>
      </c>
      <c r="I795" s="436" t="s">
        <v>3497</v>
      </c>
      <c r="J795" s="437" t="s">
        <v>3498</v>
      </c>
      <c r="K795" s="437" t="s">
        <v>163</v>
      </c>
      <c r="L795" s="436" t="s">
        <v>3500</v>
      </c>
      <c r="M795" s="436" t="s">
        <v>4809</v>
      </c>
      <c r="N795" s="436" t="s">
        <v>3502</v>
      </c>
      <c r="O795" s="438">
        <v>119000</v>
      </c>
      <c r="P795" s="438">
        <v>80920</v>
      </c>
      <c r="Q795" s="438">
        <v>1</v>
      </c>
      <c r="R795" s="438">
        <v>0</v>
      </c>
      <c r="S795" s="438">
        <v>0</v>
      </c>
      <c r="T795" s="438">
        <v>0</v>
      </c>
      <c r="U795" s="438">
        <v>0</v>
      </c>
      <c r="V795" s="438">
        <v>0</v>
      </c>
      <c r="W795" s="438">
        <v>32</v>
      </c>
      <c r="X795" s="438">
        <v>0</v>
      </c>
      <c r="Y795" s="438">
        <v>5950</v>
      </c>
      <c r="Z795" s="438">
        <v>0</v>
      </c>
      <c r="AA795" s="438">
        <v>0</v>
      </c>
      <c r="AB795" s="438">
        <v>0</v>
      </c>
      <c r="AC795" s="438">
        <v>119000</v>
      </c>
      <c r="AD795" s="438">
        <v>80920</v>
      </c>
      <c r="AE795" s="438">
        <v>0</v>
      </c>
      <c r="AF795" s="438">
        <v>5950</v>
      </c>
      <c r="AG795" s="438">
        <v>113050</v>
      </c>
      <c r="AH795" s="438">
        <v>80920</v>
      </c>
      <c r="AI795" s="438">
        <v>29209</v>
      </c>
      <c r="AJ795" s="438">
        <v>2921</v>
      </c>
      <c r="AK795" s="438">
        <v>32130</v>
      </c>
      <c r="AL795" s="414" t="str">
        <f t="shared" si="73"/>
        <v>워커힐 시그니처 양념 본갈비 300g, 8개</v>
      </c>
      <c r="AM795" s="395">
        <f t="shared" si="74"/>
        <v>46065</v>
      </c>
      <c r="AN795" s="396">
        <f t="shared" si="75"/>
        <v>1</v>
      </c>
      <c r="AO795" s="109">
        <f t="shared" si="76"/>
        <v>119000</v>
      </c>
      <c r="AP795" s="109">
        <f t="shared" si="77"/>
        <v>108181.81818181818</v>
      </c>
      <c r="AQ795" s="397">
        <f t="shared" si="72"/>
        <v>108181.81818181818</v>
      </c>
    </row>
    <row r="796" spans="1:43" ht="24">
      <c r="A796" s="436" t="s">
        <v>5542</v>
      </c>
      <c r="B796" s="436" t="s">
        <v>3490</v>
      </c>
      <c r="C796" s="437" t="s">
        <v>3491</v>
      </c>
      <c r="D796" s="436" t="s">
        <v>5370</v>
      </c>
      <c r="E796" s="437" t="s">
        <v>5371</v>
      </c>
      <c r="F796" s="436" t="s">
        <v>3494</v>
      </c>
      <c r="G796" s="436" t="s">
        <v>3495</v>
      </c>
      <c r="H796" s="437" t="s">
        <v>3496</v>
      </c>
      <c r="I796" s="436" t="s">
        <v>3497</v>
      </c>
      <c r="J796" s="437" t="s">
        <v>3498</v>
      </c>
      <c r="K796" s="437" t="s">
        <v>3499</v>
      </c>
      <c r="L796" s="436" t="s">
        <v>3500</v>
      </c>
      <c r="M796" s="436" t="s">
        <v>4809</v>
      </c>
      <c r="N796" s="436" t="s">
        <v>3502</v>
      </c>
      <c r="O796" s="438">
        <v>119000</v>
      </c>
      <c r="P796" s="438">
        <v>80920</v>
      </c>
      <c r="Q796" s="438">
        <v>1</v>
      </c>
      <c r="R796" s="438">
        <v>0</v>
      </c>
      <c r="S796" s="438">
        <v>0</v>
      </c>
      <c r="T796" s="438">
        <v>0</v>
      </c>
      <c r="U796" s="438">
        <v>0</v>
      </c>
      <c r="V796" s="438">
        <v>0</v>
      </c>
      <c r="W796" s="438">
        <v>32</v>
      </c>
      <c r="X796" s="438">
        <v>0</v>
      </c>
      <c r="Y796" s="438">
        <v>0</v>
      </c>
      <c r="Z796" s="438">
        <v>0</v>
      </c>
      <c r="AA796" s="438">
        <v>0</v>
      </c>
      <c r="AB796" s="438">
        <v>5950</v>
      </c>
      <c r="AC796" s="438">
        <v>119000</v>
      </c>
      <c r="AD796" s="438">
        <v>80920</v>
      </c>
      <c r="AE796" s="438">
        <v>0</v>
      </c>
      <c r="AF796" s="438">
        <v>5950</v>
      </c>
      <c r="AG796" s="438">
        <v>113050</v>
      </c>
      <c r="AH796" s="438">
        <v>80920</v>
      </c>
      <c r="AI796" s="438">
        <v>29209</v>
      </c>
      <c r="AJ796" s="438">
        <v>2921</v>
      </c>
      <c r="AK796" s="438">
        <v>32130</v>
      </c>
      <c r="AL796" s="414" t="str">
        <f t="shared" si="73"/>
        <v>워커힐 시그니처 양념 본갈비 300g, 8개</v>
      </c>
      <c r="AM796" s="395">
        <f t="shared" si="74"/>
        <v>46065</v>
      </c>
      <c r="AN796" s="396">
        <f t="shared" si="75"/>
        <v>1</v>
      </c>
      <c r="AO796" s="109">
        <f t="shared" si="76"/>
        <v>119000</v>
      </c>
      <c r="AP796" s="109">
        <f t="shared" si="77"/>
        <v>108181.81818181818</v>
      </c>
      <c r="AQ796" s="397">
        <f t="shared" si="72"/>
        <v>108181.81818181818</v>
      </c>
    </row>
    <row r="797" spans="1:43" ht="24">
      <c r="A797" s="436" t="s">
        <v>5544</v>
      </c>
      <c r="B797" s="436" t="s">
        <v>3490</v>
      </c>
      <c r="C797" s="437" t="s">
        <v>3491</v>
      </c>
      <c r="D797" s="436" t="s">
        <v>5373</v>
      </c>
      <c r="E797" s="437" t="s">
        <v>5374</v>
      </c>
      <c r="F797" s="436" t="s">
        <v>3494</v>
      </c>
      <c r="G797" s="436" t="s">
        <v>3495</v>
      </c>
      <c r="H797" s="437" t="s">
        <v>3496</v>
      </c>
      <c r="I797" s="436" t="s">
        <v>3497</v>
      </c>
      <c r="J797" s="437" t="s">
        <v>3498</v>
      </c>
      <c r="K797" s="437" t="s">
        <v>3499</v>
      </c>
      <c r="L797" s="436" t="s">
        <v>3500</v>
      </c>
      <c r="M797" s="436" t="s">
        <v>4809</v>
      </c>
      <c r="N797" s="436" t="s">
        <v>3502</v>
      </c>
      <c r="O797" s="438">
        <v>119000</v>
      </c>
      <c r="P797" s="438">
        <v>80920</v>
      </c>
      <c r="Q797" s="438">
        <v>1</v>
      </c>
      <c r="R797" s="438">
        <v>0</v>
      </c>
      <c r="S797" s="438">
        <v>0</v>
      </c>
      <c r="T797" s="438">
        <v>0</v>
      </c>
      <c r="U797" s="438">
        <v>0</v>
      </c>
      <c r="V797" s="438">
        <v>0</v>
      </c>
      <c r="W797" s="438">
        <v>32</v>
      </c>
      <c r="X797" s="438">
        <v>0</v>
      </c>
      <c r="Y797" s="438">
        <v>0</v>
      </c>
      <c r="Z797" s="438">
        <v>0</v>
      </c>
      <c r="AA797" s="438">
        <v>0</v>
      </c>
      <c r="AB797" s="438">
        <v>0</v>
      </c>
      <c r="AC797" s="438">
        <v>119000</v>
      </c>
      <c r="AD797" s="438">
        <v>80920</v>
      </c>
      <c r="AE797" s="438">
        <v>0</v>
      </c>
      <c r="AF797" s="438">
        <v>0</v>
      </c>
      <c r="AG797" s="438">
        <v>119000</v>
      </c>
      <c r="AH797" s="438">
        <v>80920</v>
      </c>
      <c r="AI797" s="438">
        <v>34618</v>
      </c>
      <c r="AJ797" s="438">
        <v>3462</v>
      </c>
      <c r="AK797" s="438">
        <v>38080</v>
      </c>
      <c r="AL797" s="414" t="str">
        <f t="shared" si="73"/>
        <v>워커힐 시그니처 양념 본갈비 300g, 8개</v>
      </c>
      <c r="AM797" s="395">
        <f t="shared" si="74"/>
        <v>46065</v>
      </c>
      <c r="AN797" s="396">
        <f t="shared" si="75"/>
        <v>1</v>
      </c>
      <c r="AO797" s="109">
        <f t="shared" si="76"/>
        <v>119000</v>
      </c>
      <c r="AP797" s="109">
        <f t="shared" si="77"/>
        <v>108181.81818181818</v>
      </c>
      <c r="AQ797" s="397">
        <f t="shared" ref="AQ797:AQ860" si="78">AN797*AP797</f>
        <v>108181.81818181818</v>
      </c>
    </row>
    <row r="798" spans="1:43" ht="24">
      <c r="A798" s="436" t="s">
        <v>5547</v>
      </c>
      <c r="B798" s="436" t="s">
        <v>3490</v>
      </c>
      <c r="C798" s="437" t="s">
        <v>3491</v>
      </c>
      <c r="D798" s="436" t="s">
        <v>5376</v>
      </c>
      <c r="E798" s="437" t="s">
        <v>4596</v>
      </c>
      <c r="F798" s="436" t="s">
        <v>3494</v>
      </c>
      <c r="G798" s="436" t="s">
        <v>3495</v>
      </c>
      <c r="H798" s="437" t="s">
        <v>3496</v>
      </c>
      <c r="I798" s="436" t="s">
        <v>3497</v>
      </c>
      <c r="J798" s="437" t="s">
        <v>3498</v>
      </c>
      <c r="K798" s="437" t="s">
        <v>3499</v>
      </c>
      <c r="L798" s="436" t="s">
        <v>3500</v>
      </c>
      <c r="M798" s="436" t="s">
        <v>4809</v>
      </c>
      <c r="N798" s="436" t="s">
        <v>3502</v>
      </c>
      <c r="O798" s="438">
        <v>119000</v>
      </c>
      <c r="P798" s="438">
        <v>80920</v>
      </c>
      <c r="Q798" s="438">
        <v>1</v>
      </c>
      <c r="R798" s="438">
        <v>0</v>
      </c>
      <c r="S798" s="438">
        <v>0</v>
      </c>
      <c r="T798" s="438">
        <v>0</v>
      </c>
      <c r="U798" s="438">
        <v>0</v>
      </c>
      <c r="V798" s="438">
        <v>0</v>
      </c>
      <c r="W798" s="438">
        <v>32</v>
      </c>
      <c r="X798" s="438">
        <v>0</v>
      </c>
      <c r="Y798" s="438">
        <v>0</v>
      </c>
      <c r="Z798" s="438">
        <v>0</v>
      </c>
      <c r="AA798" s="438">
        <v>0</v>
      </c>
      <c r="AB798" s="438">
        <v>0</v>
      </c>
      <c r="AC798" s="438">
        <v>119000</v>
      </c>
      <c r="AD798" s="438">
        <v>80920</v>
      </c>
      <c r="AE798" s="438">
        <v>0</v>
      </c>
      <c r="AF798" s="438">
        <v>0</v>
      </c>
      <c r="AG798" s="438">
        <v>119000</v>
      </c>
      <c r="AH798" s="438">
        <v>80920</v>
      </c>
      <c r="AI798" s="438">
        <v>34618</v>
      </c>
      <c r="AJ798" s="438">
        <v>3462</v>
      </c>
      <c r="AK798" s="438">
        <v>38080</v>
      </c>
      <c r="AL798" s="414" t="str">
        <f t="shared" si="73"/>
        <v>워커힐 시그니처 양념 본갈비 300g, 8개</v>
      </c>
      <c r="AM798" s="395">
        <f t="shared" si="74"/>
        <v>46065</v>
      </c>
      <c r="AN798" s="396">
        <f t="shared" si="75"/>
        <v>1</v>
      </c>
      <c r="AO798" s="109">
        <f t="shared" si="76"/>
        <v>119000</v>
      </c>
      <c r="AP798" s="109">
        <f t="shared" si="77"/>
        <v>108181.81818181818</v>
      </c>
      <c r="AQ798" s="397">
        <f t="shared" si="78"/>
        <v>108181.81818181818</v>
      </c>
    </row>
    <row r="799" spans="1:43" ht="24">
      <c r="A799" s="436" t="s">
        <v>5550</v>
      </c>
      <c r="B799" s="436" t="s">
        <v>3490</v>
      </c>
      <c r="C799" s="437" t="s">
        <v>3491</v>
      </c>
      <c r="D799" s="436" t="s">
        <v>5175</v>
      </c>
      <c r="E799" s="437" t="s">
        <v>3763</v>
      </c>
      <c r="F799" s="436" t="s">
        <v>3494</v>
      </c>
      <c r="G799" s="436" t="s">
        <v>3495</v>
      </c>
      <c r="H799" s="437" t="s">
        <v>3496</v>
      </c>
      <c r="I799" s="436" t="s">
        <v>3497</v>
      </c>
      <c r="J799" s="437" t="s">
        <v>3498</v>
      </c>
      <c r="K799" s="437" t="s">
        <v>3499</v>
      </c>
      <c r="L799" s="436" t="s">
        <v>3500</v>
      </c>
      <c r="M799" s="436" t="s">
        <v>4809</v>
      </c>
      <c r="N799" s="436" t="s">
        <v>3502</v>
      </c>
      <c r="O799" s="438">
        <v>119000</v>
      </c>
      <c r="P799" s="438">
        <v>80920</v>
      </c>
      <c r="Q799" s="438">
        <v>1</v>
      </c>
      <c r="R799" s="438">
        <v>0</v>
      </c>
      <c r="S799" s="438">
        <v>0</v>
      </c>
      <c r="T799" s="438">
        <v>0</v>
      </c>
      <c r="U799" s="438">
        <v>0</v>
      </c>
      <c r="V799" s="438">
        <v>0</v>
      </c>
      <c r="W799" s="438">
        <v>32</v>
      </c>
      <c r="X799" s="438">
        <v>0</v>
      </c>
      <c r="Y799" s="438">
        <v>0</v>
      </c>
      <c r="Z799" s="438">
        <v>0</v>
      </c>
      <c r="AA799" s="438">
        <v>0</v>
      </c>
      <c r="AB799" s="438">
        <v>0</v>
      </c>
      <c r="AC799" s="438">
        <v>119000</v>
      </c>
      <c r="AD799" s="438">
        <v>80920</v>
      </c>
      <c r="AE799" s="438">
        <v>0</v>
      </c>
      <c r="AF799" s="438">
        <v>0</v>
      </c>
      <c r="AG799" s="438">
        <v>119000</v>
      </c>
      <c r="AH799" s="438">
        <v>80920</v>
      </c>
      <c r="AI799" s="438">
        <v>34618</v>
      </c>
      <c r="AJ799" s="438">
        <v>3462</v>
      </c>
      <c r="AK799" s="438">
        <v>38080</v>
      </c>
      <c r="AL799" s="414" t="str">
        <f t="shared" si="73"/>
        <v>워커힐 시그니처 양념 본갈비 300g, 8개</v>
      </c>
      <c r="AM799" s="395">
        <f t="shared" si="74"/>
        <v>46065</v>
      </c>
      <c r="AN799" s="396">
        <f t="shared" si="75"/>
        <v>1</v>
      </c>
      <c r="AO799" s="109">
        <f t="shared" si="76"/>
        <v>119000</v>
      </c>
      <c r="AP799" s="109">
        <f t="shared" si="77"/>
        <v>108181.81818181818</v>
      </c>
      <c r="AQ799" s="397">
        <f t="shared" si="78"/>
        <v>108181.81818181818</v>
      </c>
    </row>
    <row r="800" spans="1:43" ht="24">
      <c r="A800" s="436" t="s">
        <v>5553</v>
      </c>
      <c r="B800" s="436" t="s">
        <v>3490</v>
      </c>
      <c r="C800" s="437" t="s">
        <v>3491</v>
      </c>
      <c r="D800" s="436" t="s">
        <v>5181</v>
      </c>
      <c r="E800" s="437" t="s">
        <v>4536</v>
      </c>
      <c r="F800" s="436" t="s">
        <v>3494</v>
      </c>
      <c r="G800" s="436" t="s">
        <v>3495</v>
      </c>
      <c r="H800" s="437" t="s">
        <v>3496</v>
      </c>
      <c r="I800" s="436" t="s">
        <v>3497</v>
      </c>
      <c r="J800" s="437" t="s">
        <v>3498</v>
      </c>
      <c r="K800" s="437" t="s">
        <v>3499</v>
      </c>
      <c r="L800" s="436" t="s">
        <v>3500</v>
      </c>
      <c r="M800" s="436" t="s">
        <v>4809</v>
      </c>
      <c r="N800" s="436" t="s">
        <v>3502</v>
      </c>
      <c r="O800" s="438">
        <v>119000</v>
      </c>
      <c r="P800" s="438">
        <v>80920</v>
      </c>
      <c r="Q800" s="438">
        <v>1</v>
      </c>
      <c r="R800" s="438">
        <v>0</v>
      </c>
      <c r="S800" s="438">
        <v>0</v>
      </c>
      <c r="T800" s="438">
        <v>0</v>
      </c>
      <c r="U800" s="438">
        <v>0</v>
      </c>
      <c r="V800" s="438">
        <v>0</v>
      </c>
      <c r="W800" s="438">
        <v>32</v>
      </c>
      <c r="X800" s="438">
        <v>0</v>
      </c>
      <c r="Y800" s="438">
        <v>0</v>
      </c>
      <c r="Z800" s="438">
        <v>0</v>
      </c>
      <c r="AA800" s="438">
        <v>0</v>
      </c>
      <c r="AB800" s="438">
        <v>0</v>
      </c>
      <c r="AC800" s="438">
        <v>119000</v>
      </c>
      <c r="AD800" s="438">
        <v>80920</v>
      </c>
      <c r="AE800" s="438">
        <v>0</v>
      </c>
      <c r="AF800" s="438">
        <v>0</v>
      </c>
      <c r="AG800" s="438">
        <v>119000</v>
      </c>
      <c r="AH800" s="438">
        <v>80920</v>
      </c>
      <c r="AI800" s="438">
        <v>34618</v>
      </c>
      <c r="AJ800" s="438">
        <v>3462</v>
      </c>
      <c r="AK800" s="438">
        <v>38080</v>
      </c>
      <c r="AL800" s="414" t="str">
        <f t="shared" si="73"/>
        <v>워커힐 시그니처 양념 본갈비 300g, 8개</v>
      </c>
      <c r="AM800" s="395">
        <f t="shared" si="74"/>
        <v>46065</v>
      </c>
      <c r="AN800" s="396">
        <f t="shared" si="75"/>
        <v>1</v>
      </c>
      <c r="AO800" s="109">
        <f t="shared" si="76"/>
        <v>119000</v>
      </c>
      <c r="AP800" s="109">
        <f t="shared" si="77"/>
        <v>108181.81818181818</v>
      </c>
      <c r="AQ800" s="397">
        <f t="shared" si="78"/>
        <v>108181.81818181818</v>
      </c>
    </row>
    <row r="801" spans="1:43" ht="24">
      <c r="A801" s="436" t="s">
        <v>5556</v>
      </c>
      <c r="B801" s="436" t="s">
        <v>3490</v>
      </c>
      <c r="C801" s="437" t="s">
        <v>3491</v>
      </c>
      <c r="D801" s="436" t="s">
        <v>5287</v>
      </c>
      <c r="E801" s="437" t="s">
        <v>3493</v>
      </c>
      <c r="F801" s="436" t="s">
        <v>3494</v>
      </c>
      <c r="G801" s="436" t="s">
        <v>3495</v>
      </c>
      <c r="H801" s="437" t="s">
        <v>3496</v>
      </c>
      <c r="I801" s="436" t="s">
        <v>3497</v>
      </c>
      <c r="J801" s="437" t="s">
        <v>3498</v>
      </c>
      <c r="K801" s="437" t="s">
        <v>3499</v>
      </c>
      <c r="L801" s="436" t="s">
        <v>3500</v>
      </c>
      <c r="M801" s="436" t="s">
        <v>4809</v>
      </c>
      <c r="N801" s="436" t="s">
        <v>3502</v>
      </c>
      <c r="O801" s="438">
        <v>119000</v>
      </c>
      <c r="P801" s="438">
        <v>80920</v>
      </c>
      <c r="Q801" s="438">
        <v>1</v>
      </c>
      <c r="R801" s="438">
        <v>0</v>
      </c>
      <c r="S801" s="438">
        <v>0</v>
      </c>
      <c r="T801" s="438">
        <v>0</v>
      </c>
      <c r="U801" s="438">
        <v>0</v>
      </c>
      <c r="V801" s="438">
        <v>0</v>
      </c>
      <c r="W801" s="438">
        <v>32</v>
      </c>
      <c r="X801" s="438">
        <v>0</v>
      </c>
      <c r="Y801" s="438">
        <v>0</v>
      </c>
      <c r="Z801" s="438">
        <v>0</v>
      </c>
      <c r="AA801" s="438">
        <v>0</v>
      </c>
      <c r="AB801" s="438">
        <v>0</v>
      </c>
      <c r="AC801" s="438">
        <v>119000</v>
      </c>
      <c r="AD801" s="438">
        <v>80920</v>
      </c>
      <c r="AE801" s="438">
        <v>0</v>
      </c>
      <c r="AF801" s="438">
        <v>0</v>
      </c>
      <c r="AG801" s="438">
        <v>119000</v>
      </c>
      <c r="AH801" s="438">
        <v>80920</v>
      </c>
      <c r="AI801" s="438">
        <v>34618</v>
      </c>
      <c r="AJ801" s="438">
        <v>3462</v>
      </c>
      <c r="AK801" s="438">
        <v>38080</v>
      </c>
      <c r="AL801" s="414" t="str">
        <f t="shared" si="73"/>
        <v>워커힐 시그니처 양념 본갈비 300g, 8개</v>
      </c>
      <c r="AM801" s="395">
        <f t="shared" si="74"/>
        <v>46065</v>
      </c>
      <c r="AN801" s="396">
        <f t="shared" si="75"/>
        <v>1</v>
      </c>
      <c r="AO801" s="109">
        <f t="shared" si="76"/>
        <v>119000</v>
      </c>
      <c r="AP801" s="109">
        <f t="shared" si="77"/>
        <v>108181.81818181818</v>
      </c>
      <c r="AQ801" s="397">
        <f t="shared" si="78"/>
        <v>108181.81818181818</v>
      </c>
    </row>
    <row r="802" spans="1:43" ht="24">
      <c r="A802" s="436" t="s">
        <v>5558</v>
      </c>
      <c r="B802" s="436" t="s">
        <v>3490</v>
      </c>
      <c r="C802" s="437" t="s">
        <v>3491</v>
      </c>
      <c r="D802" s="436" t="s">
        <v>5486</v>
      </c>
      <c r="E802" s="437" t="s">
        <v>3564</v>
      </c>
      <c r="F802" s="436" t="s">
        <v>3494</v>
      </c>
      <c r="G802" s="436" t="s">
        <v>3495</v>
      </c>
      <c r="H802" s="437" t="s">
        <v>3496</v>
      </c>
      <c r="I802" s="436" t="s">
        <v>3497</v>
      </c>
      <c r="J802" s="437" t="s">
        <v>3498</v>
      </c>
      <c r="K802" s="437" t="s">
        <v>3548</v>
      </c>
      <c r="L802" s="436" t="s">
        <v>3500</v>
      </c>
      <c r="M802" s="436" t="s">
        <v>4809</v>
      </c>
      <c r="N802" s="436" t="s">
        <v>3502</v>
      </c>
      <c r="O802" s="438">
        <v>119000</v>
      </c>
      <c r="P802" s="438">
        <v>80920</v>
      </c>
      <c r="Q802" s="438">
        <v>1</v>
      </c>
      <c r="R802" s="438">
        <v>0</v>
      </c>
      <c r="S802" s="438">
        <v>0</v>
      </c>
      <c r="T802" s="438">
        <v>0</v>
      </c>
      <c r="U802" s="438">
        <v>0</v>
      </c>
      <c r="V802" s="438">
        <v>0</v>
      </c>
      <c r="W802" s="438">
        <v>32</v>
      </c>
      <c r="X802" s="438">
        <v>0</v>
      </c>
      <c r="Y802" s="438">
        <v>0</v>
      </c>
      <c r="Z802" s="438">
        <v>0</v>
      </c>
      <c r="AA802" s="438">
        <v>0</v>
      </c>
      <c r="AB802" s="438">
        <v>0</v>
      </c>
      <c r="AC802" s="438">
        <v>119000</v>
      </c>
      <c r="AD802" s="438">
        <v>80920</v>
      </c>
      <c r="AE802" s="438">
        <v>0</v>
      </c>
      <c r="AF802" s="438">
        <v>0</v>
      </c>
      <c r="AG802" s="438">
        <v>119000</v>
      </c>
      <c r="AH802" s="438">
        <v>80920</v>
      </c>
      <c r="AI802" s="438">
        <v>34618</v>
      </c>
      <c r="AJ802" s="438">
        <v>3462</v>
      </c>
      <c r="AK802" s="438">
        <v>38080</v>
      </c>
      <c r="AL802" s="414" t="str">
        <f t="shared" si="73"/>
        <v>워커힐 시그니처 양념 본갈비 300g, 8개</v>
      </c>
      <c r="AM802" s="395">
        <f t="shared" si="74"/>
        <v>46065</v>
      </c>
      <c r="AN802" s="396">
        <f t="shared" si="75"/>
        <v>1</v>
      </c>
      <c r="AO802" s="109">
        <f t="shared" si="76"/>
        <v>119000</v>
      </c>
      <c r="AP802" s="109">
        <f t="shared" si="77"/>
        <v>108181.81818181818</v>
      </c>
      <c r="AQ802" s="397">
        <f t="shared" si="78"/>
        <v>108181.81818181818</v>
      </c>
    </row>
    <row r="803" spans="1:43" ht="24">
      <c r="A803" s="436" t="s">
        <v>5560</v>
      </c>
      <c r="B803" s="436" t="s">
        <v>3490</v>
      </c>
      <c r="C803" s="437" t="s">
        <v>3491</v>
      </c>
      <c r="D803" s="436" t="s">
        <v>5506</v>
      </c>
      <c r="E803" s="437" t="s">
        <v>4913</v>
      </c>
      <c r="F803" s="436" t="s">
        <v>3494</v>
      </c>
      <c r="G803" s="436" t="s">
        <v>3495</v>
      </c>
      <c r="H803" s="437" t="s">
        <v>3496</v>
      </c>
      <c r="I803" s="436" t="s">
        <v>3497</v>
      </c>
      <c r="J803" s="437" t="s">
        <v>3498</v>
      </c>
      <c r="K803" s="437" t="s">
        <v>3499</v>
      </c>
      <c r="L803" s="436" t="s">
        <v>3500</v>
      </c>
      <c r="M803" s="436" t="s">
        <v>4809</v>
      </c>
      <c r="N803" s="436" t="s">
        <v>3502</v>
      </c>
      <c r="O803" s="438">
        <v>119000</v>
      </c>
      <c r="P803" s="438">
        <v>80920</v>
      </c>
      <c r="Q803" s="438">
        <v>1</v>
      </c>
      <c r="R803" s="438">
        <v>0</v>
      </c>
      <c r="S803" s="438">
        <v>0</v>
      </c>
      <c r="T803" s="438">
        <v>0</v>
      </c>
      <c r="U803" s="438">
        <v>0</v>
      </c>
      <c r="V803" s="438">
        <v>0</v>
      </c>
      <c r="W803" s="438">
        <v>32</v>
      </c>
      <c r="X803" s="438">
        <v>0</v>
      </c>
      <c r="Y803" s="438">
        <v>0</v>
      </c>
      <c r="Z803" s="438">
        <v>0</v>
      </c>
      <c r="AA803" s="438">
        <v>0</v>
      </c>
      <c r="AB803" s="438">
        <v>0</v>
      </c>
      <c r="AC803" s="438">
        <v>119000</v>
      </c>
      <c r="AD803" s="438">
        <v>80920</v>
      </c>
      <c r="AE803" s="438">
        <v>0</v>
      </c>
      <c r="AF803" s="438">
        <v>0</v>
      </c>
      <c r="AG803" s="438">
        <v>119000</v>
      </c>
      <c r="AH803" s="438">
        <v>80920</v>
      </c>
      <c r="AI803" s="438">
        <v>34618</v>
      </c>
      <c r="AJ803" s="438">
        <v>3462</v>
      </c>
      <c r="AK803" s="438">
        <v>38080</v>
      </c>
      <c r="AL803" s="414" t="str">
        <f t="shared" si="73"/>
        <v>워커힐 시그니처 양념 본갈비 300g, 8개</v>
      </c>
      <c r="AM803" s="395">
        <f t="shared" si="74"/>
        <v>46065</v>
      </c>
      <c r="AN803" s="396">
        <f t="shared" si="75"/>
        <v>1</v>
      </c>
      <c r="AO803" s="109">
        <f t="shared" si="76"/>
        <v>119000</v>
      </c>
      <c r="AP803" s="109">
        <f t="shared" si="77"/>
        <v>108181.81818181818</v>
      </c>
      <c r="AQ803" s="397">
        <f t="shared" si="78"/>
        <v>108181.81818181818</v>
      </c>
    </row>
    <row r="804" spans="1:43" ht="24">
      <c r="A804" s="436" t="s">
        <v>5563</v>
      </c>
      <c r="B804" s="436" t="s">
        <v>3490</v>
      </c>
      <c r="C804" s="437" t="s">
        <v>3491</v>
      </c>
      <c r="D804" s="436" t="s">
        <v>5382</v>
      </c>
      <c r="E804" s="437" t="s">
        <v>5383</v>
      </c>
      <c r="F804" s="436" t="s">
        <v>3494</v>
      </c>
      <c r="G804" s="436" t="s">
        <v>3495</v>
      </c>
      <c r="H804" s="437" t="s">
        <v>3496</v>
      </c>
      <c r="I804" s="436" t="s">
        <v>3497</v>
      </c>
      <c r="J804" s="437" t="s">
        <v>3498</v>
      </c>
      <c r="K804" s="437" t="s">
        <v>3499</v>
      </c>
      <c r="L804" s="436" t="s">
        <v>3500</v>
      </c>
      <c r="M804" s="436" t="s">
        <v>4809</v>
      </c>
      <c r="N804" s="436" t="s">
        <v>3502</v>
      </c>
      <c r="O804" s="438">
        <v>119000</v>
      </c>
      <c r="P804" s="438">
        <v>80920</v>
      </c>
      <c r="Q804" s="438">
        <v>1</v>
      </c>
      <c r="R804" s="438">
        <v>0</v>
      </c>
      <c r="S804" s="438">
        <v>0</v>
      </c>
      <c r="T804" s="438">
        <v>0</v>
      </c>
      <c r="U804" s="438">
        <v>0</v>
      </c>
      <c r="V804" s="438">
        <v>0</v>
      </c>
      <c r="W804" s="438">
        <v>32</v>
      </c>
      <c r="X804" s="438">
        <v>0</v>
      </c>
      <c r="Y804" s="438">
        <v>0</v>
      </c>
      <c r="Z804" s="438">
        <v>0</v>
      </c>
      <c r="AA804" s="438">
        <v>0</v>
      </c>
      <c r="AB804" s="438">
        <v>0</v>
      </c>
      <c r="AC804" s="438">
        <v>119000</v>
      </c>
      <c r="AD804" s="438">
        <v>80920</v>
      </c>
      <c r="AE804" s="438">
        <v>0</v>
      </c>
      <c r="AF804" s="438">
        <v>0</v>
      </c>
      <c r="AG804" s="438">
        <v>119000</v>
      </c>
      <c r="AH804" s="438">
        <v>80920</v>
      </c>
      <c r="AI804" s="438">
        <v>34618</v>
      </c>
      <c r="AJ804" s="438">
        <v>3462</v>
      </c>
      <c r="AK804" s="438">
        <v>38080</v>
      </c>
      <c r="AL804" s="414" t="str">
        <f t="shared" si="73"/>
        <v>워커힐 시그니처 양념 본갈비 300g, 8개</v>
      </c>
      <c r="AM804" s="395">
        <f t="shared" si="74"/>
        <v>46065</v>
      </c>
      <c r="AN804" s="396">
        <f t="shared" si="75"/>
        <v>1</v>
      </c>
      <c r="AO804" s="109">
        <f t="shared" si="76"/>
        <v>119000</v>
      </c>
      <c r="AP804" s="109">
        <f t="shared" si="77"/>
        <v>108181.81818181818</v>
      </c>
      <c r="AQ804" s="397">
        <f t="shared" si="78"/>
        <v>108181.81818181818</v>
      </c>
    </row>
    <row r="805" spans="1:43" ht="24">
      <c r="A805" s="436" t="s">
        <v>5565</v>
      </c>
      <c r="B805" s="436" t="s">
        <v>3490</v>
      </c>
      <c r="C805" s="437" t="s">
        <v>3491</v>
      </c>
      <c r="D805" s="436" t="s">
        <v>5510</v>
      </c>
      <c r="E805" s="437" t="s">
        <v>4077</v>
      </c>
      <c r="F805" s="436" t="s">
        <v>3494</v>
      </c>
      <c r="G805" s="436" t="s">
        <v>3495</v>
      </c>
      <c r="H805" s="437" t="s">
        <v>3496</v>
      </c>
      <c r="I805" s="436" t="s">
        <v>3497</v>
      </c>
      <c r="J805" s="437" t="s">
        <v>3498</v>
      </c>
      <c r="K805" s="437" t="s">
        <v>3499</v>
      </c>
      <c r="L805" s="436" t="s">
        <v>3500</v>
      </c>
      <c r="M805" s="436" t="s">
        <v>4809</v>
      </c>
      <c r="N805" s="436" t="s">
        <v>3502</v>
      </c>
      <c r="O805" s="438">
        <v>119000</v>
      </c>
      <c r="P805" s="438">
        <v>80920</v>
      </c>
      <c r="Q805" s="438">
        <v>1</v>
      </c>
      <c r="R805" s="438">
        <v>0</v>
      </c>
      <c r="S805" s="438">
        <v>0</v>
      </c>
      <c r="T805" s="438">
        <v>0</v>
      </c>
      <c r="U805" s="438">
        <v>0</v>
      </c>
      <c r="V805" s="438">
        <v>0</v>
      </c>
      <c r="W805" s="438">
        <v>32</v>
      </c>
      <c r="X805" s="438">
        <v>0</v>
      </c>
      <c r="Y805" s="438">
        <v>0</v>
      </c>
      <c r="Z805" s="438">
        <v>0</v>
      </c>
      <c r="AA805" s="438">
        <v>0</v>
      </c>
      <c r="AB805" s="438">
        <v>0</v>
      </c>
      <c r="AC805" s="438">
        <v>119000</v>
      </c>
      <c r="AD805" s="438">
        <v>80920</v>
      </c>
      <c r="AE805" s="438">
        <v>0</v>
      </c>
      <c r="AF805" s="438">
        <v>0</v>
      </c>
      <c r="AG805" s="438">
        <v>119000</v>
      </c>
      <c r="AH805" s="438">
        <v>80920</v>
      </c>
      <c r="AI805" s="438">
        <v>34618</v>
      </c>
      <c r="AJ805" s="438">
        <v>3462</v>
      </c>
      <c r="AK805" s="438">
        <v>38080</v>
      </c>
      <c r="AL805" s="414" t="str">
        <f t="shared" si="73"/>
        <v>워커힐 시그니처 양념 본갈비 300g, 8개</v>
      </c>
      <c r="AM805" s="395">
        <f t="shared" si="74"/>
        <v>46065</v>
      </c>
      <c r="AN805" s="396">
        <f t="shared" si="75"/>
        <v>1</v>
      </c>
      <c r="AO805" s="109">
        <f t="shared" si="76"/>
        <v>119000</v>
      </c>
      <c r="AP805" s="109">
        <f t="shared" si="77"/>
        <v>108181.81818181818</v>
      </c>
      <c r="AQ805" s="397">
        <f t="shared" si="78"/>
        <v>108181.81818181818</v>
      </c>
    </row>
    <row r="806" spans="1:43" ht="24">
      <c r="A806" s="436" t="s">
        <v>5567</v>
      </c>
      <c r="B806" s="436" t="s">
        <v>3490</v>
      </c>
      <c r="C806" s="437" t="s">
        <v>3491</v>
      </c>
      <c r="D806" s="436" t="s">
        <v>5212</v>
      </c>
      <c r="E806" s="437" t="s">
        <v>4214</v>
      </c>
      <c r="F806" s="436" t="s">
        <v>3494</v>
      </c>
      <c r="G806" s="436" t="s">
        <v>3495</v>
      </c>
      <c r="H806" s="437" t="s">
        <v>3496</v>
      </c>
      <c r="I806" s="436" t="s">
        <v>3497</v>
      </c>
      <c r="J806" s="437" t="s">
        <v>3498</v>
      </c>
      <c r="K806" s="437" t="s">
        <v>3499</v>
      </c>
      <c r="L806" s="436" t="s">
        <v>3500</v>
      </c>
      <c r="M806" s="436" t="s">
        <v>4809</v>
      </c>
      <c r="N806" s="436" t="s">
        <v>3502</v>
      </c>
      <c r="O806" s="438">
        <v>119000</v>
      </c>
      <c r="P806" s="438">
        <v>80920</v>
      </c>
      <c r="Q806" s="438">
        <v>1</v>
      </c>
      <c r="R806" s="438">
        <v>0</v>
      </c>
      <c r="S806" s="438">
        <v>0</v>
      </c>
      <c r="T806" s="438">
        <v>0</v>
      </c>
      <c r="U806" s="438">
        <v>0</v>
      </c>
      <c r="V806" s="438">
        <v>0</v>
      </c>
      <c r="W806" s="438">
        <v>32</v>
      </c>
      <c r="X806" s="438">
        <v>23800</v>
      </c>
      <c r="Y806" s="438">
        <v>0</v>
      </c>
      <c r="Z806" s="438">
        <v>0</v>
      </c>
      <c r="AA806" s="438">
        <v>0</v>
      </c>
      <c r="AB806" s="438">
        <v>0</v>
      </c>
      <c r="AC806" s="438">
        <v>119000</v>
      </c>
      <c r="AD806" s="438">
        <v>80920</v>
      </c>
      <c r="AE806" s="438">
        <v>0</v>
      </c>
      <c r="AF806" s="438">
        <v>23800</v>
      </c>
      <c r="AG806" s="438">
        <v>95200</v>
      </c>
      <c r="AH806" s="438">
        <v>80920</v>
      </c>
      <c r="AI806" s="438">
        <v>12982</v>
      </c>
      <c r="AJ806" s="438">
        <v>1298</v>
      </c>
      <c r="AK806" s="438">
        <v>14280</v>
      </c>
      <c r="AL806" s="414" t="str">
        <f t="shared" si="73"/>
        <v>워커힐 시그니처 양념 본갈비 300g, 8개</v>
      </c>
      <c r="AM806" s="395">
        <f t="shared" si="74"/>
        <v>46065</v>
      </c>
      <c r="AN806" s="396">
        <f t="shared" si="75"/>
        <v>1</v>
      </c>
      <c r="AO806" s="109">
        <f t="shared" si="76"/>
        <v>119000</v>
      </c>
      <c r="AP806" s="109">
        <f t="shared" si="77"/>
        <v>108181.81818181818</v>
      </c>
      <c r="AQ806" s="397">
        <f t="shared" si="78"/>
        <v>108181.81818181818</v>
      </c>
    </row>
    <row r="807" spans="1:43" ht="24">
      <c r="A807" s="436" t="s">
        <v>5570</v>
      </c>
      <c r="B807" s="436" t="s">
        <v>3490</v>
      </c>
      <c r="C807" s="437" t="s">
        <v>3491</v>
      </c>
      <c r="D807" s="436" t="s">
        <v>5392</v>
      </c>
      <c r="E807" s="437" t="s">
        <v>3533</v>
      </c>
      <c r="F807" s="436" t="s">
        <v>3494</v>
      </c>
      <c r="G807" s="436" t="s">
        <v>3495</v>
      </c>
      <c r="H807" s="437" t="s">
        <v>3496</v>
      </c>
      <c r="I807" s="436" t="s">
        <v>3497</v>
      </c>
      <c r="J807" s="437" t="s">
        <v>3498</v>
      </c>
      <c r="K807" s="437" t="s">
        <v>3499</v>
      </c>
      <c r="L807" s="436" t="s">
        <v>3500</v>
      </c>
      <c r="M807" s="436" t="s">
        <v>4809</v>
      </c>
      <c r="N807" s="436" t="s">
        <v>3502</v>
      </c>
      <c r="O807" s="438">
        <v>119000</v>
      </c>
      <c r="P807" s="438">
        <v>80920</v>
      </c>
      <c r="Q807" s="438">
        <v>1</v>
      </c>
      <c r="R807" s="438">
        <v>0</v>
      </c>
      <c r="S807" s="438">
        <v>0</v>
      </c>
      <c r="T807" s="438">
        <v>0</v>
      </c>
      <c r="U807" s="438">
        <v>0</v>
      </c>
      <c r="V807" s="438">
        <v>0</v>
      </c>
      <c r="W807" s="438">
        <v>32</v>
      </c>
      <c r="X807" s="438">
        <v>0</v>
      </c>
      <c r="Y807" s="438">
        <v>0</v>
      </c>
      <c r="Z807" s="438">
        <v>0</v>
      </c>
      <c r="AA807" s="438">
        <v>0</v>
      </c>
      <c r="AB807" s="438">
        <v>0</v>
      </c>
      <c r="AC807" s="438">
        <v>119000</v>
      </c>
      <c r="AD807" s="438">
        <v>80920</v>
      </c>
      <c r="AE807" s="438">
        <v>0</v>
      </c>
      <c r="AF807" s="438">
        <v>0</v>
      </c>
      <c r="AG807" s="438">
        <v>119000</v>
      </c>
      <c r="AH807" s="438">
        <v>80920</v>
      </c>
      <c r="AI807" s="438">
        <v>34618</v>
      </c>
      <c r="AJ807" s="438">
        <v>3462</v>
      </c>
      <c r="AK807" s="438">
        <v>38080</v>
      </c>
      <c r="AL807" s="414" t="str">
        <f t="shared" si="73"/>
        <v>워커힐 시그니처 양념 본갈비 300g, 8개</v>
      </c>
      <c r="AM807" s="395">
        <f t="shared" si="74"/>
        <v>46065</v>
      </c>
      <c r="AN807" s="396">
        <f t="shared" si="75"/>
        <v>1</v>
      </c>
      <c r="AO807" s="109">
        <f t="shared" si="76"/>
        <v>119000</v>
      </c>
      <c r="AP807" s="109">
        <f t="shared" si="77"/>
        <v>108181.81818181818</v>
      </c>
      <c r="AQ807" s="397">
        <f t="shared" si="78"/>
        <v>108181.81818181818</v>
      </c>
    </row>
    <row r="808" spans="1:43" ht="24">
      <c r="A808" s="436" t="s">
        <v>5573</v>
      </c>
      <c r="B808" s="436" t="s">
        <v>3490</v>
      </c>
      <c r="C808" s="437" t="s">
        <v>3491</v>
      </c>
      <c r="D808" s="436" t="s">
        <v>5514</v>
      </c>
      <c r="E808" s="437" t="s">
        <v>5515</v>
      </c>
      <c r="F808" s="436" t="s">
        <v>3494</v>
      </c>
      <c r="G808" s="436" t="s">
        <v>3495</v>
      </c>
      <c r="H808" s="437" t="s">
        <v>3496</v>
      </c>
      <c r="I808" s="436" t="s">
        <v>3497</v>
      </c>
      <c r="J808" s="437" t="s">
        <v>3498</v>
      </c>
      <c r="K808" s="437" t="s">
        <v>3499</v>
      </c>
      <c r="L808" s="436" t="s">
        <v>3500</v>
      </c>
      <c r="M808" s="436" t="s">
        <v>4809</v>
      </c>
      <c r="N808" s="436" t="s">
        <v>3502</v>
      </c>
      <c r="O808" s="438">
        <v>119000</v>
      </c>
      <c r="P808" s="438">
        <v>80920</v>
      </c>
      <c r="Q808" s="438">
        <v>1</v>
      </c>
      <c r="R808" s="438">
        <v>0</v>
      </c>
      <c r="S808" s="438">
        <v>0</v>
      </c>
      <c r="T808" s="438">
        <v>0</v>
      </c>
      <c r="U808" s="438">
        <v>0</v>
      </c>
      <c r="V808" s="438">
        <v>0</v>
      </c>
      <c r="W808" s="438">
        <v>32</v>
      </c>
      <c r="X808" s="438">
        <v>0</v>
      </c>
      <c r="Y808" s="438">
        <v>0</v>
      </c>
      <c r="Z808" s="438">
        <v>0</v>
      </c>
      <c r="AA808" s="438">
        <v>0</v>
      </c>
      <c r="AB808" s="438">
        <v>0</v>
      </c>
      <c r="AC808" s="438">
        <v>119000</v>
      </c>
      <c r="AD808" s="438">
        <v>80920</v>
      </c>
      <c r="AE808" s="438">
        <v>0</v>
      </c>
      <c r="AF808" s="438">
        <v>0</v>
      </c>
      <c r="AG808" s="438">
        <v>119000</v>
      </c>
      <c r="AH808" s="438">
        <v>80920</v>
      </c>
      <c r="AI808" s="438">
        <v>34618</v>
      </c>
      <c r="AJ808" s="438">
        <v>3462</v>
      </c>
      <c r="AK808" s="438">
        <v>38080</v>
      </c>
      <c r="AL808" s="414" t="str">
        <f t="shared" si="73"/>
        <v>워커힐 시그니처 양념 본갈비 300g, 8개</v>
      </c>
      <c r="AM808" s="395">
        <f t="shared" si="74"/>
        <v>46065</v>
      </c>
      <c r="AN808" s="396">
        <f t="shared" si="75"/>
        <v>1</v>
      </c>
      <c r="AO808" s="109">
        <f t="shared" si="76"/>
        <v>119000</v>
      </c>
      <c r="AP808" s="109">
        <f t="shared" si="77"/>
        <v>108181.81818181818</v>
      </c>
      <c r="AQ808" s="397">
        <f t="shared" si="78"/>
        <v>108181.81818181818</v>
      </c>
    </row>
    <row r="809" spans="1:43" ht="24">
      <c r="A809" s="436" t="s">
        <v>5575</v>
      </c>
      <c r="B809" s="436" t="s">
        <v>3490</v>
      </c>
      <c r="C809" s="437" t="s">
        <v>3491</v>
      </c>
      <c r="D809" s="436" t="s">
        <v>5241</v>
      </c>
      <c r="E809" s="437" t="s">
        <v>5242</v>
      </c>
      <c r="F809" s="436" t="s">
        <v>3494</v>
      </c>
      <c r="G809" s="436" t="s">
        <v>3495</v>
      </c>
      <c r="H809" s="437" t="s">
        <v>3496</v>
      </c>
      <c r="I809" s="436" t="s">
        <v>3497</v>
      </c>
      <c r="J809" s="437" t="s">
        <v>3498</v>
      </c>
      <c r="K809" s="437" t="s">
        <v>3499</v>
      </c>
      <c r="L809" s="436" t="s">
        <v>3500</v>
      </c>
      <c r="M809" s="436" t="s">
        <v>4809</v>
      </c>
      <c r="N809" s="436" t="s">
        <v>3502</v>
      </c>
      <c r="O809" s="438">
        <v>119000</v>
      </c>
      <c r="P809" s="438">
        <v>80920</v>
      </c>
      <c r="Q809" s="438">
        <v>1</v>
      </c>
      <c r="R809" s="438">
        <v>0</v>
      </c>
      <c r="S809" s="438">
        <v>0</v>
      </c>
      <c r="T809" s="438">
        <v>0</v>
      </c>
      <c r="U809" s="438">
        <v>0</v>
      </c>
      <c r="V809" s="438">
        <v>0</v>
      </c>
      <c r="W809" s="438">
        <v>32</v>
      </c>
      <c r="X809" s="438">
        <v>0</v>
      </c>
      <c r="Y809" s="438">
        <v>0</v>
      </c>
      <c r="Z809" s="438">
        <v>0</v>
      </c>
      <c r="AA809" s="438">
        <v>0</v>
      </c>
      <c r="AB809" s="438">
        <v>0</v>
      </c>
      <c r="AC809" s="438">
        <v>119000</v>
      </c>
      <c r="AD809" s="438">
        <v>80920</v>
      </c>
      <c r="AE809" s="438">
        <v>0</v>
      </c>
      <c r="AF809" s="438">
        <v>0</v>
      </c>
      <c r="AG809" s="438">
        <v>119000</v>
      </c>
      <c r="AH809" s="438">
        <v>80920</v>
      </c>
      <c r="AI809" s="438">
        <v>34618</v>
      </c>
      <c r="AJ809" s="438">
        <v>3462</v>
      </c>
      <c r="AK809" s="438">
        <v>38080</v>
      </c>
      <c r="AL809" s="414" t="str">
        <f t="shared" si="73"/>
        <v>워커힐 시그니처 양념 본갈비 300g, 8개</v>
      </c>
      <c r="AM809" s="395">
        <f t="shared" si="74"/>
        <v>46065</v>
      </c>
      <c r="AN809" s="396">
        <f t="shared" si="75"/>
        <v>1</v>
      </c>
      <c r="AO809" s="109">
        <f t="shared" si="76"/>
        <v>119000</v>
      </c>
      <c r="AP809" s="109">
        <f t="shared" si="77"/>
        <v>108181.81818181818</v>
      </c>
      <c r="AQ809" s="397">
        <f t="shared" si="78"/>
        <v>108181.81818181818</v>
      </c>
    </row>
    <row r="810" spans="1:43" ht="24">
      <c r="A810" s="436" t="s">
        <v>5578</v>
      </c>
      <c r="B810" s="436" t="s">
        <v>3490</v>
      </c>
      <c r="C810" s="437" t="s">
        <v>3491</v>
      </c>
      <c r="D810" s="436" t="s">
        <v>5533</v>
      </c>
      <c r="E810" s="437" t="s">
        <v>3709</v>
      </c>
      <c r="F810" s="436" t="s">
        <v>3494</v>
      </c>
      <c r="G810" s="436" t="s">
        <v>3495</v>
      </c>
      <c r="H810" s="437" t="s">
        <v>3496</v>
      </c>
      <c r="I810" s="436" t="s">
        <v>3497</v>
      </c>
      <c r="J810" s="437" t="s">
        <v>3498</v>
      </c>
      <c r="K810" s="437" t="s">
        <v>3499</v>
      </c>
      <c r="L810" s="436" t="s">
        <v>3500</v>
      </c>
      <c r="M810" s="436" t="s">
        <v>4809</v>
      </c>
      <c r="N810" s="436" t="s">
        <v>3502</v>
      </c>
      <c r="O810" s="438">
        <v>119000</v>
      </c>
      <c r="P810" s="438">
        <v>80920</v>
      </c>
      <c r="Q810" s="438">
        <v>1</v>
      </c>
      <c r="R810" s="438">
        <v>0</v>
      </c>
      <c r="S810" s="438">
        <v>0</v>
      </c>
      <c r="T810" s="438">
        <v>0</v>
      </c>
      <c r="U810" s="438">
        <v>0</v>
      </c>
      <c r="V810" s="438">
        <v>0</v>
      </c>
      <c r="W810" s="438">
        <v>32</v>
      </c>
      <c r="X810" s="438">
        <v>0</v>
      </c>
      <c r="Y810" s="438">
        <v>0</v>
      </c>
      <c r="Z810" s="438">
        <v>0</v>
      </c>
      <c r="AA810" s="438">
        <v>0</v>
      </c>
      <c r="AB810" s="438">
        <v>5950</v>
      </c>
      <c r="AC810" s="438">
        <v>119000</v>
      </c>
      <c r="AD810" s="438">
        <v>80920</v>
      </c>
      <c r="AE810" s="438">
        <v>0</v>
      </c>
      <c r="AF810" s="438">
        <v>5950</v>
      </c>
      <c r="AG810" s="438">
        <v>113050</v>
      </c>
      <c r="AH810" s="438">
        <v>80920</v>
      </c>
      <c r="AI810" s="438">
        <v>29209</v>
      </c>
      <c r="AJ810" s="438">
        <v>2921</v>
      </c>
      <c r="AK810" s="438">
        <v>32130</v>
      </c>
      <c r="AL810" s="414" t="str">
        <f t="shared" si="73"/>
        <v>워커힐 시그니처 양념 본갈비 300g, 8개</v>
      </c>
      <c r="AM810" s="395">
        <f t="shared" si="74"/>
        <v>46065</v>
      </c>
      <c r="AN810" s="396">
        <f t="shared" si="75"/>
        <v>1</v>
      </c>
      <c r="AO810" s="109">
        <f t="shared" si="76"/>
        <v>119000</v>
      </c>
      <c r="AP810" s="109">
        <f t="shared" si="77"/>
        <v>108181.81818181818</v>
      </c>
      <c r="AQ810" s="397">
        <f t="shared" si="78"/>
        <v>108181.81818181818</v>
      </c>
    </row>
    <row r="811" spans="1:43" ht="24">
      <c r="A811" s="436" t="s">
        <v>5581</v>
      </c>
      <c r="B811" s="436" t="s">
        <v>3490</v>
      </c>
      <c r="C811" s="437" t="s">
        <v>3491</v>
      </c>
      <c r="D811" s="436" t="s">
        <v>5264</v>
      </c>
      <c r="E811" s="437" t="s">
        <v>4585</v>
      </c>
      <c r="F811" s="436" t="s">
        <v>3494</v>
      </c>
      <c r="G811" s="436" t="s">
        <v>3495</v>
      </c>
      <c r="H811" s="437" t="s">
        <v>3496</v>
      </c>
      <c r="I811" s="436" t="s">
        <v>3497</v>
      </c>
      <c r="J811" s="437" t="s">
        <v>3498</v>
      </c>
      <c r="K811" s="437" t="s">
        <v>3499</v>
      </c>
      <c r="L811" s="436" t="s">
        <v>3500</v>
      </c>
      <c r="M811" s="436" t="s">
        <v>4809</v>
      </c>
      <c r="N811" s="436" t="s">
        <v>3502</v>
      </c>
      <c r="O811" s="438">
        <v>119000</v>
      </c>
      <c r="P811" s="438">
        <v>80920</v>
      </c>
      <c r="Q811" s="438">
        <v>1</v>
      </c>
      <c r="R811" s="438">
        <v>0</v>
      </c>
      <c r="S811" s="438">
        <v>0</v>
      </c>
      <c r="T811" s="438">
        <v>0</v>
      </c>
      <c r="U811" s="438">
        <v>0</v>
      </c>
      <c r="V811" s="438">
        <v>0</v>
      </c>
      <c r="W811" s="438">
        <v>32</v>
      </c>
      <c r="X811" s="438">
        <v>0</v>
      </c>
      <c r="Y811" s="438">
        <v>0</v>
      </c>
      <c r="Z811" s="438">
        <v>0</v>
      </c>
      <c r="AA811" s="438">
        <v>0</v>
      </c>
      <c r="AB811" s="438">
        <v>0</v>
      </c>
      <c r="AC811" s="438">
        <v>119000</v>
      </c>
      <c r="AD811" s="438">
        <v>80920</v>
      </c>
      <c r="AE811" s="438">
        <v>0</v>
      </c>
      <c r="AF811" s="438">
        <v>0</v>
      </c>
      <c r="AG811" s="438">
        <v>119000</v>
      </c>
      <c r="AH811" s="438">
        <v>80920</v>
      </c>
      <c r="AI811" s="438">
        <v>34618</v>
      </c>
      <c r="AJ811" s="438">
        <v>3462</v>
      </c>
      <c r="AK811" s="438">
        <v>38080</v>
      </c>
      <c r="AL811" s="414" t="str">
        <f t="shared" si="73"/>
        <v>워커힐 시그니처 양념 본갈비 300g, 8개</v>
      </c>
      <c r="AM811" s="395">
        <f t="shared" si="74"/>
        <v>46065</v>
      </c>
      <c r="AN811" s="396">
        <f t="shared" si="75"/>
        <v>1</v>
      </c>
      <c r="AO811" s="109">
        <f t="shared" si="76"/>
        <v>119000</v>
      </c>
      <c r="AP811" s="109">
        <f t="shared" si="77"/>
        <v>108181.81818181818</v>
      </c>
      <c r="AQ811" s="397">
        <f t="shared" si="78"/>
        <v>108181.81818181818</v>
      </c>
    </row>
    <row r="812" spans="1:43" ht="24">
      <c r="A812" s="436" t="s">
        <v>5583</v>
      </c>
      <c r="B812" s="436" t="s">
        <v>3490</v>
      </c>
      <c r="C812" s="437" t="s">
        <v>3491</v>
      </c>
      <c r="D812" s="436" t="s">
        <v>5535</v>
      </c>
      <c r="E812" s="437" t="s">
        <v>5536</v>
      </c>
      <c r="F812" s="436" t="s">
        <v>3494</v>
      </c>
      <c r="G812" s="436" t="s">
        <v>3495</v>
      </c>
      <c r="H812" s="437" t="s">
        <v>3496</v>
      </c>
      <c r="I812" s="436" t="s">
        <v>3497</v>
      </c>
      <c r="J812" s="437" t="s">
        <v>3498</v>
      </c>
      <c r="K812" s="437" t="s">
        <v>3499</v>
      </c>
      <c r="L812" s="436" t="s">
        <v>3500</v>
      </c>
      <c r="M812" s="436" t="s">
        <v>4809</v>
      </c>
      <c r="N812" s="436" t="s">
        <v>3502</v>
      </c>
      <c r="O812" s="438">
        <v>119000</v>
      </c>
      <c r="P812" s="438">
        <v>80920</v>
      </c>
      <c r="Q812" s="438">
        <v>1</v>
      </c>
      <c r="R812" s="438">
        <v>0</v>
      </c>
      <c r="S812" s="438">
        <v>0</v>
      </c>
      <c r="T812" s="438">
        <v>0</v>
      </c>
      <c r="U812" s="438">
        <v>0</v>
      </c>
      <c r="V812" s="438">
        <v>0</v>
      </c>
      <c r="W812" s="438">
        <v>32</v>
      </c>
      <c r="X812" s="438">
        <v>0</v>
      </c>
      <c r="Y812" s="438">
        <v>0</v>
      </c>
      <c r="Z812" s="438">
        <v>0</v>
      </c>
      <c r="AA812" s="438">
        <v>0</v>
      </c>
      <c r="AB812" s="438">
        <v>0</v>
      </c>
      <c r="AC812" s="438">
        <v>119000</v>
      </c>
      <c r="AD812" s="438">
        <v>80920</v>
      </c>
      <c r="AE812" s="438">
        <v>0</v>
      </c>
      <c r="AF812" s="438">
        <v>0</v>
      </c>
      <c r="AG812" s="438">
        <v>119000</v>
      </c>
      <c r="AH812" s="438">
        <v>80920</v>
      </c>
      <c r="AI812" s="438">
        <v>34618</v>
      </c>
      <c r="AJ812" s="438">
        <v>3462</v>
      </c>
      <c r="AK812" s="438">
        <v>38080</v>
      </c>
      <c r="AL812" s="414" t="str">
        <f t="shared" si="73"/>
        <v>워커힐 시그니처 양념 본갈비 300g, 8개</v>
      </c>
      <c r="AM812" s="395">
        <f t="shared" si="74"/>
        <v>46065</v>
      </c>
      <c r="AN812" s="396">
        <f t="shared" si="75"/>
        <v>1</v>
      </c>
      <c r="AO812" s="109">
        <f t="shared" si="76"/>
        <v>119000</v>
      </c>
      <c r="AP812" s="109">
        <f t="shared" si="77"/>
        <v>108181.81818181818</v>
      </c>
      <c r="AQ812" s="397">
        <f t="shared" si="78"/>
        <v>108181.81818181818</v>
      </c>
    </row>
    <row r="813" spans="1:43" ht="24">
      <c r="A813" s="436" t="s">
        <v>5586</v>
      </c>
      <c r="B813" s="436" t="s">
        <v>3490</v>
      </c>
      <c r="C813" s="437" t="s">
        <v>3491</v>
      </c>
      <c r="D813" s="436" t="s">
        <v>5538</v>
      </c>
      <c r="E813" s="437" t="s">
        <v>4252</v>
      </c>
      <c r="F813" s="436" t="s">
        <v>3494</v>
      </c>
      <c r="G813" s="436" t="s">
        <v>3495</v>
      </c>
      <c r="H813" s="437" t="s">
        <v>3496</v>
      </c>
      <c r="I813" s="436" t="s">
        <v>3497</v>
      </c>
      <c r="J813" s="437" t="s">
        <v>3498</v>
      </c>
      <c r="K813" s="437" t="s">
        <v>3499</v>
      </c>
      <c r="L813" s="436" t="s">
        <v>3500</v>
      </c>
      <c r="M813" s="436" t="s">
        <v>4809</v>
      </c>
      <c r="N813" s="436" t="s">
        <v>3502</v>
      </c>
      <c r="O813" s="438">
        <v>119000</v>
      </c>
      <c r="P813" s="438">
        <v>80920</v>
      </c>
      <c r="Q813" s="438">
        <v>1</v>
      </c>
      <c r="R813" s="438">
        <v>0</v>
      </c>
      <c r="S813" s="438">
        <v>0</v>
      </c>
      <c r="T813" s="438">
        <v>0</v>
      </c>
      <c r="U813" s="438">
        <v>0</v>
      </c>
      <c r="V813" s="438">
        <v>0</v>
      </c>
      <c r="W813" s="438">
        <v>32</v>
      </c>
      <c r="X813" s="438">
        <v>0</v>
      </c>
      <c r="Y813" s="438">
        <v>0</v>
      </c>
      <c r="Z813" s="438">
        <v>0</v>
      </c>
      <c r="AA813" s="438">
        <v>0</v>
      </c>
      <c r="AB813" s="438">
        <v>0</v>
      </c>
      <c r="AC813" s="438">
        <v>119000</v>
      </c>
      <c r="AD813" s="438">
        <v>80920</v>
      </c>
      <c r="AE813" s="438">
        <v>0</v>
      </c>
      <c r="AF813" s="438">
        <v>0</v>
      </c>
      <c r="AG813" s="438">
        <v>119000</v>
      </c>
      <c r="AH813" s="438">
        <v>80920</v>
      </c>
      <c r="AI813" s="438">
        <v>34618</v>
      </c>
      <c r="AJ813" s="438">
        <v>3462</v>
      </c>
      <c r="AK813" s="438">
        <v>38080</v>
      </c>
      <c r="AL813" s="414" t="str">
        <f t="shared" si="73"/>
        <v>워커힐 시그니처 양념 본갈비 300g, 8개</v>
      </c>
      <c r="AM813" s="395">
        <f t="shared" si="74"/>
        <v>46065</v>
      </c>
      <c r="AN813" s="396">
        <f t="shared" si="75"/>
        <v>1</v>
      </c>
      <c r="AO813" s="109">
        <f t="shared" si="76"/>
        <v>119000</v>
      </c>
      <c r="AP813" s="109">
        <f t="shared" si="77"/>
        <v>108181.81818181818</v>
      </c>
      <c r="AQ813" s="397">
        <f t="shared" si="78"/>
        <v>108181.81818181818</v>
      </c>
    </row>
    <row r="814" spans="1:43" ht="24">
      <c r="A814" s="436" t="s">
        <v>5588</v>
      </c>
      <c r="B814" s="436" t="s">
        <v>3490</v>
      </c>
      <c r="C814" s="437" t="s">
        <v>3491</v>
      </c>
      <c r="D814" s="436" t="s">
        <v>5543</v>
      </c>
      <c r="E814" s="437" t="s">
        <v>3829</v>
      </c>
      <c r="F814" s="436" t="s">
        <v>3494</v>
      </c>
      <c r="G814" s="436" t="s">
        <v>3495</v>
      </c>
      <c r="H814" s="437" t="s">
        <v>3496</v>
      </c>
      <c r="I814" s="436" t="s">
        <v>3497</v>
      </c>
      <c r="J814" s="437" t="s">
        <v>3498</v>
      </c>
      <c r="K814" s="437" t="s">
        <v>3499</v>
      </c>
      <c r="L814" s="436" t="s">
        <v>3500</v>
      </c>
      <c r="M814" s="436" t="s">
        <v>4809</v>
      </c>
      <c r="N814" s="436" t="s">
        <v>3502</v>
      </c>
      <c r="O814" s="438">
        <v>119000</v>
      </c>
      <c r="P814" s="438">
        <v>80920</v>
      </c>
      <c r="Q814" s="438">
        <v>1</v>
      </c>
      <c r="R814" s="438">
        <v>0</v>
      </c>
      <c r="S814" s="438">
        <v>0</v>
      </c>
      <c r="T814" s="438">
        <v>0</v>
      </c>
      <c r="U814" s="438">
        <v>0</v>
      </c>
      <c r="V814" s="438">
        <v>0</v>
      </c>
      <c r="W814" s="438">
        <v>32</v>
      </c>
      <c r="X814" s="438">
        <v>0</v>
      </c>
      <c r="Y814" s="438">
        <v>0</v>
      </c>
      <c r="Z814" s="438">
        <v>0</v>
      </c>
      <c r="AA814" s="438">
        <v>0</v>
      </c>
      <c r="AB814" s="438">
        <v>0</v>
      </c>
      <c r="AC814" s="438">
        <v>119000</v>
      </c>
      <c r="AD814" s="438">
        <v>80920</v>
      </c>
      <c r="AE814" s="438">
        <v>0</v>
      </c>
      <c r="AF814" s="438">
        <v>0</v>
      </c>
      <c r="AG814" s="438">
        <v>119000</v>
      </c>
      <c r="AH814" s="438">
        <v>80920</v>
      </c>
      <c r="AI814" s="438">
        <v>34618</v>
      </c>
      <c r="AJ814" s="438">
        <v>3462</v>
      </c>
      <c r="AK814" s="438">
        <v>38080</v>
      </c>
      <c r="AL814" s="414" t="str">
        <f t="shared" si="73"/>
        <v>워커힐 시그니처 양념 본갈비 300g, 8개</v>
      </c>
      <c r="AM814" s="395">
        <f t="shared" si="74"/>
        <v>46065</v>
      </c>
      <c r="AN814" s="396">
        <f t="shared" si="75"/>
        <v>1</v>
      </c>
      <c r="AO814" s="109">
        <f t="shared" si="76"/>
        <v>119000</v>
      </c>
      <c r="AP814" s="109">
        <f t="shared" si="77"/>
        <v>108181.81818181818</v>
      </c>
      <c r="AQ814" s="397">
        <f t="shared" si="78"/>
        <v>108181.81818181818</v>
      </c>
    </row>
    <row r="815" spans="1:43" ht="24">
      <c r="A815" s="436" t="s">
        <v>5590</v>
      </c>
      <c r="B815" s="436" t="s">
        <v>3490</v>
      </c>
      <c r="C815" s="437" t="s">
        <v>3491</v>
      </c>
      <c r="D815" s="436" t="s">
        <v>5431</v>
      </c>
      <c r="E815" s="437" t="s">
        <v>5432</v>
      </c>
      <c r="F815" s="436" t="s">
        <v>3494</v>
      </c>
      <c r="G815" s="436" t="s">
        <v>3495</v>
      </c>
      <c r="H815" s="437" t="s">
        <v>3496</v>
      </c>
      <c r="I815" s="436" t="s">
        <v>3497</v>
      </c>
      <c r="J815" s="437" t="s">
        <v>3498</v>
      </c>
      <c r="K815" s="437" t="s">
        <v>3499</v>
      </c>
      <c r="L815" s="436" t="s">
        <v>3500</v>
      </c>
      <c r="M815" s="436" t="s">
        <v>4809</v>
      </c>
      <c r="N815" s="436" t="s">
        <v>3502</v>
      </c>
      <c r="O815" s="438">
        <v>119000</v>
      </c>
      <c r="P815" s="438">
        <v>80920</v>
      </c>
      <c r="Q815" s="438">
        <v>1</v>
      </c>
      <c r="R815" s="438">
        <v>0</v>
      </c>
      <c r="S815" s="438">
        <v>0</v>
      </c>
      <c r="T815" s="438">
        <v>0</v>
      </c>
      <c r="U815" s="438">
        <v>0</v>
      </c>
      <c r="V815" s="438">
        <v>0</v>
      </c>
      <c r="W815" s="438">
        <v>32</v>
      </c>
      <c r="X815" s="438">
        <v>0</v>
      </c>
      <c r="Y815" s="438">
        <v>0</v>
      </c>
      <c r="Z815" s="438">
        <v>0</v>
      </c>
      <c r="AA815" s="438">
        <v>0</v>
      </c>
      <c r="AB815" s="438">
        <v>5950</v>
      </c>
      <c r="AC815" s="438">
        <v>119000</v>
      </c>
      <c r="AD815" s="438">
        <v>80920</v>
      </c>
      <c r="AE815" s="438">
        <v>0</v>
      </c>
      <c r="AF815" s="438">
        <v>5950</v>
      </c>
      <c r="AG815" s="438">
        <v>113050</v>
      </c>
      <c r="AH815" s="438">
        <v>80920</v>
      </c>
      <c r="AI815" s="438">
        <v>29209</v>
      </c>
      <c r="AJ815" s="438">
        <v>2921</v>
      </c>
      <c r="AK815" s="438">
        <v>32130</v>
      </c>
      <c r="AL815" s="414" t="str">
        <f t="shared" si="73"/>
        <v>워커힐 시그니처 양념 본갈비 300g, 8개</v>
      </c>
      <c r="AM815" s="395">
        <f t="shared" si="74"/>
        <v>46065</v>
      </c>
      <c r="AN815" s="396">
        <f t="shared" si="75"/>
        <v>1</v>
      </c>
      <c r="AO815" s="109">
        <f t="shared" si="76"/>
        <v>119000</v>
      </c>
      <c r="AP815" s="109">
        <f t="shared" si="77"/>
        <v>108181.81818181818</v>
      </c>
      <c r="AQ815" s="397">
        <f t="shared" si="78"/>
        <v>108181.81818181818</v>
      </c>
    </row>
    <row r="816" spans="1:43" ht="24">
      <c r="A816" s="436" t="s">
        <v>5592</v>
      </c>
      <c r="B816" s="436" t="s">
        <v>3490</v>
      </c>
      <c r="C816" s="437" t="s">
        <v>3491</v>
      </c>
      <c r="D816" s="436" t="s">
        <v>5417</v>
      </c>
      <c r="E816" s="437" t="s">
        <v>3600</v>
      </c>
      <c r="F816" s="436" t="s">
        <v>3494</v>
      </c>
      <c r="G816" s="436" t="s">
        <v>3495</v>
      </c>
      <c r="H816" s="437" t="s">
        <v>3496</v>
      </c>
      <c r="I816" s="436" t="s">
        <v>3497</v>
      </c>
      <c r="J816" s="437" t="s">
        <v>3498</v>
      </c>
      <c r="K816" s="437" t="s">
        <v>3499</v>
      </c>
      <c r="L816" s="436" t="s">
        <v>3500</v>
      </c>
      <c r="M816" s="436" t="s">
        <v>4809</v>
      </c>
      <c r="N816" s="436" t="s">
        <v>3502</v>
      </c>
      <c r="O816" s="438">
        <v>119000</v>
      </c>
      <c r="P816" s="438">
        <v>80920</v>
      </c>
      <c r="Q816" s="438">
        <v>1</v>
      </c>
      <c r="R816" s="438">
        <v>0</v>
      </c>
      <c r="S816" s="438">
        <v>0</v>
      </c>
      <c r="T816" s="438">
        <v>0</v>
      </c>
      <c r="U816" s="438">
        <v>0</v>
      </c>
      <c r="V816" s="438">
        <v>0</v>
      </c>
      <c r="W816" s="438">
        <v>32</v>
      </c>
      <c r="X816" s="438">
        <v>0</v>
      </c>
      <c r="Y816" s="438">
        <v>0</v>
      </c>
      <c r="Z816" s="438">
        <v>0</v>
      </c>
      <c r="AA816" s="438">
        <v>0</v>
      </c>
      <c r="AB816" s="438">
        <v>0</v>
      </c>
      <c r="AC816" s="438">
        <v>119000</v>
      </c>
      <c r="AD816" s="438">
        <v>80920</v>
      </c>
      <c r="AE816" s="438">
        <v>0</v>
      </c>
      <c r="AF816" s="438">
        <v>0</v>
      </c>
      <c r="AG816" s="438">
        <v>119000</v>
      </c>
      <c r="AH816" s="438">
        <v>80920</v>
      </c>
      <c r="AI816" s="438">
        <v>34618</v>
      </c>
      <c r="AJ816" s="438">
        <v>3462</v>
      </c>
      <c r="AK816" s="438">
        <v>38080</v>
      </c>
      <c r="AL816" s="414" t="str">
        <f t="shared" si="73"/>
        <v>워커힐 시그니처 양념 본갈비 300g, 8개</v>
      </c>
      <c r="AM816" s="395">
        <f t="shared" si="74"/>
        <v>46065</v>
      </c>
      <c r="AN816" s="396">
        <f t="shared" si="75"/>
        <v>1</v>
      </c>
      <c r="AO816" s="109">
        <f t="shared" si="76"/>
        <v>119000</v>
      </c>
      <c r="AP816" s="109">
        <f t="shared" si="77"/>
        <v>108181.81818181818</v>
      </c>
      <c r="AQ816" s="397">
        <f t="shared" si="78"/>
        <v>108181.81818181818</v>
      </c>
    </row>
    <row r="817" spans="1:43" ht="24">
      <c r="A817" s="436" t="s">
        <v>5595</v>
      </c>
      <c r="B817" s="436" t="s">
        <v>3490</v>
      </c>
      <c r="C817" s="437" t="s">
        <v>3491</v>
      </c>
      <c r="D817" s="436" t="s">
        <v>5701</v>
      </c>
      <c r="E817" s="437" t="s">
        <v>4155</v>
      </c>
      <c r="F817" s="436" t="s">
        <v>3494</v>
      </c>
      <c r="G817" s="436" t="s">
        <v>3495</v>
      </c>
      <c r="H817" s="437" t="s">
        <v>3496</v>
      </c>
      <c r="I817" s="436" t="s">
        <v>3497</v>
      </c>
      <c r="J817" s="437" t="s">
        <v>3498</v>
      </c>
      <c r="K817" s="437" t="s">
        <v>3499</v>
      </c>
      <c r="L817" s="436" t="s">
        <v>3500</v>
      </c>
      <c r="M817" s="436" t="s">
        <v>4809</v>
      </c>
      <c r="N817" s="436" t="s">
        <v>3502</v>
      </c>
      <c r="O817" s="438">
        <v>119000</v>
      </c>
      <c r="P817" s="438">
        <v>80920</v>
      </c>
      <c r="Q817" s="438">
        <v>1</v>
      </c>
      <c r="R817" s="438">
        <v>0</v>
      </c>
      <c r="S817" s="438">
        <v>0</v>
      </c>
      <c r="T817" s="438">
        <v>0</v>
      </c>
      <c r="U817" s="438">
        <v>0</v>
      </c>
      <c r="V817" s="438">
        <v>0</v>
      </c>
      <c r="W817" s="438">
        <v>32</v>
      </c>
      <c r="X817" s="438">
        <v>0</v>
      </c>
      <c r="Y817" s="438">
        <v>0</v>
      </c>
      <c r="Z817" s="438">
        <v>0</v>
      </c>
      <c r="AA817" s="438">
        <v>0</v>
      </c>
      <c r="AB817" s="438">
        <v>0</v>
      </c>
      <c r="AC817" s="438">
        <v>119000</v>
      </c>
      <c r="AD817" s="438">
        <v>80920</v>
      </c>
      <c r="AE817" s="438">
        <v>0</v>
      </c>
      <c r="AF817" s="438">
        <v>0</v>
      </c>
      <c r="AG817" s="438">
        <v>119000</v>
      </c>
      <c r="AH817" s="438">
        <v>80920</v>
      </c>
      <c r="AI817" s="438">
        <v>34618</v>
      </c>
      <c r="AJ817" s="438">
        <v>3462</v>
      </c>
      <c r="AK817" s="438">
        <v>38080</v>
      </c>
      <c r="AL817" s="414" t="str">
        <f t="shared" si="73"/>
        <v>워커힐 시그니처 양념 본갈비 300g, 8개</v>
      </c>
      <c r="AM817" s="395">
        <f t="shared" si="74"/>
        <v>46065</v>
      </c>
      <c r="AN817" s="396">
        <f t="shared" si="75"/>
        <v>1</v>
      </c>
      <c r="AO817" s="109">
        <f t="shared" si="76"/>
        <v>119000</v>
      </c>
      <c r="AP817" s="109">
        <f t="shared" si="77"/>
        <v>108181.81818181818</v>
      </c>
      <c r="AQ817" s="397">
        <f t="shared" si="78"/>
        <v>108181.81818181818</v>
      </c>
    </row>
    <row r="818" spans="1:43" ht="24">
      <c r="A818" s="436" t="s">
        <v>5596</v>
      </c>
      <c r="B818" s="436" t="s">
        <v>3490</v>
      </c>
      <c r="C818" s="437" t="s">
        <v>3491</v>
      </c>
      <c r="D818" s="436" t="s">
        <v>5614</v>
      </c>
      <c r="E818" s="437" t="s">
        <v>3999</v>
      </c>
      <c r="F818" s="436" t="s">
        <v>3494</v>
      </c>
      <c r="G818" s="436" t="s">
        <v>3495</v>
      </c>
      <c r="H818" s="437" t="s">
        <v>3496</v>
      </c>
      <c r="I818" s="436" t="s">
        <v>3497</v>
      </c>
      <c r="J818" s="437" t="s">
        <v>3498</v>
      </c>
      <c r="K818" s="437" t="s">
        <v>3499</v>
      </c>
      <c r="L818" s="436" t="s">
        <v>3500</v>
      </c>
      <c r="M818" s="436" t="s">
        <v>4809</v>
      </c>
      <c r="N818" s="436" t="s">
        <v>3502</v>
      </c>
      <c r="O818" s="438">
        <v>119000</v>
      </c>
      <c r="P818" s="438">
        <v>80920</v>
      </c>
      <c r="Q818" s="438">
        <v>1</v>
      </c>
      <c r="R818" s="438">
        <v>0</v>
      </c>
      <c r="S818" s="438">
        <v>0</v>
      </c>
      <c r="T818" s="438">
        <v>0</v>
      </c>
      <c r="U818" s="438">
        <v>0</v>
      </c>
      <c r="V818" s="438">
        <v>0</v>
      </c>
      <c r="W818" s="438">
        <v>32</v>
      </c>
      <c r="X818" s="438">
        <v>0</v>
      </c>
      <c r="Y818" s="438">
        <v>0</v>
      </c>
      <c r="Z818" s="438">
        <v>0</v>
      </c>
      <c r="AA818" s="438">
        <v>0</v>
      </c>
      <c r="AB818" s="438">
        <v>0</v>
      </c>
      <c r="AC818" s="438">
        <v>119000</v>
      </c>
      <c r="AD818" s="438">
        <v>80920</v>
      </c>
      <c r="AE818" s="438">
        <v>0</v>
      </c>
      <c r="AF818" s="438">
        <v>0</v>
      </c>
      <c r="AG818" s="438">
        <v>119000</v>
      </c>
      <c r="AH818" s="438">
        <v>80920</v>
      </c>
      <c r="AI818" s="438">
        <v>34618</v>
      </c>
      <c r="AJ818" s="438">
        <v>3462</v>
      </c>
      <c r="AK818" s="438">
        <v>38080</v>
      </c>
      <c r="AL818" s="414" t="str">
        <f t="shared" si="73"/>
        <v>워커힐 시그니처 양념 본갈비 300g, 8개</v>
      </c>
      <c r="AM818" s="395">
        <f t="shared" si="74"/>
        <v>46065</v>
      </c>
      <c r="AN818" s="396">
        <f t="shared" si="75"/>
        <v>1</v>
      </c>
      <c r="AO818" s="109">
        <f t="shared" si="76"/>
        <v>119000</v>
      </c>
      <c r="AP818" s="109">
        <f t="shared" si="77"/>
        <v>108181.81818181818</v>
      </c>
      <c r="AQ818" s="397">
        <f t="shared" si="78"/>
        <v>108181.81818181818</v>
      </c>
    </row>
    <row r="819" spans="1:43" ht="24">
      <c r="A819" s="436" t="s">
        <v>5598</v>
      </c>
      <c r="B819" s="436" t="s">
        <v>3490</v>
      </c>
      <c r="C819" s="437" t="s">
        <v>3491</v>
      </c>
      <c r="D819" s="436" t="s">
        <v>5046</v>
      </c>
      <c r="E819" s="437" t="s">
        <v>5047</v>
      </c>
      <c r="F819" s="436" t="s">
        <v>3494</v>
      </c>
      <c r="G819" s="436" t="s">
        <v>3495</v>
      </c>
      <c r="H819" s="437" t="s">
        <v>3496</v>
      </c>
      <c r="I819" s="436" t="s">
        <v>3497</v>
      </c>
      <c r="J819" s="437" t="s">
        <v>3498</v>
      </c>
      <c r="K819" s="437" t="s">
        <v>3499</v>
      </c>
      <c r="L819" s="436" t="s">
        <v>3500</v>
      </c>
      <c r="M819" s="436" t="s">
        <v>4809</v>
      </c>
      <c r="N819" s="436" t="s">
        <v>3502</v>
      </c>
      <c r="O819" s="438">
        <v>119000</v>
      </c>
      <c r="P819" s="438">
        <v>80920</v>
      </c>
      <c r="Q819" s="438">
        <v>1</v>
      </c>
      <c r="R819" s="438">
        <v>0</v>
      </c>
      <c r="S819" s="438">
        <v>0</v>
      </c>
      <c r="T819" s="438">
        <v>0</v>
      </c>
      <c r="U819" s="438">
        <v>0</v>
      </c>
      <c r="V819" s="438">
        <v>0</v>
      </c>
      <c r="W819" s="438">
        <v>32</v>
      </c>
      <c r="X819" s="438">
        <v>0</v>
      </c>
      <c r="Y819" s="438">
        <v>0</v>
      </c>
      <c r="Z819" s="438">
        <v>0</v>
      </c>
      <c r="AA819" s="438">
        <v>0</v>
      </c>
      <c r="AB819" s="438">
        <v>0</v>
      </c>
      <c r="AC819" s="438">
        <v>119000</v>
      </c>
      <c r="AD819" s="438">
        <v>80920</v>
      </c>
      <c r="AE819" s="438">
        <v>0</v>
      </c>
      <c r="AF819" s="438">
        <v>0</v>
      </c>
      <c r="AG819" s="438">
        <v>119000</v>
      </c>
      <c r="AH819" s="438">
        <v>80920</v>
      </c>
      <c r="AI819" s="438">
        <v>34618</v>
      </c>
      <c r="AJ819" s="438">
        <v>3462</v>
      </c>
      <c r="AK819" s="438">
        <v>38080</v>
      </c>
      <c r="AL819" s="414" t="str">
        <f t="shared" si="73"/>
        <v>워커힐 시그니처 양념 본갈비 300g, 8개</v>
      </c>
      <c r="AM819" s="395">
        <f t="shared" si="74"/>
        <v>46065</v>
      </c>
      <c r="AN819" s="396">
        <f t="shared" si="75"/>
        <v>1</v>
      </c>
      <c r="AO819" s="109">
        <f t="shared" si="76"/>
        <v>119000</v>
      </c>
      <c r="AP819" s="109">
        <f t="shared" si="77"/>
        <v>108181.81818181818</v>
      </c>
      <c r="AQ819" s="397">
        <f t="shared" si="78"/>
        <v>108181.81818181818</v>
      </c>
    </row>
    <row r="820" spans="1:43" ht="24">
      <c r="A820" s="436" t="s">
        <v>5600</v>
      </c>
      <c r="B820" s="436" t="s">
        <v>3490</v>
      </c>
      <c r="C820" s="437" t="s">
        <v>3491</v>
      </c>
      <c r="D820" s="436" t="s">
        <v>5624</v>
      </c>
      <c r="E820" s="437" t="s">
        <v>4738</v>
      </c>
      <c r="F820" s="436" t="s">
        <v>3494</v>
      </c>
      <c r="G820" s="436" t="s">
        <v>3495</v>
      </c>
      <c r="H820" s="437" t="s">
        <v>3496</v>
      </c>
      <c r="I820" s="436" t="s">
        <v>3497</v>
      </c>
      <c r="J820" s="437" t="s">
        <v>3498</v>
      </c>
      <c r="K820" s="437" t="s">
        <v>3499</v>
      </c>
      <c r="L820" s="436" t="s">
        <v>3500</v>
      </c>
      <c r="M820" s="436" t="s">
        <v>4809</v>
      </c>
      <c r="N820" s="436" t="s">
        <v>3502</v>
      </c>
      <c r="O820" s="438">
        <v>119000</v>
      </c>
      <c r="P820" s="438">
        <v>80920</v>
      </c>
      <c r="Q820" s="438">
        <v>1</v>
      </c>
      <c r="R820" s="438">
        <v>0</v>
      </c>
      <c r="S820" s="438">
        <v>0</v>
      </c>
      <c r="T820" s="438">
        <v>0</v>
      </c>
      <c r="U820" s="438">
        <v>0</v>
      </c>
      <c r="V820" s="438">
        <v>0</v>
      </c>
      <c r="W820" s="438">
        <v>32</v>
      </c>
      <c r="X820" s="438">
        <v>0</v>
      </c>
      <c r="Y820" s="438">
        <v>0</v>
      </c>
      <c r="Z820" s="438">
        <v>0</v>
      </c>
      <c r="AA820" s="438">
        <v>0</v>
      </c>
      <c r="AB820" s="438">
        <v>0</v>
      </c>
      <c r="AC820" s="438">
        <v>119000</v>
      </c>
      <c r="AD820" s="438">
        <v>80920</v>
      </c>
      <c r="AE820" s="438">
        <v>0</v>
      </c>
      <c r="AF820" s="438">
        <v>0</v>
      </c>
      <c r="AG820" s="438">
        <v>119000</v>
      </c>
      <c r="AH820" s="438">
        <v>80920</v>
      </c>
      <c r="AI820" s="438">
        <v>34618</v>
      </c>
      <c r="AJ820" s="438">
        <v>3462</v>
      </c>
      <c r="AK820" s="438">
        <v>38080</v>
      </c>
      <c r="AL820" s="414" t="str">
        <f t="shared" si="73"/>
        <v>워커힐 시그니처 양념 본갈비 300g, 8개</v>
      </c>
      <c r="AM820" s="395">
        <f t="shared" si="74"/>
        <v>46065</v>
      </c>
      <c r="AN820" s="396">
        <f t="shared" si="75"/>
        <v>1</v>
      </c>
      <c r="AO820" s="109">
        <f t="shared" si="76"/>
        <v>119000</v>
      </c>
      <c r="AP820" s="109">
        <f t="shared" si="77"/>
        <v>108181.81818181818</v>
      </c>
      <c r="AQ820" s="397">
        <f t="shared" si="78"/>
        <v>108181.81818181818</v>
      </c>
    </row>
    <row r="821" spans="1:43" ht="24">
      <c r="A821" s="436" t="s">
        <v>5602</v>
      </c>
      <c r="B821" s="436" t="s">
        <v>3490</v>
      </c>
      <c r="C821" s="437" t="s">
        <v>3491</v>
      </c>
      <c r="D821" s="436" t="s">
        <v>5446</v>
      </c>
      <c r="E821" s="437" t="s">
        <v>4211</v>
      </c>
      <c r="F821" s="436" t="s">
        <v>3494</v>
      </c>
      <c r="G821" s="436" t="s">
        <v>3495</v>
      </c>
      <c r="H821" s="437" t="s">
        <v>3496</v>
      </c>
      <c r="I821" s="436" t="s">
        <v>3497</v>
      </c>
      <c r="J821" s="437" t="s">
        <v>3498</v>
      </c>
      <c r="K821" s="437" t="s">
        <v>3499</v>
      </c>
      <c r="L821" s="436" t="s">
        <v>3500</v>
      </c>
      <c r="M821" s="436" t="s">
        <v>4809</v>
      </c>
      <c r="N821" s="436" t="s">
        <v>3502</v>
      </c>
      <c r="O821" s="438">
        <v>119000</v>
      </c>
      <c r="P821" s="438">
        <v>80920</v>
      </c>
      <c r="Q821" s="438">
        <v>1</v>
      </c>
      <c r="R821" s="438">
        <v>0</v>
      </c>
      <c r="S821" s="438">
        <v>0</v>
      </c>
      <c r="T821" s="438">
        <v>0</v>
      </c>
      <c r="U821" s="438">
        <v>0</v>
      </c>
      <c r="V821" s="438">
        <v>0</v>
      </c>
      <c r="W821" s="438">
        <v>32</v>
      </c>
      <c r="X821" s="438">
        <v>0</v>
      </c>
      <c r="Y821" s="438">
        <v>0</v>
      </c>
      <c r="Z821" s="438">
        <v>0</v>
      </c>
      <c r="AA821" s="438">
        <v>0</v>
      </c>
      <c r="AB821" s="438">
        <v>5950</v>
      </c>
      <c r="AC821" s="438">
        <v>119000</v>
      </c>
      <c r="AD821" s="438">
        <v>80920</v>
      </c>
      <c r="AE821" s="438">
        <v>0</v>
      </c>
      <c r="AF821" s="438">
        <v>5950</v>
      </c>
      <c r="AG821" s="438">
        <v>113050</v>
      </c>
      <c r="AH821" s="438">
        <v>80920</v>
      </c>
      <c r="AI821" s="438">
        <v>29209</v>
      </c>
      <c r="AJ821" s="438">
        <v>2921</v>
      </c>
      <c r="AK821" s="438">
        <v>32130</v>
      </c>
      <c r="AL821" s="414" t="str">
        <f t="shared" si="73"/>
        <v>워커힐 시그니처 양념 본갈비 300g, 8개</v>
      </c>
      <c r="AM821" s="395">
        <f t="shared" si="74"/>
        <v>46065</v>
      </c>
      <c r="AN821" s="396">
        <f t="shared" si="75"/>
        <v>1</v>
      </c>
      <c r="AO821" s="109">
        <f t="shared" si="76"/>
        <v>119000</v>
      </c>
      <c r="AP821" s="109">
        <f t="shared" si="77"/>
        <v>108181.81818181818</v>
      </c>
      <c r="AQ821" s="397">
        <f t="shared" si="78"/>
        <v>108181.81818181818</v>
      </c>
    </row>
    <row r="822" spans="1:43" ht="24">
      <c r="A822" s="436" t="s">
        <v>5605</v>
      </c>
      <c r="B822" s="436" t="s">
        <v>3490</v>
      </c>
      <c r="C822" s="437" t="s">
        <v>3491</v>
      </c>
      <c r="D822" s="436" t="s">
        <v>5606</v>
      </c>
      <c r="E822" s="437" t="s">
        <v>3829</v>
      </c>
      <c r="F822" s="436" t="s">
        <v>3494</v>
      </c>
      <c r="G822" s="436" t="s">
        <v>3495</v>
      </c>
      <c r="H822" s="437" t="s">
        <v>3496</v>
      </c>
      <c r="I822" s="436" t="s">
        <v>3497</v>
      </c>
      <c r="J822" s="437" t="s">
        <v>3498</v>
      </c>
      <c r="K822" s="437" t="s">
        <v>3499</v>
      </c>
      <c r="L822" s="436" t="s">
        <v>3500</v>
      </c>
      <c r="M822" s="436" t="s">
        <v>4809</v>
      </c>
      <c r="N822" s="436" t="s">
        <v>3502</v>
      </c>
      <c r="O822" s="438">
        <v>119000</v>
      </c>
      <c r="P822" s="438">
        <v>80920</v>
      </c>
      <c r="Q822" s="438">
        <v>1</v>
      </c>
      <c r="R822" s="438">
        <v>0</v>
      </c>
      <c r="S822" s="438">
        <v>0</v>
      </c>
      <c r="T822" s="438">
        <v>0</v>
      </c>
      <c r="U822" s="438">
        <v>0</v>
      </c>
      <c r="V822" s="438">
        <v>0</v>
      </c>
      <c r="W822" s="438">
        <v>32</v>
      </c>
      <c r="X822" s="438">
        <v>0</v>
      </c>
      <c r="Y822" s="438">
        <v>0</v>
      </c>
      <c r="Z822" s="438">
        <v>0</v>
      </c>
      <c r="AA822" s="438">
        <v>0</v>
      </c>
      <c r="AB822" s="438">
        <v>0</v>
      </c>
      <c r="AC822" s="438">
        <v>119000</v>
      </c>
      <c r="AD822" s="438">
        <v>80920</v>
      </c>
      <c r="AE822" s="438">
        <v>0</v>
      </c>
      <c r="AF822" s="438">
        <v>0</v>
      </c>
      <c r="AG822" s="438">
        <v>119000</v>
      </c>
      <c r="AH822" s="438">
        <v>80920</v>
      </c>
      <c r="AI822" s="438">
        <v>34618</v>
      </c>
      <c r="AJ822" s="438">
        <v>3462</v>
      </c>
      <c r="AK822" s="438">
        <v>38080</v>
      </c>
      <c r="AL822" s="414" t="str">
        <f t="shared" si="73"/>
        <v>워커힐 시그니처 양념 본갈비 300g, 8개</v>
      </c>
      <c r="AM822" s="395">
        <f t="shared" si="74"/>
        <v>46065</v>
      </c>
      <c r="AN822" s="396">
        <f t="shared" si="75"/>
        <v>1</v>
      </c>
      <c r="AO822" s="109">
        <f t="shared" si="76"/>
        <v>119000</v>
      </c>
      <c r="AP822" s="109">
        <f t="shared" si="77"/>
        <v>108181.81818181818</v>
      </c>
      <c r="AQ822" s="397">
        <f t="shared" si="78"/>
        <v>108181.81818181818</v>
      </c>
    </row>
    <row r="823" spans="1:43" ht="24">
      <c r="A823" s="436" t="s">
        <v>5607</v>
      </c>
      <c r="B823" s="436" t="s">
        <v>3490</v>
      </c>
      <c r="C823" s="437" t="s">
        <v>3491</v>
      </c>
      <c r="D823" s="436" t="s">
        <v>5455</v>
      </c>
      <c r="E823" s="437" t="s">
        <v>5456</v>
      </c>
      <c r="F823" s="436" t="s">
        <v>3494</v>
      </c>
      <c r="G823" s="436" t="s">
        <v>3495</v>
      </c>
      <c r="H823" s="437" t="s">
        <v>3496</v>
      </c>
      <c r="I823" s="436" t="s">
        <v>3497</v>
      </c>
      <c r="J823" s="437" t="s">
        <v>3498</v>
      </c>
      <c r="K823" s="437" t="s">
        <v>3499</v>
      </c>
      <c r="L823" s="436" t="s">
        <v>3500</v>
      </c>
      <c r="M823" s="436" t="s">
        <v>4809</v>
      </c>
      <c r="N823" s="436" t="s">
        <v>3502</v>
      </c>
      <c r="O823" s="438">
        <v>119000</v>
      </c>
      <c r="P823" s="438">
        <v>80920</v>
      </c>
      <c r="Q823" s="438">
        <v>1</v>
      </c>
      <c r="R823" s="438">
        <v>0</v>
      </c>
      <c r="S823" s="438">
        <v>0</v>
      </c>
      <c r="T823" s="438">
        <v>0</v>
      </c>
      <c r="U823" s="438">
        <v>0</v>
      </c>
      <c r="V823" s="438">
        <v>0</v>
      </c>
      <c r="W823" s="438">
        <v>32</v>
      </c>
      <c r="X823" s="438">
        <v>0</v>
      </c>
      <c r="Y823" s="438">
        <v>0</v>
      </c>
      <c r="Z823" s="438">
        <v>0</v>
      </c>
      <c r="AA823" s="438">
        <v>0</v>
      </c>
      <c r="AB823" s="438">
        <v>0</v>
      </c>
      <c r="AC823" s="438">
        <v>119000</v>
      </c>
      <c r="AD823" s="438">
        <v>80920</v>
      </c>
      <c r="AE823" s="438">
        <v>0</v>
      </c>
      <c r="AF823" s="438">
        <v>0</v>
      </c>
      <c r="AG823" s="438">
        <v>119000</v>
      </c>
      <c r="AH823" s="438">
        <v>80920</v>
      </c>
      <c r="AI823" s="438">
        <v>34618</v>
      </c>
      <c r="AJ823" s="438">
        <v>3462</v>
      </c>
      <c r="AK823" s="438">
        <v>38080</v>
      </c>
      <c r="AL823" s="414" t="str">
        <f t="shared" si="73"/>
        <v>워커힐 시그니처 양념 본갈비 300g, 8개</v>
      </c>
      <c r="AM823" s="395">
        <f t="shared" si="74"/>
        <v>46065</v>
      </c>
      <c r="AN823" s="396">
        <f t="shared" si="75"/>
        <v>1</v>
      </c>
      <c r="AO823" s="109">
        <f t="shared" si="76"/>
        <v>119000</v>
      </c>
      <c r="AP823" s="109">
        <f t="shared" si="77"/>
        <v>108181.81818181818</v>
      </c>
      <c r="AQ823" s="397">
        <f t="shared" si="78"/>
        <v>108181.81818181818</v>
      </c>
    </row>
    <row r="824" spans="1:43" ht="24">
      <c r="A824" s="436" t="s">
        <v>5610</v>
      </c>
      <c r="B824" s="436" t="s">
        <v>3490</v>
      </c>
      <c r="C824" s="437" t="s">
        <v>3491</v>
      </c>
      <c r="D824" s="436" t="s">
        <v>5557</v>
      </c>
      <c r="E824" s="437" t="s">
        <v>3493</v>
      </c>
      <c r="F824" s="436" t="s">
        <v>3494</v>
      </c>
      <c r="G824" s="436" t="s">
        <v>3495</v>
      </c>
      <c r="H824" s="437" t="s">
        <v>3496</v>
      </c>
      <c r="I824" s="436" t="s">
        <v>3497</v>
      </c>
      <c r="J824" s="437" t="s">
        <v>3498</v>
      </c>
      <c r="K824" s="437" t="s">
        <v>3499</v>
      </c>
      <c r="L824" s="436" t="s">
        <v>3500</v>
      </c>
      <c r="M824" s="436" t="s">
        <v>4809</v>
      </c>
      <c r="N824" s="436" t="s">
        <v>3502</v>
      </c>
      <c r="O824" s="438">
        <v>119000</v>
      </c>
      <c r="P824" s="438">
        <v>80920</v>
      </c>
      <c r="Q824" s="438">
        <v>1</v>
      </c>
      <c r="R824" s="438">
        <v>0</v>
      </c>
      <c r="S824" s="438">
        <v>0</v>
      </c>
      <c r="T824" s="438">
        <v>0</v>
      </c>
      <c r="U824" s="438">
        <v>0</v>
      </c>
      <c r="V824" s="438">
        <v>0</v>
      </c>
      <c r="W824" s="438">
        <v>32</v>
      </c>
      <c r="X824" s="438">
        <v>0</v>
      </c>
      <c r="Y824" s="438">
        <v>0</v>
      </c>
      <c r="Z824" s="438">
        <v>0</v>
      </c>
      <c r="AA824" s="438">
        <v>0</v>
      </c>
      <c r="AB824" s="438">
        <v>0</v>
      </c>
      <c r="AC824" s="438">
        <v>119000</v>
      </c>
      <c r="AD824" s="438">
        <v>80920</v>
      </c>
      <c r="AE824" s="438">
        <v>0</v>
      </c>
      <c r="AF824" s="438">
        <v>0</v>
      </c>
      <c r="AG824" s="438">
        <v>119000</v>
      </c>
      <c r="AH824" s="438">
        <v>80920</v>
      </c>
      <c r="AI824" s="438">
        <v>34618</v>
      </c>
      <c r="AJ824" s="438">
        <v>3462</v>
      </c>
      <c r="AK824" s="438">
        <v>38080</v>
      </c>
      <c r="AL824" s="414" t="str">
        <f t="shared" si="73"/>
        <v>워커힐 시그니처 양념 본갈비 300g, 8개</v>
      </c>
      <c r="AM824" s="395">
        <f t="shared" si="74"/>
        <v>46065</v>
      </c>
      <c r="AN824" s="396">
        <f t="shared" si="75"/>
        <v>1</v>
      </c>
      <c r="AO824" s="109">
        <f t="shared" si="76"/>
        <v>119000</v>
      </c>
      <c r="AP824" s="109">
        <f t="shared" si="77"/>
        <v>108181.81818181818</v>
      </c>
      <c r="AQ824" s="397">
        <f t="shared" si="78"/>
        <v>108181.81818181818</v>
      </c>
    </row>
    <row r="825" spans="1:43" ht="24">
      <c r="A825" s="436" t="s">
        <v>5613</v>
      </c>
      <c r="B825" s="436" t="s">
        <v>3490</v>
      </c>
      <c r="C825" s="437" t="s">
        <v>3491</v>
      </c>
      <c r="D825" s="436" t="s">
        <v>5559</v>
      </c>
      <c r="E825" s="437" t="s">
        <v>3760</v>
      </c>
      <c r="F825" s="436" t="s">
        <v>3494</v>
      </c>
      <c r="G825" s="436" t="s">
        <v>3495</v>
      </c>
      <c r="H825" s="437" t="s">
        <v>3496</v>
      </c>
      <c r="I825" s="436" t="s">
        <v>3497</v>
      </c>
      <c r="J825" s="437" t="s">
        <v>3498</v>
      </c>
      <c r="K825" s="437" t="s">
        <v>3548</v>
      </c>
      <c r="L825" s="436" t="s">
        <v>3500</v>
      </c>
      <c r="M825" s="436" t="s">
        <v>4809</v>
      </c>
      <c r="N825" s="436" t="s">
        <v>3502</v>
      </c>
      <c r="O825" s="438">
        <v>119000</v>
      </c>
      <c r="P825" s="438">
        <v>80920</v>
      </c>
      <c r="Q825" s="438">
        <v>1</v>
      </c>
      <c r="R825" s="438">
        <v>0</v>
      </c>
      <c r="S825" s="438">
        <v>0</v>
      </c>
      <c r="T825" s="438">
        <v>0</v>
      </c>
      <c r="U825" s="438">
        <v>0</v>
      </c>
      <c r="V825" s="438">
        <v>0</v>
      </c>
      <c r="W825" s="438">
        <v>32</v>
      </c>
      <c r="X825" s="438">
        <v>0</v>
      </c>
      <c r="Y825" s="438">
        <v>0</v>
      </c>
      <c r="Z825" s="438">
        <v>0</v>
      </c>
      <c r="AA825" s="438">
        <v>0</v>
      </c>
      <c r="AB825" s="438">
        <v>0</v>
      </c>
      <c r="AC825" s="438">
        <v>119000</v>
      </c>
      <c r="AD825" s="438">
        <v>80920</v>
      </c>
      <c r="AE825" s="438">
        <v>0</v>
      </c>
      <c r="AF825" s="438">
        <v>0</v>
      </c>
      <c r="AG825" s="438">
        <v>119000</v>
      </c>
      <c r="AH825" s="438">
        <v>80920</v>
      </c>
      <c r="AI825" s="438">
        <v>34618</v>
      </c>
      <c r="AJ825" s="438">
        <v>3462</v>
      </c>
      <c r="AK825" s="438">
        <v>38080</v>
      </c>
      <c r="AL825" s="414" t="str">
        <f t="shared" si="73"/>
        <v>워커힐 시그니처 양념 본갈비 300g, 8개</v>
      </c>
      <c r="AM825" s="395">
        <f t="shared" si="74"/>
        <v>46065</v>
      </c>
      <c r="AN825" s="396">
        <f t="shared" si="75"/>
        <v>1</v>
      </c>
      <c r="AO825" s="109">
        <f t="shared" si="76"/>
        <v>119000</v>
      </c>
      <c r="AP825" s="109">
        <f t="shared" si="77"/>
        <v>108181.81818181818</v>
      </c>
      <c r="AQ825" s="397">
        <f t="shared" si="78"/>
        <v>108181.81818181818</v>
      </c>
    </row>
    <row r="826" spans="1:43" ht="24">
      <c r="A826" s="436" t="s">
        <v>5615</v>
      </c>
      <c r="B826" s="436" t="s">
        <v>3490</v>
      </c>
      <c r="C826" s="437" t="s">
        <v>3491</v>
      </c>
      <c r="D826" s="436" t="s">
        <v>5561</v>
      </c>
      <c r="E826" s="437" t="s">
        <v>5562</v>
      </c>
      <c r="F826" s="436" t="s">
        <v>3494</v>
      </c>
      <c r="G826" s="436" t="s">
        <v>3495</v>
      </c>
      <c r="H826" s="437" t="s">
        <v>3496</v>
      </c>
      <c r="I826" s="436" t="s">
        <v>3497</v>
      </c>
      <c r="J826" s="437" t="s">
        <v>3498</v>
      </c>
      <c r="K826" s="437" t="s">
        <v>3499</v>
      </c>
      <c r="L826" s="436" t="s">
        <v>3500</v>
      </c>
      <c r="M826" s="436" t="s">
        <v>4809</v>
      </c>
      <c r="N826" s="436" t="s">
        <v>3502</v>
      </c>
      <c r="O826" s="438">
        <v>119000</v>
      </c>
      <c r="P826" s="438">
        <v>80920</v>
      </c>
      <c r="Q826" s="438">
        <v>1</v>
      </c>
      <c r="R826" s="438">
        <v>0</v>
      </c>
      <c r="S826" s="438">
        <v>0</v>
      </c>
      <c r="T826" s="438">
        <v>0</v>
      </c>
      <c r="U826" s="438">
        <v>0</v>
      </c>
      <c r="V826" s="438">
        <v>0</v>
      </c>
      <c r="W826" s="438">
        <v>32</v>
      </c>
      <c r="X826" s="438">
        <v>0</v>
      </c>
      <c r="Y826" s="438">
        <v>0</v>
      </c>
      <c r="Z826" s="438">
        <v>0</v>
      </c>
      <c r="AA826" s="438">
        <v>0</v>
      </c>
      <c r="AB826" s="438">
        <v>0</v>
      </c>
      <c r="AC826" s="438">
        <v>119000</v>
      </c>
      <c r="AD826" s="438">
        <v>80920</v>
      </c>
      <c r="AE826" s="438">
        <v>0</v>
      </c>
      <c r="AF826" s="438">
        <v>0</v>
      </c>
      <c r="AG826" s="438">
        <v>119000</v>
      </c>
      <c r="AH826" s="438">
        <v>80920</v>
      </c>
      <c r="AI826" s="438">
        <v>34618</v>
      </c>
      <c r="AJ826" s="438">
        <v>3462</v>
      </c>
      <c r="AK826" s="438">
        <v>38080</v>
      </c>
      <c r="AL826" s="414" t="str">
        <f t="shared" si="73"/>
        <v>워커힐 시그니처 양념 본갈비 300g, 8개</v>
      </c>
      <c r="AM826" s="395">
        <f t="shared" si="74"/>
        <v>46065</v>
      </c>
      <c r="AN826" s="396">
        <f t="shared" si="75"/>
        <v>1</v>
      </c>
      <c r="AO826" s="109">
        <f t="shared" si="76"/>
        <v>119000</v>
      </c>
      <c r="AP826" s="109">
        <f t="shared" si="77"/>
        <v>108181.81818181818</v>
      </c>
      <c r="AQ826" s="397">
        <f t="shared" si="78"/>
        <v>108181.81818181818</v>
      </c>
    </row>
    <row r="827" spans="1:43" ht="24">
      <c r="A827" s="436" t="s">
        <v>5617</v>
      </c>
      <c r="B827" s="436" t="s">
        <v>3490</v>
      </c>
      <c r="C827" s="437" t="s">
        <v>3491</v>
      </c>
      <c r="D827" s="436" t="s">
        <v>5566</v>
      </c>
      <c r="E827" s="437" t="s">
        <v>5282</v>
      </c>
      <c r="F827" s="436" t="s">
        <v>3494</v>
      </c>
      <c r="G827" s="436" t="s">
        <v>3495</v>
      </c>
      <c r="H827" s="437" t="s">
        <v>3496</v>
      </c>
      <c r="I827" s="436" t="s">
        <v>3497</v>
      </c>
      <c r="J827" s="437" t="s">
        <v>3498</v>
      </c>
      <c r="K827" s="437" t="s">
        <v>3499</v>
      </c>
      <c r="L827" s="436" t="s">
        <v>3500</v>
      </c>
      <c r="M827" s="436" t="s">
        <v>4809</v>
      </c>
      <c r="N827" s="436" t="s">
        <v>3502</v>
      </c>
      <c r="O827" s="438">
        <v>119000</v>
      </c>
      <c r="P827" s="438">
        <v>80920</v>
      </c>
      <c r="Q827" s="438">
        <v>1</v>
      </c>
      <c r="R827" s="438">
        <v>0</v>
      </c>
      <c r="S827" s="438">
        <v>0</v>
      </c>
      <c r="T827" s="438">
        <v>0</v>
      </c>
      <c r="U827" s="438">
        <v>0</v>
      </c>
      <c r="V827" s="438">
        <v>0</v>
      </c>
      <c r="W827" s="438">
        <v>32</v>
      </c>
      <c r="X827" s="438">
        <v>0</v>
      </c>
      <c r="Y827" s="438">
        <v>0</v>
      </c>
      <c r="Z827" s="438">
        <v>0</v>
      </c>
      <c r="AA827" s="438">
        <v>0</v>
      </c>
      <c r="AB827" s="438">
        <v>5950</v>
      </c>
      <c r="AC827" s="438">
        <v>119000</v>
      </c>
      <c r="AD827" s="438">
        <v>80920</v>
      </c>
      <c r="AE827" s="438">
        <v>0</v>
      </c>
      <c r="AF827" s="438">
        <v>5950</v>
      </c>
      <c r="AG827" s="438">
        <v>113050</v>
      </c>
      <c r="AH827" s="438">
        <v>80920</v>
      </c>
      <c r="AI827" s="438">
        <v>29209</v>
      </c>
      <c r="AJ827" s="438">
        <v>2921</v>
      </c>
      <c r="AK827" s="438">
        <v>32130</v>
      </c>
      <c r="AL827" s="414" t="str">
        <f t="shared" si="73"/>
        <v>워커힐 시그니처 양념 본갈비 300g, 8개</v>
      </c>
      <c r="AM827" s="395">
        <f t="shared" si="74"/>
        <v>46065</v>
      </c>
      <c r="AN827" s="396">
        <f t="shared" si="75"/>
        <v>1</v>
      </c>
      <c r="AO827" s="109">
        <f t="shared" si="76"/>
        <v>119000</v>
      </c>
      <c r="AP827" s="109">
        <f t="shared" si="77"/>
        <v>108181.81818181818</v>
      </c>
      <c r="AQ827" s="397">
        <f t="shared" si="78"/>
        <v>108181.81818181818</v>
      </c>
    </row>
    <row r="828" spans="1:43" ht="24">
      <c r="A828" s="436" t="s">
        <v>5619</v>
      </c>
      <c r="B828" s="436" t="s">
        <v>3490</v>
      </c>
      <c r="C828" s="437" t="s">
        <v>3491</v>
      </c>
      <c r="D828" s="436" t="s">
        <v>5644</v>
      </c>
      <c r="E828" s="437" t="s">
        <v>3712</v>
      </c>
      <c r="F828" s="436" t="s">
        <v>3494</v>
      </c>
      <c r="G828" s="436" t="s">
        <v>3495</v>
      </c>
      <c r="H828" s="437" t="s">
        <v>3496</v>
      </c>
      <c r="I828" s="436" t="s">
        <v>3497</v>
      </c>
      <c r="J828" s="437" t="s">
        <v>3498</v>
      </c>
      <c r="K828" s="437" t="s">
        <v>163</v>
      </c>
      <c r="L828" s="436" t="s">
        <v>3500</v>
      </c>
      <c r="M828" s="436" t="s">
        <v>4809</v>
      </c>
      <c r="N828" s="436" t="s">
        <v>3502</v>
      </c>
      <c r="O828" s="438">
        <v>119000</v>
      </c>
      <c r="P828" s="438">
        <v>80920</v>
      </c>
      <c r="Q828" s="438">
        <v>1</v>
      </c>
      <c r="R828" s="438">
        <v>0</v>
      </c>
      <c r="S828" s="438">
        <v>0</v>
      </c>
      <c r="T828" s="438">
        <v>0</v>
      </c>
      <c r="U828" s="438">
        <v>0</v>
      </c>
      <c r="V828" s="438">
        <v>0</v>
      </c>
      <c r="W828" s="438">
        <v>32</v>
      </c>
      <c r="X828" s="438">
        <v>0</v>
      </c>
      <c r="Y828" s="438">
        <v>5950</v>
      </c>
      <c r="Z828" s="438">
        <v>0</v>
      </c>
      <c r="AA828" s="438">
        <v>0</v>
      </c>
      <c r="AB828" s="438">
        <v>0</v>
      </c>
      <c r="AC828" s="438">
        <v>119000</v>
      </c>
      <c r="AD828" s="438">
        <v>80920</v>
      </c>
      <c r="AE828" s="438">
        <v>0</v>
      </c>
      <c r="AF828" s="438">
        <v>5950</v>
      </c>
      <c r="AG828" s="438">
        <v>113050</v>
      </c>
      <c r="AH828" s="438">
        <v>80920</v>
      </c>
      <c r="AI828" s="438">
        <v>29209</v>
      </c>
      <c r="AJ828" s="438">
        <v>2921</v>
      </c>
      <c r="AK828" s="438">
        <v>32130</v>
      </c>
      <c r="AL828" s="414" t="str">
        <f t="shared" si="73"/>
        <v>워커힐 시그니처 양념 본갈비 300g, 8개</v>
      </c>
      <c r="AM828" s="395">
        <f t="shared" si="74"/>
        <v>46065</v>
      </c>
      <c r="AN828" s="396">
        <f t="shared" si="75"/>
        <v>1</v>
      </c>
      <c r="AO828" s="109">
        <f t="shared" si="76"/>
        <v>119000</v>
      </c>
      <c r="AP828" s="109">
        <f t="shared" si="77"/>
        <v>108181.81818181818</v>
      </c>
      <c r="AQ828" s="397">
        <f t="shared" si="78"/>
        <v>108181.81818181818</v>
      </c>
    </row>
    <row r="829" spans="1:43" ht="24">
      <c r="A829" s="436" t="s">
        <v>5621</v>
      </c>
      <c r="B829" s="436" t="s">
        <v>3490</v>
      </c>
      <c r="C829" s="437" t="s">
        <v>3491</v>
      </c>
      <c r="D829" s="436" t="s">
        <v>5611</v>
      </c>
      <c r="E829" s="437" t="s">
        <v>5612</v>
      </c>
      <c r="F829" s="436" t="s">
        <v>3494</v>
      </c>
      <c r="G829" s="436" t="s">
        <v>3495</v>
      </c>
      <c r="H829" s="437" t="s">
        <v>3496</v>
      </c>
      <c r="I829" s="436" t="s">
        <v>3497</v>
      </c>
      <c r="J829" s="437" t="s">
        <v>3498</v>
      </c>
      <c r="K829" s="437" t="s">
        <v>3499</v>
      </c>
      <c r="L829" s="436" t="s">
        <v>3500</v>
      </c>
      <c r="M829" s="436" t="s">
        <v>4809</v>
      </c>
      <c r="N829" s="436" t="s">
        <v>3502</v>
      </c>
      <c r="O829" s="438">
        <v>119000</v>
      </c>
      <c r="P829" s="438">
        <v>80920</v>
      </c>
      <c r="Q829" s="438">
        <v>1</v>
      </c>
      <c r="R829" s="438">
        <v>0</v>
      </c>
      <c r="S829" s="438">
        <v>0</v>
      </c>
      <c r="T829" s="438">
        <v>0</v>
      </c>
      <c r="U829" s="438">
        <v>0</v>
      </c>
      <c r="V829" s="438">
        <v>0</v>
      </c>
      <c r="W829" s="438">
        <v>32</v>
      </c>
      <c r="X829" s="438">
        <v>0</v>
      </c>
      <c r="Y829" s="438">
        <v>0</v>
      </c>
      <c r="Z829" s="438">
        <v>0</v>
      </c>
      <c r="AA829" s="438">
        <v>0</v>
      </c>
      <c r="AB829" s="438">
        <v>0</v>
      </c>
      <c r="AC829" s="438">
        <v>119000</v>
      </c>
      <c r="AD829" s="438">
        <v>80920</v>
      </c>
      <c r="AE829" s="438">
        <v>0</v>
      </c>
      <c r="AF829" s="438">
        <v>0</v>
      </c>
      <c r="AG829" s="438">
        <v>119000</v>
      </c>
      <c r="AH829" s="438">
        <v>80920</v>
      </c>
      <c r="AI829" s="438">
        <v>34618</v>
      </c>
      <c r="AJ829" s="438">
        <v>3462</v>
      </c>
      <c r="AK829" s="438">
        <v>38080</v>
      </c>
      <c r="AL829" s="414" t="str">
        <f t="shared" si="73"/>
        <v>워커힐 시그니처 양념 본갈비 300g, 8개</v>
      </c>
      <c r="AM829" s="395">
        <f t="shared" si="74"/>
        <v>46065</v>
      </c>
      <c r="AN829" s="396">
        <f t="shared" si="75"/>
        <v>1</v>
      </c>
      <c r="AO829" s="109">
        <f t="shared" si="76"/>
        <v>119000</v>
      </c>
      <c r="AP829" s="109">
        <f t="shared" si="77"/>
        <v>108181.81818181818</v>
      </c>
      <c r="AQ829" s="397">
        <f t="shared" si="78"/>
        <v>108181.81818181818</v>
      </c>
    </row>
    <row r="830" spans="1:43" ht="24">
      <c r="A830" s="436" t="s">
        <v>5623</v>
      </c>
      <c r="B830" s="436" t="s">
        <v>3490</v>
      </c>
      <c r="C830" s="437" t="s">
        <v>3491</v>
      </c>
      <c r="D830" s="436" t="s">
        <v>5695</v>
      </c>
      <c r="E830" s="437" t="s">
        <v>5696</v>
      </c>
      <c r="F830" s="436" t="s">
        <v>3494</v>
      </c>
      <c r="G830" s="436" t="s">
        <v>3495</v>
      </c>
      <c r="H830" s="437" t="s">
        <v>3496</v>
      </c>
      <c r="I830" s="436" t="s">
        <v>3497</v>
      </c>
      <c r="J830" s="437" t="s">
        <v>3498</v>
      </c>
      <c r="K830" s="437" t="s">
        <v>3499</v>
      </c>
      <c r="L830" s="436" t="s">
        <v>3500</v>
      </c>
      <c r="M830" s="436" t="s">
        <v>4809</v>
      </c>
      <c r="N830" s="436" t="s">
        <v>3502</v>
      </c>
      <c r="O830" s="438">
        <v>119000</v>
      </c>
      <c r="P830" s="438">
        <v>80920</v>
      </c>
      <c r="Q830" s="438">
        <v>1</v>
      </c>
      <c r="R830" s="438">
        <v>0</v>
      </c>
      <c r="S830" s="438">
        <v>0</v>
      </c>
      <c r="T830" s="438">
        <v>0</v>
      </c>
      <c r="U830" s="438">
        <v>0</v>
      </c>
      <c r="V830" s="438">
        <v>0</v>
      </c>
      <c r="W830" s="438">
        <v>32</v>
      </c>
      <c r="X830" s="438">
        <v>0</v>
      </c>
      <c r="Y830" s="438">
        <v>0</v>
      </c>
      <c r="Z830" s="438">
        <v>0</v>
      </c>
      <c r="AA830" s="438">
        <v>0</v>
      </c>
      <c r="AB830" s="438">
        <v>0</v>
      </c>
      <c r="AC830" s="438">
        <v>119000</v>
      </c>
      <c r="AD830" s="438">
        <v>80920</v>
      </c>
      <c r="AE830" s="438">
        <v>0</v>
      </c>
      <c r="AF830" s="438">
        <v>0</v>
      </c>
      <c r="AG830" s="438">
        <v>119000</v>
      </c>
      <c r="AH830" s="438">
        <v>80920</v>
      </c>
      <c r="AI830" s="438">
        <v>34618</v>
      </c>
      <c r="AJ830" s="438">
        <v>3462</v>
      </c>
      <c r="AK830" s="438">
        <v>38080</v>
      </c>
      <c r="AL830" s="414" t="str">
        <f t="shared" si="73"/>
        <v>워커힐 시그니처 양념 본갈비 300g, 8개</v>
      </c>
      <c r="AM830" s="395">
        <f t="shared" si="74"/>
        <v>46065</v>
      </c>
      <c r="AN830" s="396">
        <f t="shared" si="75"/>
        <v>1</v>
      </c>
      <c r="AO830" s="109">
        <f t="shared" si="76"/>
        <v>119000</v>
      </c>
      <c r="AP830" s="109">
        <f t="shared" si="77"/>
        <v>108181.81818181818</v>
      </c>
      <c r="AQ830" s="397">
        <f t="shared" si="78"/>
        <v>108181.81818181818</v>
      </c>
    </row>
    <row r="831" spans="1:43" ht="24">
      <c r="A831" s="436" t="s">
        <v>5625</v>
      </c>
      <c r="B831" s="436" t="s">
        <v>3490</v>
      </c>
      <c r="C831" s="437" t="s">
        <v>3491</v>
      </c>
      <c r="D831" s="436" t="s">
        <v>5698</v>
      </c>
      <c r="E831" s="437" t="s">
        <v>5699</v>
      </c>
      <c r="F831" s="436" t="s">
        <v>3494</v>
      </c>
      <c r="G831" s="436" t="s">
        <v>3495</v>
      </c>
      <c r="H831" s="437" t="s">
        <v>3496</v>
      </c>
      <c r="I831" s="436" t="s">
        <v>3497</v>
      </c>
      <c r="J831" s="437" t="s">
        <v>3498</v>
      </c>
      <c r="K831" s="437" t="s">
        <v>3499</v>
      </c>
      <c r="L831" s="436" t="s">
        <v>3500</v>
      </c>
      <c r="M831" s="436" t="s">
        <v>4809</v>
      </c>
      <c r="N831" s="436" t="s">
        <v>3502</v>
      </c>
      <c r="O831" s="438">
        <v>119000</v>
      </c>
      <c r="P831" s="438">
        <v>80920</v>
      </c>
      <c r="Q831" s="438">
        <v>1</v>
      </c>
      <c r="R831" s="438">
        <v>0</v>
      </c>
      <c r="S831" s="438">
        <v>0</v>
      </c>
      <c r="T831" s="438">
        <v>0</v>
      </c>
      <c r="U831" s="438">
        <v>0</v>
      </c>
      <c r="V831" s="438">
        <v>0</v>
      </c>
      <c r="W831" s="438">
        <v>32</v>
      </c>
      <c r="X831" s="438">
        <v>0</v>
      </c>
      <c r="Y831" s="438">
        <v>0</v>
      </c>
      <c r="Z831" s="438">
        <v>0</v>
      </c>
      <c r="AA831" s="438">
        <v>0</v>
      </c>
      <c r="AB831" s="438">
        <v>0</v>
      </c>
      <c r="AC831" s="438">
        <v>119000</v>
      </c>
      <c r="AD831" s="438">
        <v>80920</v>
      </c>
      <c r="AE831" s="438">
        <v>0</v>
      </c>
      <c r="AF831" s="438">
        <v>0</v>
      </c>
      <c r="AG831" s="438">
        <v>119000</v>
      </c>
      <c r="AH831" s="438">
        <v>80920</v>
      </c>
      <c r="AI831" s="438">
        <v>34618</v>
      </c>
      <c r="AJ831" s="438">
        <v>3462</v>
      </c>
      <c r="AK831" s="438">
        <v>38080</v>
      </c>
      <c r="AL831" s="414" t="str">
        <f t="shared" si="73"/>
        <v>워커힐 시그니처 양념 본갈비 300g, 8개</v>
      </c>
      <c r="AM831" s="395">
        <f t="shared" si="74"/>
        <v>46065</v>
      </c>
      <c r="AN831" s="396">
        <f t="shared" si="75"/>
        <v>1</v>
      </c>
      <c r="AO831" s="109">
        <f t="shared" si="76"/>
        <v>119000</v>
      </c>
      <c r="AP831" s="109">
        <f t="shared" si="77"/>
        <v>108181.81818181818</v>
      </c>
      <c r="AQ831" s="397">
        <f t="shared" si="78"/>
        <v>108181.81818181818</v>
      </c>
    </row>
    <row r="832" spans="1:43" ht="24">
      <c r="A832" s="436" t="s">
        <v>5628</v>
      </c>
      <c r="B832" s="436" t="s">
        <v>3490</v>
      </c>
      <c r="C832" s="437" t="s">
        <v>3491</v>
      </c>
      <c r="D832" s="436" t="s">
        <v>5714</v>
      </c>
      <c r="E832" s="437" t="s">
        <v>5715</v>
      </c>
      <c r="F832" s="436" t="s">
        <v>3494</v>
      </c>
      <c r="G832" s="436" t="s">
        <v>3495</v>
      </c>
      <c r="H832" s="437" t="s">
        <v>3496</v>
      </c>
      <c r="I832" s="436" t="s">
        <v>3497</v>
      </c>
      <c r="J832" s="437" t="s">
        <v>3498</v>
      </c>
      <c r="K832" s="437" t="s">
        <v>3499</v>
      </c>
      <c r="L832" s="436" t="s">
        <v>3500</v>
      </c>
      <c r="M832" s="436" t="s">
        <v>4809</v>
      </c>
      <c r="N832" s="436" t="s">
        <v>3502</v>
      </c>
      <c r="O832" s="438">
        <v>119000</v>
      </c>
      <c r="P832" s="438">
        <v>80920</v>
      </c>
      <c r="Q832" s="438">
        <v>1</v>
      </c>
      <c r="R832" s="438">
        <v>0</v>
      </c>
      <c r="S832" s="438">
        <v>0</v>
      </c>
      <c r="T832" s="438">
        <v>0</v>
      </c>
      <c r="U832" s="438">
        <v>0</v>
      </c>
      <c r="V832" s="438">
        <v>0</v>
      </c>
      <c r="W832" s="438">
        <v>32</v>
      </c>
      <c r="X832" s="438">
        <v>0</v>
      </c>
      <c r="Y832" s="438">
        <v>0</v>
      </c>
      <c r="Z832" s="438">
        <v>0</v>
      </c>
      <c r="AA832" s="438">
        <v>0</v>
      </c>
      <c r="AB832" s="438">
        <v>0</v>
      </c>
      <c r="AC832" s="438">
        <v>119000</v>
      </c>
      <c r="AD832" s="438">
        <v>80920</v>
      </c>
      <c r="AE832" s="438">
        <v>0</v>
      </c>
      <c r="AF832" s="438">
        <v>0</v>
      </c>
      <c r="AG832" s="438">
        <v>119000</v>
      </c>
      <c r="AH832" s="438">
        <v>80920</v>
      </c>
      <c r="AI832" s="438">
        <v>34618</v>
      </c>
      <c r="AJ832" s="438">
        <v>3462</v>
      </c>
      <c r="AK832" s="438">
        <v>38080</v>
      </c>
      <c r="AL832" s="414" t="str">
        <f t="shared" si="73"/>
        <v>워커힐 시그니처 양념 본갈비 300g, 8개</v>
      </c>
      <c r="AM832" s="395">
        <f t="shared" si="74"/>
        <v>46065</v>
      </c>
      <c r="AN832" s="396">
        <f t="shared" si="75"/>
        <v>1</v>
      </c>
      <c r="AO832" s="109">
        <f t="shared" si="76"/>
        <v>119000</v>
      </c>
      <c r="AP832" s="109">
        <f t="shared" si="77"/>
        <v>108181.81818181818</v>
      </c>
      <c r="AQ832" s="397">
        <f t="shared" si="78"/>
        <v>108181.81818181818</v>
      </c>
    </row>
    <row r="833" spans="1:43" ht="24">
      <c r="A833" s="436" t="s">
        <v>5631</v>
      </c>
      <c r="B833" s="436" t="s">
        <v>3490</v>
      </c>
      <c r="C833" s="437" t="s">
        <v>3491</v>
      </c>
      <c r="D833" s="436" t="s">
        <v>5618</v>
      </c>
      <c r="E833" s="437" t="s">
        <v>3851</v>
      </c>
      <c r="F833" s="436" t="s">
        <v>3494</v>
      </c>
      <c r="G833" s="436" t="s">
        <v>3495</v>
      </c>
      <c r="H833" s="437" t="s">
        <v>3496</v>
      </c>
      <c r="I833" s="436" t="s">
        <v>3497</v>
      </c>
      <c r="J833" s="437" t="s">
        <v>3498</v>
      </c>
      <c r="K833" s="437" t="s">
        <v>3548</v>
      </c>
      <c r="L833" s="436" t="s">
        <v>3500</v>
      </c>
      <c r="M833" s="436" t="s">
        <v>4809</v>
      </c>
      <c r="N833" s="436" t="s">
        <v>3502</v>
      </c>
      <c r="O833" s="438">
        <v>119000</v>
      </c>
      <c r="P833" s="438">
        <v>80920</v>
      </c>
      <c r="Q833" s="438">
        <v>1</v>
      </c>
      <c r="R833" s="438">
        <v>0</v>
      </c>
      <c r="S833" s="438">
        <v>0</v>
      </c>
      <c r="T833" s="438">
        <v>0</v>
      </c>
      <c r="U833" s="438">
        <v>0</v>
      </c>
      <c r="V833" s="438">
        <v>0</v>
      </c>
      <c r="W833" s="438">
        <v>32</v>
      </c>
      <c r="X833" s="438">
        <v>0</v>
      </c>
      <c r="Y833" s="438">
        <v>0</v>
      </c>
      <c r="Z833" s="438">
        <v>0</v>
      </c>
      <c r="AA833" s="438">
        <v>0</v>
      </c>
      <c r="AB833" s="438">
        <v>0</v>
      </c>
      <c r="AC833" s="438">
        <v>119000</v>
      </c>
      <c r="AD833" s="438">
        <v>80920</v>
      </c>
      <c r="AE833" s="438">
        <v>0</v>
      </c>
      <c r="AF833" s="438">
        <v>0</v>
      </c>
      <c r="AG833" s="438">
        <v>119000</v>
      </c>
      <c r="AH833" s="438">
        <v>80920</v>
      </c>
      <c r="AI833" s="438">
        <v>34618</v>
      </c>
      <c r="AJ833" s="438">
        <v>3462</v>
      </c>
      <c r="AK833" s="438">
        <v>38080</v>
      </c>
      <c r="AL833" s="414" t="str">
        <f t="shared" si="73"/>
        <v>워커힐 시그니처 양념 본갈비 300g, 8개</v>
      </c>
      <c r="AM833" s="395">
        <f t="shared" si="74"/>
        <v>46065</v>
      </c>
      <c r="AN833" s="396">
        <f t="shared" si="75"/>
        <v>1</v>
      </c>
      <c r="AO833" s="109">
        <f t="shared" si="76"/>
        <v>119000</v>
      </c>
      <c r="AP833" s="109">
        <f t="shared" si="77"/>
        <v>108181.81818181818</v>
      </c>
      <c r="AQ833" s="397">
        <f t="shared" si="78"/>
        <v>108181.81818181818</v>
      </c>
    </row>
    <row r="834" spans="1:43" ht="24">
      <c r="A834" s="436" t="s">
        <v>5634</v>
      </c>
      <c r="B834" s="436" t="s">
        <v>3490</v>
      </c>
      <c r="C834" s="437" t="s">
        <v>3491</v>
      </c>
      <c r="D834" s="436" t="s">
        <v>5632</v>
      </c>
      <c r="E834" s="437" t="s">
        <v>5633</v>
      </c>
      <c r="F834" s="436" t="s">
        <v>3494</v>
      </c>
      <c r="G834" s="436" t="s">
        <v>3495</v>
      </c>
      <c r="H834" s="437" t="s">
        <v>3496</v>
      </c>
      <c r="I834" s="436" t="s">
        <v>3497</v>
      </c>
      <c r="J834" s="437" t="s">
        <v>3498</v>
      </c>
      <c r="K834" s="437" t="s">
        <v>3499</v>
      </c>
      <c r="L834" s="436" t="s">
        <v>3500</v>
      </c>
      <c r="M834" s="436" t="s">
        <v>4809</v>
      </c>
      <c r="N834" s="436" t="s">
        <v>3502</v>
      </c>
      <c r="O834" s="438">
        <v>119000</v>
      </c>
      <c r="P834" s="438">
        <v>80920</v>
      </c>
      <c r="Q834" s="438">
        <v>1</v>
      </c>
      <c r="R834" s="438">
        <v>0</v>
      </c>
      <c r="S834" s="438">
        <v>0</v>
      </c>
      <c r="T834" s="438">
        <v>0</v>
      </c>
      <c r="U834" s="438">
        <v>0</v>
      </c>
      <c r="V834" s="438">
        <v>0</v>
      </c>
      <c r="W834" s="438">
        <v>32</v>
      </c>
      <c r="X834" s="438">
        <v>0</v>
      </c>
      <c r="Y834" s="438">
        <v>0</v>
      </c>
      <c r="Z834" s="438">
        <v>0</v>
      </c>
      <c r="AA834" s="438">
        <v>0</v>
      </c>
      <c r="AB834" s="438">
        <v>0</v>
      </c>
      <c r="AC834" s="438">
        <v>119000</v>
      </c>
      <c r="AD834" s="438">
        <v>80920</v>
      </c>
      <c r="AE834" s="438">
        <v>0</v>
      </c>
      <c r="AF834" s="438">
        <v>0</v>
      </c>
      <c r="AG834" s="438">
        <v>119000</v>
      </c>
      <c r="AH834" s="438">
        <v>80920</v>
      </c>
      <c r="AI834" s="438">
        <v>34618</v>
      </c>
      <c r="AJ834" s="438">
        <v>3462</v>
      </c>
      <c r="AK834" s="438">
        <v>38080</v>
      </c>
      <c r="AL834" s="414" t="str">
        <f t="shared" si="73"/>
        <v>워커힐 시그니처 양념 본갈비 300g, 8개</v>
      </c>
      <c r="AM834" s="395">
        <f t="shared" si="74"/>
        <v>46065</v>
      </c>
      <c r="AN834" s="396">
        <f t="shared" si="75"/>
        <v>1</v>
      </c>
      <c r="AO834" s="109">
        <f t="shared" si="76"/>
        <v>119000</v>
      </c>
      <c r="AP834" s="109">
        <f t="shared" si="77"/>
        <v>108181.81818181818</v>
      </c>
      <c r="AQ834" s="397">
        <f t="shared" si="78"/>
        <v>108181.81818181818</v>
      </c>
    </row>
    <row r="835" spans="1:43" ht="24">
      <c r="A835" s="436" t="s">
        <v>5636</v>
      </c>
      <c r="B835" s="436" t="s">
        <v>3490</v>
      </c>
      <c r="C835" s="437" t="s">
        <v>3491</v>
      </c>
      <c r="D835" s="436" t="s">
        <v>5728</v>
      </c>
      <c r="E835" s="437" t="s">
        <v>3829</v>
      </c>
      <c r="F835" s="436" t="s">
        <v>3494</v>
      </c>
      <c r="G835" s="436" t="s">
        <v>3495</v>
      </c>
      <c r="H835" s="437" t="s">
        <v>3496</v>
      </c>
      <c r="I835" s="436" t="s">
        <v>3497</v>
      </c>
      <c r="J835" s="437" t="s">
        <v>3498</v>
      </c>
      <c r="K835" s="437" t="s">
        <v>3548</v>
      </c>
      <c r="L835" s="436" t="s">
        <v>3500</v>
      </c>
      <c r="M835" s="436" t="s">
        <v>4809</v>
      </c>
      <c r="N835" s="436" t="s">
        <v>3502</v>
      </c>
      <c r="O835" s="438">
        <v>119000</v>
      </c>
      <c r="P835" s="438">
        <v>80920</v>
      </c>
      <c r="Q835" s="438">
        <v>1</v>
      </c>
      <c r="R835" s="438">
        <v>0</v>
      </c>
      <c r="S835" s="438">
        <v>0</v>
      </c>
      <c r="T835" s="438">
        <v>0</v>
      </c>
      <c r="U835" s="438">
        <v>0</v>
      </c>
      <c r="V835" s="438">
        <v>0</v>
      </c>
      <c r="W835" s="438">
        <v>32</v>
      </c>
      <c r="X835" s="438">
        <v>0</v>
      </c>
      <c r="Y835" s="438">
        <v>0</v>
      </c>
      <c r="Z835" s="438">
        <v>0</v>
      </c>
      <c r="AA835" s="438">
        <v>0</v>
      </c>
      <c r="AB835" s="438">
        <v>0</v>
      </c>
      <c r="AC835" s="438">
        <v>119000</v>
      </c>
      <c r="AD835" s="438">
        <v>80920</v>
      </c>
      <c r="AE835" s="438">
        <v>0</v>
      </c>
      <c r="AF835" s="438">
        <v>0</v>
      </c>
      <c r="AG835" s="438">
        <v>119000</v>
      </c>
      <c r="AH835" s="438">
        <v>80920</v>
      </c>
      <c r="AI835" s="438">
        <v>34618</v>
      </c>
      <c r="AJ835" s="438">
        <v>3462</v>
      </c>
      <c r="AK835" s="438">
        <v>38080</v>
      </c>
      <c r="AL835" s="414" t="str">
        <f t="shared" ref="AL835:AL898" si="79">SUBSTITUTE(SUBSTITUTE(H835,"[워커힐]워커힐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835" s="395">
        <f t="shared" ref="AM835:AM898" si="80">IF(N835="배송완료", DATE(LEFT(M835,4), MID(M835,6,2), MID(M835,9,2)), "")</f>
        <v>46065</v>
      </c>
      <c r="AN835" s="396">
        <f t="shared" ref="AN835:AN898" si="81">IF(OR(N835="배송완료", Q835&lt;0), Q835, 0)</f>
        <v>1</v>
      </c>
      <c r="AO835" s="109">
        <f t="shared" ref="AO835:AO898" si="82">IF(AL835="워커힐 시그니처 양념 본갈비 300g, 8개",119000,IF(AL835="워커힐 시그니처 양념 본갈비 300g, 4개",78000,""))</f>
        <v>119000</v>
      </c>
      <c r="AP835" s="109">
        <f t="shared" ref="AP835:AP898" si="83">AO835/1.1</f>
        <v>108181.81818181818</v>
      </c>
      <c r="AQ835" s="397">
        <f t="shared" si="78"/>
        <v>108181.81818181818</v>
      </c>
    </row>
    <row r="836" spans="1:43" ht="24">
      <c r="A836" s="436" t="s">
        <v>5638</v>
      </c>
      <c r="B836" s="436" t="s">
        <v>3490</v>
      </c>
      <c r="C836" s="437" t="s">
        <v>3491</v>
      </c>
      <c r="D836" s="436" t="s">
        <v>5730</v>
      </c>
      <c r="E836" s="437" t="s">
        <v>5731</v>
      </c>
      <c r="F836" s="436" t="s">
        <v>3494</v>
      </c>
      <c r="G836" s="436" t="s">
        <v>3495</v>
      </c>
      <c r="H836" s="437" t="s">
        <v>3496</v>
      </c>
      <c r="I836" s="436" t="s">
        <v>3497</v>
      </c>
      <c r="J836" s="437" t="s">
        <v>3498</v>
      </c>
      <c r="K836" s="437" t="s">
        <v>3499</v>
      </c>
      <c r="L836" s="436" t="s">
        <v>3500</v>
      </c>
      <c r="M836" s="436" t="s">
        <v>4809</v>
      </c>
      <c r="N836" s="436" t="s">
        <v>3502</v>
      </c>
      <c r="O836" s="438">
        <v>119000</v>
      </c>
      <c r="P836" s="438">
        <v>80920</v>
      </c>
      <c r="Q836" s="438">
        <v>1</v>
      </c>
      <c r="R836" s="438">
        <v>0</v>
      </c>
      <c r="S836" s="438">
        <v>0</v>
      </c>
      <c r="T836" s="438">
        <v>0</v>
      </c>
      <c r="U836" s="438">
        <v>0</v>
      </c>
      <c r="V836" s="438">
        <v>0</v>
      </c>
      <c r="W836" s="438">
        <v>32</v>
      </c>
      <c r="X836" s="438">
        <v>0</v>
      </c>
      <c r="Y836" s="438">
        <v>0</v>
      </c>
      <c r="Z836" s="438">
        <v>0</v>
      </c>
      <c r="AA836" s="438">
        <v>0</v>
      </c>
      <c r="AB836" s="438">
        <v>5950</v>
      </c>
      <c r="AC836" s="438">
        <v>119000</v>
      </c>
      <c r="AD836" s="438">
        <v>80920</v>
      </c>
      <c r="AE836" s="438">
        <v>0</v>
      </c>
      <c r="AF836" s="438">
        <v>5950</v>
      </c>
      <c r="AG836" s="438">
        <v>113050</v>
      </c>
      <c r="AH836" s="438">
        <v>80920</v>
      </c>
      <c r="AI836" s="438">
        <v>29209</v>
      </c>
      <c r="AJ836" s="438">
        <v>2921</v>
      </c>
      <c r="AK836" s="438">
        <v>32130</v>
      </c>
      <c r="AL836" s="414" t="str">
        <f t="shared" si="79"/>
        <v>워커힐 시그니처 양념 본갈비 300g, 8개</v>
      </c>
      <c r="AM836" s="395">
        <f t="shared" si="80"/>
        <v>46065</v>
      </c>
      <c r="AN836" s="396">
        <f t="shared" si="81"/>
        <v>1</v>
      </c>
      <c r="AO836" s="109">
        <f t="shared" si="82"/>
        <v>119000</v>
      </c>
      <c r="AP836" s="109">
        <f t="shared" si="83"/>
        <v>108181.81818181818</v>
      </c>
      <c r="AQ836" s="397">
        <f t="shared" si="78"/>
        <v>108181.81818181818</v>
      </c>
    </row>
    <row r="837" spans="1:43" ht="24">
      <c r="A837" s="436" t="s">
        <v>5641</v>
      </c>
      <c r="B837" s="436" t="s">
        <v>3490</v>
      </c>
      <c r="C837" s="437" t="s">
        <v>3491</v>
      </c>
      <c r="D837" s="436" t="s">
        <v>5733</v>
      </c>
      <c r="E837" s="437" t="s">
        <v>4155</v>
      </c>
      <c r="F837" s="436" t="s">
        <v>3494</v>
      </c>
      <c r="G837" s="436" t="s">
        <v>3495</v>
      </c>
      <c r="H837" s="437" t="s">
        <v>3496</v>
      </c>
      <c r="I837" s="436" t="s">
        <v>3497</v>
      </c>
      <c r="J837" s="437" t="s">
        <v>3498</v>
      </c>
      <c r="K837" s="437" t="s">
        <v>3499</v>
      </c>
      <c r="L837" s="436" t="s">
        <v>3500</v>
      </c>
      <c r="M837" s="436" t="s">
        <v>4809</v>
      </c>
      <c r="N837" s="436" t="s">
        <v>3502</v>
      </c>
      <c r="O837" s="438">
        <v>119000</v>
      </c>
      <c r="P837" s="438">
        <v>80920</v>
      </c>
      <c r="Q837" s="438">
        <v>1</v>
      </c>
      <c r="R837" s="438">
        <v>0</v>
      </c>
      <c r="S837" s="438">
        <v>0</v>
      </c>
      <c r="T837" s="438">
        <v>0</v>
      </c>
      <c r="U837" s="438">
        <v>0</v>
      </c>
      <c r="V837" s="438">
        <v>0</v>
      </c>
      <c r="W837" s="438">
        <v>32</v>
      </c>
      <c r="X837" s="438">
        <v>0</v>
      </c>
      <c r="Y837" s="438">
        <v>0</v>
      </c>
      <c r="Z837" s="438">
        <v>0</v>
      </c>
      <c r="AA837" s="438">
        <v>0</v>
      </c>
      <c r="AB837" s="438">
        <v>0</v>
      </c>
      <c r="AC837" s="438">
        <v>119000</v>
      </c>
      <c r="AD837" s="438">
        <v>80920</v>
      </c>
      <c r="AE837" s="438">
        <v>0</v>
      </c>
      <c r="AF837" s="438">
        <v>0</v>
      </c>
      <c r="AG837" s="438">
        <v>119000</v>
      </c>
      <c r="AH837" s="438">
        <v>80920</v>
      </c>
      <c r="AI837" s="438">
        <v>34618</v>
      </c>
      <c r="AJ837" s="438">
        <v>3462</v>
      </c>
      <c r="AK837" s="438">
        <v>38080</v>
      </c>
      <c r="AL837" s="414" t="str">
        <f t="shared" si="79"/>
        <v>워커힐 시그니처 양념 본갈비 300g, 8개</v>
      </c>
      <c r="AM837" s="395">
        <f t="shared" si="80"/>
        <v>46065</v>
      </c>
      <c r="AN837" s="396">
        <f t="shared" si="81"/>
        <v>1</v>
      </c>
      <c r="AO837" s="109">
        <f t="shared" si="82"/>
        <v>119000</v>
      </c>
      <c r="AP837" s="109">
        <f t="shared" si="83"/>
        <v>108181.81818181818</v>
      </c>
      <c r="AQ837" s="397">
        <f t="shared" si="78"/>
        <v>108181.81818181818</v>
      </c>
    </row>
    <row r="838" spans="1:43" ht="24">
      <c r="A838" s="436" t="s">
        <v>5643</v>
      </c>
      <c r="B838" s="436" t="s">
        <v>3490</v>
      </c>
      <c r="C838" s="437" t="s">
        <v>3491</v>
      </c>
      <c r="D838" s="436" t="s">
        <v>5741</v>
      </c>
      <c r="E838" s="437" t="s">
        <v>5742</v>
      </c>
      <c r="F838" s="436" t="s">
        <v>3494</v>
      </c>
      <c r="G838" s="436" t="s">
        <v>3495</v>
      </c>
      <c r="H838" s="437" t="s">
        <v>3496</v>
      </c>
      <c r="I838" s="436" t="s">
        <v>3497</v>
      </c>
      <c r="J838" s="437" t="s">
        <v>3498</v>
      </c>
      <c r="K838" s="437" t="s">
        <v>3499</v>
      </c>
      <c r="L838" s="436" t="s">
        <v>3500</v>
      </c>
      <c r="M838" s="436" t="s">
        <v>4809</v>
      </c>
      <c r="N838" s="436" t="s">
        <v>3502</v>
      </c>
      <c r="O838" s="438">
        <v>119000</v>
      </c>
      <c r="P838" s="438">
        <v>80920</v>
      </c>
      <c r="Q838" s="438">
        <v>1</v>
      </c>
      <c r="R838" s="438">
        <v>0</v>
      </c>
      <c r="S838" s="438">
        <v>0</v>
      </c>
      <c r="T838" s="438">
        <v>0</v>
      </c>
      <c r="U838" s="438">
        <v>0</v>
      </c>
      <c r="V838" s="438">
        <v>0</v>
      </c>
      <c r="W838" s="438">
        <v>32</v>
      </c>
      <c r="X838" s="438">
        <v>0</v>
      </c>
      <c r="Y838" s="438">
        <v>0</v>
      </c>
      <c r="Z838" s="438">
        <v>0</v>
      </c>
      <c r="AA838" s="438">
        <v>0</v>
      </c>
      <c r="AB838" s="438">
        <v>0</v>
      </c>
      <c r="AC838" s="438">
        <v>119000</v>
      </c>
      <c r="AD838" s="438">
        <v>80920</v>
      </c>
      <c r="AE838" s="438">
        <v>0</v>
      </c>
      <c r="AF838" s="438">
        <v>0</v>
      </c>
      <c r="AG838" s="438">
        <v>119000</v>
      </c>
      <c r="AH838" s="438">
        <v>80920</v>
      </c>
      <c r="AI838" s="438">
        <v>34618</v>
      </c>
      <c r="AJ838" s="438">
        <v>3462</v>
      </c>
      <c r="AK838" s="438">
        <v>38080</v>
      </c>
      <c r="AL838" s="414" t="str">
        <f t="shared" si="79"/>
        <v>워커힐 시그니처 양념 본갈비 300g, 8개</v>
      </c>
      <c r="AM838" s="395">
        <f t="shared" si="80"/>
        <v>46065</v>
      </c>
      <c r="AN838" s="396">
        <f t="shared" si="81"/>
        <v>1</v>
      </c>
      <c r="AO838" s="109">
        <f t="shared" si="82"/>
        <v>119000</v>
      </c>
      <c r="AP838" s="109">
        <f t="shared" si="83"/>
        <v>108181.81818181818</v>
      </c>
      <c r="AQ838" s="397">
        <f t="shared" si="78"/>
        <v>108181.81818181818</v>
      </c>
    </row>
    <row r="839" spans="1:43" ht="24">
      <c r="A839" s="436" t="s">
        <v>5645</v>
      </c>
      <c r="B839" s="436" t="s">
        <v>3490</v>
      </c>
      <c r="C839" s="437" t="s">
        <v>3491</v>
      </c>
      <c r="D839" s="436" t="s">
        <v>5442</v>
      </c>
      <c r="E839" s="437" t="s">
        <v>4483</v>
      </c>
      <c r="F839" s="436" t="s">
        <v>3494</v>
      </c>
      <c r="G839" s="436" t="s">
        <v>3495</v>
      </c>
      <c r="H839" s="437" t="s">
        <v>3496</v>
      </c>
      <c r="I839" s="436" t="s">
        <v>3497</v>
      </c>
      <c r="J839" s="437" t="s">
        <v>3498</v>
      </c>
      <c r="K839" s="437" t="s">
        <v>3499</v>
      </c>
      <c r="L839" s="436" t="s">
        <v>3500</v>
      </c>
      <c r="M839" s="436" t="s">
        <v>4809</v>
      </c>
      <c r="N839" s="436" t="s">
        <v>3502</v>
      </c>
      <c r="O839" s="438">
        <v>119000</v>
      </c>
      <c r="P839" s="438">
        <v>80920</v>
      </c>
      <c r="Q839" s="438">
        <v>1</v>
      </c>
      <c r="R839" s="438">
        <v>0</v>
      </c>
      <c r="S839" s="438">
        <v>0</v>
      </c>
      <c r="T839" s="438">
        <v>0</v>
      </c>
      <c r="U839" s="438">
        <v>0</v>
      </c>
      <c r="V839" s="438">
        <v>0</v>
      </c>
      <c r="W839" s="438">
        <v>32</v>
      </c>
      <c r="X839" s="438">
        <v>0</v>
      </c>
      <c r="Y839" s="438">
        <v>0</v>
      </c>
      <c r="Z839" s="438">
        <v>0</v>
      </c>
      <c r="AA839" s="438">
        <v>0</v>
      </c>
      <c r="AB839" s="438">
        <v>0</v>
      </c>
      <c r="AC839" s="438">
        <v>119000</v>
      </c>
      <c r="AD839" s="438">
        <v>80920</v>
      </c>
      <c r="AE839" s="438">
        <v>0</v>
      </c>
      <c r="AF839" s="438">
        <v>0</v>
      </c>
      <c r="AG839" s="438">
        <v>119000</v>
      </c>
      <c r="AH839" s="438">
        <v>80920</v>
      </c>
      <c r="AI839" s="438">
        <v>34618</v>
      </c>
      <c r="AJ839" s="438">
        <v>3462</v>
      </c>
      <c r="AK839" s="438">
        <v>38080</v>
      </c>
      <c r="AL839" s="414" t="str">
        <f t="shared" si="79"/>
        <v>워커힐 시그니처 양념 본갈비 300g, 8개</v>
      </c>
      <c r="AM839" s="395">
        <f t="shared" si="80"/>
        <v>46065</v>
      </c>
      <c r="AN839" s="396">
        <f t="shared" si="81"/>
        <v>1</v>
      </c>
      <c r="AO839" s="109">
        <f t="shared" si="82"/>
        <v>119000</v>
      </c>
      <c r="AP839" s="109">
        <f t="shared" si="83"/>
        <v>108181.81818181818</v>
      </c>
      <c r="AQ839" s="397">
        <f t="shared" si="78"/>
        <v>108181.81818181818</v>
      </c>
    </row>
    <row r="840" spans="1:43" ht="24">
      <c r="A840" s="436" t="s">
        <v>5647</v>
      </c>
      <c r="B840" s="436" t="s">
        <v>3490</v>
      </c>
      <c r="C840" s="437" t="s">
        <v>3491</v>
      </c>
      <c r="D840" s="436" t="s">
        <v>5444</v>
      </c>
      <c r="E840" s="437" t="s">
        <v>4056</v>
      </c>
      <c r="F840" s="436" t="s">
        <v>3494</v>
      </c>
      <c r="G840" s="436" t="s">
        <v>3495</v>
      </c>
      <c r="H840" s="437" t="s">
        <v>3496</v>
      </c>
      <c r="I840" s="436" t="s">
        <v>3497</v>
      </c>
      <c r="J840" s="437" t="s">
        <v>3498</v>
      </c>
      <c r="K840" s="437" t="s">
        <v>3499</v>
      </c>
      <c r="L840" s="436" t="s">
        <v>3500</v>
      </c>
      <c r="M840" s="436" t="s">
        <v>4809</v>
      </c>
      <c r="N840" s="436" t="s">
        <v>3502</v>
      </c>
      <c r="O840" s="438">
        <v>119000</v>
      </c>
      <c r="P840" s="438">
        <v>80920</v>
      </c>
      <c r="Q840" s="438">
        <v>1</v>
      </c>
      <c r="R840" s="438">
        <v>0</v>
      </c>
      <c r="S840" s="438">
        <v>0</v>
      </c>
      <c r="T840" s="438">
        <v>0</v>
      </c>
      <c r="U840" s="438">
        <v>0</v>
      </c>
      <c r="V840" s="438">
        <v>0</v>
      </c>
      <c r="W840" s="438">
        <v>32</v>
      </c>
      <c r="X840" s="438">
        <v>0</v>
      </c>
      <c r="Y840" s="438">
        <v>0</v>
      </c>
      <c r="Z840" s="438">
        <v>0</v>
      </c>
      <c r="AA840" s="438">
        <v>0</v>
      </c>
      <c r="AB840" s="438">
        <v>0</v>
      </c>
      <c r="AC840" s="438">
        <v>119000</v>
      </c>
      <c r="AD840" s="438">
        <v>80920</v>
      </c>
      <c r="AE840" s="438">
        <v>0</v>
      </c>
      <c r="AF840" s="438">
        <v>0</v>
      </c>
      <c r="AG840" s="438">
        <v>119000</v>
      </c>
      <c r="AH840" s="438">
        <v>80920</v>
      </c>
      <c r="AI840" s="438">
        <v>34618</v>
      </c>
      <c r="AJ840" s="438">
        <v>3462</v>
      </c>
      <c r="AK840" s="438">
        <v>38080</v>
      </c>
      <c r="AL840" s="414" t="str">
        <f t="shared" si="79"/>
        <v>워커힐 시그니처 양념 본갈비 300g, 8개</v>
      </c>
      <c r="AM840" s="395">
        <f t="shared" si="80"/>
        <v>46065</v>
      </c>
      <c r="AN840" s="396">
        <f t="shared" si="81"/>
        <v>1</v>
      </c>
      <c r="AO840" s="109">
        <f t="shared" si="82"/>
        <v>119000</v>
      </c>
      <c r="AP840" s="109">
        <f t="shared" si="83"/>
        <v>108181.81818181818</v>
      </c>
      <c r="AQ840" s="397">
        <f t="shared" si="78"/>
        <v>108181.81818181818</v>
      </c>
    </row>
    <row r="841" spans="1:43" ht="24">
      <c r="A841" s="436" t="s">
        <v>5649</v>
      </c>
      <c r="B841" s="436" t="s">
        <v>3490</v>
      </c>
      <c r="C841" s="437" t="s">
        <v>3491</v>
      </c>
      <c r="D841" s="436" t="s">
        <v>5601</v>
      </c>
      <c r="E841" s="437" t="s">
        <v>4593</v>
      </c>
      <c r="F841" s="436" t="s">
        <v>3494</v>
      </c>
      <c r="G841" s="436" t="s">
        <v>3495</v>
      </c>
      <c r="H841" s="437" t="s">
        <v>3496</v>
      </c>
      <c r="I841" s="436" t="s">
        <v>3497</v>
      </c>
      <c r="J841" s="437" t="s">
        <v>3498</v>
      </c>
      <c r="K841" s="437" t="s">
        <v>3499</v>
      </c>
      <c r="L841" s="436" t="s">
        <v>3500</v>
      </c>
      <c r="M841" s="436" t="s">
        <v>4809</v>
      </c>
      <c r="N841" s="436" t="s">
        <v>3502</v>
      </c>
      <c r="O841" s="438">
        <v>119000</v>
      </c>
      <c r="P841" s="438">
        <v>80920</v>
      </c>
      <c r="Q841" s="438">
        <v>1</v>
      </c>
      <c r="R841" s="438">
        <v>0</v>
      </c>
      <c r="S841" s="438">
        <v>0</v>
      </c>
      <c r="T841" s="438">
        <v>0</v>
      </c>
      <c r="U841" s="438">
        <v>0</v>
      </c>
      <c r="V841" s="438">
        <v>0</v>
      </c>
      <c r="W841" s="438">
        <v>32</v>
      </c>
      <c r="X841" s="438">
        <v>0</v>
      </c>
      <c r="Y841" s="438">
        <v>0</v>
      </c>
      <c r="Z841" s="438">
        <v>0</v>
      </c>
      <c r="AA841" s="438">
        <v>0</v>
      </c>
      <c r="AB841" s="438">
        <v>5950</v>
      </c>
      <c r="AC841" s="438">
        <v>119000</v>
      </c>
      <c r="AD841" s="438">
        <v>80920</v>
      </c>
      <c r="AE841" s="438">
        <v>0</v>
      </c>
      <c r="AF841" s="438">
        <v>5950</v>
      </c>
      <c r="AG841" s="438">
        <v>113050</v>
      </c>
      <c r="AH841" s="438">
        <v>80920</v>
      </c>
      <c r="AI841" s="438">
        <v>29209</v>
      </c>
      <c r="AJ841" s="438">
        <v>2921</v>
      </c>
      <c r="AK841" s="438">
        <v>32130</v>
      </c>
      <c r="AL841" s="414" t="str">
        <f t="shared" si="79"/>
        <v>워커힐 시그니처 양념 본갈비 300g, 8개</v>
      </c>
      <c r="AM841" s="395">
        <f t="shared" si="80"/>
        <v>46065</v>
      </c>
      <c r="AN841" s="396">
        <f t="shared" si="81"/>
        <v>1</v>
      </c>
      <c r="AO841" s="109">
        <f t="shared" si="82"/>
        <v>119000</v>
      </c>
      <c r="AP841" s="109">
        <f t="shared" si="83"/>
        <v>108181.81818181818</v>
      </c>
      <c r="AQ841" s="397">
        <f t="shared" si="78"/>
        <v>108181.81818181818</v>
      </c>
    </row>
    <row r="842" spans="1:43" ht="24">
      <c r="A842" s="436" t="s">
        <v>5652</v>
      </c>
      <c r="B842" s="436" t="s">
        <v>3490</v>
      </c>
      <c r="C842" s="437" t="s">
        <v>3491</v>
      </c>
      <c r="D842" s="436" t="s">
        <v>5451</v>
      </c>
      <c r="E842" s="437" t="s">
        <v>3649</v>
      </c>
      <c r="F842" s="436" t="s">
        <v>3494</v>
      </c>
      <c r="G842" s="436" t="s">
        <v>3495</v>
      </c>
      <c r="H842" s="437" t="s">
        <v>3496</v>
      </c>
      <c r="I842" s="436" t="s">
        <v>3497</v>
      </c>
      <c r="J842" s="437" t="s">
        <v>3498</v>
      </c>
      <c r="K842" s="437" t="s">
        <v>3499</v>
      </c>
      <c r="L842" s="436" t="s">
        <v>3500</v>
      </c>
      <c r="M842" s="436" t="s">
        <v>4809</v>
      </c>
      <c r="N842" s="436" t="s">
        <v>3502</v>
      </c>
      <c r="O842" s="438">
        <v>119000</v>
      </c>
      <c r="P842" s="438">
        <v>80920</v>
      </c>
      <c r="Q842" s="438">
        <v>1</v>
      </c>
      <c r="R842" s="438">
        <v>0</v>
      </c>
      <c r="S842" s="438">
        <v>0</v>
      </c>
      <c r="T842" s="438">
        <v>0</v>
      </c>
      <c r="U842" s="438">
        <v>0</v>
      </c>
      <c r="V842" s="438">
        <v>0</v>
      </c>
      <c r="W842" s="438">
        <v>32</v>
      </c>
      <c r="X842" s="438">
        <v>0</v>
      </c>
      <c r="Y842" s="438">
        <v>0</v>
      </c>
      <c r="Z842" s="438">
        <v>0</v>
      </c>
      <c r="AA842" s="438">
        <v>0</v>
      </c>
      <c r="AB842" s="438">
        <v>5950</v>
      </c>
      <c r="AC842" s="438">
        <v>119000</v>
      </c>
      <c r="AD842" s="438">
        <v>80920</v>
      </c>
      <c r="AE842" s="438">
        <v>0</v>
      </c>
      <c r="AF842" s="438">
        <v>5950</v>
      </c>
      <c r="AG842" s="438">
        <v>113050</v>
      </c>
      <c r="AH842" s="438">
        <v>80920</v>
      </c>
      <c r="AI842" s="438">
        <v>29209</v>
      </c>
      <c r="AJ842" s="438">
        <v>2921</v>
      </c>
      <c r="AK842" s="438">
        <v>32130</v>
      </c>
      <c r="AL842" s="414" t="str">
        <f t="shared" si="79"/>
        <v>워커힐 시그니처 양념 본갈비 300g, 8개</v>
      </c>
      <c r="AM842" s="395">
        <f t="shared" si="80"/>
        <v>46065</v>
      </c>
      <c r="AN842" s="396">
        <f t="shared" si="81"/>
        <v>1</v>
      </c>
      <c r="AO842" s="109">
        <f t="shared" si="82"/>
        <v>119000</v>
      </c>
      <c r="AP842" s="109">
        <f t="shared" si="83"/>
        <v>108181.81818181818</v>
      </c>
      <c r="AQ842" s="397">
        <f t="shared" si="78"/>
        <v>108181.81818181818</v>
      </c>
    </row>
    <row r="843" spans="1:43" ht="24">
      <c r="A843" s="436" t="s">
        <v>5654</v>
      </c>
      <c r="B843" s="436" t="s">
        <v>3490</v>
      </c>
      <c r="C843" s="437" t="s">
        <v>3491</v>
      </c>
      <c r="D843" s="436" t="s">
        <v>5453</v>
      </c>
      <c r="E843" s="437" t="s">
        <v>4068</v>
      </c>
      <c r="F843" s="436" t="s">
        <v>3494</v>
      </c>
      <c r="G843" s="436" t="s">
        <v>3495</v>
      </c>
      <c r="H843" s="437" t="s">
        <v>3496</v>
      </c>
      <c r="I843" s="436" t="s">
        <v>3497</v>
      </c>
      <c r="J843" s="437" t="s">
        <v>3498</v>
      </c>
      <c r="K843" s="437" t="s">
        <v>3499</v>
      </c>
      <c r="L843" s="436" t="s">
        <v>3500</v>
      </c>
      <c r="M843" s="436" t="s">
        <v>4809</v>
      </c>
      <c r="N843" s="436" t="s">
        <v>3502</v>
      </c>
      <c r="O843" s="438">
        <v>119000</v>
      </c>
      <c r="P843" s="438">
        <v>80920</v>
      </c>
      <c r="Q843" s="438">
        <v>1</v>
      </c>
      <c r="R843" s="438">
        <v>0</v>
      </c>
      <c r="S843" s="438">
        <v>0</v>
      </c>
      <c r="T843" s="438">
        <v>0</v>
      </c>
      <c r="U843" s="438">
        <v>0</v>
      </c>
      <c r="V843" s="438">
        <v>0</v>
      </c>
      <c r="W843" s="438">
        <v>32</v>
      </c>
      <c r="X843" s="438">
        <v>0</v>
      </c>
      <c r="Y843" s="438">
        <v>0</v>
      </c>
      <c r="Z843" s="438">
        <v>0</v>
      </c>
      <c r="AA843" s="438">
        <v>0</v>
      </c>
      <c r="AB843" s="438">
        <v>0</v>
      </c>
      <c r="AC843" s="438">
        <v>119000</v>
      </c>
      <c r="AD843" s="438">
        <v>80920</v>
      </c>
      <c r="AE843" s="438">
        <v>0</v>
      </c>
      <c r="AF843" s="438">
        <v>0</v>
      </c>
      <c r="AG843" s="438">
        <v>119000</v>
      </c>
      <c r="AH843" s="438">
        <v>80920</v>
      </c>
      <c r="AI843" s="438">
        <v>34618</v>
      </c>
      <c r="AJ843" s="438">
        <v>3462</v>
      </c>
      <c r="AK843" s="438">
        <v>38080</v>
      </c>
      <c r="AL843" s="414" t="str">
        <f t="shared" si="79"/>
        <v>워커힐 시그니처 양념 본갈비 300g, 8개</v>
      </c>
      <c r="AM843" s="395">
        <f t="shared" si="80"/>
        <v>46065</v>
      </c>
      <c r="AN843" s="396">
        <f t="shared" si="81"/>
        <v>1</v>
      </c>
      <c r="AO843" s="109">
        <f t="shared" si="82"/>
        <v>119000</v>
      </c>
      <c r="AP843" s="109">
        <f t="shared" si="83"/>
        <v>108181.81818181818</v>
      </c>
      <c r="AQ843" s="397">
        <f t="shared" si="78"/>
        <v>108181.81818181818</v>
      </c>
    </row>
    <row r="844" spans="1:43" ht="24">
      <c r="A844" s="436" t="s">
        <v>5656</v>
      </c>
      <c r="B844" s="436" t="s">
        <v>3490</v>
      </c>
      <c r="C844" s="437" t="s">
        <v>3491</v>
      </c>
      <c r="D844" s="436" t="s">
        <v>5629</v>
      </c>
      <c r="E844" s="437" t="s">
        <v>5630</v>
      </c>
      <c r="F844" s="436" t="s">
        <v>3494</v>
      </c>
      <c r="G844" s="436" t="s">
        <v>3495</v>
      </c>
      <c r="H844" s="437" t="s">
        <v>3496</v>
      </c>
      <c r="I844" s="436" t="s">
        <v>3497</v>
      </c>
      <c r="J844" s="437" t="s">
        <v>3498</v>
      </c>
      <c r="K844" s="437" t="s">
        <v>3499</v>
      </c>
      <c r="L844" s="436" t="s">
        <v>3500</v>
      </c>
      <c r="M844" s="436" t="s">
        <v>4809</v>
      </c>
      <c r="N844" s="436" t="s">
        <v>3502</v>
      </c>
      <c r="O844" s="438">
        <v>119000</v>
      </c>
      <c r="P844" s="438">
        <v>80920</v>
      </c>
      <c r="Q844" s="438">
        <v>1</v>
      </c>
      <c r="R844" s="438">
        <v>0</v>
      </c>
      <c r="S844" s="438">
        <v>0</v>
      </c>
      <c r="T844" s="438">
        <v>0</v>
      </c>
      <c r="U844" s="438">
        <v>0</v>
      </c>
      <c r="V844" s="438">
        <v>0</v>
      </c>
      <c r="W844" s="438">
        <v>32</v>
      </c>
      <c r="X844" s="438">
        <v>0</v>
      </c>
      <c r="Y844" s="438">
        <v>10000</v>
      </c>
      <c r="Z844" s="438">
        <v>0</v>
      </c>
      <c r="AA844" s="438">
        <v>0</v>
      </c>
      <c r="AB844" s="438">
        <v>0</v>
      </c>
      <c r="AC844" s="438">
        <v>119000</v>
      </c>
      <c r="AD844" s="438">
        <v>80920</v>
      </c>
      <c r="AE844" s="438">
        <v>0</v>
      </c>
      <c r="AF844" s="438">
        <v>10000</v>
      </c>
      <c r="AG844" s="438">
        <v>109000</v>
      </c>
      <c r="AH844" s="438">
        <v>80920</v>
      </c>
      <c r="AI844" s="438">
        <v>25527</v>
      </c>
      <c r="AJ844" s="438">
        <v>2553</v>
      </c>
      <c r="AK844" s="438">
        <v>28080</v>
      </c>
      <c r="AL844" s="414" t="str">
        <f t="shared" si="79"/>
        <v>워커힐 시그니처 양념 본갈비 300g, 8개</v>
      </c>
      <c r="AM844" s="395">
        <f t="shared" si="80"/>
        <v>46065</v>
      </c>
      <c r="AN844" s="396">
        <f t="shared" si="81"/>
        <v>1</v>
      </c>
      <c r="AO844" s="109">
        <f t="shared" si="82"/>
        <v>119000</v>
      </c>
      <c r="AP844" s="109">
        <f t="shared" si="83"/>
        <v>108181.81818181818</v>
      </c>
      <c r="AQ844" s="397">
        <f t="shared" si="78"/>
        <v>108181.81818181818</v>
      </c>
    </row>
    <row r="845" spans="1:43" ht="24">
      <c r="A845" s="436" t="s">
        <v>5658</v>
      </c>
      <c r="B845" s="436" t="s">
        <v>3490</v>
      </c>
      <c r="C845" s="437" t="s">
        <v>3491</v>
      </c>
      <c r="D845" s="436" t="s">
        <v>5608</v>
      </c>
      <c r="E845" s="437" t="s">
        <v>5609</v>
      </c>
      <c r="F845" s="436" t="s">
        <v>3494</v>
      </c>
      <c r="G845" s="436" t="s">
        <v>3495</v>
      </c>
      <c r="H845" s="437" t="s">
        <v>3496</v>
      </c>
      <c r="I845" s="436" t="s">
        <v>3497</v>
      </c>
      <c r="J845" s="437" t="s">
        <v>3498</v>
      </c>
      <c r="K845" s="437" t="s">
        <v>163</v>
      </c>
      <c r="L845" s="436" t="s">
        <v>3500</v>
      </c>
      <c r="M845" s="436" t="s">
        <v>4809</v>
      </c>
      <c r="N845" s="436" t="s">
        <v>3502</v>
      </c>
      <c r="O845" s="438">
        <v>119000</v>
      </c>
      <c r="P845" s="438">
        <v>80920</v>
      </c>
      <c r="Q845" s="438">
        <v>1</v>
      </c>
      <c r="R845" s="438">
        <v>0</v>
      </c>
      <c r="S845" s="438">
        <v>0</v>
      </c>
      <c r="T845" s="438">
        <v>0</v>
      </c>
      <c r="U845" s="438">
        <v>0</v>
      </c>
      <c r="V845" s="438">
        <v>0</v>
      </c>
      <c r="W845" s="438">
        <v>32</v>
      </c>
      <c r="X845" s="438">
        <v>0</v>
      </c>
      <c r="Y845" s="438">
        <v>5950</v>
      </c>
      <c r="Z845" s="438">
        <v>0</v>
      </c>
      <c r="AA845" s="438">
        <v>0</v>
      </c>
      <c r="AB845" s="438">
        <v>0</v>
      </c>
      <c r="AC845" s="438">
        <v>119000</v>
      </c>
      <c r="AD845" s="438">
        <v>80920</v>
      </c>
      <c r="AE845" s="438">
        <v>0</v>
      </c>
      <c r="AF845" s="438">
        <v>5950</v>
      </c>
      <c r="AG845" s="438">
        <v>113050</v>
      </c>
      <c r="AH845" s="438">
        <v>80920</v>
      </c>
      <c r="AI845" s="438">
        <v>29209</v>
      </c>
      <c r="AJ845" s="438">
        <v>2921</v>
      </c>
      <c r="AK845" s="438">
        <v>32130</v>
      </c>
      <c r="AL845" s="414" t="str">
        <f t="shared" si="79"/>
        <v>워커힐 시그니처 양념 본갈비 300g, 8개</v>
      </c>
      <c r="AM845" s="395">
        <f t="shared" si="80"/>
        <v>46065</v>
      </c>
      <c r="AN845" s="396">
        <f t="shared" si="81"/>
        <v>1</v>
      </c>
      <c r="AO845" s="109">
        <f t="shared" si="82"/>
        <v>119000</v>
      </c>
      <c r="AP845" s="109">
        <f t="shared" si="83"/>
        <v>108181.81818181818</v>
      </c>
      <c r="AQ845" s="397">
        <f t="shared" si="78"/>
        <v>108181.81818181818</v>
      </c>
    </row>
    <row r="846" spans="1:43" ht="24">
      <c r="A846" s="436" t="s">
        <v>5660</v>
      </c>
      <c r="B846" s="436" t="s">
        <v>3490</v>
      </c>
      <c r="C846" s="437" t="s">
        <v>3491</v>
      </c>
      <c r="D846" s="436" t="s">
        <v>5468</v>
      </c>
      <c r="E846" s="437" t="s">
        <v>5469</v>
      </c>
      <c r="F846" s="436" t="s">
        <v>3494</v>
      </c>
      <c r="G846" s="436" t="s">
        <v>3495</v>
      </c>
      <c r="H846" s="437" t="s">
        <v>3496</v>
      </c>
      <c r="I846" s="436" t="s">
        <v>3497</v>
      </c>
      <c r="J846" s="437" t="s">
        <v>3498</v>
      </c>
      <c r="K846" s="437" t="s">
        <v>3499</v>
      </c>
      <c r="L846" s="436" t="s">
        <v>3500</v>
      </c>
      <c r="M846" s="436" t="s">
        <v>4809</v>
      </c>
      <c r="N846" s="436" t="s">
        <v>3502</v>
      </c>
      <c r="O846" s="438">
        <v>119000</v>
      </c>
      <c r="P846" s="438">
        <v>80920</v>
      </c>
      <c r="Q846" s="438">
        <v>1</v>
      </c>
      <c r="R846" s="438">
        <v>0</v>
      </c>
      <c r="S846" s="438">
        <v>0</v>
      </c>
      <c r="T846" s="438">
        <v>0</v>
      </c>
      <c r="U846" s="438">
        <v>0</v>
      </c>
      <c r="V846" s="438">
        <v>0</v>
      </c>
      <c r="W846" s="438">
        <v>32</v>
      </c>
      <c r="X846" s="438">
        <v>0</v>
      </c>
      <c r="Y846" s="438">
        <v>0</v>
      </c>
      <c r="Z846" s="438">
        <v>0</v>
      </c>
      <c r="AA846" s="438">
        <v>0</v>
      </c>
      <c r="AB846" s="438">
        <v>0</v>
      </c>
      <c r="AC846" s="438">
        <v>119000</v>
      </c>
      <c r="AD846" s="438">
        <v>80920</v>
      </c>
      <c r="AE846" s="438">
        <v>0</v>
      </c>
      <c r="AF846" s="438">
        <v>0</v>
      </c>
      <c r="AG846" s="438">
        <v>119000</v>
      </c>
      <c r="AH846" s="438">
        <v>80920</v>
      </c>
      <c r="AI846" s="438">
        <v>34618</v>
      </c>
      <c r="AJ846" s="438">
        <v>3462</v>
      </c>
      <c r="AK846" s="438">
        <v>38080</v>
      </c>
      <c r="AL846" s="414" t="str">
        <f t="shared" si="79"/>
        <v>워커힐 시그니처 양념 본갈비 300g, 8개</v>
      </c>
      <c r="AM846" s="395">
        <f t="shared" si="80"/>
        <v>46065</v>
      </c>
      <c r="AN846" s="396">
        <f t="shared" si="81"/>
        <v>1</v>
      </c>
      <c r="AO846" s="109">
        <f t="shared" si="82"/>
        <v>119000</v>
      </c>
      <c r="AP846" s="109">
        <f t="shared" si="83"/>
        <v>108181.81818181818</v>
      </c>
      <c r="AQ846" s="397">
        <f t="shared" si="78"/>
        <v>108181.81818181818</v>
      </c>
    </row>
    <row r="847" spans="1:43" ht="24">
      <c r="A847" s="436" t="s">
        <v>5662</v>
      </c>
      <c r="B847" s="436" t="s">
        <v>3490</v>
      </c>
      <c r="C847" s="437" t="s">
        <v>3491</v>
      </c>
      <c r="D847" s="436" t="s">
        <v>5616</v>
      </c>
      <c r="E847" s="437" t="s">
        <v>4010</v>
      </c>
      <c r="F847" s="436" t="s">
        <v>3494</v>
      </c>
      <c r="G847" s="436" t="s">
        <v>3495</v>
      </c>
      <c r="H847" s="437" t="s">
        <v>3496</v>
      </c>
      <c r="I847" s="436" t="s">
        <v>3497</v>
      </c>
      <c r="J847" s="437" t="s">
        <v>3498</v>
      </c>
      <c r="K847" s="437" t="s">
        <v>3499</v>
      </c>
      <c r="L847" s="436" t="s">
        <v>3500</v>
      </c>
      <c r="M847" s="436" t="s">
        <v>4809</v>
      </c>
      <c r="N847" s="436" t="s">
        <v>3502</v>
      </c>
      <c r="O847" s="438">
        <v>119000</v>
      </c>
      <c r="P847" s="438">
        <v>80920</v>
      </c>
      <c r="Q847" s="438">
        <v>1</v>
      </c>
      <c r="R847" s="438">
        <v>0</v>
      </c>
      <c r="S847" s="438">
        <v>0</v>
      </c>
      <c r="T847" s="438">
        <v>0</v>
      </c>
      <c r="U847" s="438">
        <v>0</v>
      </c>
      <c r="V847" s="438">
        <v>0</v>
      </c>
      <c r="W847" s="438">
        <v>32</v>
      </c>
      <c r="X847" s="438">
        <v>0</v>
      </c>
      <c r="Y847" s="438">
        <v>0</v>
      </c>
      <c r="Z847" s="438">
        <v>0</v>
      </c>
      <c r="AA847" s="438">
        <v>0</v>
      </c>
      <c r="AB847" s="438">
        <v>0</v>
      </c>
      <c r="AC847" s="438">
        <v>119000</v>
      </c>
      <c r="AD847" s="438">
        <v>80920</v>
      </c>
      <c r="AE847" s="438">
        <v>0</v>
      </c>
      <c r="AF847" s="438">
        <v>0</v>
      </c>
      <c r="AG847" s="438">
        <v>119000</v>
      </c>
      <c r="AH847" s="438">
        <v>80920</v>
      </c>
      <c r="AI847" s="438">
        <v>34618</v>
      </c>
      <c r="AJ847" s="438">
        <v>3462</v>
      </c>
      <c r="AK847" s="438">
        <v>38080</v>
      </c>
      <c r="AL847" s="414" t="str">
        <f t="shared" si="79"/>
        <v>워커힐 시그니처 양념 본갈비 300g, 8개</v>
      </c>
      <c r="AM847" s="395">
        <f t="shared" si="80"/>
        <v>46065</v>
      </c>
      <c r="AN847" s="396">
        <f t="shared" si="81"/>
        <v>1</v>
      </c>
      <c r="AO847" s="109">
        <f t="shared" si="82"/>
        <v>119000</v>
      </c>
      <c r="AP847" s="109">
        <f t="shared" si="83"/>
        <v>108181.81818181818</v>
      </c>
      <c r="AQ847" s="397">
        <f t="shared" si="78"/>
        <v>108181.81818181818</v>
      </c>
    </row>
    <row r="848" spans="1:43" ht="24">
      <c r="A848" s="436" t="s">
        <v>5665</v>
      </c>
      <c r="B848" s="436" t="s">
        <v>3490</v>
      </c>
      <c r="C848" s="437" t="s">
        <v>3491</v>
      </c>
      <c r="D848" s="436" t="s">
        <v>5725</v>
      </c>
      <c r="E848" s="437" t="s">
        <v>5726</v>
      </c>
      <c r="F848" s="436" t="s">
        <v>3494</v>
      </c>
      <c r="G848" s="436" t="s">
        <v>3495</v>
      </c>
      <c r="H848" s="437" t="s">
        <v>3496</v>
      </c>
      <c r="I848" s="436" t="s">
        <v>3497</v>
      </c>
      <c r="J848" s="437" t="s">
        <v>3498</v>
      </c>
      <c r="K848" s="437" t="s">
        <v>3548</v>
      </c>
      <c r="L848" s="436" t="s">
        <v>3500</v>
      </c>
      <c r="M848" s="436" t="s">
        <v>4809</v>
      </c>
      <c r="N848" s="436" t="s">
        <v>3502</v>
      </c>
      <c r="O848" s="438">
        <v>119000</v>
      </c>
      <c r="P848" s="438">
        <v>80920</v>
      </c>
      <c r="Q848" s="438">
        <v>1</v>
      </c>
      <c r="R848" s="438">
        <v>0</v>
      </c>
      <c r="S848" s="438">
        <v>0</v>
      </c>
      <c r="T848" s="438">
        <v>0</v>
      </c>
      <c r="U848" s="438">
        <v>0</v>
      </c>
      <c r="V848" s="438">
        <v>0</v>
      </c>
      <c r="W848" s="438">
        <v>32</v>
      </c>
      <c r="X848" s="438">
        <v>0</v>
      </c>
      <c r="Y848" s="438">
        <v>0</v>
      </c>
      <c r="Z848" s="438">
        <v>0</v>
      </c>
      <c r="AA848" s="438">
        <v>0</v>
      </c>
      <c r="AB848" s="438">
        <v>0</v>
      </c>
      <c r="AC848" s="438">
        <v>119000</v>
      </c>
      <c r="AD848" s="438">
        <v>80920</v>
      </c>
      <c r="AE848" s="438">
        <v>0</v>
      </c>
      <c r="AF848" s="438">
        <v>0</v>
      </c>
      <c r="AG848" s="438">
        <v>119000</v>
      </c>
      <c r="AH848" s="438">
        <v>80920</v>
      </c>
      <c r="AI848" s="438">
        <v>34618</v>
      </c>
      <c r="AJ848" s="438">
        <v>3462</v>
      </c>
      <c r="AK848" s="438">
        <v>38080</v>
      </c>
      <c r="AL848" s="414" t="str">
        <f t="shared" si="79"/>
        <v>워커힐 시그니처 양념 본갈비 300g, 8개</v>
      </c>
      <c r="AM848" s="395">
        <f t="shared" si="80"/>
        <v>46065</v>
      </c>
      <c r="AN848" s="396">
        <f t="shared" si="81"/>
        <v>1</v>
      </c>
      <c r="AO848" s="109">
        <f t="shared" si="82"/>
        <v>119000</v>
      </c>
      <c r="AP848" s="109">
        <f t="shared" si="83"/>
        <v>108181.81818181818</v>
      </c>
      <c r="AQ848" s="397">
        <f t="shared" si="78"/>
        <v>108181.81818181818</v>
      </c>
    </row>
    <row r="849" spans="1:43" ht="24">
      <c r="A849" s="436" t="s">
        <v>5668</v>
      </c>
      <c r="B849" s="436" t="s">
        <v>3490</v>
      </c>
      <c r="C849" s="437" t="s">
        <v>3491</v>
      </c>
      <c r="D849" s="436" t="s">
        <v>5599</v>
      </c>
      <c r="E849" s="437" t="s">
        <v>4155</v>
      </c>
      <c r="F849" s="436" t="s">
        <v>3494</v>
      </c>
      <c r="G849" s="436" t="s">
        <v>3495</v>
      </c>
      <c r="H849" s="437" t="s">
        <v>3496</v>
      </c>
      <c r="I849" s="436" t="s">
        <v>3497</v>
      </c>
      <c r="J849" s="437" t="s">
        <v>3498</v>
      </c>
      <c r="K849" s="437" t="s">
        <v>163</v>
      </c>
      <c r="L849" s="436" t="s">
        <v>3500</v>
      </c>
      <c r="M849" s="436" t="s">
        <v>4809</v>
      </c>
      <c r="N849" s="436" t="s">
        <v>3502</v>
      </c>
      <c r="O849" s="438">
        <v>119000</v>
      </c>
      <c r="P849" s="438">
        <v>80920</v>
      </c>
      <c r="Q849" s="438">
        <v>1</v>
      </c>
      <c r="R849" s="438">
        <v>0</v>
      </c>
      <c r="S849" s="438">
        <v>0</v>
      </c>
      <c r="T849" s="438">
        <v>0</v>
      </c>
      <c r="U849" s="438">
        <v>0</v>
      </c>
      <c r="V849" s="438">
        <v>0</v>
      </c>
      <c r="W849" s="438">
        <v>32</v>
      </c>
      <c r="X849" s="438">
        <v>0</v>
      </c>
      <c r="Y849" s="438">
        <v>5950</v>
      </c>
      <c r="Z849" s="438">
        <v>0</v>
      </c>
      <c r="AA849" s="438">
        <v>0</v>
      </c>
      <c r="AB849" s="438">
        <v>0</v>
      </c>
      <c r="AC849" s="438">
        <v>119000</v>
      </c>
      <c r="AD849" s="438">
        <v>80920</v>
      </c>
      <c r="AE849" s="438">
        <v>0</v>
      </c>
      <c r="AF849" s="438">
        <v>5950</v>
      </c>
      <c r="AG849" s="438">
        <v>113050</v>
      </c>
      <c r="AH849" s="438">
        <v>80920</v>
      </c>
      <c r="AI849" s="438">
        <v>29209</v>
      </c>
      <c r="AJ849" s="438">
        <v>2921</v>
      </c>
      <c r="AK849" s="438">
        <v>32130</v>
      </c>
      <c r="AL849" s="414" t="str">
        <f t="shared" si="79"/>
        <v>워커힐 시그니처 양념 본갈비 300g, 8개</v>
      </c>
      <c r="AM849" s="395">
        <f t="shared" si="80"/>
        <v>46065</v>
      </c>
      <c r="AN849" s="396">
        <f t="shared" si="81"/>
        <v>1</v>
      </c>
      <c r="AO849" s="109">
        <f t="shared" si="82"/>
        <v>119000</v>
      </c>
      <c r="AP849" s="109">
        <f t="shared" si="83"/>
        <v>108181.81818181818</v>
      </c>
      <c r="AQ849" s="397">
        <f t="shared" si="78"/>
        <v>108181.81818181818</v>
      </c>
    </row>
    <row r="850" spans="1:43" ht="24">
      <c r="A850" s="436" t="s">
        <v>5671</v>
      </c>
      <c r="B850" s="436" t="s">
        <v>3490</v>
      </c>
      <c r="C850" s="437" t="s">
        <v>3491</v>
      </c>
      <c r="D850" s="436" t="s">
        <v>5603</v>
      </c>
      <c r="E850" s="437" t="s">
        <v>5604</v>
      </c>
      <c r="F850" s="436" t="s">
        <v>3494</v>
      </c>
      <c r="G850" s="436" t="s">
        <v>3495</v>
      </c>
      <c r="H850" s="437" t="s">
        <v>3496</v>
      </c>
      <c r="I850" s="436" t="s">
        <v>3497</v>
      </c>
      <c r="J850" s="437" t="s">
        <v>3498</v>
      </c>
      <c r="K850" s="437" t="s">
        <v>3499</v>
      </c>
      <c r="L850" s="436" t="s">
        <v>3500</v>
      </c>
      <c r="M850" s="436" t="s">
        <v>4809</v>
      </c>
      <c r="N850" s="436" t="s">
        <v>3502</v>
      </c>
      <c r="O850" s="438">
        <v>119000</v>
      </c>
      <c r="P850" s="438">
        <v>80920</v>
      </c>
      <c r="Q850" s="438">
        <v>1</v>
      </c>
      <c r="R850" s="438">
        <v>0</v>
      </c>
      <c r="S850" s="438">
        <v>0</v>
      </c>
      <c r="T850" s="438">
        <v>0</v>
      </c>
      <c r="U850" s="438">
        <v>0</v>
      </c>
      <c r="V850" s="438">
        <v>0</v>
      </c>
      <c r="W850" s="438">
        <v>32</v>
      </c>
      <c r="X850" s="438">
        <v>0</v>
      </c>
      <c r="Y850" s="438">
        <v>0</v>
      </c>
      <c r="Z850" s="438">
        <v>0</v>
      </c>
      <c r="AA850" s="438">
        <v>0</v>
      </c>
      <c r="AB850" s="438">
        <v>0</v>
      </c>
      <c r="AC850" s="438">
        <v>119000</v>
      </c>
      <c r="AD850" s="438">
        <v>80920</v>
      </c>
      <c r="AE850" s="438">
        <v>0</v>
      </c>
      <c r="AF850" s="438">
        <v>0</v>
      </c>
      <c r="AG850" s="438">
        <v>119000</v>
      </c>
      <c r="AH850" s="438">
        <v>80920</v>
      </c>
      <c r="AI850" s="438">
        <v>34618</v>
      </c>
      <c r="AJ850" s="438">
        <v>3462</v>
      </c>
      <c r="AK850" s="438">
        <v>38080</v>
      </c>
      <c r="AL850" s="414" t="str">
        <f t="shared" si="79"/>
        <v>워커힐 시그니처 양념 본갈비 300g, 8개</v>
      </c>
      <c r="AM850" s="395">
        <f t="shared" si="80"/>
        <v>46065</v>
      </c>
      <c r="AN850" s="396">
        <f t="shared" si="81"/>
        <v>1</v>
      </c>
      <c r="AO850" s="109">
        <f t="shared" si="82"/>
        <v>119000</v>
      </c>
      <c r="AP850" s="109">
        <f t="shared" si="83"/>
        <v>108181.81818181818</v>
      </c>
      <c r="AQ850" s="397">
        <f t="shared" si="78"/>
        <v>108181.81818181818</v>
      </c>
    </row>
    <row r="851" spans="1:43" ht="24">
      <c r="A851" s="436" t="s">
        <v>5673</v>
      </c>
      <c r="B851" s="436" t="s">
        <v>3490</v>
      </c>
      <c r="C851" s="437" t="s">
        <v>3491</v>
      </c>
      <c r="D851" s="436" t="s">
        <v>5497</v>
      </c>
      <c r="E851" s="437" t="s">
        <v>4903</v>
      </c>
      <c r="F851" s="436" t="s">
        <v>3494</v>
      </c>
      <c r="G851" s="436" t="s">
        <v>3495</v>
      </c>
      <c r="H851" s="437" t="s">
        <v>3496</v>
      </c>
      <c r="I851" s="436" t="s">
        <v>3497</v>
      </c>
      <c r="J851" s="437" t="s">
        <v>3498</v>
      </c>
      <c r="K851" s="437" t="s">
        <v>3499</v>
      </c>
      <c r="L851" s="436" t="s">
        <v>3500</v>
      </c>
      <c r="M851" s="436" t="s">
        <v>4809</v>
      </c>
      <c r="N851" s="436" t="s">
        <v>3502</v>
      </c>
      <c r="O851" s="438">
        <v>119000</v>
      </c>
      <c r="P851" s="438">
        <v>80920</v>
      </c>
      <c r="Q851" s="438">
        <v>1</v>
      </c>
      <c r="R851" s="438">
        <v>0</v>
      </c>
      <c r="S851" s="438">
        <v>0</v>
      </c>
      <c r="T851" s="438">
        <v>0</v>
      </c>
      <c r="U851" s="438">
        <v>0</v>
      </c>
      <c r="V851" s="438">
        <v>0</v>
      </c>
      <c r="W851" s="438">
        <v>32</v>
      </c>
      <c r="X851" s="438">
        <v>0</v>
      </c>
      <c r="Y851" s="438">
        <v>0</v>
      </c>
      <c r="Z851" s="438">
        <v>0</v>
      </c>
      <c r="AA851" s="438">
        <v>0</v>
      </c>
      <c r="AB851" s="438">
        <v>0</v>
      </c>
      <c r="AC851" s="438">
        <v>119000</v>
      </c>
      <c r="AD851" s="438">
        <v>80920</v>
      </c>
      <c r="AE851" s="438">
        <v>0</v>
      </c>
      <c r="AF851" s="438">
        <v>0</v>
      </c>
      <c r="AG851" s="438">
        <v>119000</v>
      </c>
      <c r="AH851" s="438">
        <v>80920</v>
      </c>
      <c r="AI851" s="438">
        <v>34618</v>
      </c>
      <c r="AJ851" s="438">
        <v>3462</v>
      </c>
      <c r="AK851" s="438">
        <v>38080</v>
      </c>
      <c r="AL851" s="414" t="str">
        <f t="shared" si="79"/>
        <v>워커힐 시그니처 양념 본갈비 300g, 8개</v>
      </c>
      <c r="AM851" s="395">
        <f t="shared" si="80"/>
        <v>46065</v>
      </c>
      <c r="AN851" s="396">
        <f t="shared" si="81"/>
        <v>1</v>
      </c>
      <c r="AO851" s="109">
        <f t="shared" si="82"/>
        <v>119000</v>
      </c>
      <c r="AP851" s="109">
        <f t="shared" si="83"/>
        <v>108181.81818181818</v>
      </c>
      <c r="AQ851" s="397">
        <f t="shared" si="78"/>
        <v>108181.81818181818</v>
      </c>
    </row>
    <row r="852" spans="1:43" ht="24">
      <c r="A852" s="436" t="s">
        <v>5675</v>
      </c>
      <c r="B852" s="436" t="s">
        <v>3490</v>
      </c>
      <c r="C852" s="437" t="s">
        <v>3491</v>
      </c>
      <c r="D852" s="436" t="s">
        <v>5289</v>
      </c>
      <c r="E852" s="437" t="s">
        <v>3551</v>
      </c>
      <c r="F852" s="436" t="s">
        <v>3494</v>
      </c>
      <c r="G852" s="436" t="s">
        <v>3495</v>
      </c>
      <c r="H852" s="437" t="s">
        <v>3496</v>
      </c>
      <c r="I852" s="436" t="s">
        <v>3497</v>
      </c>
      <c r="J852" s="437" t="s">
        <v>3498</v>
      </c>
      <c r="K852" s="437" t="s">
        <v>3499</v>
      </c>
      <c r="L852" s="436" t="s">
        <v>3500</v>
      </c>
      <c r="M852" s="436" t="s">
        <v>4809</v>
      </c>
      <c r="N852" s="436" t="s">
        <v>3502</v>
      </c>
      <c r="O852" s="438">
        <v>119000</v>
      </c>
      <c r="P852" s="438">
        <v>80920</v>
      </c>
      <c r="Q852" s="438">
        <v>1</v>
      </c>
      <c r="R852" s="438">
        <v>0</v>
      </c>
      <c r="S852" s="438">
        <v>0</v>
      </c>
      <c r="T852" s="438">
        <v>0</v>
      </c>
      <c r="U852" s="438">
        <v>0</v>
      </c>
      <c r="V852" s="438">
        <v>0</v>
      </c>
      <c r="W852" s="438">
        <v>32</v>
      </c>
      <c r="X852" s="438">
        <v>0</v>
      </c>
      <c r="Y852" s="438">
        <v>0</v>
      </c>
      <c r="Z852" s="438">
        <v>0</v>
      </c>
      <c r="AA852" s="438">
        <v>0</v>
      </c>
      <c r="AB852" s="438">
        <v>5950</v>
      </c>
      <c r="AC852" s="438">
        <v>119000</v>
      </c>
      <c r="AD852" s="438">
        <v>80920</v>
      </c>
      <c r="AE852" s="438">
        <v>0</v>
      </c>
      <c r="AF852" s="438">
        <v>5950</v>
      </c>
      <c r="AG852" s="438">
        <v>113050</v>
      </c>
      <c r="AH852" s="438">
        <v>80920</v>
      </c>
      <c r="AI852" s="438">
        <v>29209</v>
      </c>
      <c r="AJ852" s="438">
        <v>2921</v>
      </c>
      <c r="AK852" s="438">
        <v>32130</v>
      </c>
      <c r="AL852" s="414" t="str">
        <f t="shared" si="79"/>
        <v>워커힐 시그니처 양념 본갈비 300g, 8개</v>
      </c>
      <c r="AM852" s="395">
        <f t="shared" si="80"/>
        <v>46065</v>
      </c>
      <c r="AN852" s="396">
        <f t="shared" si="81"/>
        <v>1</v>
      </c>
      <c r="AO852" s="109">
        <f t="shared" si="82"/>
        <v>119000</v>
      </c>
      <c r="AP852" s="109">
        <f t="shared" si="83"/>
        <v>108181.81818181818</v>
      </c>
      <c r="AQ852" s="397">
        <f t="shared" si="78"/>
        <v>108181.81818181818</v>
      </c>
    </row>
    <row r="853" spans="1:43" ht="24">
      <c r="A853" s="436" t="s">
        <v>5677</v>
      </c>
      <c r="B853" s="436" t="s">
        <v>3490</v>
      </c>
      <c r="C853" s="437" t="s">
        <v>3491</v>
      </c>
      <c r="D853" s="436" t="s">
        <v>5648</v>
      </c>
      <c r="E853" s="437" t="s">
        <v>3796</v>
      </c>
      <c r="F853" s="436" t="s">
        <v>3494</v>
      </c>
      <c r="G853" s="436" t="s">
        <v>3495</v>
      </c>
      <c r="H853" s="437" t="s">
        <v>3496</v>
      </c>
      <c r="I853" s="436" t="s">
        <v>3497</v>
      </c>
      <c r="J853" s="437" t="s">
        <v>3498</v>
      </c>
      <c r="K853" s="437" t="s">
        <v>163</v>
      </c>
      <c r="L853" s="436" t="s">
        <v>3500</v>
      </c>
      <c r="M853" s="436" t="s">
        <v>4809</v>
      </c>
      <c r="N853" s="436" t="s">
        <v>3502</v>
      </c>
      <c r="O853" s="438">
        <v>119000</v>
      </c>
      <c r="P853" s="438">
        <v>80920</v>
      </c>
      <c r="Q853" s="438">
        <v>1</v>
      </c>
      <c r="R853" s="438">
        <v>0</v>
      </c>
      <c r="S853" s="438">
        <v>0</v>
      </c>
      <c r="T853" s="438">
        <v>0</v>
      </c>
      <c r="U853" s="438">
        <v>0</v>
      </c>
      <c r="V853" s="438">
        <v>0</v>
      </c>
      <c r="W853" s="438">
        <v>32</v>
      </c>
      <c r="X853" s="438">
        <v>0</v>
      </c>
      <c r="Y853" s="438">
        <v>5950</v>
      </c>
      <c r="Z853" s="438">
        <v>0</v>
      </c>
      <c r="AA853" s="438">
        <v>0</v>
      </c>
      <c r="AB853" s="438">
        <v>0</v>
      </c>
      <c r="AC853" s="438">
        <v>119000</v>
      </c>
      <c r="AD853" s="438">
        <v>80920</v>
      </c>
      <c r="AE853" s="438">
        <v>0</v>
      </c>
      <c r="AF853" s="438">
        <v>5950</v>
      </c>
      <c r="AG853" s="438">
        <v>113050</v>
      </c>
      <c r="AH853" s="438">
        <v>80920</v>
      </c>
      <c r="AI853" s="438">
        <v>29209</v>
      </c>
      <c r="AJ853" s="438">
        <v>2921</v>
      </c>
      <c r="AK853" s="438">
        <v>32130</v>
      </c>
      <c r="AL853" s="414" t="str">
        <f t="shared" si="79"/>
        <v>워커힐 시그니처 양념 본갈비 300g, 8개</v>
      </c>
      <c r="AM853" s="395">
        <f t="shared" si="80"/>
        <v>46065</v>
      </c>
      <c r="AN853" s="396">
        <f t="shared" si="81"/>
        <v>1</v>
      </c>
      <c r="AO853" s="109">
        <f t="shared" si="82"/>
        <v>119000</v>
      </c>
      <c r="AP853" s="109">
        <f t="shared" si="83"/>
        <v>108181.81818181818</v>
      </c>
      <c r="AQ853" s="397">
        <f t="shared" si="78"/>
        <v>108181.81818181818</v>
      </c>
    </row>
    <row r="854" spans="1:43" ht="24">
      <c r="A854" s="436" t="s">
        <v>5679</v>
      </c>
      <c r="B854" s="436" t="s">
        <v>3490</v>
      </c>
      <c r="C854" s="437" t="s">
        <v>3491</v>
      </c>
      <c r="D854" s="436" t="s">
        <v>5650</v>
      </c>
      <c r="E854" s="437" t="s">
        <v>5651</v>
      </c>
      <c r="F854" s="436" t="s">
        <v>3494</v>
      </c>
      <c r="G854" s="436" t="s">
        <v>3495</v>
      </c>
      <c r="H854" s="437" t="s">
        <v>3496</v>
      </c>
      <c r="I854" s="436" t="s">
        <v>3497</v>
      </c>
      <c r="J854" s="437" t="s">
        <v>3498</v>
      </c>
      <c r="K854" s="437" t="s">
        <v>3499</v>
      </c>
      <c r="L854" s="436" t="s">
        <v>3500</v>
      </c>
      <c r="M854" s="436" t="s">
        <v>4809</v>
      </c>
      <c r="N854" s="436" t="s">
        <v>3502</v>
      </c>
      <c r="O854" s="438">
        <v>119000</v>
      </c>
      <c r="P854" s="438">
        <v>80920</v>
      </c>
      <c r="Q854" s="438">
        <v>1</v>
      </c>
      <c r="R854" s="438">
        <v>0</v>
      </c>
      <c r="S854" s="438">
        <v>0</v>
      </c>
      <c r="T854" s="438">
        <v>0</v>
      </c>
      <c r="U854" s="438">
        <v>0</v>
      </c>
      <c r="V854" s="438">
        <v>0</v>
      </c>
      <c r="W854" s="438">
        <v>32</v>
      </c>
      <c r="X854" s="438">
        <v>0</v>
      </c>
      <c r="Y854" s="438">
        <v>0</v>
      </c>
      <c r="Z854" s="438">
        <v>0</v>
      </c>
      <c r="AA854" s="438">
        <v>0</v>
      </c>
      <c r="AB854" s="438">
        <v>0</v>
      </c>
      <c r="AC854" s="438">
        <v>119000</v>
      </c>
      <c r="AD854" s="438">
        <v>80920</v>
      </c>
      <c r="AE854" s="438">
        <v>0</v>
      </c>
      <c r="AF854" s="438">
        <v>0</v>
      </c>
      <c r="AG854" s="438">
        <v>119000</v>
      </c>
      <c r="AH854" s="438">
        <v>80920</v>
      </c>
      <c r="AI854" s="438">
        <v>34618</v>
      </c>
      <c r="AJ854" s="438">
        <v>3462</v>
      </c>
      <c r="AK854" s="438">
        <v>38080</v>
      </c>
      <c r="AL854" s="414" t="str">
        <f t="shared" si="79"/>
        <v>워커힐 시그니처 양념 본갈비 300g, 8개</v>
      </c>
      <c r="AM854" s="395">
        <f t="shared" si="80"/>
        <v>46065</v>
      </c>
      <c r="AN854" s="396">
        <f t="shared" si="81"/>
        <v>1</v>
      </c>
      <c r="AO854" s="109">
        <f t="shared" si="82"/>
        <v>119000</v>
      </c>
      <c r="AP854" s="109">
        <f t="shared" si="83"/>
        <v>108181.81818181818</v>
      </c>
      <c r="AQ854" s="397">
        <f t="shared" si="78"/>
        <v>108181.81818181818</v>
      </c>
    </row>
    <row r="855" spans="1:43" ht="24">
      <c r="A855" s="436" t="s">
        <v>5680</v>
      </c>
      <c r="B855" s="436" t="s">
        <v>3490</v>
      </c>
      <c r="C855" s="437" t="s">
        <v>3491</v>
      </c>
      <c r="D855" s="436" t="s">
        <v>5300</v>
      </c>
      <c r="E855" s="437" t="s">
        <v>4576</v>
      </c>
      <c r="F855" s="436" t="s">
        <v>3494</v>
      </c>
      <c r="G855" s="436" t="s">
        <v>3495</v>
      </c>
      <c r="H855" s="437" t="s">
        <v>3496</v>
      </c>
      <c r="I855" s="436" t="s">
        <v>3497</v>
      </c>
      <c r="J855" s="437" t="s">
        <v>3498</v>
      </c>
      <c r="K855" s="437" t="s">
        <v>3548</v>
      </c>
      <c r="L855" s="436" t="s">
        <v>3500</v>
      </c>
      <c r="M855" s="436" t="s">
        <v>4809</v>
      </c>
      <c r="N855" s="436" t="s">
        <v>3502</v>
      </c>
      <c r="O855" s="438">
        <v>119000</v>
      </c>
      <c r="P855" s="438">
        <v>80920</v>
      </c>
      <c r="Q855" s="438">
        <v>1</v>
      </c>
      <c r="R855" s="438">
        <v>0</v>
      </c>
      <c r="S855" s="438">
        <v>0</v>
      </c>
      <c r="T855" s="438">
        <v>0</v>
      </c>
      <c r="U855" s="438">
        <v>0</v>
      </c>
      <c r="V855" s="438">
        <v>0</v>
      </c>
      <c r="W855" s="438">
        <v>32</v>
      </c>
      <c r="X855" s="438">
        <v>0</v>
      </c>
      <c r="Y855" s="438">
        <v>0</v>
      </c>
      <c r="Z855" s="438">
        <v>0</v>
      </c>
      <c r="AA855" s="438">
        <v>0</v>
      </c>
      <c r="AB855" s="438">
        <v>0</v>
      </c>
      <c r="AC855" s="438">
        <v>119000</v>
      </c>
      <c r="AD855" s="438">
        <v>80920</v>
      </c>
      <c r="AE855" s="438">
        <v>0</v>
      </c>
      <c r="AF855" s="438">
        <v>0</v>
      </c>
      <c r="AG855" s="438">
        <v>119000</v>
      </c>
      <c r="AH855" s="438">
        <v>80920</v>
      </c>
      <c r="AI855" s="438">
        <v>34618</v>
      </c>
      <c r="AJ855" s="438">
        <v>3462</v>
      </c>
      <c r="AK855" s="438">
        <v>38080</v>
      </c>
      <c r="AL855" s="414" t="str">
        <f t="shared" si="79"/>
        <v>워커힐 시그니처 양념 본갈비 300g, 8개</v>
      </c>
      <c r="AM855" s="395">
        <f t="shared" si="80"/>
        <v>46065</v>
      </c>
      <c r="AN855" s="396">
        <f t="shared" si="81"/>
        <v>1</v>
      </c>
      <c r="AO855" s="109">
        <f t="shared" si="82"/>
        <v>119000</v>
      </c>
      <c r="AP855" s="109">
        <f t="shared" si="83"/>
        <v>108181.81818181818</v>
      </c>
      <c r="AQ855" s="397">
        <f t="shared" si="78"/>
        <v>108181.81818181818</v>
      </c>
    </row>
    <row r="856" spans="1:43" ht="24">
      <c r="A856" s="436" t="s">
        <v>5683</v>
      </c>
      <c r="B856" s="436" t="s">
        <v>3490</v>
      </c>
      <c r="C856" s="437" t="s">
        <v>3491</v>
      </c>
      <c r="D856" s="436" t="s">
        <v>5659</v>
      </c>
      <c r="E856" s="437" t="s">
        <v>4383</v>
      </c>
      <c r="F856" s="436" t="s">
        <v>3494</v>
      </c>
      <c r="G856" s="436" t="s">
        <v>3495</v>
      </c>
      <c r="H856" s="437" t="s">
        <v>3496</v>
      </c>
      <c r="I856" s="436" t="s">
        <v>3497</v>
      </c>
      <c r="J856" s="437" t="s">
        <v>3498</v>
      </c>
      <c r="K856" s="437" t="s">
        <v>163</v>
      </c>
      <c r="L856" s="436" t="s">
        <v>3500</v>
      </c>
      <c r="M856" s="436" t="s">
        <v>4809</v>
      </c>
      <c r="N856" s="436" t="s">
        <v>3502</v>
      </c>
      <c r="O856" s="438">
        <v>119000</v>
      </c>
      <c r="P856" s="438">
        <v>80920</v>
      </c>
      <c r="Q856" s="438">
        <v>1</v>
      </c>
      <c r="R856" s="438">
        <v>0</v>
      </c>
      <c r="S856" s="438">
        <v>0</v>
      </c>
      <c r="T856" s="438">
        <v>0</v>
      </c>
      <c r="U856" s="438">
        <v>0</v>
      </c>
      <c r="V856" s="438">
        <v>0</v>
      </c>
      <c r="W856" s="438">
        <v>32</v>
      </c>
      <c r="X856" s="438">
        <v>0</v>
      </c>
      <c r="Y856" s="438">
        <v>5950</v>
      </c>
      <c r="Z856" s="438">
        <v>0</v>
      </c>
      <c r="AA856" s="438">
        <v>0</v>
      </c>
      <c r="AB856" s="438">
        <v>0</v>
      </c>
      <c r="AC856" s="438">
        <v>119000</v>
      </c>
      <c r="AD856" s="438">
        <v>80920</v>
      </c>
      <c r="AE856" s="438">
        <v>0</v>
      </c>
      <c r="AF856" s="438">
        <v>5950</v>
      </c>
      <c r="AG856" s="438">
        <v>113050</v>
      </c>
      <c r="AH856" s="438">
        <v>80920</v>
      </c>
      <c r="AI856" s="438">
        <v>29209</v>
      </c>
      <c r="AJ856" s="438">
        <v>2921</v>
      </c>
      <c r="AK856" s="438">
        <v>32130</v>
      </c>
      <c r="AL856" s="414" t="str">
        <f t="shared" si="79"/>
        <v>워커힐 시그니처 양념 본갈비 300g, 8개</v>
      </c>
      <c r="AM856" s="395">
        <f t="shared" si="80"/>
        <v>46065</v>
      </c>
      <c r="AN856" s="396">
        <f t="shared" si="81"/>
        <v>1</v>
      </c>
      <c r="AO856" s="109">
        <f t="shared" si="82"/>
        <v>119000</v>
      </c>
      <c r="AP856" s="109">
        <f t="shared" si="83"/>
        <v>108181.81818181818</v>
      </c>
      <c r="AQ856" s="397">
        <f t="shared" si="78"/>
        <v>108181.81818181818</v>
      </c>
    </row>
    <row r="857" spans="1:43" ht="24">
      <c r="A857" s="436" t="s">
        <v>5686</v>
      </c>
      <c r="B857" s="436" t="s">
        <v>3490</v>
      </c>
      <c r="C857" s="437" t="s">
        <v>3491</v>
      </c>
      <c r="D857" s="436" t="s">
        <v>5477</v>
      </c>
      <c r="E857" s="437" t="s">
        <v>4155</v>
      </c>
      <c r="F857" s="436" t="s">
        <v>3494</v>
      </c>
      <c r="G857" s="436" t="s">
        <v>3495</v>
      </c>
      <c r="H857" s="437" t="s">
        <v>3496</v>
      </c>
      <c r="I857" s="436" t="s">
        <v>3497</v>
      </c>
      <c r="J857" s="437" t="s">
        <v>3498</v>
      </c>
      <c r="K857" s="437" t="s">
        <v>3548</v>
      </c>
      <c r="L857" s="436" t="s">
        <v>3500</v>
      </c>
      <c r="M857" s="436" t="s">
        <v>4809</v>
      </c>
      <c r="N857" s="436" t="s">
        <v>3502</v>
      </c>
      <c r="O857" s="438">
        <v>119000</v>
      </c>
      <c r="P857" s="438">
        <v>80920</v>
      </c>
      <c r="Q857" s="438">
        <v>1</v>
      </c>
      <c r="R857" s="438">
        <v>0</v>
      </c>
      <c r="S857" s="438">
        <v>0</v>
      </c>
      <c r="T857" s="438">
        <v>0</v>
      </c>
      <c r="U857" s="438">
        <v>0</v>
      </c>
      <c r="V857" s="438">
        <v>0</v>
      </c>
      <c r="W857" s="438">
        <v>32</v>
      </c>
      <c r="X857" s="438">
        <v>0</v>
      </c>
      <c r="Y857" s="438">
        <v>0</v>
      </c>
      <c r="Z857" s="438">
        <v>0</v>
      </c>
      <c r="AA857" s="438">
        <v>0</v>
      </c>
      <c r="AB857" s="438">
        <v>0</v>
      </c>
      <c r="AC857" s="438">
        <v>119000</v>
      </c>
      <c r="AD857" s="438">
        <v>80920</v>
      </c>
      <c r="AE857" s="438">
        <v>0</v>
      </c>
      <c r="AF857" s="438">
        <v>0</v>
      </c>
      <c r="AG857" s="438">
        <v>119000</v>
      </c>
      <c r="AH857" s="438">
        <v>80920</v>
      </c>
      <c r="AI857" s="438">
        <v>34618</v>
      </c>
      <c r="AJ857" s="438">
        <v>3462</v>
      </c>
      <c r="AK857" s="438">
        <v>38080</v>
      </c>
      <c r="AL857" s="414" t="str">
        <f t="shared" si="79"/>
        <v>워커힐 시그니처 양념 본갈비 300g, 8개</v>
      </c>
      <c r="AM857" s="395">
        <f t="shared" si="80"/>
        <v>46065</v>
      </c>
      <c r="AN857" s="396">
        <f t="shared" si="81"/>
        <v>1</v>
      </c>
      <c r="AO857" s="109">
        <f t="shared" si="82"/>
        <v>119000</v>
      </c>
      <c r="AP857" s="109">
        <f t="shared" si="83"/>
        <v>108181.81818181818</v>
      </c>
      <c r="AQ857" s="397">
        <f t="shared" si="78"/>
        <v>108181.81818181818</v>
      </c>
    </row>
    <row r="858" spans="1:43" ht="24">
      <c r="A858" s="436" t="s">
        <v>5687</v>
      </c>
      <c r="B858" s="436" t="s">
        <v>3490</v>
      </c>
      <c r="C858" s="437" t="s">
        <v>3491</v>
      </c>
      <c r="D858" s="436" t="s">
        <v>5672</v>
      </c>
      <c r="E858" s="437" t="s">
        <v>3839</v>
      </c>
      <c r="F858" s="436" t="s">
        <v>3494</v>
      </c>
      <c r="G858" s="436" t="s">
        <v>3495</v>
      </c>
      <c r="H858" s="437" t="s">
        <v>3496</v>
      </c>
      <c r="I858" s="436" t="s">
        <v>3497</v>
      </c>
      <c r="J858" s="437" t="s">
        <v>3498</v>
      </c>
      <c r="K858" s="437" t="s">
        <v>3499</v>
      </c>
      <c r="L858" s="436" t="s">
        <v>3500</v>
      </c>
      <c r="M858" s="436" t="s">
        <v>4809</v>
      </c>
      <c r="N858" s="436" t="s">
        <v>3502</v>
      </c>
      <c r="O858" s="438">
        <v>119000</v>
      </c>
      <c r="P858" s="438">
        <v>80920</v>
      </c>
      <c r="Q858" s="438">
        <v>1</v>
      </c>
      <c r="R858" s="438">
        <v>0</v>
      </c>
      <c r="S858" s="438">
        <v>0</v>
      </c>
      <c r="T858" s="438">
        <v>0</v>
      </c>
      <c r="U858" s="438">
        <v>0</v>
      </c>
      <c r="V858" s="438">
        <v>0</v>
      </c>
      <c r="W858" s="438">
        <v>32</v>
      </c>
      <c r="X858" s="438">
        <v>0</v>
      </c>
      <c r="Y858" s="438">
        <v>0</v>
      </c>
      <c r="Z858" s="438">
        <v>0</v>
      </c>
      <c r="AA858" s="438">
        <v>0</v>
      </c>
      <c r="AB858" s="438">
        <v>0</v>
      </c>
      <c r="AC858" s="438">
        <v>119000</v>
      </c>
      <c r="AD858" s="438">
        <v>80920</v>
      </c>
      <c r="AE858" s="438">
        <v>0</v>
      </c>
      <c r="AF858" s="438">
        <v>0</v>
      </c>
      <c r="AG858" s="438">
        <v>119000</v>
      </c>
      <c r="AH858" s="438">
        <v>80920</v>
      </c>
      <c r="AI858" s="438">
        <v>34618</v>
      </c>
      <c r="AJ858" s="438">
        <v>3462</v>
      </c>
      <c r="AK858" s="438">
        <v>38080</v>
      </c>
      <c r="AL858" s="414" t="str">
        <f t="shared" si="79"/>
        <v>워커힐 시그니처 양념 본갈비 300g, 8개</v>
      </c>
      <c r="AM858" s="395">
        <f t="shared" si="80"/>
        <v>46065</v>
      </c>
      <c r="AN858" s="396">
        <f t="shared" si="81"/>
        <v>1</v>
      </c>
      <c r="AO858" s="109">
        <f t="shared" si="82"/>
        <v>119000</v>
      </c>
      <c r="AP858" s="109">
        <f t="shared" si="83"/>
        <v>108181.81818181818</v>
      </c>
      <c r="AQ858" s="397">
        <f t="shared" si="78"/>
        <v>108181.81818181818</v>
      </c>
    </row>
    <row r="859" spans="1:43" ht="24">
      <c r="A859" s="436" t="s">
        <v>5689</v>
      </c>
      <c r="B859" s="436" t="s">
        <v>3490</v>
      </c>
      <c r="C859" s="437" t="s">
        <v>3491</v>
      </c>
      <c r="D859" s="436" t="s">
        <v>5681</v>
      </c>
      <c r="E859" s="437" t="s">
        <v>5682</v>
      </c>
      <c r="F859" s="436" t="s">
        <v>3494</v>
      </c>
      <c r="G859" s="436" t="s">
        <v>3495</v>
      </c>
      <c r="H859" s="437" t="s">
        <v>3496</v>
      </c>
      <c r="I859" s="436" t="s">
        <v>3497</v>
      </c>
      <c r="J859" s="437" t="s">
        <v>3498</v>
      </c>
      <c r="K859" s="437" t="s">
        <v>3499</v>
      </c>
      <c r="L859" s="436" t="s">
        <v>3500</v>
      </c>
      <c r="M859" s="436" t="s">
        <v>4809</v>
      </c>
      <c r="N859" s="436" t="s">
        <v>3502</v>
      </c>
      <c r="O859" s="438">
        <v>119000</v>
      </c>
      <c r="P859" s="438">
        <v>80920</v>
      </c>
      <c r="Q859" s="438">
        <v>1</v>
      </c>
      <c r="R859" s="438">
        <v>0</v>
      </c>
      <c r="S859" s="438">
        <v>0</v>
      </c>
      <c r="T859" s="438">
        <v>0</v>
      </c>
      <c r="U859" s="438">
        <v>0</v>
      </c>
      <c r="V859" s="438">
        <v>0</v>
      </c>
      <c r="W859" s="438">
        <v>32</v>
      </c>
      <c r="X859" s="438">
        <v>0</v>
      </c>
      <c r="Y859" s="438">
        <v>0</v>
      </c>
      <c r="Z859" s="438">
        <v>0</v>
      </c>
      <c r="AA859" s="438">
        <v>0</v>
      </c>
      <c r="AB859" s="438">
        <v>0</v>
      </c>
      <c r="AC859" s="438">
        <v>119000</v>
      </c>
      <c r="AD859" s="438">
        <v>80920</v>
      </c>
      <c r="AE859" s="438">
        <v>0</v>
      </c>
      <c r="AF859" s="438">
        <v>0</v>
      </c>
      <c r="AG859" s="438">
        <v>119000</v>
      </c>
      <c r="AH859" s="438">
        <v>80920</v>
      </c>
      <c r="AI859" s="438">
        <v>34618</v>
      </c>
      <c r="AJ859" s="438">
        <v>3462</v>
      </c>
      <c r="AK859" s="438">
        <v>38080</v>
      </c>
      <c r="AL859" s="414" t="str">
        <f t="shared" si="79"/>
        <v>워커힐 시그니처 양념 본갈비 300g, 8개</v>
      </c>
      <c r="AM859" s="395">
        <f t="shared" si="80"/>
        <v>46065</v>
      </c>
      <c r="AN859" s="396">
        <f t="shared" si="81"/>
        <v>1</v>
      </c>
      <c r="AO859" s="109">
        <f t="shared" si="82"/>
        <v>119000</v>
      </c>
      <c r="AP859" s="109">
        <f t="shared" si="83"/>
        <v>108181.81818181818</v>
      </c>
      <c r="AQ859" s="397">
        <f t="shared" si="78"/>
        <v>108181.81818181818</v>
      </c>
    </row>
    <row r="860" spans="1:43" ht="24">
      <c r="A860" s="436" t="s">
        <v>5691</v>
      </c>
      <c r="B860" s="436" t="s">
        <v>3490</v>
      </c>
      <c r="C860" s="437" t="s">
        <v>3491</v>
      </c>
      <c r="D860" s="436" t="s">
        <v>5684</v>
      </c>
      <c r="E860" s="437" t="s">
        <v>5685</v>
      </c>
      <c r="F860" s="436" t="s">
        <v>3494</v>
      </c>
      <c r="G860" s="436" t="s">
        <v>3495</v>
      </c>
      <c r="H860" s="437" t="s">
        <v>3496</v>
      </c>
      <c r="I860" s="436" t="s">
        <v>3497</v>
      </c>
      <c r="J860" s="437" t="s">
        <v>3498</v>
      </c>
      <c r="K860" s="437" t="s">
        <v>3499</v>
      </c>
      <c r="L860" s="436" t="s">
        <v>3500</v>
      </c>
      <c r="M860" s="436" t="s">
        <v>4809</v>
      </c>
      <c r="N860" s="436" t="s">
        <v>3502</v>
      </c>
      <c r="O860" s="438">
        <v>119000</v>
      </c>
      <c r="P860" s="438">
        <v>80920</v>
      </c>
      <c r="Q860" s="438">
        <v>1</v>
      </c>
      <c r="R860" s="438">
        <v>0</v>
      </c>
      <c r="S860" s="438">
        <v>0</v>
      </c>
      <c r="T860" s="438">
        <v>0</v>
      </c>
      <c r="U860" s="438">
        <v>0</v>
      </c>
      <c r="V860" s="438">
        <v>0</v>
      </c>
      <c r="W860" s="438">
        <v>32</v>
      </c>
      <c r="X860" s="438">
        <v>0</v>
      </c>
      <c r="Y860" s="438">
        <v>0</v>
      </c>
      <c r="Z860" s="438">
        <v>0</v>
      </c>
      <c r="AA860" s="438">
        <v>0</v>
      </c>
      <c r="AB860" s="438">
        <v>0</v>
      </c>
      <c r="AC860" s="438">
        <v>119000</v>
      </c>
      <c r="AD860" s="438">
        <v>80920</v>
      </c>
      <c r="AE860" s="438">
        <v>0</v>
      </c>
      <c r="AF860" s="438">
        <v>0</v>
      </c>
      <c r="AG860" s="438">
        <v>119000</v>
      </c>
      <c r="AH860" s="438">
        <v>80920</v>
      </c>
      <c r="AI860" s="438">
        <v>34618</v>
      </c>
      <c r="AJ860" s="438">
        <v>3462</v>
      </c>
      <c r="AK860" s="438">
        <v>38080</v>
      </c>
      <c r="AL860" s="414" t="str">
        <f t="shared" si="79"/>
        <v>워커힐 시그니처 양념 본갈비 300g, 8개</v>
      </c>
      <c r="AM860" s="395">
        <f t="shared" si="80"/>
        <v>46065</v>
      </c>
      <c r="AN860" s="396">
        <f t="shared" si="81"/>
        <v>1</v>
      </c>
      <c r="AO860" s="109">
        <f t="shared" si="82"/>
        <v>119000</v>
      </c>
      <c r="AP860" s="109">
        <f t="shared" si="83"/>
        <v>108181.81818181818</v>
      </c>
      <c r="AQ860" s="397">
        <f t="shared" si="78"/>
        <v>108181.81818181818</v>
      </c>
    </row>
    <row r="861" spans="1:43" ht="24">
      <c r="A861" s="436" t="s">
        <v>5694</v>
      </c>
      <c r="B861" s="436" t="s">
        <v>3490</v>
      </c>
      <c r="C861" s="437" t="s">
        <v>3491</v>
      </c>
      <c r="D861" s="436" t="s">
        <v>5046</v>
      </c>
      <c r="E861" s="437" t="s">
        <v>5047</v>
      </c>
      <c r="F861" s="436" t="s">
        <v>3494</v>
      </c>
      <c r="G861" s="436" t="s">
        <v>3495</v>
      </c>
      <c r="H861" s="437" t="s">
        <v>3496</v>
      </c>
      <c r="I861" s="436" t="s">
        <v>3497</v>
      </c>
      <c r="J861" s="437" t="s">
        <v>3498</v>
      </c>
      <c r="K861" s="437" t="s">
        <v>3499</v>
      </c>
      <c r="L861" s="436" t="s">
        <v>3500</v>
      </c>
      <c r="M861" s="436" t="s">
        <v>4809</v>
      </c>
      <c r="N861" s="436" t="s">
        <v>3502</v>
      </c>
      <c r="O861" s="438">
        <v>119000</v>
      </c>
      <c r="P861" s="438">
        <v>80920</v>
      </c>
      <c r="Q861" s="438">
        <v>1</v>
      </c>
      <c r="R861" s="438">
        <v>0</v>
      </c>
      <c r="S861" s="438">
        <v>0</v>
      </c>
      <c r="T861" s="438">
        <v>0</v>
      </c>
      <c r="U861" s="438">
        <v>0</v>
      </c>
      <c r="V861" s="438">
        <v>0</v>
      </c>
      <c r="W861" s="438">
        <v>32</v>
      </c>
      <c r="X861" s="438">
        <v>0</v>
      </c>
      <c r="Y861" s="438">
        <v>0</v>
      </c>
      <c r="Z861" s="438">
        <v>0</v>
      </c>
      <c r="AA861" s="438">
        <v>0</v>
      </c>
      <c r="AB861" s="438">
        <v>0</v>
      </c>
      <c r="AC861" s="438">
        <v>119000</v>
      </c>
      <c r="AD861" s="438">
        <v>80920</v>
      </c>
      <c r="AE861" s="438">
        <v>0</v>
      </c>
      <c r="AF861" s="438">
        <v>0</v>
      </c>
      <c r="AG861" s="438">
        <v>119000</v>
      </c>
      <c r="AH861" s="438">
        <v>80920</v>
      </c>
      <c r="AI861" s="438">
        <v>34618</v>
      </c>
      <c r="AJ861" s="438">
        <v>3462</v>
      </c>
      <c r="AK861" s="438">
        <v>38080</v>
      </c>
      <c r="AL861" s="414" t="str">
        <f t="shared" si="79"/>
        <v>워커힐 시그니처 양념 본갈비 300g, 8개</v>
      </c>
      <c r="AM861" s="395">
        <f t="shared" si="80"/>
        <v>46065</v>
      </c>
      <c r="AN861" s="396">
        <f t="shared" si="81"/>
        <v>1</v>
      </c>
      <c r="AO861" s="109">
        <f t="shared" si="82"/>
        <v>119000</v>
      </c>
      <c r="AP861" s="109">
        <f t="shared" si="83"/>
        <v>108181.81818181818</v>
      </c>
      <c r="AQ861" s="397">
        <f t="shared" ref="AQ861:AQ924" si="84">AN861*AP861</f>
        <v>108181.81818181818</v>
      </c>
    </row>
    <row r="862" spans="1:43" ht="24">
      <c r="A862" s="436" t="s">
        <v>5697</v>
      </c>
      <c r="B862" s="436" t="s">
        <v>3490</v>
      </c>
      <c r="C862" s="437" t="s">
        <v>3491</v>
      </c>
      <c r="D862" s="436" t="s">
        <v>5499</v>
      </c>
      <c r="E862" s="437" t="s">
        <v>4903</v>
      </c>
      <c r="F862" s="436" t="s">
        <v>3494</v>
      </c>
      <c r="G862" s="436" t="s">
        <v>3495</v>
      </c>
      <c r="H862" s="437" t="s">
        <v>3496</v>
      </c>
      <c r="I862" s="436" t="s">
        <v>3497</v>
      </c>
      <c r="J862" s="437" t="s">
        <v>3498</v>
      </c>
      <c r="K862" s="437" t="s">
        <v>3499</v>
      </c>
      <c r="L862" s="436" t="s">
        <v>3500</v>
      </c>
      <c r="M862" s="436" t="s">
        <v>4809</v>
      </c>
      <c r="N862" s="436" t="s">
        <v>3502</v>
      </c>
      <c r="O862" s="438">
        <v>119000</v>
      </c>
      <c r="P862" s="438">
        <v>80920</v>
      </c>
      <c r="Q862" s="438">
        <v>1</v>
      </c>
      <c r="R862" s="438">
        <v>0</v>
      </c>
      <c r="S862" s="438">
        <v>0</v>
      </c>
      <c r="T862" s="438">
        <v>0</v>
      </c>
      <c r="U862" s="438">
        <v>0</v>
      </c>
      <c r="V862" s="438">
        <v>0</v>
      </c>
      <c r="W862" s="438">
        <v>32</v>
      </c>
      <c r="X862" s="438">
        <v>0</v>
      </c>
      <c r="Y862" s="438">
        <v>0</v>
      </c>
      <c r="Z862" s="438">
        <v>0</v>
      </c>
      <c r="AA862" s="438">
        <v>0</v>
      </c>
      <c r="AB862" s="438">
        <v>0</v>
      </c>
      <c r="AC862" s="438">
        <v>119000</v>
      </c>
      <c r="AD862" s="438">
        <v>80920</v>
      </c>
      <c r="AE862" s="438">
        <v>0</v>
      </c>
      <c r="AF862" s="438">
        <v>0</v>
      </c>
      <c r="AG862" s="438">
        <v>119000</v>
      </c>
      <c r="AH862" s="438">
        <v>80920</v>
      </c>
      <c r="AI862" s="438">
        <v>34618</v>
      </c>
      <c r="AJ862" s="438">
        <v>3462</v>
      </c>
      <c r="AK862" s="438">
        <v>38080</v>
      </c>
      <c r="AL862" s="414" t="str">
        <f t="shared" si="79"/>
        <v>워커힐 시그니처 양념 본갈비 300g, 8개</v>
      </c>
      <c r="AM862" s="395">
        <f t="shared" si="80"/>
        <v>46065</v>
      </c>
      <c r="AN862" s="396">
        <f t="shared" si="81"/>
        <v>1</v>
      </c>
      <c r="AO862" s="109">
        <f t="shared" si="82"/>
        <v>119000</v>
      </c>
      <c r="AP862" s="109">
        <f t="shared" si="83"/>
        <v>108181.81818181818</v>
      </c>
      <c r="AQ862" s="397">
        <f t="shared" si="84"/>
        <v>108181.81818181818</v>
      </c>
    </row>
    <row r="863" spans="1:43" ht="24">
      <c r="A863" s="436" t="s">
        <v>5700</v>
      </c>
      <c r="B863" s="436" t="s">
        <v>3490</v>
      </c>
      <c r="C863" s="437" t="s">
        <v>3491</v>
      </c>
      <c r="D863" s="436" t="s">
        <v>5554</v>
      </c>
      <c r="E863" s="437" t="s">
        <v>5555</v>
      </c>
      <c r="F863" s="436" t="s">
        <v>3494</v>
      </c>
      <c r="G863" s="436" t="s">
        <v>3495</v>
      </c>
      <c r="H863" s="437" t="s">
        <v>3496</v>
      </c>
      <c r="I863" s="436" t="s">
        <v>3497</v>
      </c>
      <c r="J863" s="437" t="s">
        <v>3498</v>
      </c>
      <c r="K863" s="437" t="s">
        <v>3499</v>
      </c>
      <c r="L863" s="436" t="s">
        <v>3500</v>
      </c>
      <c r="M863" s="436" t="s">
        <v>4809</v>
      </c>
      <c r="N863" s="436" t="s">
        <v>3502</v>
      </c>
      <c r="O863" s="438">
        <v>119000</v>
      </c>
      <c r="P863" s="438">
        <v>80920</v>
      </c>
      <c r="Q863" s="438">
        <v>1</v>
      </c>
      <c r="R863" s="438">
        <v>0</v>
      </c>
      <c r="S863" s="438">
        <v>0</v>
      </c>
      <c r="T863" s="438">
        <v>0</v>
      </c>
      <c r="U863" s="438">
        <v>0</v>
      </c>
      <c r="V863" s="438">
        <v>0</v>
      </c>
      <c r="W863" s="438">
        <v>32</v>
      </c>
      <c r="X863" s="438">
        <v>0</v>
      </c>
      <c r="Y863" s="438">
        <v>0</v>
      </c>
      <c r="Z863" s="438">
        <v>0</v>
      </c>
      <c r="AA863" s="438">
        <v>0</v>
      </c>
      <c r="AB863" s="438">
        <v>0</v>
      </c>
      <c r="AC863" s="438">
        <v>119000</v>
      </c>
      <c r="AD863" s="438">
        <v>80920</v>
      </c>
      <c r="AE863" s="438">
        <v>0</v>
      </c>
      <c r="AF863" s="438">
        <v>0</v>
      </c>
      <c r="AG863" s="438">
        <v>119000</v>
      </c>
      <c r="AH863" s="438">
        <v>80920</v>
      </c>
      <c r="AI863" s="438">
        <v>34618</v>
      </c>
      <c r="AJ863" s="438">
        <v>3462</v>
      </c>
      <c r="AK863" s="438">
        <v>38080</v>
      </c>
      <c r="AL863" s="414" t="str">
        <f t="shared" si="79"/>
        <v>워커힐 시그니처 양념 본갈비 300g, 8개</v>
      </c>
      <c r="AM863" s="395">
        <f t="shared" si="80"/>
        <v>46065</v>
      </c>
      <c r="AN863" s="396">
        <f t="shared" si="81"/>
        <v>1</v>
      </c>
      <c r="AO863" s="109">
        <f t="shared" si="82"/>
        <v>119000</v>
      </c>
      <c r="AP863" s="109">
        <f t="shared" si="83"/>
        <v>108181.81818181818</v>
      </c>
      <c r="AQ863" s="397">
        <f t="shared" si="84"/>
        <v>108181.81818181818</v>
      </c>
    </row>
    <row r="864" spans="1:43" ht="24">
      <c r="A864" s="436" t="s">
        <v>5702</v>
      </c>
      <c r="B864" s="436" t="s">
        <v>3490</v>
      </c>
      <c r="C864" s="437" t="s">
        <v>3491</v>
      </c>
      <c r="D864" s="436" t="s">
        <v>5161</v>
      </c>
      <c r="E864" s="437" t="s">
        <v>5162</v>
      </c>
      <c r="F864" s="436" t="s">
        <v>3494</v>
      </c>
      <c r="G864" s="436" t="s">
        <v>3495</v>
      </c>
      <c r="H864" s="437" t="s">
        <v>3496</v>
      </c>
      <c r="I864" s="436" t="s">
        <v>3497</v>
      </c>
      <c r="J864" s="437" t="s">
        <v>3498</v>
      </c>
      <c r="K864" s="437" t="s">
        <v>3548</v>
      </c>
      <c r="L864" s="436" t="s">
        <v>3500</v>
      </c>
      <c r="M864" s="436" t="s">
        <v>4809</v>
      </c>
      <c r="N864" s="436" t="s">
        <v>3502</v>
      </c>
      <c r="O864" s="438">
        <v>119000</v>
      </c>
      <c r="P864" s="438">
        <v>80920</v>
      </c>
      <c r="Q864" s="438">
        <v>1</v>
      </c>
      <c r="R864" s="438">
        <v>0</v>
      </c>
      <c r="S864" s="438">
        <v>0</v>
      </c>
      <c r="T864" s="438">
        <v>0</v>
      </c>
      <c r="U864" s="438">
        <v>0</v>
      </c>
      <c r="V864" s="438">
        <v>0</v>
      </c>
      <c r="W864" s="438">
        <v>32</v>
      </c>
      <c r="X864" s="438">
        <v>14280</v>
      </c>
      <c r="Y864" s="438">
        <v>0</v>
      </c>
      <c r="Z864" s="438">
        <v>0</v>
      </c>
      <c r="AA864" s="438">
        <v>0</v>
      </c>
      <c r="AB864" s="438">
        <v>0</v>
      </c>
      <c r="AC864" s="438">
        <v>119000</v>
      </c>
      <c r="AD864" s="438">
        <v>80920</v>
      </c>
      <c r="AE864" s="438">
        <v>0</v>
      </c>
      <c r="AF864" s="438">
        <v>14280</v>
      </c>
      <c r="AG864" s="438">
        <v>104720</v>
      </c>
      <c r="AH864" s="438">
        <v>80920</v>
      </c>
      <c r="AI864" s="438">
        <v>21636</v>
      </c>
      <c r="AJ864" s="438">
        <v>2164</v>
      </c>
      <c r="AK864" s="438">
        <v>23800</v>
      </c>
      <c r="AL864" s="414" t="str">
        <f t="shared" si="79"/>
        <v>워커힐 시그니처 양념 본갈비 300g, 8개</v>
      </c>
      <c r="AM864" s="395">
        <f t="shared" si="80"/>
        <v>46065</v>
      </c>
      <c r="AN864" s="396">
        <f t="shared" si="81"/>
        <v>1</v>
      </c>
      <c r="AO864" s="109">
        <f t="shared" si="82"/>
        <v>119000</v>
      </c>
      <c r="AP864" s="109">
        <f t="shared" si="83"/>
        <v>108181.81818181818</v>
      </c>
      <c r="AQ864" s="397">
        <f t="shared" si="84"/>
        <v>108181.81818181818</v>
      </c>
    </row>
    <row r="865" spans="1:43" ht="24">
      <c r="A865" s="436" t="s">
        <v>5705</v>
      </c>
      <c r="B865" s="436" t="s">
        <v>3490</v>
      </c>
      <c r="C865" s="437" t="s">
        <v>3491</v>
      </c>
      <c r="D865" s="436" t="s">
        <v>5378</v>
      </c>
      <c r="E865" s="437" t="s">
        <v>3551</v>
      </c>
      <c r="F865" s="436" t="s">
        <v>3494</v>
      </c>
      <c r="G865" s="436" t="s">
        <v>3495</v>
      </c>
      <c r="H865" s="437" t="s">
        <v>3496</v>
      </c>
      <c r="I865" s="436" t="s">
        <v>3497</v>
      </c>
      <c r="J865" s="437" t="s">
        <v>3498</v>
      </c>
      <c r="K865" s="437" t="s">
        <v>3499</v>
      </c>
      <c r="L865" s="436" t="s">
        <v>3500</v>
      </c>
      <c r="M865" s="436" t="s">
        <v>4809</v>
      </c>
      <c r="N865" s="436" t="s">
        <v>3502</v>
      </c>
      <c r="O865" s="438">
        <v>119000</v>
      </c>
      <c r="P865" s="438">
        <v>80920</v>
      </c>
      <c r="Q865" s="438">
        <v>1</v>
      </c>
      <c r="R865" s="438">
        <v>0</v>
      </c>
      <c r="S865" s="438">
        <v>0</v>
      </c>
      <c r="T865" s="438">
        <v>0</v>
      </c>
      <c r="U865" s="438">
        <v>0</v>
      </c>
      <c r="V865" s="438">
        <v>0</v>
      </c>
      <c r="W865" s="438">
        <v>32</v>
      </c>
      <c r="X865" s="438">
        <v>0</v>
      </c>
      <c r="Y865" s="438">
        <v>0</v>
      </c>
      <c r="Z865" s="438">
        <v>0</v>
      </c>
      <c r="AA865" s="438">
        <v>0</v>
      </c>
      <c r="AB865" s="438">
        <v>0</v>
      </c>
      <c r="AC865" s="438">
        <v>119000</v>
      </c>
      <c r="AD865" s="438">
        <v>80920</v>
      </c>
      <c r="AE865" s="438">
        <v>0</v>
      </c>
      <c r="AF865" s="438">
        <v>0</v>
      </c>
      <c r="AG865" s="438">
        <v>119000</v>
      </c>
      <c r="AH865" s="438">
        <v>80920</v>
      </c>
      <c r="AI865" s="438">
        <v>34618</v>
      </c>
      <c r="AJ865" s="438">
        <v>3462</v>
      </c>
      <c r="AK865" s="438">
        <v>38080</v>
      </c>
      <c r="AL865" s="414" t="str">
        <f t="shared" si="79"/>
        <v>워커힐 시그니처 양념 본갈비 300g, 8개</v>
      </c>
      <c r="AM865" s="395">
        <f t="shared" si="80"/>
        <v>46065</v>
      </c>
      <c r="AN865" s="396">
        <f t="shared" si="81"/>
        <v>1</v>
      </c>
      <c r="AO865" s="109">
        <f t="shared" si="82"/>
        <v>119000</v>
      </c>
      <c r="AP865" s="109">
        <f t="shared" si="83"/>
        <v>108181.81818181818</v>
      </c>
      <c r="AQ865" s="397">
        <f t="shared" si="84"/>
        <v>108181.81818181818</v>
      </c>
    </row>
    <row r="866" spans="1:43" ht="24">
      <c r="A866" s="436" t="s">
        <v>5708</v>
      </c>
      <c r="B866" s="436" t="s">
        <v>3490</v>
      </c>
      <c r="C866" s="437" t="s">
        <v>3491</v>
      </c>
      <c r="D866" s="436" t="s">
        <v>5172</v>
      </c>
      <c r="E866" s="437" t="s">
        <v>5173</v>
      </c>
      <c r="F866" s="436" t="s">
        <v>3494</v>
      </c>
      <c r="G866" s="436" t="s">
        <v>3495</v>
      </c>
      <c r="H866" s="437" t="s">
        <v>3496</v>
      </c>
      <c r="I866" s="436" t="s">
        <v>3497</v>
      </c>
      <c r="J866" s="437" t="s">
        <v>3498</v>
      </c>
      <c r="K866" s="437" t="s">
        <v>3499</v>
      </c>
      <c r="L866" s="436" t="s">
        <v>3500</v>
      </c>
      <c r="M866" s="436" t="s">
        <v>4809</v>
      </c>
      <c r="N866" s="436" t="s">
        <v>3502</v>
      </c>
      <c r="O866" s="438">
        <v>119000</v>
      </c>
      <c r="P866" s="438">
        <v>80920</v>
      </c>
      <c r="Q866" s="438">
        <v>1</v>
      </c>
      <c r="R866" s="438">
        <v>0</v>
      </c>
      <c r="S866" s="438">
        <v>0</v>
      </c>
      <c r="T866" s="438">
        <v>0</v>
      </c>
      <c r="U866" s="438">
        <v>0</v>
      </c>
      <c r="V866" s="438">
        <v>0</v>
      </c>
      <c r="W866" s="438">
        <v>32</v>
      </c>
      <c r="X866" s="438">
        <v>0</v>
      </c>
      <c r="Y866" s="438">
        <v>0</v>
      </c>
      <c r="Z866" s="438">
        <v>0</v>
      </c>
      <c r="AA866" s="438">
        <v>0</v>
      </c>
      <c r="AB866" s="438">
        <v>0</v>
      </c>
      <c r="AC866" s="438">
        <v>119000</v>
      </c>
      <c r="AD866" s="438">
        <v>80920</v>
      </c>
      <c r="AE866" s="438">
        <v>0</v>
      </c>
      <c r="AF866" s="438">
        <v>0</v>
      </c>
      <c r="AG866" s="438">
        <v>119000</v>
      </c>
      <c r="AH866" s="438">
        <v>80920</v>
      </c>
      <c r="AI866" s="438">
        <v>34618</v>
      </c>
      <c r="AJ866" s="438">
        <v>3462</v>
      </c>
      <c r="AK866" s="438">
        <v>38080</v>
      </c>
      <c r="AL866" s="414" t="str">
        <f t="shared" si="79"/>
        <v>워커힐 시그니처 양념 본갈비 300g, 8개</v>
      </c>
      <c r="AM866" s="395">
        <f t="shared" si="80"/>
        <v>46065</v>
      </c>
      <c r="AN866" s="396">
        <f t="shared" si="81"/>
        <v>1</v>
      </c>
      <c r="AO866" s="109">
        <f t="shared" si="82"/>
        <v>119000</v>
      </c>
      <c r="AP866" s="109">
        <f t="shared" si="83"/>
        <v>108181.81818181818</v>
      </c>
      <c r="AQ866" s="397">
        <f t="shared" si="84"/>
        <v>108181.81818181818</v>
      </c>
    </row>
    <row r="867" spans="1:43" ht="24">
      <c r="A867" s="436" t="s">
        <v>5711</v>
      </c>
      <c r="B867" s="436" t="s">
        <v>3490</v>
      </c>
      <c r="C867" s="437" t="s">
        <v>3491</v>
      </c>
      <c r="D867" s="436" t="s">
        <v>5380</v>
      </c>
      <c r="E867" s="437" t="s">
        <v>3836</v>
      </c>
      <c r="F867" s="436" t="s">
        <v>3494</v>
      </c>
      <c r="G867" s="436" t="s">
        <v>3495</v>
      </c>
      <c r="H867" s="437" t="s">
        <v>3496</v>
      </c>
      <c r="I867" s="436" t="s">
        <v>3497</v>
      </c>
      <c r="J867" s="437" t="s">
        <v>3498</v>
      </c>
      <c r="K867" s="437" t="s">
        <v>3499</v>
      </c>
      <c r="L867" s="436" t="s">
        <v>3500</v>
      </c>
      <c r="M867" s="436" t="s">
        <v>4809</v>
      </c>
      <c r="N867" s="436" t="s">
        <v>3502</v>
      </c>
      <c r="O867" s="438">
        <v>119000</v>
      </c>
      <c r="P867" s="438">
        <v>80920</v>
      </c>
      <c r="Q867" s="438">
        <v>1</v>
      </c>
      <c r="R867" s="438">
        <v>0</v>
      </c>
      <c r="S867" s="438">
        <v>0</v>
      </c>
      <c r="T867" s="438">
        <v>0</v>
      </c>
      <c r="U867" s="438">
        <v>0</v>
      </c>
      <c r="V867" s="438">
        <v>0</v>
      </c>
      <c r="W867" s="438">
        <v>32</v>
      </c>
      <c r="X867" s="438">
        <v>0</v>
      </c>
      <c r="Y867" s="438">
        <v>0</v>
      </c>
      <c r="Z867" s="438">
        <v>0</v>
      </c>
      <c r="AA867" s="438">
        <v>0</v>
      </c>
      <c r="AB867" s="438">
        <v>0</v>
      </c>
      <c r="AC867" s="438">
        <v>119000</v>
      </c>
      <c r="AD867" s="438">
        <v>80920</v>
      </c>
      <c r="AE867" s="438">
        <v>0</v>
      </c>
      <c r="AF867" s="438">
        <v>0</v>
      </c>
      <c r="AG867" s="438">
        <v>119000</v>
      </c>
      <c r="AH867" s="438">
        <v>80920</v>
      </c>
      <c r="AI867" s="438">
        <v>34618</v>
      </c>
      <c r="AJ867" s="438">
        <v>3462</v>
      </c>
      <c r="AK867" s="438">
        <v>38080</v>
      </c>
      <c r="AL867" s="414" t="str">
        <f t="shared" si="79"/>
        <v>워커힐 시그니처 양념 본갈비 300g, 8개</v>
      </c>
      <c r="AM867" s="395">
        <f t="shared" si="80"/>
        <v>46065</v>
      </c>
      <c r="AN867" s="396">
        <f t="shared" si="81"/>
        <v>1</v>
      </c>
      <c r="AO867" s="109">
        <f t="shared" si="82"/>
        <v>119000</v>
      </c>
      <c r="AP867" s="109">
        <f t="shared" si="83"/>
        <v>108181.81818181818</v>
      </c>
      <c r="AQ867" s="397">
        <f t="shared" si="84"/>
        <v>108181.81818181818</v>
      </c>
    </row>
    <row r="868" spans="1:43" ht="24">
      <c r="A868" s="436" t="s">
        <v>5713</v>
      </c>
      <c r="B868" s="436" t="s">
        <v>3490</v>
      </c>
      <c r="C868" s="437" t="s">
        <v>3491</v>
      </c>
      <c r="D868" s="436" t="s">
        <v>5574</v>
      </c>
      <c r="E868" s="437" t="s">
        <v>4090</v>
      </c>
      <c r="F868" s="436" t="s">
        <v>3494</v>
      </c>
      <c r="G868" s="436" t="s">
        <v>3495</v>
      </c>
      <c r="H868" s="437" t="s">
        <v>3496</v>
      </c>
      <c r="I868" s="436" t="s">
        <v>3497</v>
      </c>
      <c r="J868" s="437" t="s">
        <v>3498</v>
      </c>
      <c r="K868" s="437" t="s">
        <v>3499</v>
      </c>
      <c r="L868" s="436" t="s">
        <v>3500</v>
      </c>
      <c r="M868" s="436" t="s">
        <v>4809</v>
      </c>
      <c r="N868" s="436" t="s">
        <v>3502</v>
      </c>
      <c r="O868" s="438">
        <v>119000</v>
      </c>
      <c r="P868" s="438">
        <v>80920</v>
      </c>
      <c r="Q868" s="438">
        <v>1</v>
      </c>
      <c r="R868" s="438">
        <v>0</v>
      </c>
      <c r="S868" s="438">
        <v>0</v>
      </c>
      <c r="T868" s="438">
        <v>0</v>
      </c>
      <c r="U868" s="438">
        <v>0</v>
      </c>
      <c r="V868" s="438">
        <v>0</v>
      </c>
      <c r="W868" s="438">
        <v>32</v>
      </c>
      <c r="X868" s="438">
        <v>0</v>
      </c>
      <c r="Y868" s="438">
        <v>0</v>
      </c>
      <c r="Z868" s="438">
        <v>0</v>
      </c>
      <c r="AA868" s="438">
        <v>0</v>
      </c>
      <c r="AB868" s="438">
        <v>0</v>
      </c>
      <c r="AC868" s="438">
        <v>119000</v>
      </c>
      <c r="AD868" s="438">
        <v>80920</v>
      </c>
      <c r="AE868" s="438">
        <v>0</v>
      </c>
      <c r="AF868" s="438">
        <v>0</v>
      </c>
      <c r="AG868" s="438">
        <v>119000</v>
      </c>
      <c r="AH868" s="438">
        <v>80920</v>
      </c>
      <c r="AI868" s="438">
        <v>34618</v>
      </c>
      <c r="AJ868" s="438">
        <v>3462</v>
      </c>
      <c r="AK868" s="438">
        <v>38080</v>
      </c>
      <c r="AL868" s="414" t="str">
        <f t="shared" si="79"/>
        <v>워커힐 시그니처 양념 본갈비 300g, 8개</v>
      </c>
      <c r="AM868" s="395">
        <f t="shared" si="80"/>
        <v>46065</v>
      </c>
      <c r="AN868" s="396">
        <f t="shared" si="81"/>
        <v>1</v>
      </c>
      <c r="AO868" s="109">
        <f t="shared" si="82"/>
        <v>119000</v>
      </c>
      <c r="AP868" s="109">
        <f t="shared" si="83"/>
        <v>108181.81818181818</v>
      </c>
      <c r="AQ868" s="397">
        <f t="shared" si="84"/>
        <v>108181.81818181818</v>
      </c>
    </row>
    <row r="869" spans="1:43" ht="24">
      <c r="A869" s="436" t="s">
        <v>5716</v>
      </c>
      <c r="B869" s="436" t="s">
        <v>3490</v>
      </c>
      <c r="C869" s="437" t="s">
        <v>3491</v>
      </c>
      <c r="D869" s="436" t="s">
        <v>5703</v>
      </c>
      <c r="E869" s="437" t="s">
        <v>5704</v>
      </c>
      <c r="F869" s="436" t="s">
        <v>3494</v>
      </c>
      <c r="G869" s="436" t="s">
        <v>3495</v>
      </c>
      <c r="H869" s="437" t="s">
        <v>3496</v>
      </c>
      <c r="I869" s="436" t="s">
        <v>3497</v>
      </c>
      <c r="J869" s="437" t="s">
        <v>3498</v>
      </c>
      <c r="K869" s="437" t="s">
        <v>3499</v>
      </c>
      <c r="L869" s="436" t="s">
        <v>3500</v>
      </c>
      <c r="M869" s="436" t="s">
        <v>4809</v>
      </c>
      <c r="N869" s="436" t="s">
        <v>3502</v>
      </c>
      <c r="O869" s="438">
        <v>119000</v>
      </c>
      <c r="P869" s="438">
        <v>80920</v>
      </c>
      <c r="Q869" s="438">
        <v>1</v>
      </c>
      <c r="R869" s="438">
        <v>0</v>
      </c>
      <c r="S869" s="438">
        <v>0</v>
      </c>
      <c r="T869" s="438">
        <v>0</v>
      </c>
      <c r="U869" s="438">
        <v>0</v>
      </c>
      <c r="V869" s="438">
        <v>0</v>
      </c>
      <c r="W869" s="438">
        <v>32</v>
      </c>
      <c r="X869" s="438">
        <v>0</v>
      </c>
      <c r="Y869" s="438">
        <v>0</v>
      </c>
      <c r="Z869" s="438">
        <v>0</v>
      </c>
      <c r="AA869" s="438">
        <v>0</v>
      </c>
      <c r="AB869" s="438">
        <v>0</v>
      </c>
      <c r="AC869" s="438">
        <v>119000</v>
      </c>
      <c r="AD869" s="438">
        <v>80920</v>
      </c>
      <c r="AE869" s="438">
        <v>0</v>
      </c>
      <c r="AF869" s="438">
        <v>0</v>
      </c>
      <c r="AG869" s="438">
        <v>119000</v>
      </c>
      <c r="AH869" s="438">
        <v>80920</v>
      </c>
      <c r="AI869" s="438">
        <v>34618</v>
      </c>
      <c r="AJ869" s="438">
        <v>3462</v>
      </c>
      <c r="AK869" s="438">
        <v>38080</v>
      </c>
      <c r="AL869" s="414" t="str">
        <f t="shared" si="79"/>
        <v>워커힐 시그니처 양념 본갈비 300g, 8개</v>
      </c>
      <c r="AM869" s="395">
        <f t="shared" si="80"/>
        <v>46065</v>
      </c>
      <c r="AN869" s="396">
        <f t="shared" si="81"/>
        <v>1</v>
      </c>
      <c r="AO869" s="109">
        <f t="shared" si="82"/>
        <v>119000</v>
      </c>
      <c r="AP869" s="109">
        <f t="shared" si="83"/>
        <v>108181.81818181818</v>
      </c>
      <c r="AQ869" s="397">
        <f t="shared" si="84"/>
        <v>108181.81818181818</v>
      </c>
    </row>
    <row r="870" spans="1:43" ht="24">
      <c r="A870" s="436" t="s">
        <v>5719</v>
      </c>
      <c r="B870" s="436" t="s">
        <v>3490</v>
      </c>
      <c r="C870" s="437" t="s">
        <v>3491</v>
      </c>
      <c r="D870" s="436" t="s">
        <v>5706</v>
      </c>
      <c r="E870" s="437" t="s">
        <v>5707</v>
      </c>
      <c r="F870" s="436" t="s">
        <v>3494</v>
      </c>
      <c r="G870" s="436" t="s">
        <v>3495</v>
      </c>
      <c r="H870" s="437" t="s">
        <v>3496</v>
      </c>
      <c r="I870" s="436" t="s">
        <v>3497</v>
      </c>
      <c r="J870" s="437" t="s">
        <v>3498</v>
      </c>
      <c r="K870" s="437" t="s">
        <v>3499</v>
      </c>
      <c r="L870" s="436" t="s">
        <v>3500</v>
      </c>
      <c r="M870" s="436" t="s">
        <v>4809</v>
      </c>
      <c r="N870" s="436" t="s">
        <v>3502</v>
      </c>
      <c r="O870" s="438">
        <v>119000</v>
      </c>
      <c r="P870" s="438">
        <v>80920</v>
      </c>
      <c r="Q870" s="438">
        <v>1</v>
      </c>
      <c r="R870" s="438">
        <v>0</v>
      </c>
      <c r="S870" s="438">
        <v>0</v>
      </c>
      <c r="T870" s="438">
        <v>0</v>
      </c>
      <c r="U870" s="438">
        <v>0</v>
      </c>
      <c r="V870" s="438">
        <v>0</v>
      </c>
      <c r="W870" s="438">
        <v>32</v>
      </c>
      <c r="X870" s="438">
        <v>0</v>
      </c>
      <c r="Y870" s="438">
        <v>0</v>
      </c>
      <c r="Z870" s="438">
        <v>0</v>
      </c>
      <c r="AA870" s="438">
        <v>0</v>
      </c>
      <c r="AB870" s="438">
        <v>0</v>
      </c>
      <c r="AC870" s="438">
        <v>119000</v>
      </c>
      <c r="AD870" s="438">
        <v>80920</v>
      </c>
      <c r="AE870" s="438">
        <v>0</v>
      </c>
      <c r="AF870" s="438">
        <v>0</v>
      </c>
      <c r="AG870" s="438">
        <v>119000</v>
      </c>
      <c r="AH870" s="438">
        <v>80920</v>
      </c>
      <c r="AI870" s="438">
        <v>34618</v>
      </c>
      <c r="AJ870" s="438">
        <v>3462</v>
      </c>
      <c r="AK870" s="438">
        <v>38080</v>
      </c>
      <c r="AL870" s="414" t="str">
        <f t="shared" si="79"/>
        <v>워커힐 시그니처 양념 본갈비 300g, 8개</v>
      </c>
      <c r="AM870" s="395">
        <f t="shared" si="80"/>
        <v>46065</v>
      </c>
      <c r="AN870" s="396">
        <f t="shared" si="81"/>
        <v>1</v>
      </c>
      <c r="AO870" s="109">
        <f t="shared" si="82"/>
        <v>119000</v>
      </c>
      <c r="AP870" s="109">
        <f t="shared" si="83"/>
        <v>108181.81818181818</v>
      </c>
      <c r="AQ870" s="397">
        <f t="shared" si="84"/>
        <v>108181.81818181818</v>
      </c>
    </row>
    <row r="871" spans="1:43" ht="24">
      <c r="A871" s="436" t="s">
        <v>5721</v>
      </c>
      <c r="B871" s="436" t="s">
        <v>3490</v>
      </c>
      <c r="C871" s="437" t="s">
        <v>3491</v>
      </c>
      <c r="D871" s="436" t="s">
        <v>5709</v>
      </c>
      <c r="E871" s="437" t="s">
        <v>5710</v>
      </c>
      <c r="F871" s="436" t="s">
        <v>3494</v>
      </c>
      <c r="G871" s="436" t="s">
        <v>3495</v>
      </c>
      <c r="H871" s="437" t="s">
        <v>3496</v>
      </c>
      <c r="I871" s="436" t="s">
        <v>3497</v>
      </c>
      <c r="J871" s="437" t="s">
        <v>3498</v>
      </c>
      <c r="K871" s="437" t="s">
        <v>3499</v>
      </c>
      <c r="L871" s="436" t="s">
        <v>3500</v>
      </c>
      <c r="M871" s="436" t="s">
        <v>4809</v>
      </c>
      <c r="N871" s="436" t="s">
        <v>3502</v>
      </c>
      <c r="O871" s="438">
        <v>119000</v>
      </c>
      <c r="P871" s="438">
        <v>80920</v>
      </c>
      <c r="Q871" s="438">
        <v>1</v>
      </c>
      <c r="R871" s="438">
        <v>0</v>
      </c>
      <c r="S871" s="438">
        <v>0</v>
      </c>
      <c r="T871" s="438">
        <v>0</v>
      </c>
      <c r="U871" s="438">
        <v>0</v>
      </c>
      <c r="V871" s="438">
        <v>0</v>
      </c>
      <c r="W871" s="438">
        <v>32</v>
      </c>
      <c r="X871" s="438">
        <v>0</v>
      </c>
      <c r="Y871" s="438">
        <v>0</v>
      </c>
      <c r="Z871" s="438">
        <v>0</v>
      </c>
      <c r="AA871" s="438">
        <v>0</v>
      </c>
      <c r="AB871" s="438">
        <v>0</v>
      </c>
      <c r="AC871" s="438">
        <v>119000</v>
      </c>
      <c r="AD871" s="438">
        <v>80920</v>
      </c>
      <c r="AE871" s="438">
        <v>0</v>
      </c>
      <c r="AF871" s="438">
        <v>0</v>
      </c>
      <c r="AG871" s="438">
        <v>119000</v>
      </c>
      <c r="AH871" s="438">
        <v>80920</v>
      </c>
      <c r="AI871" s="438">
        <v>34618</v>
      </c>
      <c r="AJ871" s="438">
        <v>3462</v>
      </c>
      <c r="AK871" s="438">
        <v>38080</v>
      </c>
      <c r="AL871" s="414" t="str">
        <f t="shared" si="79"/>
        <v>워커힐 시그니처 양념 본갈비 300g, 8개</v>
      </c>
      <c r="AM871" s="395">
        <f t="shared" si="80"/>
        <v>46065</v>
      </c>
      <c r="AN871" s="396">
        <f t="shared" si="81"/>
        <v>1</v>
      </c>
      <c r="AO871" s="109">
        <f t="shared" si="82"/>
        <v>119000</v>
      </c>
      <c r="AP871" s="109">
        <f t="shared" si="83"/>
        <v>108181.81818181818</v>
      </c>
      <c r="AQ871" s="397">
        <f t="shared" si="84"/>
        <v>108181.81818181818</v>
      </c>
    </row>
    <row r="872" spans="1:43" ht="24">
      <c r="A872" s="436" t="s">
        <v>5724</v>
      </c>
      <c r="B872" s="436" t="s">
        <v>3490</v>
      </c>
      <c r="C872" s="437" t="s">
        <v>3491</v>
      </c>
      <c r="D872" s="436" t="s">
        <v>5712</v>
      </c>
      <c r="E872" s="437" t="s">
        <v>4255</v>
      </c>
      <c r="F872" s="436" t="s">
        <v>3494</v>
      </c>
      <c r="G872" s="436" t="s">
        <v>3495</v>
      </c>
      <c r="H872" s="437" t="s">
        <v>3496</v>
      </c>
      <c r="I872" s="436" t="s">
        <v>3497</v>
      </c>
      <c r="J872" s="437" t="s">
        <v>3498</v>
      </c>
      <c r="K872" s="437" t="s">
        <v>3499</v>
      </c>
      <c r="L872" s="436" t="s">
        <v>3500</v>
      </c>
      <c r="M872" s="436" t="s">
        <v>4809</v>
      </c>
      <c r="N872" s="436" t="s">
        <v>3502</v>
      </c>
      <c r="O872" s="438">
        <v>119000</v>
      </c>
      <c r="P872" s="438">
        <v>80920</v>
      </c>
      <c r="Q872" s="438">
        <v>1</v>
      </c>
      <c r="R872" s="438">
        <v>0</v>
      </c>
      <c r="S872" s="438">
        <v>0</v>
      </c>
      <c r="T872" s="438">
        <v>0</v>
      </c>
      <c r="U872" s="438">
        <v>0</v>
      </c>
      <c r="V872" s="438">
        <v>0</v>
      </c>
      <c r="W872" s="438">
        <v>32</v>
      </c>
      <c r="X872" s="438">
        <v>0</v>
      </c>
      <c r="Y872" s="438">
        <v>0</v>
      </c>
      <c r="Z872" s="438">
        <v>0</v>
      </c>
      <c r="AA872" s="438">
        <v>0</v>
      </c>
      <c r="AB872" s="438">
        <v>0</v>
      </c>
      <c r="AC872" s="438">
        <v>119000</v>
      </c>
      <c r="AD872" s="438">
        <v>80920</v>
      </c>
      <c r="AE872" s="438">
        <v>0</v>
      </c>
      <c r="AF872" s="438">
        <v>0</v>
      </c>
      <c r="AG872" s="438">
        <v>119000</v>
      </c>
      <c r="AH872" s="438">
        <v>80920</v>
      </c>
      <c r="AI872" s="438">
        <v>34618</v>
      </c>
      <c r="AJ872" s="438">
        <v>3462</v>
      </c>
      <c r="AK872" s="438">
        <v>38080</v>
      </c>
      <c r="AL872" s="414" t="str">
        <f t="shared" si="79"/>
        <v>워커힐 시그니처 양념 본갈비 300g, 8개</v>
      </c>
      <c r="AM872" s="395">
        <f t="shared" si="80"/>
        <v>46065</v>
      </c>
      <c r="AN872" s="396">
        <f t="shared" si="81"/>
        <v>1</v>
      </c>
      <c r="AO872" s="109">
        <f t="shared" si="82"/>
        <v>119000</v>
      </c>
      <c r="AP872" s="109">
        <f t="shared" si="83"/>
        <v>108181.81818181818</v>
      </c>
      <c r="AQ872" s="397">
        <f t="shared" si="84"/>
        <v>108181.81818181818</v>
      </c>
    </row>
    <row r="873" spans="1:43" ht="24">
      <c r="A873" s="436" t="s">
        <v>5727</v>
      </c>
      <c r="B873" s="436" t="s">
        <v>3490</v>
      </c>
      <c r="C873" s="437" t="s">
        <v>3491</v>
      </c>
      <c r="D873" s="436" t="s">
        <v>5717</v>
      </c>
      <c r="E873" s="437" t="s">
        <v>5718</v>
      </c>
      <c r="F873" s="436" t="s">
        <v>3494</v>
      </c>
      <c r="G873" s="436" t="s">
        <v>3495</v>
      </c>
      <c r="H873" s="437" t="s">
        <v>3496</v>
      </c>
      <c r="I873" s="436" t="s">
        <v>3497</v>
      </c>
      <c r="J873" s="437" t="s">
        <v>3498</v>
      </c>
      <c r="K873" s="437" t="s">
        <v>3499</v>
      </c>
      <c r="L873" s="436" t="s">
        <v>3500</v>
      </c>
      <c r="M873" s="436" t="s">
        <v>4809</v>
      </c>
      <c r="N873" s="436" t="s">
        <v>3502</v>
      </c>
      <c r="O873" s="438">
        <v>119000</v>
      </c>
      <c r="P873" s="438">
        <v>80920</v>
      </c>
      <c r="Q873" s="438">
        <v>1</v>
      </c>
      <c r="R873" s="438">
        <v>0</v>
      </c>
      <c r="S873" s="438">
        <v>0</v>
      </c>
      <c r="T873" s="438">
        <v>0</v>
      </c>
      <c r="U873" s="438">
        <v>0</v>
      </c>
      <c r="V873" s="438">
        <v>0</v>
      </c>
      <c r="W873" s="438">
        <v>32</v>
      </c>
      <c r="X873" s="438">
        <v>0</v>
      </c>
      <c r="Y873" s="438">
        <v>0</v>
      </c>
      <c r="Z873" s="438">
        <v>0</v>
      </c>
      <c r="AA873" s="438">
        <v>0</v>
      </c>
      <c r="AB873" s="438">
        <v>0</v>
      </c>
      <c r="AC873" s="438">
        <v>119000</v>
      </c>
      <c r="AD873" s="438">
        <v>80920</v>
      </c>
      <c r="AE873" s="438">
        <v>0</v>
      </c>
      <c r="AF873" s="438">
        <v>0</v>
      </c>
      <c r="AG873" s="438">
        <v>119000</v>
      </c>
      <c r="AH873" s="438">
        <v>80920</v>
      </c>
      <c r="AI873" s="438">
        <v>34618</v>
      </c>
      <c r="AJ873" s="438">
        <v>3462</v>
      </c>
      <c r="AK873" s="438">
        <v>38080</v>
      </c>
      <c r="AL873" s="414" t="str">
        <f t="shared" si="79"/>
        <v>워커힐 시그니처 양념 본갈비 300g, 8개</v>
      </c>
      <c r="AM873" s="395">
        <f t="shared" si="80"/>
        <v>46065</v>
      </c>
      <c r="AN873" s="396">
        <f t="shared" si="81"/>
        <v>1</v>
      </c>
      <c r="AO873" s="109">
        <f t="shared" si="82"/>
        <v>119000</v>
      </c>
      <c r="AP873" s="109">
        <f t="shared" si="83"/>
        <v>108181.81818181818</v>
      </c>
      <c r="AQ873" s="397">
        <f t="shared" si="84"/>
        <v>108181.81818181818</v>
      </c>
    </row>
    <row r="874" spans="1:43" ht="24">
      <c r="A874" s="436" t="s">
        <v>5729</v>
      </c>
      <c r="B874" s="436" t="s">
        <v>3490</v>
      </c>
      <c r="C874" s="437" t="s">
        <v>3491</v>
      </c>
      <c r="D874" s="436" t="s">
        <v>5720</v>
      </c>
      <c r="E874" s="437" t="s">
        <v>3999</v>
      </c>
      <c r="F874" s="436" t="s">
        <v>3494</v>
      </c>
      <c r="G874" s="436" t="s">
        <v>3495</v>
      </c>
      <c r="H874" s="437" t="s">
        <v>3496</v>
      </c>
      <c r="I874" s="436" t="s">
        <v>3497</v>
      </c>
      <c r="J874" s="437" t="s">
        <v>3498</v>
      </c>
      <c r="K874" s="437" t="s">
        <v>3548</v>
      </c>
      <c r="L874" s="436" t="s">
        <v>3500</v>
      </c>
      <c r="M874" s="436" t="s">
        <v>4809</v>
      </c>
      <c r="N874" s="436" t="s">
        <v>3502</v>
      </c>
      <c r="O874" s="438">
        <v>119000</v>
      </c>
      <c r="P874" s="438">
        <v>80920</v>
      </c>
      <c r="Q874" s="438">
        <v>1</v>
      </c>
      <c r="R874" s="438">
        <v>0</v>
      </c>
      <c r="S874" s="438">
        <v>0</v>
      </c>
      <c r="T874" s="438">
        <v>0</v>
      </c>
      <c r="U874" s="438">
        <v>0</v>
      </c>
      <c r="V874" s="438">
        <v>0</v>
      </c>
      <c r="W874" s="438">
        <v>32</v>
      </c>
      <c r="X874" s="438">
        <v>0</v>
      </c>
      <c r="Y874" s="438">
        <v>0</v>
      </c>
      <c r="Z874" s="438">
        <v>0</v>
      </c>
      <c r="AA874" s="438">
        <v>0</v>
      </c>
      <c r="AB874" s="438">
        <v>0</v>
      </c>
      <c r="AC874" s="438">
        <v>119000</v>
      </c>
      <c r="AD874" s="438">
        <v>80920</v>
      </c>
      <c r="AE874" s="438">
        <v>0</v>
      </c>
      <c r="AF874" s="438">
        <v>0</v>
      </c>
      <c r="AG874" s="438">
        <v>119000</v>
      </c>
      <c r="AH874" s="438">
        <v>80920</v>
      </c>
      <c r="AI874" s="438">
        <v>34618</v>
      </c>
      <c r="AJ874" s="438">
        <v>3462</v>
      </c>
      <c r="AK874" s="438">
        <v>38080</v>
      </c>
      <c r="AL874" s="414" t="str">
        <f t="shared" si="79"/>
        <v>워커힐 시그니처 양념 본갈비 300g, 8개</v>
      </c>
      <c r="AM874" s="395">
        <f t="shared" si="80"/>
        <v>46065</v>
      </c>
      <c r="AN874" s="396">
        <f t="shared" si="81"/>
        <v>1</v>
      </c>
      <c r="AO874" s="109">
        <f t="shared" si="82"/>
        <v>119000</v>
      </c>
      <c r="AP874" s="109">
        <f t="shared" si="83"/>
        <v>108181.81818181818</v>
      </c>
      <c r="AQ874" s="397">
        <f t="shared" si="84"/>
        <v>108181.81818181818</v>
      </c>
    </row>
    <row r="875" spans="1:43" ht="24">
      <c r="A875" s="436" t="s">
        <v>5732</v>
      </c>
      <c r="B875" s="436" t="s">
        <v>3490</v>
      </c>
      <c r="C875" s="437" t="s">
        <v>3491</v>
      </c>
      <c r="D875" s="436" t="s">
        <v>5722</v>
      </c>
      <c r="E875" s="437" t="s">
        <v>5723</v>
      </c>
      <c r="F875" s="436" t="s">
        <v>3494</v>
      </c>
      <c r="G875" s="436" t="s">
        <v>3495</v>
      </c>
      <c r="H875" s="437" t="s">
        <v>3496</v>
      </c>
      <c r="I875" s="436" t="s">
        <v>3497</v>
      </c>
      <c r="J875" s="437" t="s">
        <v>3498</v>
      </c>
      <c r="K875" s="437" t="s">
        <v>3499</v>
      </c>
      <c r="L875" s="436" t="s">
        <v>3500</v>
      </c>
      <c r="M875" s="436" t="s">
        <v>4809</v>
      </c>
      <c r="N875" s="436" t="s">
        <v>3502</v>
      </c>
      <c r="O875" s="438">
        <v>119000</v>
      </c>
      <c r="P875" s="438">
        <v>80920</v>
      </c>
      <c r="Q875" s="438">
        <v>1</v>
      </c>
      <c r="R875" s="438">
        <v>0</v>
      </c>
      <c r="S875" s="438">
        <v>0</v>
      </c>
      <c r="T875" s="438">
        <v>0</v>
      </c>
      <c r="U875" s="438">
        <v>0</v>
      </c>
      <c r="V875" s="438">
        <v>0</v>
      </c>
      <c r="W875" s="438">
        <v>32</v>
      </c>
      <c r="X875" s="438">
        <v>0</v>
      </c>
      <c r="Y875" s="438">
        <v>0</v>
      </c>
      <c r="Z875" s="438">
        <v>0</v>
      </c>
      <c r="AA875" s="438">
        <v>0</v>
      </c>
      <c r="AB875" s="438">
        <v>0</v>
      </c>
      <c r="AC875" s="438">
        <v>119000</v>
      </c>
      <c r="AD875" s="438">
        <v>80920</v>
      </c>
      <c r="AE875" s="438">
        <v>0</v>
      </c>
      <c r="AF875" s="438">
        <v>0</v>
      </c>
      <c r="AG875" s="438">
        <v>119000</v>
      </c>
      <c r="AH875" s="438">
        <v>80920</v>
      </c>
      <c r="AI875" s="438">
        <v>34618</v>
      </c>
      <c r="AJ875" s="438">
        <v>3462</v>
      </c>
      <c r="AK875" s="438">
        <v>38080</v>
      </c>
      <c r="AL875" s="414" t="str">
        <f t="shared" si="79"/>
        <v>워커힐 시그니처 양념 본갈비 300g, 8개</v>
      </c>
      <c r="AM875" s="395">
        <f t="shared" si="80"/>
        <v>46065</v>
      </c>
      <c r="AN875" s="396">
        <f t="shared" si="81"/>
        <v>1</v>
      </c>
      <c r="AO875" s="109">
        <f t="shared" si="82"/>
        <v>119000</v>
      </c>
      <c r="AP875" s="109">
        <f t="shared" si="83"/>
        <v>108181.81818181818</v>
      </c>
      <c r="AQ875" s="397">
        <f t="shared" si="84"/>
        <v>108181.81818181818</v>
      </c>
    </row>
    <row r="876" spans="1:43" ht="24">
      <c r="A876" s="436" t="s">
        <v>5734</v>
      </c>
      <c r="B876" s="436" t="s">
        <v>3490</v>
      </c>
      <c r="C876" s="437" t="s">
        <v>3491</v>
      </c>
      <c r="D876" s="436" t="s">
        <v>5620</v>
      </c>
      <c r="E876" s="437" t="s">
        <v>3541</v>
      </c>
      <c r="F876" s="436" t="s">
        <v>3494</v>
      </c>
      <c r="G876" s="436" t="s">
        <v>3495</v>
      </c>
      <c r="H876" s="437" t="s">
        <v>3496</v>
      </c>
      <c r="I876" s="436" t="s">
        <v>3497</v>
      </c>
      <c r="J876" s="437" t="s">
        <v>3498</v>
      </c>
      <c r="K876" s="437" t="s">
        <v>3499</v>
      </c>
      <c r="L876" s="436" t="s">
        <v>3500</v>
      </c>
      <c r="M876" s="436" t="s">
        <v>4809</v>
      </c>
      <c r="N876" s="436" t="s">
        <v>3502</v>
      </c>
      <c r="O876" s="438">
        <v>119000</v>
      </c>
      <c r="P876" s="438">
        <v>80920</v>
      </c>
      <c r="Q876" s="438">
        <v>2</v>
      </c>
      <c r="R876" s="438">
        <v>0</v>
      </c>
      <c r="S876" s="438">
        <v>0</v>
      </c>
      <c r="T876" s="438">
        <v>0</v>
      </c>
      <c r="U876" s="438">
        <v>0</v>
      </c>
      <c r="V876" s="438">
        <v>0</v>
      </c>
      <c r="W876" s="438">
        <v>32</v>
      </c>
      <c r="X876" s="438">
        <v>0</v>
      </c>
      <c r="Y876" s="438">
        <v>0</v>
      </c>
      <c r="Z876" s="438">
        <v>0</v>
      </c>
      <c r="AA876" s="438">
        <v>0</v>
      </c>
      <c r="AB876" s="438">
        <v>0</v>
      </c>
      <c r="AC876" s="438">
        <v>238000</v>
      </c>
      <c r="AD876" s="438">
        <v>161840</v>
      </c>
      <c r="AE876" s="438">
        <v>0</v>
      </c>
      <c r="AF876" s="438">
        <v>0</v>
      </c>
      <c r="AG876" s="438">
        <v>238000</v>
      </c>
      <c r="AH876" s="438">
        <v>161840</v>
      </c>
      <c r="AI876" s="438">
        <v>69236</v>
      </c>
      <c r="AJ876" s="438">
        <v>6924</v>
      </c>
      <c r="AK876" s="438">
        <v>76160</v>
      </c>
      <c r="AL876" s="414" t="str">
        <f t="shared" si="79"/>
        <v>워커힐 시그니처 양념 본갈비 300g, 8개</v>
      </c>
      <c r="AM876" s="395">
        <f t="shared" si="80"/>
        <v>46065</v>
      </c>
      <c r="AN876" s="396">
        <f t="shared" si="81"/>
        <v>2</v>
      </c>
      <c r="AO876" s="109">
        <f t="shared" si="82"/>
        <v>119000</v>
      </c>
      <c r="AP876" s="109">
        <f t="shared" si="83"/>
        <v>108181.81818181818</v>
      </c>
      <c r="AQ876" s="397">
        <f t="shared" si="84"/>
        <v>216363.63636363635</v>
      </c>
    </row>
    <row r="877" spans="1:43" ht="24">
      <c r="A877" s="436" t="s">
        <v>5737</v>
      </c>
      <c r="B877" s="436" t="s">
        <v>3490</v>
      </c>
      <c r="C877" s="437" t="s">
        <v>3491</v>
      </c>
      <c r="D877" s="436" t="s">
        <v>5622</v>
      </c>
      <c r="E877" s="437" t="s">
        <v>4632</v>
      </c>
      <c r="F877" s="436" t="s">
        <v>3494</v>
      </c>
      <c r="G877" s="436" t="s">
        <v>3495</v>
      </c>
      <c r="H877" s="437" t="s">
        <v>3496</v>
      </c>
      <c r="I877" s="436" t="s">
        <v>3497</v>
      </c>
      <c r="J877" s="437" t="s">
        <v>3498</v>
      </c>
      <c r="K877" s="437" t="s">
        <v>3499</v>
      </c>
      <c r="L877" s="436" t="s">
        <v>3500</v>
      </c>
      <c r="M877" s="436" t="s">
        <v>4809</v>
      </c>
      <c r="N877" s="436" t="s">
        <v>3502</v>
      </c>
      <c r="O877" s="438">
        <v>119000</v>
      </c>
      <c r="P877" s="438">
        <v>80920</v>
      </c>
      <c r="Q877" s="438">
        <v>1</v>
      </c>
      <c r="R877" s="438">
        <v>0</v>
      </c>
      <c r="S877" s="438">
        <v>0</v>
      </c>
      <c r="T877" s="438">
        <v>0</v>
      </c>
      <c r="U877" s="438">
        <v>0</v>
      </c>
      <c r="V877" s="438">
        <v>0</v>
      </c>
      <c r="W877" s="438">
        <v>32</v>
      </c>
      <c r="X877" s="438">
        <v>0</v>
      </c>
      <c r="Y877" s="438">
        <v>0</v>
      </c>
      <c r="Z877" s="438">
        <v>0</v>
      </c>
      <c r="AA877" s="438">
        <v>0</v>
      </c>
      <c r="AB877" s="438">
        <v>5950</v>
      </c>
      <c r="AC877" s="438">
        <v>119000</v>
      </c>
      <c r="AD877" s="438">
        <v>80920</v>
      </c>
      <c r="AE877" s="438">
        <v>0</v>
      </c>
      <c r="AF877" s="438">
        <v>5950</v>
      </c>
      <c r="AG877" s="438">
        <v>113050</v>
      </c>
      <c r="AH877" s="438">
        <v>80920</v>
      </c>
      <c r="AI877" s="438">
        <v>29209</v>
      </c>
      <c r="AJ877" s="438">
        <v>2921</v>
      </c>
      <c r="AK877" s="438">
        <v>32130</v>
      </c>
      <c r="AL877" s="414" t="str">
        <f t="shared" si="79"/>
        <v>워커힐 시그니처 양념 본갈비 300g, 8개</v>
      </c>
      <c r="AM877" s="395">
        <f t="shared" si="80"/>
        <v>46065</v>
      </c>
      <c r="AN877" s="396">
        <f t="shared" si="81"/>
        <v>1</v>
      </c>
      <c r="AO877" s="109">
        <f t="shared" si="82"/>
        <v>119000</v>
      </c>
      <c r="AP877" s="109">
        <f t="shared" si="83"/>
        <v>108181.81818181818</v>
      </c>
      <c r="AQ877" s="397">
        <f t="shared" si="84"/>
        <v>108181.81818181818</v>
      </c>
    </row>
    <row r="878" spans="1:43" ht="24">
      <c r="A878" s="436" t="s">
        <v>5740</v>
      </c>
      <c r="B878" s="436" t="s">
        <v>3490</v>
      </c>
      <c r="C878" s="437" t="s">
        <v>3491</v>
      </c>
      <c r="D878" s="436" t="s">
        <v>5597</v>
      </c>
      <c r="E878" s="437" t="s">
        <v>3624</v>
      </c>
      <c r="F878" s="436" t="s">
        <v>3494</v>
      </c>
      <c r="G878" s="436" t="s">
        <v>3495</v>
      </c>
      <c r="H878" s="437" t="s">
        <v>3496</v>
      </c>
      <c r="I878" s="436" t="s">
        <v>3497</v>
      </c>
      <c r="J878" s="437" t="s">
        <v>3498</v>
      </c>
      <c r="K878" s="437" t="s">
        <v>3499</v>
      </c>
      <c r="L878" s="436" t="s">
        <v>3500</v>
      </c>
      <c r="M878" s="436" t="s">
        <v>4809</v>
      </c>
      <c r="N878" s="436" t="s">
        <v>3502</v>
      </c>
      <c r="O878" s="438">
        <v>119000</v>
      </c>
      <c r="P878" s="438">
        <v>80920</v>
      </c>
      <c r="Q878" s="438">
        <v>1</v>
      </c>
      <c r="R878" s="438">
        <v>0</v>
      </c>
      <c r="S878" s="438">
        <v>0</v>
      </c>
      <c r="T878" s="438">
        <v>0</v>
      </c>
      <c r="U878" s="438">
        <v>0</v>
      </c>
      <c r="V878" s="438">
        <v>0</v>
      </c>
      <c r="W878" s="438">
        <v>32</v>
      </c>
      <c r="X878" s="438">
        <v>0</v>
      </c>
      <c r="Y878" s="438">
        <v>5000</v>
      </c>
      <c r="Z878" s="438">
        <v>0</v>
      </c>
      <c r="AA878" s="438">
        <v>0</v>
      </c>
      <c r="AB878" s="438">
        <v>0</v>
      </c>
      <c r="AC878" s="438">
        <v>119000</v>
      </c>
      <c r="AD878" s="438">
        <v>80920</v>
      </c>
      <c r="AE878" s="438">
        <v>0</v>
      </c>
      <c r="AF878" s="438">
        <v>5000</v>
      </c>
      <c r="AG878" s="438">
        <v>114000</v>
      </c>
      <c r="AH878" s="438">
        <v>80920</v>
      </c>
      <c r="AI878" s="438">
        <v>30073</v>
      </c>
      <c r="AJ878" s="438">
        <v>3007</v>
      </c>
      <c r="AK878" s="438">
        <v>33080</v>
      </c>
      <c r="AL878" s="414" t="str">
        <f t="shared" si="79"/>
        <v>워커힐 시그니처 양념 본갈비 300g, 8개</v>
      </c>
      <c r="AM878" s="395">
        <f t="shared" si="80"/>
        <v>46065</v>
      </c>
      <c r="AN878" s="396">
        <f t="shared" si="81"/>
        <v>1</v>
      </c>
      <c r="AO878" s="109">
        <f t="shared" si="82"/>
        <v>119000</v>
      </c>
      <c r="AP878" s="109">
        <f t="shared" si="83"/>
        <v>108181.81818181818</v>
      </c>
      <c r="AQ878" s="397">
        <f t="shared" si="84"/>
        <v>108181.81818181818</v>
      </c>
    </row>
    <row r="879" spans="1:43" ht="24">
      <c r="A879" s="436" t="s">
        <v>5743</v>
      </c>
      <c r="B879" s="436" t="s">
        <v>3490</v>
      </c>
      <c r="C879" s="437" t="s">
        <v>3491</v>
      </c>
      <c r="D879" s="436" t="s">
        <v>5735</v>
      </c>
      <c r="E879" s="437" t="s">
        <v>5736</v>
      </c>
      <c r="F879" s="436" t="s">
        <v>3494</v>
      </c>
      <c r="G879" s="436" t="s">
        <v>3495</v>
      </c>
      <c r="H879" s="437" t="s">
        <v>3496</v>
      </c>
      <c r="I879" s="436" t="s">
        <v>3497</v>
      </c>
      <c r="J879" s="437" t="s">
        <v>3498</v>
      </c>
      <c r="K879" s="437" t="s">
        <v>3499</v>
      </c>
      <c r="L879" s="436" t="s">
        <v>3500</v>
      </c>
      <c r="M879" s="436" t="s">
        <v>4809</v>
      </c>
      <c r="N879" s="436" t="s">
        <v>3502</v>
      </c>
      <c r="O879" s="438">
        <v>119000</v>
      </c>
      <c r="P879" s="438">
        <v>80920</v>
      </c>
      <c r="Q879" s="438">
        <v>1</v>
      </c>
      <c r="R879" s="438">
        <v>0</v>
      </c>
      <c r="S879" s="438">
        <v>0</v>
      </c>
      <c r="T879" s="438">
        <v>0</v>
      </c>
      <c r="U879" s="438">
        <v>0</v>
      </c>
      <c r="V879" s="438">
        <v>0</v>
      </c>
      <c r="W879" s="438">
        <v>32</v>
      </c>
      <c r="X879" s="438">
        <v>0</v>
      </c>
      <c r="Y879" s="438">
        <v>0</v>
      </c>
      <c r="Z879" s="438">
        <v>0</v>
      </c>
      <c r="AA879" s="438">
        <v>0</v>
      </c>
      <c r="AB879" s="438">
        <v>0</v>
      </c>
      <c r="AC879" s="438">
        <v>119000</v>
      </c>
      <c r="AD879" s="438">
        <v>80920</v>
      </c>
      <c r="AE879" s="438">
        <v>0</v>
      </c>
      <c r="AF879" s="438">
        <v>0</v>
      </c>
      <c r="AG879" s="438">
        <v>119000</v>
      </c>
      <c r="AH879" s="438">
        <v>80920</v>
      </c>
      <c r="AI879" s="438">
        <v>34618</v>
      </c>
      <c r="AJ879" s="438">
        <v>3462</v>
      </c>
      <c r="AK879" s="438">
        <v>38080</v>
      </c>
      <c r="AL879" s="414" t="str">
        <f t="shared" si="79"/>
        <v>워커힐 시그니처 양념 본갈비 300g, 8개</v>
      </c>
      <c r="AM879" s="395">
        <f t="shared" si="80"/>
        <v>46065</v>
      </c>
      <c r="AN879" s="396">
        <f t="shared" si="81"/>
        <v>1</v>
      </c>
      <c r="AO879" s="109">
        <f t="shared" si="82"/>
        <v>119000</v>
      </c>
      <c r="AP879" s="109">
        <f t="shared" si="83"/>
        <v>108181.81818181818</v>
      </c>
      <c r="AQ879" s="397">
        <f t="shared" si="84"/>
        <v>108181.81818181818</v>
      </c>
    </row>
    <row r="880" spans="1:43" ht="24">
      <c r="A880" s="436" t="s">
        <v>5745</v>
      </c>
      <c r="B880" s="436" t="s">
        <v>3490</v>
      </c>
      <c r="C880" s="437" t="s">
        <v>3491</v>
      </c>
      <c r="D880" s="436" t="s">
        <v>5738</v>
      </c>
      <c r="E880" s="437" t="s">
        <v>5739</v>
      </c>
      <c r="F880" s="436" t="s">
        <v>3494</v>
      </c>
      <c r="G880" s="436" t="s">
        <v>3495</v>
      </c>
      <c r="H880" s="437" t="s">
        <v>3496</v>
      </c>
      <c r="I880" s="436" t="s">
        <v>3497</v>
      </c>
      <c r="J880" s="437" t="s">
        <v>3498</v>
      </c>
      <c r="K880" s="437" t="s">
        <v>3548</v>
      </c>
      <c r="L880" s="436" t="s">
        <v>3500</v>
      </c>
      <c r="M880" s="436" t="s">
        <v>4809</v>
      </c>
      <c r="N880" s="436" t="s">
        <v>3502</v>
      </c>
      <c r="O880" s="438">
        <v>119000</v>
      </c>
      <c r="P880" s="438">
        <v>80920</v>
      </c>
      <c r="Q880" s="438">
        <v>1</v>
      </c>
      <c r="R880" s="438">
        <v>0</v>
      </c>
      <c r="S880" s="438">
        <v>0</v>
      </c>
      <c r="T880" s="438">
        <v>0</v>
      </c>
      <c r="U880" s="438">
        <v>0</v>
      </c>
      <c r="V880" s="438">
        <v>0</v>
      </c>
      <c r="W880" s="438">
        <v>32</v>
      </c>
      <c r="X880" s="438">
        <v>0</v>
      </c>
      <c r="Y880" s="438">
        <v>0</v>
      </c>
      <c r="Z880" s="438">
        <v>0</v>
      </c>
      <c r="AA880" s="438">
        <v>0</v>
      </c>
      <c r="AB880" s="438">
        <v>0</v>
      </c>
      <c r="AC880" s="438">
        <v>119000</v>
      </c>
      <c r="AD880" s="438">
        <v>80920</v>
      </c>
      <c r="AE880" s="438">
        <v>0</v>
      </c>
      <c r="AF880" s="438">
        <v>0</v>
      </c>
      <c r="AG880" s="438">
        <v>119000</v>
      </c>
      <c r="AH880" s="438">
        <v>80920</v>
      </c>
      <c r="AI880" s="438">
        <v>34618</v>
      </c>
      <c r="AJ880" s="438">
        <v>3462</v>
      </c>
      <c r="AK880" s="438">
        <v>38080</v>
      </c>
      <c r="AL880" s="414" t="str">
        <f t="shared" si="79"/>
        <v>워커힐 시그니처 양념 본갈비 300g, 8개</v>
      </c>
      <c r="AM880" s="395">
        <f t="shared" si="80"/>
        <v>46065</v>
      </c>
      <c r="AN880" s="396">
        <f t="shared" si="81"/>
        <v>1</v>
      </c>
      <c r="AO880" s="109">
        <f t="shared" si="82"/>
        <v>119000</v>
      </c>
      <c r="AP880" s="109">
        <f t="shared" si="83"/>
        <v>108181.81818181818</v>
      </c>
      <c r="AQ880" s="397">
        <f t="shared" si="84"/>
        <v>108181.81818181818</v>
      </c>
    </row>
    <row r="881" spans="1:43" ht="24">
      <c r="A881" s="436" t="s">
        <v>5748</v>
      </c>
      <c r="B881" s="436" t="s">
        <v>3490</v>
      </c>
      <c r="C881" s="437" t="s">
        <v>3491</v>
      </c>
      <c r="D881" s="436" t="s">
        <v>5749</v>
      </c>
      <c r="E881" s="437" t="s">
        <v>5750</v>
      </c>
      <c r="F881" s="436" t="s">
        <v>3494</v>
      </c>
      <c r="G881" s="436" t="s">
        <v>3495</v>
      </c>
      <c r="H881" s="437" t="s">
        <v>3496</v>
      </c>
      <c r="I881" s="436" t="s">
        <v>3497</v>
      </c>
      <c r="J881" s="437" t="s">
        <v>3498</v>
      </c>
      <c r="K881" s="437" t="s">
        <v>3499</v>
      </c>
      <c r="L881" s="436" t="s">
        <v>3500</v>
      </c>
      <c r="M881" s="436" t="s">
        <v>5751</v>
      </c>
      <c r="N881" s="436" t="s">
        <v>3502</v>
      </c>
      <c r="O881" s="438">
        <v>119000</v>
      </c>
      <c r="P881" s="438">
        <v>80920</v>
      </c>
      <c r="Q881" s="438">
        <v>1</v>
      </c>
      <c r="R881" s="438">
        <v>0</v>
      </c>
      <c r="S881" s="438">
        <v>0</v>
      </c>
      <c r="T881" s="438">
        <v>0</v>
      </c>
      <c r="U881" s="438">
        <v>0</v>
      </c>
      <c r="V881" s="438">
        <v>0</v>
      </c>
      <c r="W881" s="438">
        <v>32</v>
      </c>
      <c r="X881" s="438">
        <v>0</v>
      </c>
      <c r="Y881" s="438">
        <v>0</v>
      </c>
      <c r="Z881" s="438">
        <v>0</v>
      </c>
      <c r="AA881" s="438">
        <v>0</v>
      </c>
      <c r="AB881" s="438">
        <v>5950</v>
      </c>
      <c r="AC881" s="438">
        <v>119000</v>
      </c>
      <c r="AD881" s="438">
        <v>80920</v>
      </c>
      <c r="AE881" s="438">
        <v>0</v>
      </c>
      <c r="AF881" s="438">
        <v>5950</v>
      </c>
      <c r="AG881" s="438">
        <v>113050</v>
      </c>
      <c r="AH881" s="438">
        <v>80920</v>
      </c>
      <c r="AI881" s="438">
        <v>29209</v>
      </c>
      <c r="AJ881" s="438">
        <v>2921</v>
      </c>
      <c r="AK881" s="438">
        <v>32130</v>
      </c>
      <c r="AL881" s="414" t="str">
        <f t="shared" si="79"/>
        <v>워커힐 시그니처 양념 본갈비 300g, 8개</v>
      </c>
      <c r="AM881" s="395">
        <f t="shared" si="80"/>
        <v>46066</v>
      </c>
      <c r="AN881" s="396">
        <f t="shared" si="81"/>
        <v>1</v>
      </c>
      <c r="AO881" s="109">
        <f t="shared" si="82"/>
        <v>119000</v>
      </c>
      <c r="AP881" s="109">
        <f t="shared" si="83"/>
        <v>108181.81818181818</v>
      </c>
      <c r="AQ881" s="397">
        <f t="shared" si="84"/>
        <v>108181.81818181818</v>
      </c>
    </row>
    <row r="882" spans="1:43" ht="24">
      <c r="A882" s="436" t="s">
        <v>5752</v>
      </c>
      <c r="B882" s="436" t="s">
        <v>3490</v>
      </c>
      <c r="C882" s="437" t="s">
        <v>3491</v>
      </c>
      <c r="D882" s="436" t="s">
        <v>5793</v>
      </c>
      <c r="E882" s="437" t="s">
        <v>5794</v>
      </c>
      <c r="F882" s="436" t="s">
        <v>3494</v>
      </c>
      <c r="G882" s="436" t="s">
        <v>3495</v>
      </c>
      <c r="H882" s="437" t="s">
        <v>3496</v>
      </c>
      <c r="I882" s="436" t="s">
        <v>3497</v>
      </c>
      <c r="J882" s="437" t="s">
        <v>3498</v>
      </c>
      <c r="K882" s="437" t="s">
        <v>3499</v>
      </c>
      <c r="L882" s="436" t="s">
        <v>3500</v>
      </c>
      <c r="M882" s="436" t="s">
        <v>5751</v>
      </c>
      <c r="N882" s="436" t="s">
        <v>3502</v>
      </c>
      <c r="O882" s="438">
        <v>119000</v>
      </c>
      <c r="P882" s="438">
        <v>80920</v>
      </c>
      <c r="Q882" s="438">
        <v>1</v>
      </c>
      <c r="R882" s="438">
        <v>0</v>
      </c>
      <c r="S882" s="438">
        <v>0</v>
      </c>
      <c r="T882" s="438">
        <v>0</v>
      </c>
      <c r="U882" s="438">
        <v>0</v>
      </c>
      <c r="V882" s="438">
        <v>0</v>
      </c>
      <c r="W882" s="438">
        <v>32</v>
      </c>
      <c r="X882" s="438">
        <v>0</v>
      </c>
      <c r="Y882" s="438">
        <v>0</v>
      </c>
      <c r="Z882" s="438">
        <v>0</v>
      </c>
      <c r="AA882" s="438">
        <v>0</v>
      </c>
      <c r="AB882" s="438">
        <v>5950</v>
      </c>
      <c r="AC882" s="438">
        <v>119000</v>
      </c>
      <c r="AD882" s="438">
        <v>80920</v>
      </c>
      <c r="AE882" s="438">
        <v>0</v>
      </c>
      <c r="AF882" s="438">
        <v>5950</v>
      </c>
      <c r="AG882" s="438">
        <v>113050</v>
      </c>
      <c r="AH882" s="438">
        <v>80920</v>
      </c>
      <c r="AI882" s="438">
        <v>29209</v>
      </c>
      <c r="AJ882" s="438">
        <v>2921</v>
      </c>
      <c r="AK882" s="438">
        <v>32130</v>
      </c>
      <c r="AL882" s="414" t="str">
        <f t="shared" si="79"/>
        <v>워커힐 시그니처 양념 본갈비 300g, 8개</v>
      </c>
      <c r="AM882" s="395">
        <f t="shared" si="80"/>
        <v>46066</v>
      </c>
      <c r="AN882" s="396">
        <f t="shared" si="81"/>
        <v>1</v>
      </c>
      <c r="AO882" s="109">
        <f t="shared" si="82"/>
        <v>119000</v>
      </c>
      <c r="AP882" s="109">
        <f t="shared" si="83"/>
        <v>108181.81818181818</v>
      </c>
      <c r="AQ882" s="397">
        <f t="shared" si="84"/>
        <v>108181.81818181818</v>
      </c>
    </row>
    <row r="883" spans="1:43" ht="24">
      <c r="A883" s="436" t="s">
        <v>5755</v>
      </c>
      <c r="B883" s="436" t="s">
        <v>3490</v>
      </c>
      <c r="C883" s="437" t="s">
        <v>3491</v>
      </c>
      <c r="D883" s="436" t="s">
        <v>5799</v>
      </c>
      <c r="E883" s="437" t="s">
        <v>5800</v>
      </c>
      <c r="F883" s="436" t="s">
        <v>3494</v>
      </c>
      <c r="G883" s="436" t="s">
        <v>3495</v>
      </c>
      <c r="H883" s="437" t="s">
        <v>3496</v>
      </c>
      <c r="I883" s="436" t="s">
        <v>3497</v>
      </c>
      <c r="J883" s="437" t="s">
        <v>3498</v>
      </c>
      <c r="K883" s="437" t="s">
        <v>3499</v>
      </c>
      <c r="L883" s="436" t="s">
        <v>3500</v>
      </c>
      <c r="M883" s="436" t="s">
        <v>5751</v>
      </c>
      <c r="N883" s="436" t="s">
        <v>3502</v>
      </c>
      <c r="O883" s="438">
        <v>119000</v>
      </c>
      <c r="P883" s="438">
        <v>80920</v>
      </c>
      <c r="Q883" s="438">
        <v>1</v>
      </c>
      <c r="R883" s="438">
        <v>0</v>
      </c>
      <c r="S883" s="438">
        <v>0</v>
      </c>
      <c r="T883" s="438">
        <v>0</v>
      </c>
      <c r="U883" s="438">
        <v>0</v>
      </c>
      <c r="V883" s="438">
        <v>0</v>
      </c>
      <c r="W883" s="438">
        <v>32</v>
      </c>
      <c r="X883" s="438">
        <v>0</v>
      </c>
      <c r="Y883" s="438">
        <v>10000</v>
      </c>
      <c r="Z883" s="438">
        <v>0</v>
      </c>
      <c r="AA883" s="438">
        <v>0</v>
      </c>
      <c r="AB883" s="438">
        <v>0</v>
      </c>
      <c r="AC883" s="438">
        <v>119000</v>
      </c>
      <c r="AD883" s="438">
        <v>80920</v>
      </c>
      <c r="AE883" s="438">
        <v>0</v>
      </c>
      <c r="AF883" s="438">
        <v>10000</v>
      </c>
      <c r="AG883" s="438">
        <v>109000</v>
      </c>
      <c r="AH883" s="438">
        <v>80920</v>
      </c>
      <c r="AI883" s="438">
        <v>25527</v>
      </c>
      <c r="AJ883" s="438">
        <v>2553</v>
      </c>
      <c r="AK883" s="438">
        <v>28080</v>
      </c>
      <c r="AL883" s="414" t="str">
        <f t="shared" si="79"/>
        <v>워커힐 시그니처 양념 본갈비 300g, 8개</v>
      </c>
      <c r="AM883" s="395">
        <f t="shared" si="80"/>
        <v>46066</v>
      </c>
      <c r="AN883" s="396">
        <f t="shared" si="81"/>
        <v>1</v>
      </c>
      <c r="AO883" s="109">
        <f t="shared" si="82"/>
        <v>119000</v>
      </c>
      <c r="AP883" s="109">
        <f t="shared" si="83"/>
        <v>108181.81818181818</v>
      </c>
      <c r="AQ883" s="397">
        <f t="shared" si="84"/>
        <v>108181.81818181818</v>
      </c>
    </row>
    <row r="884" spans="1:43" ht="24">
      <c r="A884" s="436" t="s">
        <v>5756</v>
      </c>
      <c r="B884" s="436" t="s">
        <v>3490</v>
      </c>
      <c r="C884" s="437" t="s">
        <v>3491</v>
      </c>
      <c r="D884" s="436" t="s">
        <v>5444</v>
      </c>
      <c r="E884" s="437" t="s">
        <v>4056</v>
      </c>
      <c r="F884" s="436" t="s">
        <v>3494</v>
      </c>
      <c r="G884" s="436" t="s">
        <v>3495</v>
      </c>
      <c r="H884" s="437" t="s">
        <v>3496</v>
      </c>
      <c r="I884" s="436" t="s">
        <v>3497</v>
      </c>
      <c r="J884" s="437" t="s">
        <v>3498</v>
      </c>
      <c r="K884" s="437" t="s">
        <v>3499</v>
      </c>
      <c r="L884" s="436" t="s">
        <v>3500</v>
      </c>
      <c r="M884" s="436" t="s">
        <v>5751</v>
      </c>
      <c r="N884" s="436" t="s">
        <v>3502</v>
      </c>
      <c r="O884" s="438">
        <v>119000</v>
      </c>
      <c r="P884" s="438">
        <v>80920</v>
      </c>
      <c r="Q884" s="438">
        <v>1</v>
      </c>
      <c r="R884" s="438">
        <v>0</v>
      </c>
      <c r="S884" s="438">
        <v>0</v>
      </c>
      <c r="T884" s="438">
        <v>0</v>
      </c>
      <c r="U884" s="438">
        <v>0</v>
      </c>
      <c r="V884" s="438">
        <v>0</v>
      </c>
      <c r="W884" s="438">
        <v>32</v>
      </c>
      <c r="X884" s="438">
        <v>0</v>
      </c>
      <c r="Y884" s="438">
        <v>0</v>
      </c>
      <c r="Z884" s="438">
        <v>0</v>
      </c>
      <c r="AA884" s="438">
        <v>0</v>
      </c>
      <c r="AB884" s="438">
        <v>0</v>
      </c>
      <c r="AC884" s="438">
        <v>119000</v>
      </c>
      <c r="AD884" s="438">
        <v>80920</v>
      </c>
      <c r="AE884" s="438">
        <v>0</v>
      </c>
      <c r="AF884" s="438">
        <v>0</v>
      </c>
      <c r="AG884" s="438">
        <v>119000</v>
      </c>
      <c r="AH884" s="438">
        <v>80920</v>
      </c>
      <c r="AI884" s="438">
        <v>34618</v>
      </c>
      <c r="AJ884" s="438">
        <v>3462</v>
      </c>
      <c r="AK884" s="438">
        <v>38080</v>
      </c>
      <c r="AL884" s="414" t="str">
        <f t="shared" si="79"/>
        <v>워커힐 시그니처 양념 본갈비 300g, 8개</v>
      </c>
      <c r="AM884" s="395">
        <f t="shared" si="80"/>
        <v>46066</v>
      </c>
      <c r="AN884" s="396">
        <f t="shared" si="81"/>
        <v>1</v>
      </c>
      <c r="AO884" s="109">
        <f t="shared" si="82"/>
        <v>119000</v>
      </c>
      <c r="AP884" s="109">
        <f t="shared" si="83"/>
        <v>108181.81818181818</v>
      </c>
      <c r="AQ884" s="397">
        <f t="shared" si="84"/>
        <v>108181.81818181818</v>
      </c>
    </row>
    <row r="885" spans="1:43" ht="24">
      <c r="A885" s="436" t="s">
        <v>5759</v>
      </c>
      <c r="B885" s="436" t="s">
        <v>3490</v>
      </c>
      <c r="C885" s="437" t="s">
        <v>3491</v>
      </c>
      <c r="D885" s="436" t="s">
        <v>5770</v>
      </c>
      <c r="E885" s="437" t="s">
        <v>3772</v>
      </c>
      <c r="F885" s="436" t="s">
        <v>3494</v>
      </c>
      <c r="G885" s="436" t="s">
        <v>3495</v>
      </c>
      <c r="H885" s="437" t="s">
        <v>3496</v>
      </c>
      <c r="I885" s="436" t="s">
        <v>3497</v>
      </c>
      <c r="J885" s="437" t="s">
        <v>3498</v>
      </c>
      <c r="K885" s="437" t="s">
        <v>163</v>
      </c>
      <c r="L885" s="436" t="s">
        <v>3500</v>
      </c>
      <c r="M885" s="436" t="s">
        <v>5751</v>
      </c>
      <c r="N885" s="436" t="s">
        <v>3502</v>
      </c>
      <c r="O885" s="438">
        <v>119000</v>
      </c>
      <c r="P885" s="438">
        <v>80920</v>
      </c>
      <c r="Q885" s="438">
        <v>1</v>
      </c>
      <c r="R885" s="438">
        <v>0</v>
      </c>
      <c r="S885" s="438">
        <v>0</v>
      </c>
      <c r="T885" s="438">
        <v>0</v>
      </c>
      <c r="U885" s="438">
        <v>0</v>
      </c>
      <c r="V885" s="438">
        <v>0</v>
      </c>
      <c r="W885" s="438">
        <v>32</v>
      </c>
      <c r="X885" s="438">
        <v>0</v>
      </c>
      <c r="Y885" s="438">
        <v>5950</v>
      </c>
      <c r="Z885" s="438">
        <v>0</v>
      </c>
      <c r="AA885" s="438">
        <v>0</v>
      </c>
      <c r="AB885" s="438">
        <v>0</v>
      </c>
      <c r="AC885" s="438">
        <v>119000</v>
      </c>
      <c r="AD885" s="438">
        <v>80920</v>
      </c>
      <c r="AE885" s="438">
        <v>0</v>
      </c>
      <c r="AF885" s="438">
        <v>5950</v>
      </c>
      <c r="AG885" s="438">
        <v>113050</v>
      </c>
      <c r="AH885" s="438">
        <v>80920</v>
      </c>
      <c r="AI885" s="438">
        <v>29209</v>
      </c>
      <c r="AJ885" s="438">
        <v>2921</v>
      </c>
      <c r="AK885" s="438">
        <v>32130</v>
      </c>
      <c r="AL885" s="414" t="str">
        <f t="shared" si="79"/>
        <v>워커힐 시그니처 양념 본갈비 300g, 8개</v>
      </c>
      <c r="AM885" s="395">
        <f t="shared" si="80"/>
        <v>46066</v>
      </c>
      <c r="AN885" s="396">
        <f t="shared" si="81"/>
        <v>1</v>
      </c>
      <c r="AO885" s="109">
        <f t="shared" si="82"/>
        <v>119000</v>
      </c>
      <c r="AP885" s="109">
        <f t="shared" si="83"/>
        <v>108181.81818181818</v>
      </c>
      <c r="AQ885" s="397">
        <f t="shared" si="84"/>
        <v>108181.81818181818</v>
      </c>
    </row>
    <row r="886" spans="1:43" ht="24">
      <c r="A886" s="436" t="s">
        <v>5762</v>
      </c>
      <c r="B886" s="436" t="s">
        <v>3490</v>
      </c>
      <c r="C886" s="437" t="s">
        <v>3491</v>
      </c>
      <c r="D886" s="436" t="s">
        <v>5772</v>
      </c>
      <c r="E886" s="437" t="s">
        <v>5167</v>
      </c>
      <c r="F886" s="436" t="s">
        <v>3494</v>
      </c>
      <c r="G886" s="436" t="s">
        <v>3495</v>
      </c>
      <c r="H886" s="437" t="s">
        <v>3496</v>
      </c>
      <c r="I886" s="436" t="s">
        <v>3497</v>
      </c>
      <c r="J886" s="437" t="s">
        <v>3498</v>
      </c>
      <c r="K886" s="437" t="s">
        <v>3499</v>
      </c>
      <c r="L886" s="436" t="s">
        <v>3500</v>
      </c>
      <c r="M886" s="436" t="s">
        <v>5751</v>
      </c>
      <c r="N886" s="436" t="s">
        <v>3502</v>
      </c>
      <c r="O886" s="438">
        <v>119000</v>
      </c>
      <c r="P886" s="438">
        <v>80920</v>
      </c>
      <c r="Q886" s="438">
        <v>1</v>
      </c>
      <c r="R886" s="438">
        <v>0</v>
      </c>
      <c r="S886" s="438">
        <v>0</v>
      </c>
      <c r="T886" s="438">
        <v>0</v>
      </c>
      <c r="U886" s="438">
        <v>0</v>
      </c>
      <c r="V886" s="438">
        <v>0</v>
      </c>
      <c r="W886" s="438">
        <v>32</v>
      </c>
      <c r="X886" s="438">
        <v>0</v>
      </c>
      <c r="Y886" s="438">
        <v>0</v>
      </c>
      <c r="Z886" s="438">
        <v>0</v>
      </c>
      <c r="AA886" s="438">
        <v>0</v>
      </c>
      <c r="AB886" s="438">
        <v>0</v>
      </c>
      <c r="AC886" s="438">
        <v>119000</v>
      </c>
      <c r="AD886" s="438">
        <v>80920</v>
      </c>
      <c r="AE886" s="438">
        <v>0</v>
      </c>
      <c r="AF886" s="438">
        <v>0</v>
      </c>
      <c r="AG886" s="438">
        <v>119000</v>
      </c>
      <c r="AH886" s="438">
        <v>80920</v>
      </c>
      <c r="AI886" s="438">
        <v>34618</v>
      </c>
      <c r="AJ886" s="438">
        <v>3462</v>
      </c>
      <c r="AK886" s="438">
        <v>38080</v>
      </c>
      <c r="AL886" s="414" t="str">
        <f t="shared" si="79"/>
        <v>워커힐 시그니처 양념 본갈비 300g, 8개</v>
      </c>
      <c r="AM886" s="395">
        <f t="shared" si="80"/>
        <v>46066</v>
      </c>
      <c r="AN886" s="396">
        <f t="shared" si="81"/>
        <v>1</v>
      </c>
      <c r="AO886" s="109">
        <f t="shared" si="82"/>
        <v>119000</v>
      </c>
      <c r="AP886" s="109">
        <f t="shared" si="83"/>
        <v>108181.81818181818</v>
      </c>
      <c r="AQ886" s="397">
        <f t="shared" si="84"/>
        <v>108181.81818181818</v>
      </c>
    </row>
    <row r="887" spans="1:43" ht="24">
      <c r="A887" s="436" t="s">
        <v>5764</v>
      </c>
      <c r="B887" s="436" t="s">
        <v>3490</v>
      </c>
      <c r="C887" s="437" t="s">
        <v>3491</v>
      </c>
      <c r="D887" s="436" t="s">
        <v>5774</v>
      </c>
      <c r="E887" s="437" t="s">
        <v>3541</v>
      </c>
      <c r="F887" s="436" t="s">
        <v>3494</v>
      </c>
      <c r="G887" s="436" t="s">
        <v>3495</v>
      </c>
      <c r="H887" s="437" t="s">
        <v>3496</v>
      </c>
      <c r="I887" s="436" t="s">
        <v>3497</v>
      </c>
      <c r="J887" s="437" t="s">
        <v>3498</v>
      </c>
      <c r="K887" s="437" t="s">
        <v>163</v>
      </c>
      <c r="L887" s="436" t="s">
        <v>3500</v>
      </c>
      <c r="M887" s="436" t="s">
        <v>5751</v>
      </c>
      <c r="N887" s="436" t="s">
        <v>3502</v>
      </c>
      <c r="O887" s="438">
        <v>119000</v>
      </c>
      <c r="P887" s="438">
        <v>80920</v>
      </c>
      <c r="Q887" s="438">
        <v>1</v>
      </c>
      <c r="R887" s="438">
        <v>0</v>
      </c>
      <c r="S887" s="438">
        <v>0</v>
      </c>
      <c r="T887" s="438">
        <v>0</v>
      </c>
      <c r="U887" s="438">
        <v>0</v>
      </c>
      <c r="V887" s="438">
        <v>0</v>
      </c>
      <c r="W887" s="438">
        <v>32</v>
      </c>
      <c r="X887" s="438">
        <v>0</v>
      </c>
      <c r="Y887" s="438">
        <v>5950</v>
      </c>
      <c r="Z887" s="438">
        <v>0</v>
      </c>
      <c r="AA887" s="438">
        <v>0</v>
      </c>
      <c r="AB887" s="438">
        <v>0</v>
      </c>
      <c r="AC887" s="438">
        <v>119000</v>
      </c>
      <c r="AD887" s="438">
        <v>80920</v>
      </c>
      <c r="AE887" s="438">
        <v>0</v>
      </c>
      <c r="AF887" s="438">
        <v>5950</v>
      </c>
      <c r="AG887" s="438">
        <v>113050</v>
      </c>
      <c r="AH887" s="438">
        <v>80920</v>
      </c>
      <c r="AI887" s="438">
        <v>29209</v>
      </c>
      <c r="AJ887" s="438">
        <v>2921</v>
      </c>
      <c r="AK887" s="438">
        <v>32130</v>
      </c>
      <c r="AL887" s="414" t="str">
        <f t="shared" si="79"/>
        <v>워커힐 시그니처 양념 본갈비 300g, 8개</v>
      </c>
      <c r="AM887" s="395">
        <f t="shared" si="80"/>
        <v>46066</v>
      </c>
      <c r="AN887" s="396">
        <f t="shared" si="81"/>
        <v>1</v>
      </c>
      <c r="AO887" s="109">
        <f t="shared" si="82"/>
        <v>119000</v>
      </c>
      <c r="AP887" s="109">
        <f t="shared" si="83"/>
        <v>108181.81818181818</v>
      </c>
      <c r="AQ887" s="397">
        <f t="shared" si="84"/>
        <v>108181.81818181818</v>
      </c>
    </row>
    <row r="888" spans="1:43" ht="24">
      <c r="A888" s="436" t="s">
        <v>5766</v>
      </c>
      <c r="B888" s="436" t="s">
        <v>3490</v>
      </c>
      <c r="C888" s="437" t="s">
        <v>3491</v>
      </c>
      <c r="D888" s="436" t="s">
        <v>5776</v>
      </c>
      <c r="E888" s="437" t="s">
        <v>4483</v>
      </c>
      <c r="F888" s="436" t="s">
        <v>3494</v>
      </c>
      <c r="G888" s="436" t="s">
        <v>3495</v>
      </c>
      <c r="H888" s="437" t="s">
        <v>3496</v>
      </c>
      <c r="I888" s="436" t="s">
        <v>3497</v>
      </c>
      <c r="J888" s="437" t="s">
        <v>3498</v>
      </c>
      <c r="K888" s="437" t="s">
        <v>163</v>
      </c>
      <c r="L888" s="436" t="s">
        <v>3500</v>
      </c>
      <c r="M888" s="436" t="s">
        <v>5751</v>
      </c>
      <c r="N888" s="436" t="s">
        <v>3502</v>
      </c>
      <c r="O888" s="438">
        <v>119000</v>
      </c>
      <c r="P888" s="438">
        <v>80920</v>
      </c>
      <c r="Q888" s="438">
        <v>1</v>
      </c>
      <c r="R888" s="438">
        <v>0</v>
      </c>
      <c r="S888" s="438">
        <v>0</v>
      </c>
      <c r="T888" s="438">
        <v>0</v>
      </c>
      <c r="U888" s="438">
        <v>0</v>
      </c>
      <c r="V888" s="438">
        <v>0</v>
      </c>
      <c r="W888" s="438">
        <v>32</v>
      </c>
      <c r="X888" s="438">
        <v>0</v>
      </c>
      <c r="Y888" s="438">
        <v>5950</v>
      </c>
      <c r="Z888" s="438">
        <v>0</v>
      </c>
      <c r="AA888" s="438">
        <v>0</v>
      </c>
      <c r="AB888" s="438">
        <v>0</v>
      </c>
      <c r="AC888" s="438">
        <v>119000</v>
      </c>
      <c r="AD888" s="438">
        <v>80920</v>
      </c>
      <c r="AE888" s="438">
        <v>0</v>
      </c>
      <c r="AF888" s="438">
        <v>5950</v>
      </c>
      <c r="AG888" s="438">
        <v>113050</v>
      </c>
      <c r="AH888" s="438">
        <v>80920</v>
      </c>
      <c r="AI888" s="438">
        <v>29209</v>
      </c>
      <c r="AJ888" s="438">
        <v>2921</v>
      </c>
      <c r="AK888" s="438">
        <v>32130</v>
      </c>
      <c r="AL888" s="414" t="str">
        <f t="shared" si="79"/>
        <v>워커힐 시그니처 양념 본갈비 300g, 8개</v>
      </c>
      <c r="AM888" s="395">
        <f t="shared" si="80"/>
        <v>46066</v>
      </c>
      <c r="AN888" s="396">
        <f t="shared" si="81"/>
        <v>1</v>
      </c>
      <c r="AO888" s="109">
        <f t="shared" si="82"/>
        <v>119000</v>
      </c>
      <c r="AP888" s="109">
        <f t="shared" si="83"/>
        <v>108181.81818181818</v>
      </c>
      <c r="AQ888" s="397">
        <f t="shared" si="84"/>
        <v>108181.81818181818</v>
      </c>
    </row>
    <row r="889" spans="1:43" ht="24">
      <c r="A889" s="436" t="s">
        <v>5769</v>
      </c>
      <c r="B889" s="436" t="s">
        <v>3490</v>
      </c>
      <c r="C889" s="437" t="s">
        <v>3491</v>
      </c>
      <c r="D889" s="436" t="s">
        <v>5781</v>
      </c>
      <c r="E889" s="437" t="s">
        <v>4522</v>
      </c>
      <c r="F889" s="436" t="s">
        <v>3494</v>
      </c>
      <c r="G889" s="436" t="s">
        <v>3495</v>
      </c>
      <c r="H889" s="437" t="s">
        <v>3496</v>
      </c>
      <c r="I889" s="436" t="s">
        <v>3497</v>
      </c>
      <c r="J889" s="437" t="s">
        <v>3498</v>
      </c>
      <c r="K889" s="437" t="s">
        <v>3499</v>
      </c>
      <c r="L889" s="436" t="s">
        <v>3500</v>
      </c>
      <c r="M889" s="436" t="s">
        <v>5751</v>
      </c>
      <c r="N889" s="436" t="s">
        <v>3502</v>
      </c>
      <c r="O889" s="438">
        <v>119000</v>
      </c>
      <c r="P889" s="438">
        <v>80920</v>
      </c>
      <c r="Q889" s="438">
        <v>1</v>
      </c>
      <c r="R889" s="438">
        <v>0</v>
      </c>
      <c r="S889" s="438">
        <v>0</v>
      </c>
      <c r="T889" s="438">
        <v>0</v>
      </c>
      <c r="U889" s="438">
        <v>0</v>
      </c>
      <c r="V889" s="438">
        <v>0</v>
      </c>
      <c r="W889" s="438">
        <v>32</v>
      </c>
      <c r="X889" s="438">
        <v>0</v>
      </c>
      <c r="Y889" s="438">
        <v>10000</v>
      </c>
      <c r="Z889" s="438">
        <v>0</v>
      </c>
      <c r="AA889" s="438">
        <v>0</v>
      </c>
      <c r="AB889" s="438">
        <v>0</v>
      </c>
      <c r="AC889" s="438">
        <v>119000</v>
      </c>
      <c r="AD889" s="438">
        <v>80920</v>
      </c>
      <c r="AE889" s="438">
        <v>0</v>
      </c>
      <c r="AF889" s="438">
        <v>10000</v>
      </c>
      <c r="AG889" s="438">
        <v>109000</v>
      </c>
      <c r="AH889" s="438">
        <v>80920</v>
      </c>
      <c r="AI889" s="438">
        <v>25527</v>
      </c>
      <c r="AJ889" s="438">
        <v>2553</v>
      </c>
      <c r="AK889" s="438">
        <v>28080</v>
      </c>
      <c r="AL889" s="414" t="str">
        <f t="shared" si="79"/>
        <v>워커힐 시그니처 양념 본갈비 300g, 8개</v>
      </c>
      <c r="AM889" s="395">
        <f t="shared" si="80"/>
        <v>46066</v>
      </c>
      <c r="AN889" s="396">
        <f t="shared" si="81"/>
        <v>1</v>
      </c>
      <c r="AO889" s="109">
        <f t="shared" si="82"/>
        <v>119000</v>
      </c>
      <c r="AP889" s="109">
        <f t="shared" si="83"/>
        <v>108181.81818181818</v>
      </c>
      <c r="AQ889" s="397">
        <f t="shared" si="84"/>
        <v>108181.81818181818</v>
      </c>
    </row>
    <row r="890" spans="1:43" ht="24">
      <c r="A890" s="436" t="s">
        <v>5771</v>
      </c>
      <c r="B890" s="436" t="s">
        <v>3490</v>
      </c>
      <c r="C890" s="437" t="s">
        <v>3491</v>
      </c>
      <c r="D890" s="436" t="s">
        <v>5783</v>
      </c>
      <c r="E890" s="437" t="s">
        <v>3505</v>
      </c>
      <c r="F890" s="436" t="s">
        <v>3494</v>
      </c>
      <c r="G890" s="436" t="s">
        <v>3495</v>
      </c>
      <c r="H890" s="437" t="s">
        <v>3496</v>
      </c>
      <c r="I890" s="436" t="s">
        <v>3497</v>
      </c>
      <c r="J890" s="437" t="s">
        <v>3498</v>
      </c>
      <c r="K890" s="437" t="s">
        <v>3499</v>
      </c>
      <c r="L890" s="436" t="s">
        <v>3500</v>
      </c>
      <c r="M890" s="436" t="s">
        <v>5751</v>
      </c>
      <c r="N890" s="436" t="s">
        <v>3502</v>
      </c>
      <c r="O890" s="438">
        <v>119000</v>
      </c>
      <c r="P890" s="438">
        <v>80920</v>
      </c>
      <c r="Q890" s="438">
        <v>1</v>
      </c>
      <c r="R890" s="438">
        <v>0</v>
      </c>
      <c r="S890" s="438">
        <v>0</v>
      </c>
      <c r="T890" s="438">
        <v>0</v>
      </c>
      <c r="U890" s="438">
        <v>0</v>
      </c>
      <c r="V890" s="438">
        <v>0</v>
      </c>
      <c r="W890" s="438">
        <v>32</v>
      </c>
      <c r="X890" s="438">
        <v>0</v>
      </c>
      <c r="Y890" s="438">
        <v>0</v>
      </c>
      <c r="Z890" s="438">
        <v>0</v>
      </c>
      <c r="AA890" s="438">
        <v>0</v>
      </c>
      <c r="AB890" s="438">
        <v>0</v>
      </c>
      <c r="AC890" s="438">
        <v>119000</v>
      </c>
      <c r="AD890" s="438">
        <v>80920</v>
      </c>
      <c r="AE890" s="438">
        <v>0</v>
      </c>
      <c r="AF890" s="438">
        <v>0</v>
      </c>
      <c r="AG890" s="438">
        <v>119000</v>
      </c>
      <c r="AH890" s="438">
        <v>80920</v>
      </c>
      <c r="AI890" s="438">
        <v>34618</v>
      </c>
      <c r="AJ890" s="438">
        <v>3462</v>
      </c>
      <c r="AK890" s="438">
        <v>38080</v>
      </c>
      <c r="AL890" s="414" t="str">
        <f t="shared" si="79"/>
        <v>워커힐 시그니처 양념 본갈비 300g, 8개</v>
      </c>
      <c r="AM890" s="395">
        <f t="shared" si="80"/>
        <v>46066</v>
      </c>
      <c r="AN890" s="396">
        <f t="shared" si="81"/>
        <v>1</v>
      </c>
      <c r="AO890" s="109">
        <f t="shared" si="82"/>
        <v>119000</v>
      </c>
      <c r="AP890" s="109">
        <f t="shared" si="83"/>
        <v>108181.81818181818</v>
      </c>
      <c r="AQ890" s="397">
        <f t="shared" si="84"/>
        <v>108181.81818181818</v>
      </c>
    </row>
    <row r="891" spans="1:43" ht="24">
      <c r="A891" s="436" t="s">
        <v>5773</v>
      </c>
      <c r="B891" s="436" t="s">
        <v>3490</v>
      </c>
      <c r="C891" s="437" t="s">
        <v>3491</v>
      </c>
      <c r="D891" s="436" t="s">
        <v>5757</v>
      </c>
      <c r="E891" s="437" t="s">
        <v>5758</v>
      </c>
      <c r="F891" s="436" t="s">
        <v>3494</v>
      </c>
      <c r="G891" s="436" t="s">
        <v>3495</v>
      </c>
      <c r="H891" s="437" t="s">
        <v>3496</v>
      </c>
      <c r="I891" s="436" t="s">
        <v>3497</v>
      </c>
      <c r="J891" s="437" t="s">
        <v>3498</v>
      </c>
      <c r="K891" s="437" t="s">
        <v>163</v>
      </c>
      <c r="L891" s="436" t="s">
        <v>3500</v>
      </c>
      <c r="M891" s="436" t="s">
        <v>5751</v>
      </c>
      <c r="N891" s="436" t="s">
        <v>3502</v>
      </c>
      <c r="O891" s="438">
        <v>119000</v>
      </c>
      <c r="P891" s="438">
        <v>80920</v>
      </c>
      <c r="Q891" s="438">
        <v>1</v>
      </c>
      <c r="R891" s="438">
        <v>0</v>
      </c>
      <c r="S891" s="438">
        <v>0</v>
      </c>
      <c r="T891" s="438">
        <v>0</v>
      </c>
      <c r="U891" s="438">
        <v>0</v>
      </c>
      <c r="V891" s="438">
        <v>0</v>
      </c>
      <c r="W891" s="438">
        <v>32</v>
      </c>
      <c r="X891" s="438">
        <v>0</v>
      </c>
      <c r="Y891" s="438">
        <v>0</v>
      </c>
      <c r="Z891" s="438">
        <v>0</v>
      </c>
      <c r="AA891" s="438">
        <v>0</v>
      </c>
      <c r="AB891" s="438">
        <v>0</v>
      </c>
      <c r="AC891" s="438">
        <v>119000</v>
      </c>
      <c r="AD891" s="438">
        <v>80920</v>
      </c>
      <c r="AE891" s="438">
        <v>0</v>
      </c>
      <c r="AF891" s="438">
        <v>0</v>
      </c>
      <c r="AG891" s="438">
        <v>119000</v>
      </c>
      <c r="AH891" s="438">
        <v>80920</v>
      </c>
      <c r="AI891" s="438">
        <v>34618</v>
      </c>
      <c r="AJ891" s="438">
        <v>3462</v>
      </c>
      <c r="AK891" s="438">
        <v>38080</v>
      </c>
      <c r="AL891" s="414" t="str">
        <f t="shared" si="79"/>
        <v>워커힐 시그니처 양념 본갈비 300g, 8개</v>
      </c>
      <c r="AM891" s="395">
        <f t="shared" si="80"/>
        <v>46066</v>
      </c>
      <c r="AN891" s="396">
        <f t="shared" si="81"/>
        <v>1</v>
      </c>
      <c r="AO891" s="109">
        <f t="shared" si="82"/>
        <v>119000</v>
      </c>
      <c r="AP891" s="109">
        <f t="shared" si="83"/>
        <v>108181.81818181818</v>
      </c>
      <c r="AQ891" s="397">
        <f t="shared" si="84"/>
        <v>108181.81818181818</v>
      </c>
    </row>
    <row r="892" spans="1:43" ht="24">
      <c r="A892" s="436" t="s">
        <v>5775</v>
      </c>
      <c r="B892" s="436" t="s">
        <v>3490</v>
      </c>
      <c r="C892" s="437" t="s">
        <v>3491</v>
      </c>
      <c r="D892" s="436" t="s">
        <v>5788</v>
      </c>
      <c r="E892" s="437" t="s">
        <v>5789</v>
      </c>
      <c r="F892" s="436" t="s">
        <v>3494</v>
      </c>
      <c r="G892" s="436" t="s">
        <v>3495</v>
      </c>
      <c r="H892" s="437" t="s">
        <v>3496</v>
      </c>
      <c r="I892" s="436" t="s">
        <v>3497</v>
      </c>
      <c r="J892" s="437" t="s">
        <v>3498</v>
      </c>
      <c r="K892" s="437" t="s">
        <v>3499</v>
      </c>
      <c r="L892" s="436" t="s">
        <v>3500</v>
      </c>
      <c r="M892" s="436" t="s">
        <v>5751</v>
      </c>
      <c r="N892" s="436" t="s">
        <v>3502</v>
      </c>
      <c r="O892" s="438">
        <v>119000</v>
      </c>
      <c r="P892" s="438">
        <v>80920</v>
      </c>
      <c r="Q892" s="438">
        <v>1</v>
      </c>
      <c r="R892" s="438">
        <v>0</v>
      </c>
      <c r="S892" s="438">
        <v>0</v>
      </c>
      <c r="T892" s="438">
        <v>0</v>
      </c>
      <c r="U892" s="438">
        <v>0</v>
      </c>
      <c r="V892" s="438">
        <v>0</v>
      </c>
      <c r="W892" s="438">
        <v>32</v>
      </c>
      <c r="X892" s="438">
        <v>0</v>
      </c>
      <c r="Y892" s="438">
        <v>0</v>
      </c>
      <c r="Z892" s="438">
        <v>0</v>
      </c>
      <c r="AA892" s="438">
        <v>0</v>
      </c>
      <c r="AB892" s="438">
        <v>0</v>
      </c>
      <c r="AC892" s="438">
        <v>119000</v>
      </c>
      <c r="AD892" s="438">
        <v>80920</v>
      </c>
      <c r="AE892" s="438">
        <v>0</v>
      </c>
      <c r="AF892" s="438">
        <v>0</v>
      </c>
      <c r="AG892" s="438">
        <v>119000</v>
      </c>
      <c r="AH892" s="438">
        <v>80920</v>
      </c>
      <c r="AI892" s="438">
        <v>34618</v>
      </c>
      <c r="AJ892" s="438">
        <v>3462</v>
      </c>
      <c r="AK892" s="438">
        <v>38080</v>
      </c>
      <c r="AL892" s="414" t="str">
        <f t="shared" si="79"/>
        <v>워커힐 시그니처 양념 본갈비 300g, 8개</v>
      </c>
      <c r="AM892" s="395">
        <f t="shared" si="80"/>
        <v>46066</v>
      </c>
      <c r="AN892" s="396">
        <f t="shared" si="81"/>
        <v>1</v>
      </c>
      <c r="AO892" s="109">
        <f t="shared" si="82"/>
        <v>119000</v>
      </c>
      <c r="AP892" s="109">
        <f t="shared" si="83"/>
        <v>108181.81818181818</v>
      </c>
      <c r="AQ892" s="397">
        <f t="shared" si="84"/>
        <v>108181.81818181818</v>
      </c>
    </row>
    <row r="893" spans="1:43" ht="24">
      <c r="A893" s="436" t="s">
        <v>5777</v>
      </c>
      <c r="B893" s="436" t="s">
        <v>3490</v>
      </c>
      <c r="C893" s="437" t="s">
        <v>3491</v>
      </c>
      <c r="D893" s="436" t="s">
        <v>5763</v>
      </c>
      <c r="E893" s="437" t="s">
        <v>3984</v>
      </c>
      <c r="F893" s="436" t="s">
        <v>3494</v>
      </c>
      <c r="G893" s="436" t="s">
        <v>3495</v>
      </c>
      <c r="H893" s="437" t="s">
        <v>3496</v>
      </c>
      <c r="I893" s="436" t="s">
        <v>3497</v>
      </c>
      <c r="J893" s="437" t="s">
        <v>3498</v>
      </c>
      <c r="K893" s="437" t="s">
        <v>3499</v>
      </c>
      <c r="L893" s="436" t="s">
        <v>3500</v>
      </c>
      <c r="M893" s="436" t="s">
        <v>5751</v>
      </c>
      <c r="N893" s="436" t="s">
        <v>3502</v>
      </c>
      <c r="O893" s="438">
        <v>119000</v>
      </c>
      <c r="P893" s="438">
        <v>80920</v>
      </c>
      <c r="Q893" s="438">
        <v>1</v>
      </c>
      <c r="R893" s="438">
        <v>0</v>
      </c>
      <c r="S893" s="438">
        <v>0</v>
      </c>
      <c r="T893" s="438">
        <v>0</v>
      </c>
      <c r="U893" s="438">
        <v>0</v>
      </c>
      <c r="V893" s="438">
        <v>0</v>
      </c>
      <c r="W893" s="438">
        <v>32</v>
      </c>
      <c r="X893" s="438">
        <v>0</v>
      </c>
      <c r="Y893" s="438">
        <v>0</v>
      </c>
      <c r="Z893" s="438">
        <v>0</v>
      </c>
      <c r="AA893" s="438">
        <v>0</v>
      </c>
      <c r="AB893" s="438">
        <v>0</v>
      </c>
      <c r="AC893" s="438">
        <v>119000</v>
      </c>
      <c r="AD893" s="438">
        <v>80920</v>
      </c>
      <c r="AE893" s="438">
        <v>0</v>
      </c>
      <c r="AF893" s="438">
        <v>0</v>
      </c>
      <c r="AG893" s="438">
        <v>119000</v>
      </c>
      <c r="AH893" s="438">
        <v>80920</v>
      </c>
      <c r="AI893" s="438">
        <v>34618</v>
      </c>
      <c r="AJ893" s="438">
        <v>3462</v>
      </c>
      <c r="AK893" s="438">
        <v>38080</v>
      </c>
      <c r="AL893" s="414" t="str">
        <f t="shared" si="79"/>
        <v>워커힐 시그니처 양념 본갈비 300g, 8개</v>
      </c>
      <c r="AM893" s="395">
        <f t="shared" si="80"/>
        <v>46066</v>
      </c>
      <c r="AN893" s="396">
        <f t="shared" si="81"/>
        <v>1</v>
      </c>
      <c r="AO893" s="109">
        <f t="shared" si="82"/>
        <v>119000</v>
      </c>
      <c r="AP893" s="109">
        <f t="shared" si="83"/>
        <v>108181.81818181818</v>
      </c>
      <c r="AQ893" s="397">
        <f t="shared" si="84"/>
        <v>108181.81818181818</v>
      </c>
    </row>
    <row r="894" spans="1:43" ht="24">
      <c r="A894" s="436" t="s">
        <v>5780</v>
      </c>
      <c r="B894" s="436" t="s">
        <v>3490</v>
      </c>
      <c r="C894" s="437" t="s">
        <v>3491</v>
      </c>
      <c r="D894" s="436" t="s">
        <v>5765</v>
      </c>
      <c r="E894" s="437" t="s">
        <v>4522</v>
      </c>
      <c r="F894" s="436" t="s">
        <v>3494</v>
      </c>
      <c r="G894" s="436" t="s">
        <v>3495</v>
      </c>
      <c r="H894" s="437" t="s">
        <v>3496</v>
      </c>
      <c r="I894" s="436" t="s">
        <v>3497</v>
      </c>
      <c r="J894" s="437" t="s">
        <v>3498</v>
      </c>
      <c r="K894" s="437" t="s">
        <v>3499</v>
      </c>
      <c r="L894" s="436" t="s">
        <v>3500</v>
      </c>
      <c r="M894" s="436" t="s">
        <v>5751</v>
      </c>
      <c r="N894" s="436" t="s">
        <v>3502</v>
      </c>
      <c r="O894" s="438">
        <v>119000</v>
      </c>
      <c r="P894" s="438">
        <v>80920</v>
      </c>
      <c r="Q894" s="438">
        <v>1</v>
      </c>
      <c r="R894" s="438">
        <v>0</v>
      </c>
      <c r="S894" s="438">
        <v>0</v>
      </c>
      <c r="T894" s="438">
        <v>0</v>
      </c>
      <c r="U894" s="438">
        <v>0</v>
      </c>
      <c r="V894" s="438">
        <v>0</v>
      </c>
      <c r="W894" s="438">
        <v>32</v>
      </c>
      <c r="X894" s="438">
        <v>0</v>
      </c>
      <c r="Y894" s="438">
        <v>10000</v>
      </c>
      <c r="Z894" s="438">
        <v>0</v>
      </c>
      <c r="AA894" s="438">
        <v>0</v>
      </c>
      <c r="AB894" s="438">
        <v>0</v>
      </c>
      <c r="AC894" s="438">
        <v>119000</v>
      </c>
      <c r="AD894" s="438">
        <v>80920</v>
      </c>
      <c r="AE894" s="438">
        <v>0</v>
      </c>
      <c r="AF894" s="438">
        <v>10000</v>
      </c>
      <c r="AG894" s="438">
        <v>109000</v>
      </c>
      <c r="AH894" s="438">
        <v>80920</v>
      </c>
      <c r="AI894" s="438">
        <v>25527</v>
      </c>
      <c r="AJ894" s="438">
        <v>2553</v>
      </c>
      <c r="AK894" s="438">
        <v>28080</v>
      </c>
      <c r="AL894" s="414" t="str">
        <f t="shared" si="79"/>
        <v>워커힐 시그니처 양념 본갈비 300g, 8개</v>
      </c>
      <c r="AM894" s="395">
        <f t="shared" si="80"/>
        <v>46066</v>
      </c>
      <c r="AN894" s="396">
        <f t="shared" si="81"/>
        <v>1</v>
      </c>
      <c r="AO894" s="109">
        <f t="shared" si="82"/>
        <v>119000</v>
      </c>
      <c r="AP894" s="109">
        <f t="shared" si="83"/>
        <v>108181.81818181818</v>
      </c>
      <c r="AQ894" s="397">
        <f t="shared" si="84"/>
        <v>108181.81818181818</v>
      </c>
    </row>
    <row r="895" spans="1:43" ht="24">
      <c r="A895" s="436" t="s">
        <v>5782</v>
      </c>
      <c r="B895" s="436" t="s">
        <v>3490</v>
      </c>
      <c r="C895" s="437" t="s">
        <v>3491</v>
      </c>
      <c r="D895" s="436" t="s">
        <v>5778</v>
      </c>
      <c r="E895" s="437" t="s">
        <v>5779</v>
      </c>
      <c r="F895" s="436" t="s">
        <v>3494</v>
      </c>
      <c r="G895" s="436" t="s">
        <v>3495</v>
      </c>
      <c r="H895" s="437" t="s">
        <v>3496</v>
      </c>
      <c r="I895" s="436" t="s">
        <v>3497</v>
      </c>
      <c r="J895" s="437" t="s">
        <v>3498</v>
      </c>
      <c r="K895" s="437" t="s">
        <v>163</v>
      </c>
      <c r="L895" s="436" t="s">
        <v>3500</v>
      </c>
      <c r="M895" s="436" t="s">
        <v>5751</v>
      </c>
      <c r="N895" s="436" t="s">
        <v>3502</v>
      </c>
      <c r="O895" s="438">
        <v>119000</v>
      </c>
      <c r="P895" s="438">
        <v>80920</v>
      </c>
      <c r="Q895" s="438">
        <v>1</v>
      </c>
      <c r="R895" s="438">
        <v>0</v>
      </c>
      <c r="S895" s="438">
        <v>0</v>
      </c>
      <c r="T895" s="438">
        <v>0</v>
      </c>
      <c r="U895" s="438">
        <v>0</v>
      </c>
      <c r="V895" s="438">
        <v>0</v>
      </c>
      <c r="W895" s="438">
        <v>32</v>
      </c>
      <c r="X895" s="438">
        <v>0</v>
      </c>
      <c r="Y895" s="438">
        <v>5950</v>
      </c>
      <c r="Z895" s="438">
        <v>0</v>
      </c>
      <c r="AA895" s="438">
        <v>0</v>
      </c>
      <c r="AB895" s="438">
        <v>0</v>
      </c>
      <c r="AC895" s="438">
        <v>119000</v>
      </c>
      <c r="AD895" s="438">
        <v>80920</v>
      </c>
      <c r="AE895" s="438">
        <v>0</v>
      </c>
      <c r="AF895" s="438">
        <v>5950</v>
      </c>
      <c r="AG895" s="438">
        <v>113050</v>
      </c>
      <c r="AH895" s="438">
        <v>80920</v>
      </c>
      <c r="AI895" s="438">
        <v>29209</v>
      </c>
      <c r="AJ895" s="438">
        <v>2921</v>
      </c>
      <c r="AK895" s="438">
        <v>32130</v>
      </c>
      <c r="AL895" s="414" t="str">
        <f t="shared" si="79"/>
        <v>워커힐 시그니처 양념 본갈비 300g, 8개</v>
      </c>
      <c r="AM895" s="395">
        <f t="shared" si="80"/>
        <v>46066</v>
      </c>
      <c r="AN895" s="396">
        <f t="shared" si="81"/>
        <v>1</v>
      </c>
      <c r="AO895" s="109">
        <f t="shared" si="82"/>
        <v>119000</v>
      </c>
      <c r="AP895" s="109">
        <f t="shared" si="83"/>
        <v>108181.81818181818</v>
      </c>
      <c r="AQ895" s="397">
        <f t="shared" si="84"/>
        <v>108181.81818181818</v>
      </c>
    </row>
    <row r="896" spans="1:43" ht="24">
      <c r="A896" s="436" t="s">
        <v>5784</v>
      </c>
      <c r="B896" s="436" t="s">
        <v>3490</v>
      </c>
      <c r="C896" s="437" t="s">
        <v>3491</v>
      </c>
      <c r="D896" s="436" t="s">
        <v>5791</v>
      </c>
      <c r="E896" s="437" t="s">
        <v>4155</v>
      </c>
      <c r="F896" s="436" t="s">
        <v>3494</v>
      </c>
      <c r="G896" s="436" t="s">
        <v>3495</v>
      </c>
      <c r="H896" s="437" t="s">
        <v>3496</v>
      </c>
      <c r="I896" s="436" t="s">
        <v>3497</v>
      </c>
      <c r="J896" s="437" t="s">
        <v>3498</v>
      </c>
      <c r="K896" s="437" t="s">
        <v>3548</v>
      </c>
      <c r="L896" s="436" t="s">
        <v>3500</v>
      </c>
      <c r="M896" s="436" t="s">
        <v>5751</v>
      </c>
      <c r="N896" s="436" t="s">
        <v>3502</v>
      </c>
      <c r="O896" s="438">
        <v>119000</v>
      </c>
      <c r="P896" s="438">
        <v>80920</v>
      </c>
      <c r="Q896" s="438">
        <v>1</v>
      </c>
      <c r="R896" s="438">
        <v>0</v>
      </c>
      <c r="S896" s="438">
        <v>0</v>
      </c>
      <c r="T896" s="438">
        <v>0</v>
      </c>
      <c r="U896" s="438">
        <v>0</v>
      </c>
      <c r="V896" s="438">
        <v>0</v>
      </c>
      <c r="W896" s="438">
        <v>32</v>
      </c>
      <c r="X896" s="438">
        <v>0</v>
      </c>
      <c r="Y896" s="438">
        <v>0</v>
      </c>
      <c r="Z896" s="438">
        <v>0</v>
      </c>
      <c r="AA896" s="438">
        <v>0</v>
      </c>
      <c r="AB896" s="438">
        <v>0</v>
      </c>
      <c r="AC896" s="438">
        <v>119000</v>
      </c>
      <c r="AD896" s="438">
        <v>80920</v>
      </c>
      <c r="AE896" s="438">
        <v>0</v>
      </c>
      <c r="AF896" s="438">
        <v>0</v>
      </c>
      <c r="AG896" s="438">
        <v>119000</v>
      </c>
      <c r="AH896" s="438">
        <v>80920</v>
      </c>
      <c r="AI896" s="438">
        <v>34618</v>
      </c>
      <c r="AJ896" s="438">
        <v>3462</v>
      </c>
      <c r="AK896" s="438">
        <v>38080</v>
      </c>
      <c r="AL896" s="414" t="str">
        <f t="shared" si="79"/>
        <v>워커힐 시그니처 양념 본갈비 300g, 8개</v>
      </c>
      <c r="AM896" s="395">
        <f t="shared" si="80"/>
        <v>46066</v>
      </c>
      <c r="AN896" s="396">
        <f t="shared" si="81"/>
        <v>1</v>
      </c>
      <c r="AO896" s="109">
        <f t="shared" si="82"/>
        <v>119000</v>
      </c>
      <c r="AP896" s="109">
        <f t="shared" si="83"/>
        <v>108181.81818181818</v>
      </c>
      <c r="AQ896" s="397">
        <f t="shared" si="84"/>
        <v>108181.81818181818</v>
      </c>
    </row>
    <row r="897" spans="1:43" ht="24">
      <c r="A897" s="436" t="s">
        <v>5787</v>
      </c>
      <c r="B897" s="436" t="s">
        <v>3490</v>
      </c>
      <c r="C897" s="437" t="s">
        <v>3491</v>
      </c>
      <c r="D897" s="436" t="s">
        <v>5767</v>
      </c>
      <c r="E897" s="437" t="s">
        <v>5768</v>
      </c>
      <c r="F897" s="436" t="s">
        <v>3494</v>
      </c>
      <c r="G897" s="436" t="s">
        <v>3495</v>
      </c>
      <c r="H897" s="437" t="s">
        <v>3496</v>
      </c>
      <c r="I897" s="436" t="s">
        <v>3497</v>
      </c>
      <c r="J897" s="437" t="s">
        <v>3498</v>
      </c>
      <c r="K897" s="437" t="s">
        <v>163</v>
      </c>
      <c r="L897" s="436" t="s">
        <v>3500</v>
      </c>
      <c r="M897" s="436" t="s">
        <v>5751</v>
      </c>
      <c r="N897" s="436" t="s">
        <v>3502</v>
      </c>
      <c r="O897" s="438">
        <v>119000</v>
      </c>
      <c r="P897" s="438">
        <v>80920</v>
      </c>
      <c r="Q897" s="438">
        <v>1</v>
      </c>
      <c r="R897" s="438">
        <v>0</v>
      </c>
      <c r="S897" s="438">
        <v>0</v>
      </c>
      <c r="T897" s="438">
        <v>0</v>
      </c>
      <c r="U897" s="438">
        <v>0</v>
      </c>
      <c r="V897" s="438">
        <v>0</v>
      </c>
      <c r="W897" s="438">
        <v>32</v>
      </c>
      <c r="X897" s="438">
        <v>0</v>
      </c>
      <c r="Y897" s="438">
        <v>5950</v>
      </c>
      <c r="Z897" s="438">
        <v>0</v>
      </c>
      <c r="AA897" s="438">
        <v>0</v>
      </c>
      <c r="AB897" s="438">
        <v>0</v>
      </c>
      <c r="AC897" s="438">
        <v>119000</v>
      </c>
      <c r="AD897" s="438">
        <v>80920</v>
      </c>
      <c r="AE897" s="438">
        <v>0</v>
      </c>
      <c r="AF897" s="438">
        <v>5950</v>
      </c>
      <c r="AG897" s="438">
        <v>113050</v>
      </c>
      <c r="AH897" s="438">
        <v>80920</v>
      </c>
      <c r="AI897" s="438">
        <v>29209</v>
      </c>
      <c r="AJ897" s="438">
        <v>2921</v>
      </c>
      <c r="AK897" s="438">
        <v>32130</v>
      </c>
      <c r="AL897" s="414" t="str">
        <f t="shared" si="79"/>
        <v>워커힐 시그니처 양념 본갈비 300g, 8개</v>
      </c>
      <c r="AM897" s="395">
        <f t="shared" si="80"/>
        <v>46066</v>
      </c>
      <c r="AN897" s="396">
        <f t="shared" si="81"/>
        <v>1</v>
      </c>
      <c r="AO897" s="109">
        <f t="shared" si="82"/>
        <v>119000</v>
      </c>
      <c r="AP897" s="109">
        <f t="shared" si="83"/>
        <v>108181.81818181818</v>
      </c>
      <c r="AQ897" s="397">
        <f t="shared" si="84"/>
        <v>108181.81818181818</v>
      </c>
    </row>
    <row r="898" spans="1:43" ht="24">
      <c r="A898" s="436" t="s">
        <v>5790</v>
      </c>
      <c r="B898" s="436" t="s">
        <v>3490</v>
      </c>
      <c r="C898" s="437" t="s">
        <v>3491</v>
      </c>
      <c r="D898" s="436" t="s">
        <v>5796</v>
      </c>
      <c r="E898" s="437" t="s">
        <v>5797</v>
      </c>
      <c r="F898" s="436" t="s">
        <v>3494</v>
      </c>
      <c r="G898" s="436" t="s">
        <v>3495</v>
      </c>
      <c r="H898" s="437" t="s">
        <v>3496</v>
      </c>
      <c r="I898" s="436" t="s">
        <v>3497</v>
      </c>
      <c r="J898" s="437" t="s">
        <v>3498</v>
      </c>
      <c r="K898" s="437" t="s">
        <v>3548</v>
      </c>
      <c r="L898" s="436" t="s">
        <v>3500</v>
      </c>
      <c r="M898" s="436" t="s">
        <v>5751</v>
      </c>
      <c r="N898" s="436" t="s">
        <v>3502</v>
      </c>
      <c r="O898" s="438">
        <v>119000</v>
      </c>
      <c r="P898" s="438">
        <v>80920</v>
      </c>
      <c r="Q898" s="438">
        <v>1</v>
      </c>
      <c r="R898" s="438">
        <v>0</v>
      </c>
      <c r="S898" s="438">
        <v>0</v>
      </c>
      <c r="T898" s="438">
        <v>0</v>
      </c>
      <c r="U898" s="438">
        <v>0</v>
      </c>
      <c r="V898" s="438">
        <v>0</v>
      </c>
      <c r="W898" s="438">
        <v>32</v>
      </c>
      <c r="X898" s="438">
        <v>0</v>
      </c>
      <c r="Y898" s="438">
        <v>0</v>
      </c>
      <c r="Z898" s="438">
        <v>0</v>
      </c>
      <c r="AA898" s="438">
        <v>0</v>
      </c>
      <c r="AB898" s="438">
        <v>0</v>
      </c>
      <c r="AC898" s="438">
        <v>119000</v>
      </c>
      <c r="AD898" s="438">
        <v>80920</v>
      </c>
      <c r="AE898" s="438">
        <v>0</v>
      </c>
      <c r="AF898" s="438">
        <v>0</v>
      </c>
      <c r="AG898" s="438">
        <v>119000</v>
      </c>
      <c r="AH898" s="438">
        <v>80920</v>
      </c>
      <c r="AI898" s="438">
        <v>34618</v>
      </c>
      <c r="AJ898" s="438">
        <v>3462</v>
      </c>
      <c r="AK898" s="438">
        <v>38080</v>
      </c>
      <c r="AL898" s="414" t="str">
        <f t="shared" si="79"/>
        <v>워커힐 시그니처 양념 본갈비 300g, 8개</v>
      </c>
      <c r="AM898" s="395">
        <f t="shared" si="80"/>
        <v>46066</v>
      </c>
      <c r="AN898" s="396">
        <f t="shared" si="81"/>
        <v>1</v>
      </c>
      <c r="AO898" s="109">
        <f t="shared" si="82"/>
        <v>119000</v>
      </c>
      <c r="AP898" s="109">
        <f t="shared" si="83"/>
        <v>108181.81818181818</v>
      </c>
      <c r="AQ898" s="397">
        <f t="shared" si="84"/>
        <v>108181.81818181818</v>
      </c>
    </row>
    <row r="899" spans="1:43" ht="24">
      <c r="A899" s="436" t="s">
        <v>5792</v>
      </c>
      <c r="B899" s="436" t="s">
        <v>3490</v>
      </c>
      <c r="C899" s="437" t="s">
        <v>3491</v>
      </c>
      <c r="D899" s="436" t="s">
        <v>5802</v>
      </c>
      <c r="E899" s="437" t="s">
        <v>5803</v>
      </c>
      <c r="F899" s="436" t="s">
        <v>3494</v>
      </c>
      <c r="G899" s="436" t="s">
        <v>3495</v>
      </c>
      <c r="H899" s="437" t="s">
        <v>3496</v>
      </c>
      <c r="I899" s="436" t="s">
        <v>3497</v>
      </c>
      <c r="J899" s="437" t="s">
        <v>3498</v>
      </c>
      <c r="K899" s="437" t="s">
        <v>3548</v>
      </c>
      <c r="L899" s="436" t="s">
        <v>3500</v>
      </c>
      <c r="M899" s="436" t="s">
        <v>5751</v>
      </c>
      <c r="N899" s="436" t="s">
        <v>3502</v>
      </c>
      <c r="O899" s="438">
        <v>119000</v>
      </c>
      <c r="P899" s="438">
        <v>80920</v>
      </c>
      <c r="Q899" s="438">
        <v>1</v>
      </c>
      <c r="R899" s="438">
        <v>0</v>
      </c>
      <c r="S899" s="438">
        <v>0</v>
      </c>
      <c r="T899" s="438">
        <v>0</v>
      </c>
      <c r="U899" s="438">
        <v>0</v>
      </c>
      <c r="V899" s="438">
        <v>0</v>
      </c>
      <c r="W899" s="438">
        <v>32</v>
      </c>
      <c r="X899" s="438">
        <v>0</v>
      </c>
      <c r="Y899" s="438">
        <v>0</v>
      </c>
      <c r="Z899" s="438">
        <v>0</v>
      </c>
      <c r="AA899" s="438">
        <v>0</v>
      </c>
      <c r="AB899" s="438">
        <v>0</v>
      </c>
      <c r="AC899" s="438">
        <v>119000</v>
      </c>
      <c r="AD899" s="438">
        <v>80920</v>
      </c>
      <c r="AE899" s="438">
        <v>0</v>
      </c>
      <c r="AF899" s="438">
        <v>0</v>
      </c>
      <c r="AG899" s="438">
        <v>119000</v>
      </c>
      <c r="AH899" s="438">
        <v>80920</v>
      </c>
      <c r="AI899" s="438">
        <v>34618</v>
      </c>
      <c r="AJ899" s="438">
        <v>3462</v>
      </c>
      <c r="AK899" s="438">
        <v>38080</v>
      </c>
      <c r="AL899" s="414" t="str">
        <f t="shared" ref="AL899:AL962" si="85">SUBSTITUTE(SUBSTITUTE(H899,"[워커힐]워커힐 고메 시그니처 양념 본갈비 8팩","워커힐 시그니처 양념 본갈비 300g, 8개"),"[워커힐]워커힐 시그니처 양념 본갈비 4팩","워커힐 시그니처 양념 본갈비 300g, 4개")</f>
        <v>워커힐 시그니처 양념 본갈비 300g, 8개</v>
      </c>
      <c r="AM899" s="395">
        <f t="shared" ref="AM899:AM962" si="86">IF(N899="배송완료", DATE(LEFT(M899,4), MID(M899,6,2), MID(M899,9,2)), "")</f>
        <v>46066</v>
      </c>
      <c r="AN899" s="396">
        <f t="shared" ref="AN899:AN962" si="87">IF(OR(N899="배송완료", Q899&lt;0), Q899, 0)</f>
        <v>1</v>
      </c>
      <c r="AO899" s="109">
        <f t="shared" ref="AO899:AO962" si="88">IF(AL899="워커힐 시그니처 양념 본갈비 300g, 8개",119000,IF(AL899="워커힐 시그니처 양념 본갈비 300g, 4개",78000,""))</f>
        <v>119000</v>
      </c>
      <c r="AP899" s="109">
        <f t="shared" ref="AP899:AP962" si="89">AO899/1.1</f>
        <v>108181.81818181818</v>
      </c>
      <c r="AQ899" s="397">
        <f t="shared" si="84"/>
        <v>108181.81818181818</v>
      </c>
    </row>
    <row r="900" spans="1:43" ht="24">
      <c r="A900" s="436" t="s">
        <v>5795</v>
      </c>
      <c r="B900" s="436" t="s">
        <v>3490</v>
      </c>
      <c r="C900" s="437" t="s">
        <v>3491</v>
      </c>
      <c r="D900" s="436" t="s">
        <v>5785</v>
      </c>
      <c r="E900" s="437" t="s">
        <v>5786</v>
      </c>
      <c r="F900" s="436" t="s">
        <v>3494</v>
      </c>
      <c r="G900" s="436" t="s">
        <v>3495</v>
      </c>
      <c r="H900" s="437" t="s">
        <v>3496</v>
      </c>
      <c r="I900" s="436" t="s">
        <v>3497</v>
      </c>
      <c r="J900" s="437" t="s">
        <v>3498</v>
      </c>
      <c r="K900" s="437" t="s">
        <v>3499</v>
      </c>
      <c r="L900" s="436" t="s">
        <v>3500</v>
      </c>
      <c r="M900" s="436" t="s">
        <v>5751</v>
      </c>
      <c r="N900" s="436" t="s">
        <v>3502</v>
      </c>
      <c r="O900" s="438">
        <v>119000</v>
      </c>
      <c r="P900" s="438">
        <v>80920</v>
      </c>
      <c r="Q900" s="438">
        <v>1</v>
      </c>
      <c r="R900" s="438">
        <v>0</v>
      </c>
      <c r="S900" s="438">
        <v>0</v>
      </c>
      <c r="T900" s="438">
        <v>0</v>
      </c>
      <c r="U900" s="438">
        <v>0</v>
      </c>
      <c r="V900" s="438">
        <v>0</v>
      </c>
      <c r="W900" s="438">
        <v>32</v>
      </c>
      <c r="X900" s="438">
        <v>0</v>
      </c>
      <c r="Y900" s="438">
        <v>0</v>
      </c>
      <c r="Z900" s="438">
        <v>0</v>
      </c>
      <c r="AA900" s="438">
        <v>0</v>
      </c>
      <c r="AB900" s="438">
        <v>0</v>
      </c>
      <c r="AC900" s="438">
        <v>119000</v>
      </c>
      <c r="AD900" s="438">
        <v>80920</v>
      </c>
      <c r="AE900" s="438">
        <v>0</v>
      </c>
      <c r="AF900" s="438">
        <v>0</v>
      </c>
      <c r="AG900" s="438">
        <v>119000</v>
      </c>
      <c r="AH900" s="438">
        <v>80920</v>
      </c>
      <c r="AI900" s="438">
        <v>34618</v>
      </c>
      <c r="AJ900" s="438">
        <v>3462</v>
      </c>
      <c r="AK900" s="438">
        <v>38080</v>
      </c>
      <c r="AL900" s="414" t="str">
        <f t="shared" si="85"/>
        <v>워커힐 시그니처 양념 본갈비 300g, 8개</v>
      </c>
      <c r="AM900" s="395">
        <f t="shared" si="86"/>
        <v>46066</v>
      </c>
      <c r="AN900" s="396">
        <f t="shared" si="87"/>
        <v>1</v>
      </c>
      <c r="AO900" s="109">
        <f t="shared" si="88"/>
        <v>119000</v>
      </c>
      <c r="AP900" s="109">
        <f t="shared" si="89"/>
        <v>108181.81818181818</v>
      </c>
      <c r="AQ900" s="397">
        <f t="shared" si="84"/>
        <v>108181.81818181818</v>
      </c>
    </row>
    <row r="901" spans="1:43" ht="24">
      <c r="A901" s="436" t="s">
        <v>5798</v>
      </c>
      <c r="B901" s="436" t="s">
        <v>3490</v>
      </c>
      <c r="C901" s="437" t="s">
        <v>3491</v>
      </c>
      <c r="D901" s="436" t="s">
        <v>5805</v>
      </c>
      <c r="E901" s="437" t="s">
        <v>4357</v>
      </c>
      <c r="F901" s="436" t="s">
        <v>3494</v>
      </c>
      <c r="G901" s="436" t="s">
        <v>3495</v>
      </c>
      <c r="H901" s="437" t="s">
        <v>3496</v>
      </c>
      <c r="I901" s="436" t="s">
        <v>3497</v>
      </c>
      <c r="J901" s="437" t="s">
        <v>3498</v>
      </c>
      <c r="K901" s="437" t="s">
        <v>3548</v>
      </c>
      <c r="L901" s="436" t="s">
        <v>3500</v>
      </c>
      <c r="M901" s="436" t="s">
        <v>5751</v>
      </c>
      <c r="N901" s="436" t="s">
        <v>3502</v>
      </c>
      <c r="O901" s="438">
        <v>119000</v>
      </c>
      <c r="P901" s="438">
        <v>80920</v>
      </c>
      <c r="Q901" s="438">
        <v>1</v>
      </c>
      <c r="R901" s="438">
        <v>0</v>
      </c>
      <c r="S901" s="438">
        <v>0</v>
      </c>
      <c r="T901" s="438">
        <v>0</v>
      </c>
      <c r="U901" s="438">
        <v>0</v>
      </c>
      <c r="V901" s="438">
        <v>0</v>
      </c>
      <c r="W901" s="438">
        <v>32</v>
      </c>
      <c r="X901" s="438">
        <v>0</v>
      </c>
      <c r="Y901" s="438">
        <v>0</v>
      </c>
      <c r="Z901" s="438">
        <v>0</v>
      </c>
      <c r="AA901" s="438">
        <v>0</v>
      </c>
      <c r="AB901" s="438">
        <v>0</v>
      </c>
      <c r="AC901" s="438">
        <v>119000</v>
      </c>
      <c r="AD901" s="438">
        <v>80920</v>
      </c>
      <c r="AE901" s="438">
        <v>0</v>
      </c>
      <c r="AF901" s="438">
        <v>0</v>
      </c>
      <c r="AG901" s="438">
        <v>119000</v>
      </c>
      <c r="AH901" s="438">
        <v>80920</v>
      </c>
      <c r="AI901" s="438">
        <v>34618</v>
      </c>
      <c r="AJ901" s="438">
        <v>3462</v>
      </c>
      <c r="AK901" s="438">
        <v>38080</v>
      </c>
      <c r="AL901" s="414" t="str">
        <f t="shared" si="85"/>
        <v>워커힐 시그니처 양념 본갈비 300g, 8개</v>
      </c>
      <c r="AM901" s="395">
        <f t="shared" si="86"/>
        <v>46066</v>
      </c>
      <c r="AN901" s="396">
        <f t="shared" si="87"/>
        <v>1</v>
      </c>
      <c r="AO901" s="109">
        <f t="shared" si="88"/>
        <v>119000</v>
      </c>
      <c r="AP901" s="109">
        <f t="shared" si="89"/>
        <v>108181.81818181818</v>
      </c>
      <c r="AQ901" s="397">
        <f t="shared" si="84"/>
        <v>108181.81818181818</v>
      </c>
    </row>
    <row r="902" spans="1:43" ht="24">
      <c r="A902" s="436" t="s">
        <v>5801</v>
      </c>
      <c r="B902" s="436" t="s">
        <v>3490</v>
      </c>
      <c r="C902" s="437" t="s">
        <v>3491</v>
      </c>
      <c r="D902" s="436" t="s">
        <v>5760</v>
      </c>
      <c r="E902" s="437" t="s">
        <v>5761</v>
      </c>
      <c r="F902" s="436" t="s">
        <v>3494</v>
      </c>
      <c r="G902" s="436" t="s">
        <v>3495</v>
      </c>
      <c r="H902" s="437" t="s">
        <v>3496</v>
      </c>
      <c r="I902" s="436" t="s">
        <v>3497</v>
      </c>
      <c r="J902" s="437" t="s">
        <v>3498</v>
      </c>
      <c r="K902" s="437" t="s">
        <v>3548</v>
      </c>
      <c r="L902" s="436" t="s">
        <v>3500</v>
      </c>
      <c r="M902" s="436" t="s">
        <v>5751</v>
      </c>
      <c r="N902" s="436" t="s">
        <v>3502</v>
      </c>
      <c r="O902" s="438">
        <v>119000</v>
      </c>
      <c r="P902" s="438">
        <v>80920</v>
      </c>
      <c r="Q902" s="438">
        <v>1</v>
      </c>
      <c r="R902" s="438">
        <v>0</v>
      </c>
      <c r="S902" s="438">
        <v>0</v>
      </c>
      <c r="T902" s="438">
        <v>0</v>
      </c>
      <c r="U902" s="438">
        <v>0</v>
      </c>
      <c r="V902" s="438">
        <v>0</v>
      </c>
      <c r="W902" s="438">
        <v>32</v>
      </c>
      <c r="X902" s="438">
        <v>0</v>
      </c>
      <c r="Y902" s="438">
        <v>0</v>
      </c>
      <c r="Z902" s="438">
        <v>0</v>
      </c>
      <c r="AA902" s="438">
        <v>0</v>
      </c>
      <c r="AB902" s="438">
        <v>0</v>
      </c>
      <c r="AC902" s="438">
        <v>119000</v>
      </c>
      <c r="AD902" s="438">
        <v>80920</v>
      </c>
      <c r="AE902" s="438">
        <v>0</v>
      </c>
      <c r="AF902" s="438">
        <v>0</v>
      </c>
      <c r="AG902" s="438">
        <v>119000</v>
      </c>
      <c r="AH902" s="438">
        <v>80920</v>
      </c>
      <c r="AI902" s="438">
        <v>34618</v>
      </c>
      <c r="AJ902" s="438">
        <v>3462</v>
      </c>
      <c r="AK902" s="438">
        <v>38080</v>
      </c>
      <c r="AL902" s="414" t="str">
        <f t="shared" si="85"/>
        <v>워커힐 시그니처 양념 본갈비 300g, 8개</v>
      </c>
      <c r="AM902" s="395">
        <f t="shared" si="86"/>
        <v>46066</v>
      </c>
      <c r="AN902" s="396">
        <f t="shared" si="87"/>
        <v>1</v>
      </c>
      <c r="AO902" s="109">
        <f t="shared" si="88"/>
        <v>119000</v>
      </c>
      <c r="AP902" s="109">
        <f t="shared" si="89"/>
        <v>108181.81818181818</v>
      </c>
      <c r="AQ902" s="397">
        <f t="shared" si="84"/>
        <v>108181.81818181818</v>
      </c>
    </row>
    <row r="903" spans="1:43" ht="24">
      <c r="A903" s="436" t="s">
        <v>5804</v>
      </c>
      <c r="B903" s="436" t="s">
        <v>3490</v>
      </c>
      <c r="C903" s="437" t="s">
        <v>3491</v>
      </c>
      <c r="D903" s="436" t="s">
        <v>5753</v>
      </c>
      <c r="E903" s="437" t="s">
        <v>5754</v>
      </c>
      <c r="F903" s="436" t="s">
        <v>3494</v>
      </c>
      <c r="G903" s="436" t="s">
        <v>3495</v>
      </c>
      <c r="H903" s="437" t="s">
        <v>3496</v>
      </c>
      <c r="I903" s="436" t="s">
        <v>3497</v>
      </c>
      <c r="J903" s="437" t="s">
        <v>3498</v>
      </c>
      <c r="K903" s="437" t="s">
        <v>3548</v>
      </c>
      <c r="L903" s="436" t="s">
        <v>3500</v>
      </c>
      <c r="M903" s="436" t="s">
        <v>5751</v>
      </c>
      <c r="N903" s="436" t="s">
        <v>3502</v>
      </c>
      <c r="O903" s="438">
        <v>119000</v>
      </c>
      <c r="P903" s="438">
        <v>80920</v>
      </c>
      <c r="Q903" s="438">
        <v>1</v>
      </c>
      <c r="R903" s="438">
        <v>0</v>
      </c>
      <c r="S903" s="438">
        <v>0</v>
      </c>
      <c r="T903" s="438">
        <v>0</v>
      </c>
      <c r="U903" s="438">
        <v>0</v>
      </c>
      <c r="V903" s="438">
        <v>0</v>
      </c>
      <c r="W903" s="438">
        <v>32</v>
      </c>
      <c r="X903" s="438">
        <v>0</v>
      </c>
      <c r="Y903" s="438">
        <v>0</v>
      </c>
      <c r="Z903" s="438">
        <v>0</v>
      </c>
      <c r="AA903" s="438">
        <v>0</v>
      </c>
      <c r="AB903" s="438">
        <v>0</v>
      </c>
      <c r="AC903" s="438">
        <v>119000</v>
      </c>
      <c r="AD903" s="438">
        <v>80920</v>
      </c>
      <c r="AE903" s="438">
        <v>0</v>
      </c>
      <c r="AF903" s="438">
        <v>0</v>
      </c>
      <c r="AG903" s="438">
        <v>119000</v>
      </c>
      <c r="AH903" s="438">
        <v>80920</v>
      </c>
      <c r="AI903" s="438">
        <v>34618</v>
      </c>
      <c r="AJ903" s="438">
        <v>3462</v>
      </c>
      <c r="AK903" s="438">
        <v>38080</v>
      </c>
      <c r="AL903" s="414" t="str">
        <f t="shared" si="85"/>
        <v>워커힐 시그니처 양념 본갈비 300g, 8개</v>
      </c>
      <c r="AM903" s="395">
        <f t="shared" si="86"/>
        <v>46066</v>
      </c>
      <c r="AN903" s="396">
        <f t="shared" si="87"/>
        <v>1</v>
      </c>
      <c r="AO903" s="109">
        <f t="shared" si="88"/>
        <v>119000</v>
      </c>
      <c r="AP903" s="109">
        <f t="shared" si="89"/>
        <v>108181.81818181818</v>
      </c>
      <c r="AQ903" s="397">
        <f t="shared" si="84"/>
        <v>108181.81818181818</v>
      </c>
    </row>
    <row r="904" spans="1:43" ht="24">
      <c r="A904" s="436" t="s">
        <v>5806</v>
      </c>
      <c r="B904" s="436" t="s">
        <v>3490</v>
      </c>
      <c r="C904" s="437" t="s">
        <v>3491</v>
      </c>
      <c r="D904" s="436" t="s">
        <v>5807</v>
      </c>
      <c r="E904" s="437" t="s">
        <v>5808</v>
      </c>
      <c r="F904" s="436" t="s">
        <v>3514</v>
      </c>
      <c r="G904" s="436" t="s">
        <v>3495</v>
      </c>
      <c r="H904" s="437" t="s">
        <v>3496</v>
      </c>
      <c r="I904" s="436" t="s">
        <v>3497</v>
      </c>
      <c r="J904" s="437" t="s">
        <v>3498</v>
      </c>
      <c r="K904" s="437" t="s">
        <v>3499</v>
      </c>
      <c r="L904" s="436" t="s">
        <v>3500</v>
      </c>
      <c r="M904" s="436" t="s">
        <v>5751</v>
      </c>
      <c r="N904" s="436" t="s">
        <v>3502</v>
      </c>
      <c r="O904" s="438">
        <v>119000</v>
      </c>
      <c r="P904" s="438">
        <v>82110</v>
      </c>
      <c r="Q904" s="438">
        <v>1</v>
      </c>
      <c r="R904" s="438">
        <v>0</v>
      </c>
      <c r="S904" s="438">
        <v>0</v>
      </c>
      <c r="T904" s="438">
        <v>0</v>
      </c>
      <c r="U904" s="438">
        <v>0</v>
      </c>
      <c r="V904" s="438">
        <v>0</v>
      </c>
      <c r="W904" s="438">
        <v>31</v>
      </c>
      <c r="X904" s="438">
        <v>0</v>
      </c>
      <c r="Y904" s="438">
        <v>0</v>
      </c>
      <c r="Z904" s="438">
        <v>0</v>
      </c>
      <c r="AA904" s="438">
        <v>0</v>
      </c>
      <c r="AB904" s="438">
        <v>0</v>
      </c>
      <c r="AC904" s="438">
        <v>119000</v>
      </c>
      <c r="AD904" s="438">
        <v>82110</v>
      </c>
      <c r="AE904" s="438">
        <v>0</v>
      </c>
      <c r="AF904" s="438">
        <v>0</v>
      </c>
      <c r="AG904" s="438">
        <v>119000</v>
      </c>
      <c r="AH904" s="438">
        <v>82110</v>
      </c>
      <c r="AI904" s="438">
        <v>33536</v>
      </c>
      <c r="AJ904" s="438">
        <v>3354</v>
      </c>
      <c r="AK904" s="438">
        <v>36890</v>
      </c>
      <c r="AL904" s="414" t="str">
        <f t="shared" si="85"/>
        <v>워커힐 시그니처 양념 본갈비 300g, 8개</v>
      </c>
      <c r="AM904" s="395">
        <f t="shared" si="86"/>
        <v>46066</v>
      </c>
      <c r="AN904" s="396">
        <f t="shared" si="87"/>
        <v>1</v>
      </c>
      <c r="AO904" s="109">
        <f t="shared" si="88"/>
        <v>119000</v>
      </c>
      <c r="AP904" s="109">
        <f t="shared" si="89"/>
        <v>108181.81818181818</v>
      </c>
      <c r="AQ904" s="397">
        <f t="shared" si="84"/>
        <v>108181.81818181818</v>
      </c>
    </row>
    <row r="905" spans="1:43" ht="24">
      <c r="A905" s="436" t="s">
        <v>5809</v>
      </c>
      <c r="B905" s="436" t="s">
        <v>3490</v>
      </c>
      <c r="C905" s="437" t="s">
        <v>3491</v>
      </c>
      <c r="D905" s="436" t="s">
        <v>5810</v>
      </c>
      <c r="E905" s="437" t="s">
        <v>3796</v>
      </c>
      <c r="F905" s="436" t="s">
        <v>4666</v>
      </c>
      <c r="G905" s="436" t="s">
        <v>3495</v>
      </c>
      <c r="H905" s="437" t="s">
        <v>4667</v>
      </c>
      <c r="I905" s="436" t="s">
        <v>3497</v>
      </c>
      <c r="J905" s="437" t="s">
        <v>3498</v>
      </c>
      <c r="K905" s="437" t="s">
        <v>163</v>
      </c>
      <c r="L905" s="436" t="s">
        <v>3500</v>
      </c>
      <c r="M905" s="436" t="s">
        <v>5751</v>
      </c>
      <c r="N905" s="436" t="s">
        <v>3502</v>
      </c>
      <c r="O905" s="438">
        <v>78000</v>
      </c>
      <c r="P905" s="438">
        <v>53820</v>
      </c>
      <c r="Q905" s="438">
        <v>1</v>
      </c>
      <c r="R905" s="438">
        <v>0</v>
      </c>
      <c r="S905" s="438">
        <v>0</v>
      </c>
      <c r="T905" s="438">
        <v>0</v>
      </c>
      <c r="U905" s="438">
        <v>0</v>
      </c>
      <c r="V905" s="438">
        <v>0</v>
      </c>
      <c r="W905" s="438">
        <v>31</v>
      </c>
      <c r="X905" s="438">
        <v>0</v>
      </c>
      <c r="Y905" s="438">
        <v>0</v>
      </c>
      <c r="Z905" s="438">
        <v>0</v>
      </c>
      <c r="AA905" s="438">
        <v>0</v>
      </c>
      <c r="AB905" s="438">
        <v>0</v>
      </c>
      <c r="AC905" s="438">
        <v>78000</v>
      </c>
      <c r="AD905" s="438">
        <v>53820</v>
      </c>
      <c r="AE905" s="438">
        <v>0</v>
      </c>
      <c r="AF905" s="438">
        <v>0</v>
      </c>
      <c r="AG905" s="438">
        <v>78000</v>
      </c>
      <c r="AH905" s="438">
        <v>53820</v>
      </c>
      <c r="AI905" s="438">
        <v>21982</v>
      </c>
      <c r="AJ905" s="438">
        <v>2198</v>
      </c>
      <c r="AK905" s="438">
        <v>24180</v>
      </c>
      <c r="AL905" s="414" t="str">
        <f t="shared" si="85"/>
        <v>워커힐 시그니처 양념 본갈비 300g, 4개</v>
      </c>
      <c r="AM905" s="395">
        <f t="shared" si="86"/>
        <v>46066</v>
      </c>
      <c r="AN905" s="396">
        <f t="shared" si="87"/>
        <v>1</v>
      </c>
      <c r="AO905" s="109">
        <f t="shared" si="88"/>
        <v>78000</v>
      </c>
      <c r="AP905" s="109">
        <f t="shared" si="89"/>
        <v>70909.090909090897</v>
      </c>
      <c r="AQ905" s="397">
        <f t="shared" si="84"/>
        <v>70909.090909090897</v>
      </c>
    </row>
    <row r="906" spans="1:43" ht="24">
      <c r="A906" s="436" t="s">
        <v>5811</v>
      </c>
      <c r="B906" s="436" t="s">
        <v>3490</v>
      </c>
      <c r="C906" s="437" t="s">
        <v>3491</v>
      </c>
      <c r="D906" s="436" t="s">
        <v>5812</v>
      </c>
      <c r="E906" s="437" t="s">
        <v>3757</v>
      </c>
      <c r="F906" s="436" t="s">
        <v>3494</v>
      </c>
      <c r="G906" s="436" t="s">
        <v>3495</v>
      </c>
      <c r="H906" s="437" t="s">
        <v>3496</v>
      </c>
      <c r="I906" s="436" t="s">
        <v>3497</v>
      </c>
      <c r="J906" s="437" t="s">
        <v>3498</v>
      </c>
      <c r="K906" s="437" t="s">
        <v>3499</v>
      </c>
      <c r="L906" s="436" t="s">
        <v>3500</v>
      </c>
      <c r="M906" s="436" t="s">
        <v>5813</v>
      </c>
      <c r="N906" s="436" t="s">
        <v>3502</v>
      </c>
      <c r="O906" s="438">
        <v>119000</v>
      </c>
      <c r="P906" s="438">
        <v>80920</v>
      </c>
      <c r="Q906" s="438">
        <v>1</v>
      </c>
      <c r="R906" s="438">
        <v>0</v>
      </c>
      <c r="S906" s="438">
        <v>0</v>
      </c>
      <c r="T906" s="438">
        <v>0</v>
      </c>
      <c r="U906" s="438">
        <v>0</v>
      </c>
      <c r="V906" s="438">
        <v>0</v>
      </c>
      <c r="W906" s="438">
        <v>32</v>
      </c>
      <c r="X906" s="438">
        <v>0</v>
      </c>
      <c r="Y906" s="438">
        <v>0</v>
      </c>
      <c r="Z906" s="438">
        <v>0</v>
      </c>
      <c r="AA906" s="438">
        <v>0</v>
      </c>
      <c r="AB906" s="438">
        <v>0</v>
      </c>
      <c r="AC906" s="438">
        <v>119000</v>
      </c>
      <c r="AD906" s="438">
        <v>80920</v>
      </c>
      <c r="AE906" s="438">
        <v>0</v>
      </c>
      <c r="AF906" s="438">
        <v>0</v>
      </c>
      <c r="AG906" s="438">
        <v>119000</v>
      </c>
      <c r="AH906" s="438">
        <v>80920</v>
      </c>
      <c r="AI906" s="438">
        <v>34618</v>
      </c>
      <c r="AJ906" s="438">
        <v>3462</v>
      </c>
      <c r="AK906" s="438">
        <v>38080</v>
      </c>
      <c r="AL906" s="414" t="str">
        <f t="shared" si="85"/>
        <v>워커힐 시그니처 양념 본갈비 300g, 8개</v>
      </c>
      <c r="AM906" s="395">
        <f t="shared" si="86"/>
        <v>46067</v>
      </c>
      <c r="AN906" s="396">
        <f t="shared" si="87"/>
        <v>1</v>
      </c>
      <c r="AO906" s="109">
        <f t="shared" si="88"/>
        <v>119000</v>
      </c>
      <c r="AP906" s="109">
        <f t="shared" si="89"/>
        <v>108181.81818181818</v>
      </c>
      <c r="AQ906" s="397">
        <f t="shared" si="84"/>
        <v>108181.81818181818</v>
      </c>
    </row>
    <row r="907" spans="1:43" ht="24">
      <c r="A907" s="436" t="s">
        <v>5924</v>
      </c>
      <c r="B907" s="436" t="s">
        <v>3490</v>
      </c>
      <c r="C907" s="437" t="s">
        <v>3491</v>
      </c>
      <c r="D907" s="436" t="s">
        <v>4070</v>
      </c>
      <c r="E907" s="437" t="s">
        <v>4071</v>
      </c>
      <c r="F907" s="436" t="s">
        <v>3494</v>
      </c>
      <c r="G907" s="436" t="s">
        <v>3495</v>
      </c>
      <c r="H907" s="437" t="s">
        <v>3496</v>
      </c>
      <c r="I907" s="436" t="s">
        <v>3497</v>
      </c>
      <c r="J907" s="437" t="s">
        <v>3498</v>
      </c>
      <c r="K907" s="437" t="s">
        <v>3499</v>
      </c>
      <c r="L907" s="436" t="s">
        <v>3500</v>
      </c>
      <c r="M907" s="436" t="s">
        <v>5925</v>
      </c>
      <c r="N907" s="436" t="s">
        <v>3510</v>
      </c>
      <c r="O907" s="438">
        <v>119000</v>
      </c>
      <c r="P907" s="438">
        <v>82110</v>
      </c>
      <c r="Q907" s="438">
        <v>-1</v>
      </c>
      <c r="R907" s="438">
        <v>0</v>
      </c>
      <c r="S907" s="438">
        <v>0</v>
      </c>
      <c r="T907" s="438">
        <v>0</v>
      </c>
      <c r="U907" s="438">
        <v>0</v>
      </c>
      <c r="V907" s="438">
        <v>0</v>
      </c>
      <c r="W907" s="438">
        <v>31</v>
      </c>
      <c r="X907" s="438">
        <v>0</v>
      </c>
      <c r="Y907" s="438">
        <v>-10000</v>
      </c>
      <c r="Z907" s="438">
        <v>0</v>
      </c>
      <c r="AA907" s="438">
        <v>0</v>
      </c>
      <c r="AB907" s="438">
        <v>0</v>
      </c>
      <c r="AC907" s="438">
        <v>-119000</v>
      </c>
      <c r="AD907" s="438">
        <v>-82110</v>
      </c>
      <c r="AE907" s="438">
        <v>0</v>
      </c>
      <c r="AF907" s="438">
        <v>-10000</v>
      </c>
      <c r="AG907" s="438">
        <v>-109000</v>
      </c>
      <c r="AH907" s="438">
        <v>-82110</v>
      </c>
      <c r="AI907" s="438">
        <v>-24445</v>
      </c>
      <c r="AJ907" s="438">
        <v>-2445</v>
      </c>
      <c r="AK907" s="438">
        <v>-26890</v>
      </c>
      <c r="AL907" s="414" t="str">
        <f t="shared" si="85"/>
        <v>워커힐 시그니처 양념 본갈비 300g, 8개</v>
      </c>
      <c r="AM907" s="395" t="str">
        <f t="shared" si="86"/>
        <v/>
      </c>
      <c r="AN907" s="396">
        <f t="shared" si="87"/>
        <v>-1</v>
      </c>
      <c r="AO907" s="109">
        <f t="shared" si="88"/>
        <v>119000</v>
      </c>
      <c r="AP907" s="109">
        <f t="shared" si="89"/>
        <v>108181.81818181818</v>
      </c>
      <c r="AQ907" s="397">
        <f t="shared" si="84"/>
        <v>-108181.81818181818</v>
      </c>
    </row>
    <row r="908" spans="1:43">
      <c r="A908" s="436" t="s">
        <v>84</v>
      </c>
      <c r="B908" s="436" t="s">
        <v>163</v>
      </c>
      <c r="C908" s="437" t="s">
        <v>163</v>
      </c>
      <c r="D908" s="436" t="s">
        <v>163</v>
      </c>
      <c r="E908" s="437" t="s">
        <v>163</v>
      </c>
      <c r="F908" s="436" t="s">
        <v>163</v>
      </c>
      <c r="G908" s="436" t="s">
        <v>163</v>
      </c>
      <c r="H908" s="437" t="s">
        <v>163</v>
      </c>
      <c r="I908" s="436" t="s">
        <v>163</v>
      </c>
      <c r="J908" s="437" t="s">
        <v>163</v>
      </c>
      <c r="K908" s="437" t="s">
        <v>163</v>
      </c>
      <c r="L908" s="436" t="s">
        <v>163</v>
      </c>
      <c r="M908" s="436" t="s">
        <v>163</v>
      </c>
      <c r="N908" s="436" t="s">
        <v>163</v>
      </c>
      <c r="O908" s="438">
        <v>107449000</v>
      </c>
      <c r="P908" s="438">
        <v>73648340</v>
      </c>
      <c r="Q908" s="438">
        <v>914</v>
      </c>
      <c r="R908" s="438">
        <v>0</v>
      </c>
      <c r="S908" s="438">
        <v>0</v>
      </c>
      <c r="T908" s="438">
        <v>0</v>
      </c>
      <c r="U908" s="438">
        <v>0</v>
      </c>
      <c r="V908" s="438">
        <v>0</v>
      </c>
      <c r="W908" s="438">
        <v>28468</v>
      </c>
      <c r="X908" s="438">
        <v>1004870</v>
      </c>
      <c r="Y908" s="438">
        <v>760650</v>
      </c>
      <c r="Z908" s="438">
        <v>0</v>
      </c>
      <c r="AA908" s="438">
        <v>0</v>
      </c>
      <c r="AB908" s="438">
        <v>348820</v>
      </c>
      <c r="AC908" s="438">
        <v>108520000</v>
      </c>
      <c r="AD908" s="438">
        <v>74386140</v>
      </c>
      <c r="AE908" s="438">
        <v>0</v>
      </c>
      <c r="AF908" s="438">
        <v>2114340</v>
      </c>
      <c r="AG908" s="438">
        <v>106405660</v>
      </c>
      <c r="AH908" s="438">
        <v>74386140</v>
      </c>
      <c r="AI908" s="438">
        <v>29108427</v>
      </c>
      <c r="AJ908" s="438">
        <v>2911093</v>
      </c>
      <c r="AK908" s="438">
        <v>32019520</v>
      </c>
      <c r="AL908" s="414" t="str">
        <f t="shared" si="85"/>
        <v/>
      </c>
      <c r="AM908" s="395" t="str">
        <f t="shared" si="86"/>
        <v/>
      </c>
      <c r="AN908" s="396">
        <f t="shared" si="87"/>
        <v>0</v>
      </c>
      <c r="AO908" s="109" t="str">
        <f t="shared" si="88"/>
        <v/>
      </c>
      <c r="AP908" s="109" t="e">
        <f t="shared" si="89"/>
        <v>#VALUE!</v>
      </c>
      <c r="AQ908" s="397" t="e">
        <f t="shared" si="84"/>
        <v>#VALUE!</v>
      </c>
    </row>
    <row r="909" spans="1:43">
      <c r="A909" s="411"/>
      <c r="B909" s="412"/>
      <c r="C909" s="412"/>
      <c r="D909" s="411"/>
      <c r="E909" s="411"/>
      <c r="F909" s="411"/>
      <c r="G909" s="411"/>
      <c r="H909" s="411"/>
      <c r="I909" s="412"/>
      <c r="J909" s="411"/>
      <c r="K909" s="412"/>
      <c r="L909" s="412"/>
      <c r="M909" s="412"/>
      <c r="N909" s="412"/>
      <c r="O909" s="412"/>
      <c r="P909" s="411"/>
      <c r="Q909" s="411"/>
      <c r="R909" s="412"/>
      <c r="S909" s="412"/>
      <c r="T909" s="413"/>
      <c r="U909" s="413"/>
      <c r="V909" s="412"/>
      <c r="W909" s="414"/>
      <c r="X909" s="395"/>
      <c r="Y909" s="396"/>
      <c r="Z909" s="109"/>
      <c r="AA909" s="109"/>
      <c r="AB909" s="397"/>
      <c r="AL909" s="414" t="str">
        <f t="shared" si="85"/>
        <v/>
      </c>
      <c r="AM909" s="395" t="str">
        <f t="shared" si="86"/>
        <v/>
      </c>
      <c r="AN909" s="396">
        <f t="shared" si="87"/>
        <v>0</v>
      </c>
      <c r="AO909" s="109" t="str">
        <f t="shared" si="88"/>
        <v/>
      </c>
      <c r="AP909" s="109" t="e">
        <f t="shared" si="89"/>
        <v>#VALUE!</v>
      </c>
      <c r="AQ909" s="397" t="e">
        <f t="shared" si="84"/>
        <v>#VALUE!</v>
      </c>
    </row>
    <row r="910" spans="1:43">
      <c r="A910" s="411"/>
      <c r="B910" s="412"/>
      <c r="C910" s="412"/>
      <c r="D910" s="411"/>
      <c r="E910" s="411"/>
      <c r="F910" s="411"/>
      <c r="G910" s="411"/>
      <c r="H910" s="411"/>
      <c r="I910" s="412"/>
      <c r="J910" s="411"/>
      <c r="K910" s="412"/>
      <c r="L910" s="412"/>
      <c r="M910" s="412"/>
      <c r="N910" s="412"/>
      <c r="O910" s="412"/>
      <c r="P910" s="411"/>
      <c r="Q910" s="411"/>
      <c r="R910" s="412"/>
      <c r="S910" s="412"/>
      <c r="T910" s="413"/>
      <c r="U910" s="413"/>
      <c r="V910" s="412"/>
      <c r="W910" s="414"/>
      <c r="X910" s="395"/>
      <c r="Y910" s="396"/>
      <c r="Z910" s="109"/>
      <c r="AA910" s="109"/>
      <c r="AB910" s="397"/>
      <c r="AL910" s="414" t="str">
        <f t="shared" si="85"/>
        <v/>
      </c>
      <c r="AM910" s="395" t="str">
        <f t="shared" si="86"/>
        <v/>
      </c>
      <c r="AN910" s="396">
        <f t="shared" si="87"/>
        <v>0</v>
      </c>
      <c r="AO910" s="109" t="str">
        <f t="shared" si="88"/>
        <v/>
      </c>
      <c r="AP910" s="109" t="e">
        <f t="shared" si="89"/>
        <v>#VALUE!</v>
      </c>
      <c r="AQ910" s="397" t="e">
        <f t="shared" si="84"/>
        <v>#VALUE!</v>
      </c>
    </row>
    <row r="911" spans="1:43">
      <c r="A911" s="411"/>
      <c r="B911" s="412"/>
      <c r="C911" s="412"/>
      <c r="D911" s="411"/>
      <c r="E911" s="411"/>
      <c r="F911" s="411"/>
      <c r="G911" s="411"/>
      <c r="H911" s="411"/>
      <c r="I911" s="412"/>
      <c r="J911" s="411"/>
      <c r="K911" s="412"/>
      <c r="L911" s="412"/>
      <c r="M911" s="412"/>
      <c r="N911" s="412"/>
      <c r="O911" s="412"/>
      <c r="P911" s="411"/>
      <c r="Q911" s="411"/>
      <c r="R911" s="412"/>
      <c r="S911" s="412"/>
      <c r="T911" s="413"/>
      <c r="U911" s="413"/>
      <c r="V911" s="412"/>
      <c r="W911" s="414"/>
      <c r="X911" s="395"/>
      <c r="Y911" s="396"/>
      <c r="Z911" s="109"/>
      <c r="AA911" s="109"/>
      <c r="AB911" s="397"/>
      <c r="AL911" s="414" t="str">
        <f t="shared" si="85"/>
        <v/>
      </c>
      <c r="AM911" s="395" t="str">
        <f t="shared" si="86"/>
        <v/>
      </c>
      <c r="AN911" s="396">
        <f t="shared" si="87"/>
        <v>0</v>
      </c>
      <c r="AO911" s="109" t="str">
        <f t="shared" si="88"/>
        <v/>
      </c>
      <c r="AP911" s="109" t="e">
        <f t="shared" si="89"/>
        <v>#VALUE!</v>
      </c>
      <c r="AQ911" s="397" t="e">
        <f t="shared" si="84"/>
        <v>#VALUE!</v>
      </c>
    </row>
    <row r="912" spans="1:43">
      <c r="A912" s="411"/>
      <c r="B912" s="412"/>
      <c r="C912" s="412"/>
      <c r="D912" s="411"/>
      <c r="E912" s="411"/>
      <c r="F912" s="411"/>
      <c r="G912" s="411"/>
      <c r="H912" s="411"/>
      <c r="I912" s="412"/>
      <c r="J912" s="411"/>
      <c r="K912" s="412"/>
      <c r="L912" s="412"/>
      <c r="M912" s="412"/>
      <c r="N912" s="412"/>
      <c r="O912" s="412"/>
      <c r="P912" s="411"/>
      <c r="Q912" s="411"/>
      <c r="R912" s="412"/>
      <c r="S912" s="412"/>
      <c r="T912" s="413"/>
      <c r="U912" s="413"/>
      <c r="V912" s="412"/>
      <c r="W912" s="414"/>
      <c r="X912" s="395"/>
      <c r="Y912" s="396"/>
      <c r="Z912" s="109"/>
      <c r="AA912" s="109"/>
      <c r="AB912" s="397"/>
      <c r="AL912" s="414" t="str">
        <f t="shared" si="85"/>
        <v/>
      </c>
      <c r="AM912" s="395" t="str">
        <f t="shared" si="86"/>
        <v/>
      </c>
      <c r="AN912" s="396">
        <f t="shared" si="87"/>
        <v>0</v>
      </c>
      <c r="AO912" s="109" t="str">
        <f t="shared" si="88"/>
        <v/>
      </c>
      <c r="AP912" s="109" t="e">
        <f t="shared" si="89"/>
        <v>#VALUE!</v>
      </c>
      <c r="AQ912" s="397" t="e">
        <f t="shared" si="84"/>
        <v>#VALUE!</v>
      </c>
    </row>
    <row r="913" spans="1:43">
      <c r="A913" s="411"/>
      <c r="B913" s="412"/>
      <c r="C913" s="412"/>
      <c r="D913" s="411"/>
      <c r="E913" s="411"/>
      <c r="F913" s="411"/>
      <c r="G913" s="411"/>
      <c r="H913" s="411"/>
      <c r="I913" s="412"/>
      <c r="J913" s="411"/>
      <c r="K913" s="412"/>
      <c r="L913" s="412"/>
      <c r="M913" s="412"/>
      <c r="N913" s="412"/>
      <c r="O913" s="412"/>
      <c r="P913" s="411"/>
      <c r="Q913" s="411"/>
      <c r="R913" s="412"/>
      <c r="S913" s="412"/>
      <c r="T913" s="413"/>
      <c r="U913" s="413"/>
      <c r="V913" s="412"/>
      <c r="W913" s="414"/>
      <c r="X913" s="395"/>
      <c r="Y913" s="396"/>
      <c r="Z913" s="109"/>
      <c r="AA913" s="109"/>
      <c r="AB913" s="397"/>
      <c r="AL913" s="414" t="str">
        <f t="shared" si="85"/>
        <v/>
      </c>
      <c r="AM913" s="395" t="str">
        <f t="shared" si="86"/>
        <v/>
      </c>
      <c r="AN913" s="396">
        <f t="shared" si="87"/>
        <v>0</v>
      </c>
      <c r="AO913" s="109" t="str">
        <f t="shared" si="88"/>
        <v/>
      </c>
      <c r="AP913" s="109" t="e">
        <f t="shared" si="89"/>
        <v>#VALUE!</v>
      </c>
      <c r="AQ913" s="397" t="e">
        <f t="shared" si="84"/>
        <v>#VALUE!</v>
      </c>
    </row>
    <row r="914" spans="1:43">
      <c r="A914" s="411"/>
      <c r="B914" s="412"/>
      <c r="C914" s="412"/>
      <c r="D914" s="411"/>
      <c r="E914" s="411"/>
      <c r="F914" s="411"/>
      <c r="G914" s="411"/>
      <c r="H914" s="411"/>
      <c r="I914" s="412"/>
      <c r="J914" s="411"/>
      <c r="K914" s="412"/>
      <c r="L914" s="412"/>
      <c r="M914" s="412"/>
      <c r="N914" s="412"/>
      <c r="O914" s="412"/>
      <c r="P914" s="411"/>
      <c r="Q914" s="411"/>
      <c r="R914" s="412"/>
      <c r="S914" s="412"/>
      <c r="T914" s="413"/>
      <c r="U914" s="413"/>
      <c r="V914" s="412"/>
      <c r="W914" s="414"/>
      <c r="X914" s="395"/>
      <c r="Y914" s="396"/>
      <c r="Z914" s="109"/>
      <c r="AA914" s="109"/>
      <c r="AB914" s="397"/>
      <c r="AL914" s="414" t="str">
        <f t="shared" si="85"/>
        <v/>
      </c>
      <c r="AM914" s="395" t="str">
        <f t="shared" si="86"/>
        <v/>
      </c>
      <c r="AN914" s="396">
        <f t="shared" si="87"/>
        <v>0</v>
      </c>
      <c r="AO914" s="109" t="str">
        <f t="shared" si="88"/>
        <v/>
      </c>
      <c r="AP914" s="109" t="e">
        <f t="shared" si="89"/>
        <v>#VALUE!</v>
      </c>
      <c r="AQ914" s="397" t="e">
        <f t="shared" si="84"/>
        <v>#VALUE!</v>
      </c>
    </row>
    <row r="915" spans="1:43">
      <c r="A915" s="411"/>
      <c r="B915" s="412"/>
      <c r="C915" s="412"/>
      <c r="D915" s="411"/>
      <c r="E915" s="411"/>
      <c r="F915" s="411"/>
      <c r="G915" s="411"/>
      <c r="H915" s="411"/>
      <c r="I915" s="412"/>
      <c r="J915" s="411"/>
      <c r="K915" s="412"/>
      <c r="L915" s="412"/>
      <c r="M915" s="412"/>
      <c r="N915" s="412"/>
      <c r="O915" s="412"/>
      <c r="P915" s="411"/>
      <c r="Q915" s="411"/>
      <c r="R915" s="412"/>
      <c r="S915" s="412"/>
      <c r="T915" s="413"/>
      <c r="U915" s="413"/>
      <c r="V915" s="412"/>
      <c r="W915" s="414"/>
      <c r="X915" s="395"/>
      <c r="Y915" s="396"/>
      <c r="Z915" s="109"/>
      <c r="AA915" s="109"/>
      <c r="AB915" s="397"/>
      <c r="AL915" s="414" t="str">
        <f t="shared" si="85"/>
        <v/>
      </c>
      <c r="AM915" s="395" t="str">
        <f t="shared" si="86"/>
        <v/>
      </c>
      <c r="AN915" s="396">
        <f t="shared" si="87"/>
        <v>0</v>
      </c>
      <c r="AO915" s="109" t="str">
        <f t="shared" si="88"/>
        <v/>
      </c>
      <c r="AP915" s="109" t="e">
        <f t="shared" si="89"/>
        <v>#VALUE!</v>
      </c>
      <c r="AQ915" s="397" t="e">
        <f t="shared" si="84"/>
        <v>#VALUE!</v>
      </c>
    </row>
    <row r="916" spans="1:43">
      <c r="A916" s="411"/>
      <c r="B916" s="412"/>
      <c r="C916" s="412"/>
      <c r="D916" s="411"/>
      <c r="E916" s="411"/>
      <c r="F916" s="411"/>
      <c r="G916" s="411"/>
      <c r="H916" s="411"/>
      <c r="I916" s="412"/>
      <c r="J916" s="411"/>
      <c r="K916" s="412"/>
      <c r="L916" s="412"/>
      <c r="M916" s="412"/>
      <c r="N916" s="412"/>
      <c r="O916" s="412"/>
      <c r="P916" s="411"/>
      <c r="Q916" s="411"/>
      <c r="R916" s="412"/>
      <c r="S916" s="412"/>
      <c r="T916" s="413"/>
      <c r="U916" s="413"/>
      <c r="V916" s="412"/>
      <c r="W916" s="414"/>
      <c r="X916" s="395"/>
      <c r="Y916" s="396"/>
      <c r="Z916" s="109"/>
      <c r="AA916" s="109"/>
      <c r="AB916" s="397"/>
      <c r="AL916" s="414" t="str">
        <f t="shared" si="85"/>
        <v/>
      </c>
      <c r="AM916" s="395" t="str">
        <f t="shared" si="86"/>
        <v/>
      </c>
      <c r="AN916" s="396">
        <f t="shared" si="87"/>
        <v>0</v>
      </c>
      <c r="AO916" s="109" t="str">
        <f t="shared" si="88"/>
        <v/>
      </c>
      <c r="AP916" s="109" t="e">
        <f t="shared" si="89"/>
        <v>#VALUE!</v>
      </c>
      <c r="AQ916" s="397" t="e">
        <f t="shared" si="84"/>
        <v>#VALUE!</v>
      </c>
    </row>
    <row r="917" spans="1:43">
      <c r="A917" s="411"/>
      <c r="B917" s="412"/>
      <c r="C917" s="412"/>
      <c r="D917" s="411"/>
      <c r="E917" s="411"/>
      <c r="F917" s="411"/>
      <c r="G917" s="411"/>
      <c r="H917" s="411"/>
      <c r="I917" s="412"/>
      <c r="J917" s="411"/>
      <c r="K917" s="412"/>
      <c r="L917" s="412"/>
      <c r="M917" s="412"/>
      <c r="N917" s="412"/>
      <c r="O917" s="412"/>
      <c r="P917" s="411"/>
      <c r="Q917" s="411"/>
      <c r="R917" s="412"/>
      <c r="S917" s="412"/>
      <c r="T917" s="413"/>
      <c r="U917" s="413"/>
      <c r="V917" s="412"/>
      <c r="W917" s="414"/>
      <c r="X917" s="395"/>
      <c r="Y917" s="396"/>
      <c r="Z917" s="109"/>
      <c r="AA917" s="109"/>
      <c r="AB917" s="397"/>
      <c r="AL917" s="414" t="str">
        <f t="shared" si="85"/>
        <v/>
      </c>
      <c r="AM917" s="395" t="str">
        <f t="shared" si="86"/>
        <v/>
      </c>
      <c r="AN917" s="396">
        <f t="shared" si="87"/>
        <v>0</v>
      </c>
      <c r="AO917" s="109" t="str">
        <f t="shared" si="88"/>
        <v/>
      </c>
      <c r="AP917" s="109" t="e">
        <f t="shared" si="89"/>
        <v>#VALUE!</v>
      </c>
      <c r="AQ917" s="397" t="e">
        <f t="shared" si="84"/>
        <v>#VALUE!</v>
      </c>
    </row>
    <row r="918" spans="1:43">
      <c r="A918" s="411"/>
      <c r="B918" s="412"/>
      <c r="C918" s="412"/>
      <c r="D918" s="411"/>
      <c r="E918" s="411"/>
      <c r="F918" s="411"/>
      <c r="G918" s="411"/>
      <c r="H918" s="411"/>
      <c r="I918" s="412"/>
      <c r="J918" s="411"/>
      <c r="K918" s="412"/>
      <c r="L918" s="412"/>
      <c r="M918" s="412"/>
      <c r="N918" s="412"/>
      <c r="O918" s="412"/>
      <c r="P918" s="411"/>
      <c r="Q918" s="411"/>
      <c r="R918" s="412"/>
      <c r="S918" s="412"/>
      <c r="T918" s="413"/>
      <c r="U918" s="413"/>
      <c r="V918" s="412"/>
      <c r="W918" s="414"/>
      <c r="X918" s="395"/>
      <c r="Y918" s="396"/>
      <c r="Z918" s="109"/>
      <c r="AA918" s="109"/>
      <c r="AB918" s="397"/>
      <c r="AL918" s="414" t="str">
        <f t="shared" si="85"/>
        <v/>
      </c>
      <c r="AM918" s="395" t="str">
        <f t="shared" si="86"/>
        <v/>
      </c>
      <c r="AN918" s="396">
        <f t="shared" si="87"/>
        <v>0</v>
      </c>
      <c r="AO918" s="109" t="str">
        <f t="shared" si="88"/>
        <v/>
      </c>
      <c r="AP918" s="109" t="e">
        <f t="shared" si="89"/>
        <v>#VALUE!</v>
      </c>
      <c r="AQ918" s="397" t="e">
        <f t="shared" si="84"/>
        <v>#VALUE!</v>
      </c>
    </row>
    <row r="919" spans="1:43">
      <c r="A919" s="411"/>
      <c r="B919" s="412"/>
      <c r="C919" s="412"/>
      <c r="D919" s="411"/>
      <c r="E919" s="411"/>
      <c r="F919" s="411"/>
      <c r="G919" s="411"/>
      <c r="H919" s="411"/>
      <c r="I919" s="412"/>
      <c r="J919" s="411"/>
      <c r="K919" s="412"/>
      <c r="L919" s="412"/>
      <c r="M919" s="412"/>
      <c r="N919" s="412"/>
      <c r="O919" s="412"/>
      <c r="P919" s="411"/>
      <c r="Q919" s="411"/>
      <c r="R919" s="412"/>
      <c r="S919" s="412"/>
      <c r="T919" s="413"/>
      <c r="U919" s="413"/>
      <c r="V919" s="412"/>
      <c r="W919" s="414"/>
      <c r="X919" s="395"/>
      <c r="Y919" s="396"/>
      <c r="Z919" s="109"/>
      <c r="AA919" s="109"/>
      <c r="AB919" s="397"/>
      <c r="AL919" s="414" t="str">
        <f t="shared" si="85"/>
        <v/>
      </c>
      <c r="AM919" s="395" t="str">
        <f t="shared" si="86"/>
        <v/>
      </c>
      <c r="AN919" s="396">
        <f t="shared" si="87"/>
        <v>0</v>
      </c>
      <c r="AO919" s="109" t="str">
        <f t="shared" si="88"/>
        <v/>
      </c>
      <c r="AP919" s="109" t="e">
        <f t="shared" si="89"/>
        <v>#VALUE!</v>
      </c>
      <c r="AQ919" s="397" t="e">
        <f t="shared" si="84"/>
        <v>#VALUE!</v>
      </c>
    </row>
    <row r="920" spans="1:43">
      <c r="A920" s="411"/>
      <c r="B920" s="412"/>
      <c r="C920" s="412"/>
      <c r="D920" s="411"/>
      <c r="E920" s="411"/>
      <c r="F920" s="411"/>
      <c r="G920" s="411"/>
      <c r="H920" s="411"/>
      <c r="I920" s="412"/>
      <c r="J920" s="411"/>
      <c r="K920" s="412"/>
      <c r="L920" s="412"/>
      <c r="M920" s="412"/>
      <c r="N920" s="412"/>
      <c r="O920" s="412"/>
      <c r="P920" s="411"/>
      <c r="Q920" s="411"/>
      <c r="R920" s="412"/>
      <c r="S920" s="412"/>
      <c r="T920" s="413"/>
      <c r="U920" s="413"/>
      <c r="V920" s="412"/>
      <c r="W920" s="414"/>
      <c r="X920" s="395"/>
      <c r="Y920" s="396"/>
      <c r="Z920" s="109"/>
      <c r="AA920" s="109"/>
      <c r="AB920" s="397"/>
      <c r="AL920" s="414" t="str">
        <f t="shared" si="85"/>
        <v/>
      </c>
      <c r="AM920" s="395" t="str">
        <f t="shared" si="86"/>
        <v/>
      </c>
      <c r="AN920" s="396">
        <f t="shared" si="87"/>
        <v>0</v>
      </c>
      <c r="AO920" s="109" t="str">
        <f t="shared" si="88"/>
        <v/>
      </c>
      <c r="AP920" s="109" t="e">
        <f t="shared" si="89"/>
        <v>#VALUE!</v>
      </c>
      <c r="AQ920" s="397" t="e">
        <f t="shared" si="84"/>
        <v>#VALUE!</v>
      </c>
    </row>
    <row r="921" spans="1:43">
      <c r="A921" s="411"/>
      <c r="B921" s="412"/>
      <c r="C921" s="412"/>
      <c r="D921" s="411"/>
      <c r="E921" s="411"/>
      <c r="F921" s="411"/>
      <c r="G921" s="411"/>
      <c r="H921" s="411"/>
      <c r="I921" s="412"/>
      <c r="J921" s="411"/>
      <c r="K921" s="412"/>
      <c r="L921" s="412"/>
      <c r="M921" s="412"/>
      <c r="N921" s="412"/>
      <c r="O921" s="412"/>
      <c r="P921" s="411"/>
      <c r="Q921" s="411"/>
      <c r="R921" s="412"/>
      <c r="S921" s="412"/>
      <c r="T921" s="413"/>
      <c r="U921" s="413"/>
      <c r="V921" s="412"/>
      <c r="W921" s="414"/>
      <c r="X921" s="395"/>
      <c r="Y921" s="396"/>
      <c r="Z921" s="109"/>
      <c r="AA921" s="109"/>
      <c r="AB921" s="397"/>
      <c r="AL921" s="414" t="str">
        <f t="shared" si="85"/>
        <v/>
      </c>
      <c r="AM921" s="395" t="str">
        <f t="shared" si="86"/>
        <v/>
      </c>
      <c r="AN921" s="396">
        <f t="shared" si="87"/>
        <v>0</v>
      </c>
      <c r="AO921" s="109" t="str">
        <f t="shared" si="88"/>
        <v/>
      </c>
      <c r="AP921" s="109" t="e">
        <f t="shared" si="89"/>
        <v>#VALUE!</v>
      </c>
      <c r="AQ921" s="397" t="e">
        <f t="shared" si="84"/>
        <v>#VALUE!</v>
      </c>
    </row>
    <row r="922" spans="1:43">
      <c r="A922" s="411"/>
      <c r="B922" s="412"/>
      <c r="C922" s="412"/>
      <c r="D922" s="411"/>
      <c r="E922" s="411"/>
      <c r="F922" s="411"/>
      <c r="G922" s="411"/>
      <c r="H922" s="411"/>
      <c r="I922" s="412"/>
      <c r="J922" s="411"/>
      <c r="K922" s="412"/>
      <c r="L922" s="412"/>
      <c r="M922" s="412"/>
      <c r="N922" s="412"/>
      <c r="O922" s="412"/>
      <c r="P922" s="411"/>
      <c r="Q922" s="411"/>
      <c r="R922" s="412"/>
      <c r="S922" s="412"/>
      <c r="T922" s="413"/>
      <c r="U922" s="413"/>
      <c r="V922" s="412"/>
      <c r="W922" s="414"/>
      <c r="X922" s="395"/>
      <c r="Y922" s="396"/>
      <c r="Z922" s="109"/>
      <c r="AA922" s="109"/>
      <c r="AB922" s="397"/>
      <c r="AL922" s="414" t="str">
        <f t="shared" si="85"/>
        <v/>
      </c>
      <c r="AM922" s="395" t="str">
        <f t="shared" si="86"/>
        <v/>
      </c>
      <c r="AN922" s="396">
        <f t="shared" si="87"/>
        <v>0</v>
      </c>
      <c r="AO922" s="109" t="str">
        <f t="shared" si="88"/>
        <v/>
      </c>
      <c r="AP922" s="109" t="e">
        <f t="shared" si="89"/>
        <v>#VALUE!</v>
      </c>
      <c r="AQ922" s="397" t="e">
        <f t="shared" si="84"/>
        <v>#VALUE!</v>
      </c>
    </row>
    <row r="923" spans="1:43">
      <c r="A923" s="411"/>
      <c r="B923" s="412"/>
      <c r="C923" s="412"/>
      <c r="D923" s="411"/>
      <c r="E923" s="411"/>
      <c r="F923" s="411"/>
      <c r="G923" s="411"/>
      <c r="H923" s="411"/>
      <c r="I923" s="412"/>
      <c r="J923" s="411"/>
      <c r="K923" s="412"/>
      <c r="L923" s="412"/>
      <c r="M923" s="412"/>
      <c r="N923" s="412"/>
      <c r="O923" s="412"/>
      <c r="P923" s="411"/>
      <c r="Q923" s="411"/>
      <c r="R923" s="412"/>
      <c r="S923" s="412"/>
      <c r="T923" s="413"/>
      <c r="U923" s="413"/>
      <c r="V923" s="412"/>
      <c r="W923" s="414"/>
      <c r="X923" s="395"/>
      <c r="Y923" s="396"/>
      <c r="Z923" s="109"/>
      <c r="AA923" s="109"/>
      <c r="AB923" s="397"/>
      <c r="AL923" s="414" t="str">
        <f t="shared" si="85"/>
        <v/>
      </c>
      <c r="AM923" s="395" t="str">
        <f t="shared" si="86"/>
        <v/>
      </c>
      <c r="AN923" s="396">
        <f t="shared" si="87"/>
        <v>0</v>
      </c>
      <c r="AO923" s="109" t="str">
        <f t="shared" si="88"/>
        <v/>
      </c>
      <c r="AP923" s="109" t="e">
        <f t="shared" si="89"/>
        <v>#VALUE!</v>
      </c>
      <c r="AQ923" s="397" t="e">
        <f t="shared" si="84"/>
        <v>#VALUE!</v>
      </c>
    </row>
    <row r="924" spans="1:43">
      <c r="A924" s="411"/>
      <c r="B924" s="412"/>
      <c r="C924" s="412"/>
      <c r="D924" s="411"/>
      <c r="E924" s="411"/>
      <c r="F924" s="411"/>
      <c r="G924" s="411"/>
      <c r="H924" s="411"/>
      <c r="I924" s="412"/>
      <c r="J924" s="411"/>
      <c r="K924" s="412"/>
      <c r="L924" s="412"/>
      <c r="M924" s="412"/>
      <c r="N924" s="412"/>
      <c r="O924" s="412"/>
      <c r="P924" s="411"/>
      <c r="Q924" s="411"/>
      <c r="R924" s="412"/>
      <c r="S924" s="412"/>
      <c r="T924" s="413"/>
      <c r="U924" s="413"/>
      <c r="V924" s="412"/>
      <c r="W924" s="414"/>
      <c r="X924" s="395"/>
      <c r="Y924" s="396"/>
      <c r="Z924" s="109"/>
      <c r="AA924" s="109"/>
      <c r="AB924" s="397"/>
      <c r="AL924" s="414" t="str">
        <f t="shared" si="85"/>
        <v/>
      </c>
      <c r="AM924" s="395" t="str">
        <f t="shared" si="86"/>
        <v/>
      </c>
      <c r="AN924" s="396">
        <f t="shared" si="87"/>
        <v>0</v>
      </c>
      <c r="AO924" s="109" t="str">
        <f t="shared" si="88"/>
        <v/>
      </c>
      <c r="AP924" s="109" t="e">
        <f t="shared" si="89"/>
        <v>#VALUE!</v>
      </c>
      <c r="AQ924" s="397" t="e">
        <f t="shared" si="84"/>
        <v>#VALUE!</v>
      </c>
    </row>
    <row r="925" spans="1:43">
      <c r="A925" s="411"/>
      <c r="B925" s="412"/>
      <c r="C925" s="412"/>
      <c r="D925" s="411"/>
      <c r="E925" s="411"/>
      <c r="F925" s="411"/>
      <c r="G925" s="411"/>
      <c r="H925" s="411"/>
      <c r="I925" s="412"/>
      <c r="J925" s="411"/>
      <c r="K925" s="412"/>
      <c r="L925" s="412"/>
      <c r="M925" s="412"/>
      <c r="N925" s="412"/>
      <c r="O925" s="412"/>
      <c r="P925" s="411"/>
      <c r="Q925" s="411"/>
      <c r="R925" s="412"/>
      <c r="S925" s="412"/>
      <c r="T925" s="413"/>
      <c r="U925" s="413"/>
      <c r="V925" s="412"/>
      <c r="W925" s="414"/>
      <c r="X925" s="395"/>
      <c r="Y925" s="396"/>
      <c r="Z925" s="109"/>
      <c r="AA925" s="109"/>
      <c r="AB925" s="397"/>
      <c r="AL925" s="414" t="str">
        <f t="shared" si="85"/>
        <v/>
      </c>
      <c r="AM925" s="395" t="str">
        <f t="shared" si="86"/>
        <v/>
      </c>
      <c r="AN925" s="396">
        <f t="shared" si="87"/>
        <v>0</v>
      </c>
      <c r="AO925" s="109" t="str">
        <f t="shared" si="88"/>
        <v/>
      </c>
      <c r="AP925" s="109" t="e">
        <f t="shared" si="89"/>
        <v>#VALUE!</v>
      </c>
      <c r="AQ925" s="397" t="e">
        <f t="shared" ref="AQ925:AQ988" si="90">AN925*AP925</f>
        <v>#VALUE!</v>
      </c>
    </row>
    <row r="926" spans="1:43">
      <c r="A926" s="411"/>
      <c r="B926" s="412"/>
      <c r="C926" s="412"/>
      <c r="D926" s="411"/>
      <c r="E926" s="411"/>
      <c r="F926" s="411"/>
      <c r="G926" s="411"/>
      <c r="H926" s="411"/>
      <c r="I926" s="412"/>
      <c r="J926" s="411"/>
      <c r="K926" s="412"/>
      <c r="L926" s="412"/>
      <c r="M926" s="412"/>
      <c r="N926" s="412"/>
      <c r="O926" s="412"/>
      <c r="P926" s="411"/>
      <c r="Q926" s="411"/>
      <c r="R926" s="412"/>
      <c r="S926" s="412"/>
      <c r="T926" s="413"/>
      <c r="U926" s="413"/>
      <c r="V926" s="412"/>
      <c r="W926" s="414"/>
      <c r="X926" s="395"/>
      <c r="Y926" s="396"/>
      <c r="Z926" s="109"/>
      <c r="AA926" s="109"/>
      <c r="AB926" s="397"/>
      <c r="AL926" s="414" t="str">
        <f t="shared" si="85"/>
        <v/>
      </c>
      <c r="AM926" s="395" t="str">
        <f t="shared" si="86"/>
        <v/>
      </c>
      <c r="AN926" s="396">
        <f t="shared" si="87"/>
        <v>0</v>
      </c>
      <c r="AO926" s="109" t="str">
        <f t="shared" si="88"/>
        <v/>
      </c>
      <c r="AP926" s="109" t="e">
        <f t="shared" si="89"/>
        <v>#VALUE!</v>
      </c>
      <c r="AQ926" s="397" t="e">
        <f t="shared" si="90"/>
        <v>#VALUE!</v>
      </c>
    </row>
    <row r="927" spans="1:43">
      <c r="A927" s="411"/>
      <c r="B927" s="412"/>
      <c r="C927" s="412"/>
      <c r="D927" s="411"/>
      <c r="E927" s="411"/>
      <c r="F927" s="411"/>
      <c r="G927" s="411"/>
      <c r="H927" s="411"/>
      <c r="I927" s="412"/>
      <c r="J927" s="411"/>
      <c r="K927" s="412"/>
      <c r="L927" s="412"/>
      <c r="M927" s="412"/>
      <c r="N927" s="412"/>
      <c r="O927" s="412"/>
      <c r="P927" s="411"/>
      <c r="Q927" s="411"/>
      <c r="R927" s="412"/>
      <c r="S927" s="412"/>
      <c r="T927" s="413"/>
      <c r="U927" s="413"/>
      <c r="V927" s="412"/>
      <c r="W927" s="414"/>
      <c r="X927" s="395"/>
      <c r="Y927" s="396"/>
      <c r="Z927" s="109"/>
      <c r="AA927" s="109"/>
      <c r="AB927" s="397"/>
      <c r="AL927" s="414" t="str">
        <f t="shared" si="85"/>
        <v/>
      </c>
      <c r="AM927" s="395" t="str">
        <f t="shared" si="86"/>
        <v/>
      </c>
      <c r="AN927" s="396">
        <f t="shared" si="87"/>
        <v>0</v>
      </c>
      <c r="AO927" s="109" t="str">
        <f t="shared" si="88"/>
        <v/>
      </c>
      <c r="AP927" s="109" t="e">
        <f t="shared" si="89"/>
        <v>#VALUE!</v>
      </c>
      <c r="AQ927" s="397" t="e">
        <f t="shared" si="90"/>
        <v>#VALUE!</v>
      </c>
    </row>
    <row r="928" spans="1:43">
      <c r="A928" s="411"/>
      <c r="B928" s="412"/>
      <c r="C928" s="412"/>
      <c r="D928" s="411"/>
      <c r="E928" s="411"/>
      <c r="F928" s="411"/>
      <c r="G928" s="411"/>
      <c r="H928" s="411"/>
      <c r="I928" s="412"/>
      <c r="J928" s="411"/>
      <c r="K928" s="412"/>
      <c r="L928" s="412"/>
      <c r="M928" s="412"/>
      <c r="N928" s="412"/>
      <c r="O928" s="412"/>
      <c r="P928" s="411"/>
      <c r="Q928" s="411"/>
      <c r="R928" s="412"/>
      <c r="S928" s="412"/>
      <c r="T928" s="413"/>
      <c r="U928" s="413"/>
      <c r="V928" s="412"/>
      <c r="W928" s="414"/>
      <c r="X928" s="395"/>
      <c r="Y928" s="396"/>
      <c r="Z928" s="109"/>
      <c r="AA928" s="109"/>
      <c r="AB928" s="397"/>
      <c r="AL928" s="414" t="str">
        <f t="shared" si="85"/>
        <v/>
      </c>
      <c r="AM928" s="395" t="str">
        <f t="shared" si="86"/>
        <v/>
      </c>
      <c r="AN928" s="396">
        <f t="shared" si="87"/>
        <v>0</v>
      </c>
      <c r="AO928" s="109" t="str">
        <f t="shared" si="88"/>
        <v/>
      </c>
      <c r="AP928" s="109" t="e">
        <f t="shared" si="89"/>
        <v>#VALUE!</v>
      </c>
      <c r="AQ928" s="397" t="e">
        <f t="shared" si="90"/>
        <v>#VALUE!</v>
      </c>
    </row>
    <row r="929" spans="1:43">
      <c r="A929" s="411"/>
      <c r="B929" s="412"/>
      <c r="C929" s="412"/>
      <c r="D929" s="411"/>
      <c r="E929" s="411"/>
      <c r="F929" s="411"/>
      <c r="G929" s="411"/>
      <c r="H929" s="411"/>
      <c r="I929" s="412"/>
      <c r="J929" s="411"/>
      <c r="K929" s="412"/>
      <c r="L929" s="412"/>
      <c r="M929" s="412"/>
      <c r="N929" s="412"/>
      <c r="O929" s="412"/>
      <c r="P929" s="411"/>
      <c r="Q929" s="411"/>
      <c r="R929" s="412"/>
      <c r="S929" s="412"/>
      <c r="T929" s="413"/>
      <c r="U929" s="413"/>
      <c r="V929" s="412"/>
      <c r="W929" s="414"/>
      <c r="X929" s="395"/>
      <c r="Y929" s="396"/>
      <c r="Z929" s="109"/>
      <c r="AA929" s="109"/>
      <c r="AB929" s="397"/>
      <c r="AL929" s="414" t="str">
        <f t="shared" si="85"/>
        <v/>
      </c>
      <c r="AM929" s="395" t="str">
        <f t="shared" si="86"/>
        <v/>
      </c>
      <c r="AN929" s="396">
        <f t="shared" si="87"/>
        <v>0</v>
      </c>
      <c r="AO929" s="109" t="str">
        <f t="shared" si="88"/>
        <v/>
      </c>
      <c r="AP929" s="109" t="e">
        <f t="shared" si="89"/>
        <v>#VALUE!</v>
      </c>
      <c r="AQ929" s="397" t="e">
        <f t="shared" si="90"/>
        <v>#VALUE!</v>
      </c>
    </row>
    <row r="930" spans="1:43">
      <c r="A930" s="411"/>
      <c r="B930" s="412"/>
      <c r="C930" s="412"/>
      <c r="D930" s="411"/>
      <c r="E930" s="411"/>
      <c r="F930" s="411"/>
      <c r="G930" s="411"/>
      <c r="H930" s="411"/>
      <c r="I930" s="412"/>
      <c r="J930" s="411"/>
      <c r="K930" s="412"/>
      <c r="L930" s="412"/>
      <c r="M930" s="412"/>
      <c r="N930" s="412"/>
      <c r="O930" s="412"/>
      <c r="P930" s="411"/>
      <c r="Q930" s="411"/>
      <c r="R930" s="412"/>
      <c r="S930" s="412"/>
      <c r="T930" s="413"/>
      <c r="U930" s="413"/>
      <c r="V930" s="412"/>
      <c r="W930" s="414"/>
      <c r="X930" s="395"/>
      <c r="Y930" s="396"/>
      <c r="Z930" s="109"/>
      <c r="AA930" s="109"/>
      <c r="AB930" s="397"/>
      <c r="AL930" s="414" t="str">
        <f t="shared" si="85"/>
        <v/>
      </c>
      <c r="AM930" s="395" t="str">
        <f t="shared" si="86"/>
        <v/>
      </c>
      <c r="AN930" s="396">
        <f t="shared" si="87"/>
        <v>0</v>
      </c>
      <c r="AO930" s="109" t="str">
        <f t="shared" si="88"/>
        <v/>
      </c>
      <c r="AP930" s="109" t="e">
        <f t="shared" si="89"/>
        <v>#VALUE!</v>
      </c>
      <c r="AQ930" s="397" t="e">
        <f t="shared" si="90"/>
        <v>#VALUE!</v>
      </c>
    </row>
    <row r="931" spans="1:43">
      <c r="A931" s="411"/>
      <c r="B931" s="412"/>
      <c r="C931" s="412"/>
      <c r="D931" s="411"/>
      <c r="E931" s="411"/>
      <c r="F931" s="411"/>
      <c r="G931" s="411"/>
      <c r="H931" s="411"/>
      <c r="I931" s="412"/>
      <c r="J931" s="411"/>
      <c r="K931" s="412"/>
      <c r="L931" s="412"/>
      <c r="M931" s="412"/>
      <c r="N931" s="412"/>
      <c r="O931" s="412"/>
      <c r="P931" s="411"/>
      <c r="Q931" s="411"/>
      <c r="R931" s="412"/>
      <c r="S931" s="412"/>
      <c r="T931" s="413"/>
      <c r="U931" s="413"/>
      <c r="V931" s="412"/>
      <c r="W931" s="414"/>
      <c r="X931" s="395"/>
      <c r="Y931" s="396"/>
      <c r="Z931" s="109"/>
      <c r="AA931" s="109"/>
      <c r="AB931" s="397"/>
      <c r="AL931" s="414" t="str">
        <f t="shared" si="85"/>
        <v/>
      </c>
      <c r="AM931" s="395" t="str">
        <f t="shared" si="86"/>
        <v/>
      </c>
      <c r="AN931" s="396">
        <f t="shared" si="87"/>
        <v>0</v>
      </c>
      <c r="AO931" s="109" t="str">
        <f t="shared" si="88"/>
        <v/>
      </c>
      <c r="AP931" s="109" t="e">
        <f t="shared" si="89"/>
        <v>#VALUE!</v>
      </c>
      <c r="AQ931" s="397" t="e">
        <f t="shared" si="90"/>
        <v>#VALUE!</v>
      </c>
    </row>
    <row r="932" spans="1:43">
      <c r="A932" s="411"/>
      <c r="B932" s="412"/>
      <c r="C932" s="412"/>
      <c r="D932" s="411"/>
      <c r="E932" s="411"/>
      <c r="F932" s="411"/>
      <c r="G932" s="411"/>
      <c r="H932" s="411"/>
      <c r="I932" s="412"/>
      <c r="J932" s="411"/>
      <c r="K932" s="412"/>
      <c r="L932" s="412"/>
      <c r="M932" s="412"/>
      <c r="N932" s="412"/>
      <c r="O932" s="412"/>
      <c r="P932" s="411"/>
      <c r="Q932" s="411"/>
      <c r="R932" s="412"/>
      <c r="S932" s="412"/>
      <c r="T932" s="413"/>
      <c r="U932" s="413"/>
      <c r="V932" s="412"/>
      <c r="W932" s="414"/>
      <c r="X932" s="395"/>
      <c r="Y932" s="396"/>
      <c r="Z932" s="109"/>
      <c r="AA932" s="109"/>
      <c r="AB932" s="397"/>
      <c r="AL932" s="414" t="str">
        <f t="shared" si="85"/>
        <v/>
      </c>
      <c r="AM932" s="395" t="str">
        <f t="shared" si="86"/>
        <v/>
      </c>
      <c r="AN932" s="396">
        <f t="shared" si="87"/>
        <v>0</v>
      </c>
      <c r="AO932" s="109" t="str">
        <f t="shared" si="88"/>
        <v/>
      </c>
      <c r="AP932" s="109" t="e">
        <f t="shared" si="89"/>
        <v>#VALUE!</v>
      </c>
      <c r="AQ932" s="397" t="e">
        <f t="shared" si="90"/>
        <v>#VALUE!</v>
      </c>
    </row>
    <row r="933" spans="1:43">
      <c r="A933" s="411"/>
      <c r="B933" s="412"/>
      <c r="C933" s="412"/>
      <c r="D933" s="411"/>
      <c r="E933" s="411"/>
      <c r="F933" s="411"/>
      <c r="G933" s="411"/>
      <c r="H933" s="411"/>
      <c r="I933" s="412"/>
      <c r="J933" s="411"/>
      <c r="K933" s="412"/>
      <c r="L933" s="412"/>
      <c r="M933" s="412"/>
      <c r="N933" s="412"/>
      <c r="O933" s="412"/>
      <c r="P933" s="411"/>
      <c r="Q933" s="411"/>
      <c r="R933" s="412"/>
      <c r="S933" s="412"/>
      <c r="T933" s="413"/>
      <c r="U933" s="413"/>
      <c r="V933" s="412"/>
      <c r="W933" s="414"/>
      <c r="X933" s="395"/>
      <c r="Y933" s="396"/>
      <c r="Z933" s="109"/>
      <c r="AA933" s="109"/>
      <c r="AB933" s="397"/>
      <c r="AL933" s="414" t="str">
        <f t="shared" si="85"/>
        <v/>
      </c>
      <c r="AM933" s="395" t="str">
        <f t="shared" si="86"/>
        <v/>
      </c>
      <c r="AN933" s="396">
        <f t="shared" si="87"/>
        <v>0</v>
      </c>
      <c r="AO933" s="109" t="str">
        <f t="shared" si="88"/>
        <v/>
      </c>
      <c r="AP933" s="109" t="e">
        <f t="shared" si="89"/>
        <v>#VALUE!</v>
      </c>
      <c r="AQ933" s="397" t="e">
        <f t="shared" si="90"/>
        <v>#VALUE!</v>
      </c>
    </row>
    <row r="934" spans="1:43">
      <c r="A934" s="411"/>
      <c r="B934" s="412"/>
      <c r="C934" s="412"/>
      <c r="D934" s="411"/>
      <c r="E934" s="411"/>
      <c r="F934" s="411"/>
      <c r="G934" s="411"/>
      <c r="H934" s="411"/>
      <c r="I934" s="412"/>
      <c r="J934" s="411"/>
      <c r="K934" s="412"/>
      <c r="L934" s="412"/>
      <c r="M934" s="412"/>
      <c r="N934" s="412"/>
      <c r="O934" s="412"/>
      <c r="P934" s="411"/>
      <c r="Q934" s="411"/>
      <c r="R934" s="412"/>
      <c r="S934" s="412"/>
      <c r="T934" s="413"/>
      <c r="U934" s="413"/>
      <c r="V934" s="412"/>
      <c r="W934" s="414"/>
      <c r="X934" s="395"/>
      <c r="Y934" s="396"/>
      <c r="Z934" s="109"/>
      <c r="AA934" s="109"/>
      <c r="AB934" s="397"/>
      <c r="AL934" s="414" t="str">
        <f t="shared" si="85"/>
        <v/>
      </c>
      <c r="AM934" s="395" t="str">
        <f t="shared" si="86"/>
        <v/>
      </c>
      <c r="AN934" s="396">
        <f t="shared" si="87"/>
        <v>0</v>
      </c>
      <c r="AO934" s="109" t="str">
        <f t="shared" si="88"/>
        <v/>
      </c>
      <c r="AP934" s="109" t="e">
        <f t="shared" si="89"/>
        <v>#VALUE!</v>
      </c>
      <c r="AQ934" s="397" t="e">
        <f t="shared" si="90"/>
        <v>#VALUE!</v>
      </c>
    </row>
    <row r="935" spans="1:43">
      <c r="A935" s="411"/>
      <c r="B935" s="412"/>
      <c r="C935" s="412"/>
      <c r="D935" s="411"/>
      <c r="E935" s="411"/>
      <c r="F935" s="411"/>
      <c r="G935" s="411"/>
      <c r="H935" s="411"/>
      <c r="I935" s="412"/>
      <c r="J935" s="411"/>
      <c r="K935" s="412"/>
      <c r="L935" s="412"/>
      <c r="M935" s="412"/>
      <c r="N935" s="412"/>
      <c r="O935" s="412"/>
      <c r="P935" s="411"/>
      <c r="Q935" s="411"/>
      <c r="R935" s="412"/>
      <c r="S935" s="412"/>
      <c r="T935" s="413"/>
      <c r="U935" s="413"/>
      <c r="V935" s="412"/>
      <c r="W935" s="414"/>
      <c r="X935" s="395"/>
      <c r="Y935" s="396"/>
      <c r="Z935" s="109"/>
      <c r="AA935" s="109"/>
      <c r="AB935" s="397"/>
      <c r="AL935" s="414" t="str">
        <f t="shared" si="85"/>
        <v/>
      </c>
      <c r="AM935" s="395" t="str">
        <f t="shared" si="86"/>
        <v/>
      </c>
      <c r="AN935" s="396">
        <f t="shared" si="87"/>
        <v>0</v>
      </c>
      <c r="AO935" s="109" t="str">
        <f t="shared" si="88"/>
        <v/>
      </c>
      <c r="AP935" s="109" t="e">
        <f t="shared" si="89"/>
        <v>#VALUE!</v>
      </c>
      <c r="AQ935" s="397" t="e">
        <f t="shared" si="90"/>
        <v>#VALUE!</v>
      </c>
    </row>
    <row r="936" spans="1:43">
      <c r="A936" s="411"/>
      <c r="B936" s="412"/>
      <c r="C936" s="412"/>
      <c r="D936" s="411"/>
      <c r="E936" s="411"/>
      <c r="F936" s="411"/>
      <c r="G936" s="411"/>
      <c r="H936" s="411"/>
      <c r="I936" s="412"/>
      <c r="J936" s="411"/>
      <c r="K936" s="412"/>
      <c r="L936" s="412"/>
      <c r="M936" s="412"/>
      <c r="N936" s="412"/>
      <c r="O936" s="412"/>
      <c r="P936" s="411"/>
      <c r="Q936" s="411"/>
      <c r="R936" s="412"/>
      <c r="S936" s="412"/>
      <c r="T936" s="413"/>
      <c r="U936" s="413"/>
      <c r="V936" s="412"/>
      <c r="W936" s="414"/>
      <c r="X936" s="395"/>
      <c r="Y936" s="396"/>
      <c r="Z936" s="109"/>
      <c r="AA936" s="109"/>
      <c r="AB936" s="397"/>
      <c r="AL936" s="414" t="str">
        <f t="shared" si="85"/>
        <v/>
      </c>
      <c r="AM936" s="395" t="str">
        <f t="shared" si="86"/>
        <v/>
      </c>
      <c r="AN936" s="396">
        <f t="shared" si="87"/>
        <v>0</v>
      </c>
      <c r="AO936" s="109" t="str">
        <f t="shared" si="88"/>
        <v/>
      </c>
      <c r="AP936" s="109" t="e">
        <f t="shared" si="89"/>
        <v>#VALUE!</v>
      </c>
      <c r="AQ936" s="397" t="e">
        <f t="shared" si="90"/>
        <v>#VALUE!</v>
      </c>
    </row>
    <row r="937" spans="1:43">
      <c r="A937" s="411"/>
      <c r="B937" s="412"/>
      <c r="C937" s="412"/>
      <c r="D937" s="411"/>
      <c r="E937" s="411"/>
      <c r="F937" s="411"/>
      <c r="G937" s="411"/>
      <c r="H937" s="411"/>
      <c r="I937" s="412"/>
      <c r="J937" s="411"/>
      <c r="K937" s="412"/>
      <c r="L937" s="412"/>
      <c r="M937" s="412"/>
      <c r="N937" s="412"/>
      <c r="O937" s="412"/>
      <c r="P937" s="411"/>
      <c r="Q937" s="411"/>
      <c r="R937" s="412"/>
      <c r="S937" s="412"/>
      <c r="T937" s="413"/>
      <c r="U937" s="413"/>
      <c r="V937" s="412"/>
      <c r="W937" s="414"/>
      <c r="X937" s="395"/>
      <c r="Y937" s="396"/>
      <c r="Z937" s="109"/>
      <c r="AA937" s="109"/>
      <c r="AB937" s="397"/>
      <c r="AL937" s="414" t="str">
        <f t="shared" si="85"/>
        <v/>
      </c>
      <c r="AM937" s="395" t="str">
        <f t="shared" si="86"/>
        <v/>
      </c>
      <c r="AN937" s="396">
        <f t="shared" si="87"/>
        <v>0</v>
      </c>
      <c r="AO937" s="109" t="str">
        <f t="shared" si="88"/>
        <v/>
      </c>
      <c r="AP937" s="109" t="e">
        <f t="shared" si="89"/>
        <v>#VALUE!</v>
      </c>
      <c r="AQ937" s="397" t="e">
        <f t="shared" si="90"/>
        <v>#VALUE!</v>
      </c>
    </row>
    <row r="938" spans="1:43">
      <c r="A938" s="411"/>
      <c r="B938" s="412"/>
      <c r="C938" s="412"/>
      <c r="D938" s="411"/>
      <c r="E938" s="411"/>
      <c r="F938" s="411"/>
      <c r="G938" s="411"/>
      <c r="H938" s="411"/>
      <c r="I938" s="412"/>
      <c r="J938" s="411"/>
      <c r="K938" s="412"/>
      <c r="L938" s="412"/>
      <c r="M938" s="412"/>
      <c r="N938" s="412"/>
      <c r="O938" s="412"/>
      <c r="P938" s="411"/>
      <c r="Q938" s="411"/>
      <c r="R938" s="412"/>
      <c r="S938" s="412"/>
      <c r="T938" s="413"/>
      <c r="U938" s="413"/>
      <c r="V938" s="412"/>
      <c r="W938" s="414"/>
      <c r="X938" s="395"/>
      <c r="Y938" s="396"/>
      <c r="Z938" s="109"/>
      <c r="AA938" s="109"/>
      <c r="AB938" s="397"/>
      <c r="AL938" s="414" t="str">
        <f t="shared" si="85"/>
        <v/>
      </c>
      <c r="AM938" s="395" t="str">
        <f t="shared" si="86"/>
        <v/>
      </c>
      <c r="AN938" s="396">
        <f t="shared" si="87"/>
        <v>0</v>
      </c>
      <c r="AO938" s="109" t="str">
        <f t="shared" si="88"/>
        <v/>
      </c>
      <c r="AP938" s="109" t="e">
        <f t="shared" si="89"/>
        <v>#VALUE!</v>
      </c>
      <c r="AQ938" s="397" t="e">
        <f t="shared" si="90"/>
        <v>#VALUE!</v>
      </c>
    </row>
    <row r="939" spans="1:43">
      <c r="A939" s="411"/>
      <c r="B939" s="412"/>
      <c r="C939" s="412"/>
      <c r="D939" s="411"/>
      <c r="E939" s="411"/>
      <c r="F939" s="411"/>
      <c r="G939" s="411"/>
      <c r="H939" s="411"/>
      <c r="I939" s="412"/>
      <c r="J939" s="411"/>
      <c r="K939" s="412"/>
      <c r="L939" s="412"/>
      <c r="M939" s="412"/>
      <c r="N939" s="412"/>
      <c r="O939" s="412"/>
      <c r="P939" s="411"/>
      <c r="Q939" s="411"/>
      <c r="R939" s="412"/>
      <c r="S939" s="412"/>
      <c r="T939" s="413"/>
      <c r="U939" s="413"/>
      <c r="V939" s="412"/>
      <c r="W939" s="414"/>
      <c r="X939" s="395"/>
      <c r="Y939" s="396"/>
      <c r="Z939" s="109"/>
      <c r="AA939" s="109"/>
      <c r="AB939" s="397"/>
      <c r="AL939" s="414" t="str">
        <f t="shared" si="85"/>
        <v/>
      </c>
      <c r="AM939" s="395" t="str">
        <f t="shared" si="86"/>
        <v/>
      </c>
      <c r="AN939" s="396">
        <f t="shared" si="87"/>
        <v>0</v>
      </c>
      <c r="AO939" s="109" t="str">
        <f t="shared" si="88"/>
        <v/>
      </c>
      <c r="AP939" s="109" t="e">
        <f t="shared" si="89"/>
        <v>#VALUE!</v>
      </c>
      <c r="AQ939" s="397" t="e">
        <f t="shared" si="90"/>
        <v>#VALUE!</v>
      </c>
    </row>
    <row r="940" spans="1:43">
      <c r="A940" s="411"/>
      <c r="B940" s="412"/>
      <c r="C940" s="412"/>
      <c r="D940" s="411"/>
      <c r="E940" s="411"/>
      <c r="F940" s="411"/>
      <c r="G940" s="411"/>
      <c r="H940" s="411"/>
      <c r="I940" s="412"/>
      <c r="J940" s="411"/>
      <c r="K940" s="412"/>
      <c r="L940" s="412"/>
      <c r="M940" s="412"/>
      <c r="N940" s="412"/>
      <c r="O940" s="412"/>
      <c r="P940" s="411"/>
      <c r="Q940" s="411"/>
      <c r="R940" s="412"/>
      <c r="S940" s="412"/>
      <c r="T940" s="413"/>
      <c r="U940" s="413"/>
      <c r="V940" s="412"/>
      <c r="W940" s="414"/>
      <c r="X940" s="395"/>
      <c r="Y940" s="396"/>
      <c r="Z940" s="109"/>
      <c r="AA940" s="109"/>
      <c r="AB940" s="397"/>
      <c r="AL940" s="414" t="str">
        <f t="shared" si="85"/>
        <v/>
      </c>
      <c r="AM940" s="395" t="str">
        <f t="shared" si="86"/>
        <v/>
      </c>
      <c r="AN940" s="396">
        <f t="shared" si="87"/>
        <v>0</v>
      </c>
      <c r="AO940" s="109" t="str">
        <f t="shared" si="88"/>
        <v/>
      </c>
      <c r="AP940" s="109" t="e">
        <f t="shared" si="89"/>
        <v>#VALUE!</v>
      </c>
      <c r="AQ940" s="397" t="e">
        <f t="shared" si="90"/>
        <v>#VALUE!</v>
      </c>
    </row>
    <row r="941" spans="1:43">
      <c r="A941" s="411"/>
      <c r="B941" s="412"/>
      <c r="C941" s="412"/>
      <c r="D941" s="411"/>
      <c r="E941" s="411"/>
      <c r="F941" s="411"/>
      <c r="G941" s="411"/>
      <c r="H941" s="411"/>
      <c r="I941" s="412"/>
      <c r="J941" s="411"/>
      <c r="K941" s="412"/>
      <c r="L941" s="412"/>
      <c r="M941" s="412"/>
      <c r="N941" s="412"/>
      <c r="O941" s="412"/>
      <c r="P941" s="411"/>
      <c r="Q941" s="411"/>
      <c r="R941" s="412"/>
      <c r="S941" s="412"/>
      <c r="T941" s="413"/>
      <c r="U941" s="413"/>
      <c r="V941" s="412"/>
      <c r="W941" s="414"/>
      <c r="X941" s="395"/>
      <c r="Y941" s="396"/>
      <c r="Z941" s="109"/>
      <c r="AA941" s="109"/>
      <c r="AB941" s="397"/>
      <c r="AL941" s="414" t="str">
        <f t="shared" si="85"/>
        <v/>
      </c>
      <c r="AM941" s="395" t="str">
        <f t="shared" si="86"/>
        <v/>
      </c>
      <c r="AN941" s="396">
        <f t="shared" si="87"/>
        <v>0</v>
      </c>
      <c r="AO941" s="109" t="str">
        <f t="shared" si="88"/>
        <v/>
      </c>
      <c r="AP941" s="109" t="e">
        <f t="shared" si="89"/>
        <v>#VALUE!</v>
      </c>
      <c r="AQ941" s="397" t="e">
        <f t="shared" si="90"/>
        <v>#VALUE!</v>
      </c>
    </row>
    <row r="942" spans="1:43">
      <c r="A942" s="411"/>
      <c r="B942" s="412"/>
      <c r="C942" s="412"/>
      <c r="D942" s="411"/>
      <c r="E942" s="411"/>
      <c r="F942" s="411"/>
      <c r="G942" s="411"/>
      <c r="H942" s="411"/>
      <c r="I942" s="412"/>
      <c r="J942" s="411"/>
      <c r="K942" s="412"/>
      <c r="L942" s="412"/>
      <c r="M942" s="412"/>
      <c r="N942" s="412"/>
      <c r="O942" s="412"/>
      <c r="P942" s="411"/>
      <c r="Q942" s="411"/>
      <c r="R942" s="412"/>
      <c r="S942" s="412"/>
      <c r="T942" s="413"/>
      <c r="U942" s="413"/>
      <c r="V942" s="412"/>
      <c r="W942" s="414"/>
      <c r="X942" s="395"/>
      <c r="Y942" s="396"/>
      <c r="Z942" s="109"/>
      <c r="AA942" s="109"/>
      <c r="AB942" s="397"/>
      <c r="AL942" s="414" t="str">
        <f t="shared" si="85"/>
        <v/>
      </c>
      <c r="AM942" s="395" t="str">
        <f t="shared" si="86"/>
        <v/>
      </c>
      <c r="AN942" s="396">
        <f t="shared" si="87"/>
        <v>0</v>
      </c>
      <c r="AO942" s="109" t="str">
        <f t="shared" si="88"/>
        <v/>
      </c>
      <c r="AP942" s="109" t="e">
        <f t="shared" si="89"/>
        <v>#VALUE!</v>
      </c>
      <c r="AQ942" s="397" t="e">
        <f t="shared" si="90"/>
        <v>#VALUE!</v>
      </c>
    </row>
    <row r="943" spans="1:43">
      <c r="A943" s="411"/>
      <c r="B943" s="412"/>
      <c r="C943" s="412"/>
      <c r="D943" s="411"/>
      <c r="E943" s="411"/>
      <c r="F943" s="411"/>
      <c r="G943" s="411"/>
      <c r="H943" s="411"/>
      <c r="I943" s="412"/>
      <c r="J943" s="411"/>
      <c r="K943" s="412"/>
      <c r="L943" s="412"/>
      <c r="M943" s="412"/>
      <c r="N943" s="412"/>
      <c r="O943" s="412"/>
      <c r="P943" s="411"/>
      <c r="Q943" s="411"/>
      <c r="R943" s="412"/>
      <c r="S943" s="412"/>
      <c r="T943" s="413"/>
      <c r="U943" s="413"/>
      <c r="V943" s="412"/>
      <c r="W943" s="414"/>
      <c r="X943" s="395"/>
      <c r="Y943" s="396"/>
      <c r="Z943" s="109"/>
      <c r="AA943" s="109"/>
      <c r="AB943" s="397"/>
      <c r="AL943" s="414" t="str">
        <f t="shared" si="85"/>
        <v/>
      </c>
      <c r="AM943" s="395" t="str">
        <f t="shared" si="86"/>
        <v/>
      </c>
      <c r="AN943" s="396">
        <f t="shared" si="87"/>
        <v>0</v>
      </c>
      <c r="AO943" s="109" t="str">
        <f t="shared" si="88"/>
        <v/>
      </c>
      <c r="AP943" s="109" t="e">
        <f t="shared" si="89"/>
        <v>#VALUE!</v>
      </c>
      <c r="AQ943" s="397" t="e">
        <f t="shared" si="90"/>
        <v>#VALUE!</v>
      </c>
    </row>
    <row r="944" spans="1:43">
      <c r="AL944" s="414" t="str">
        <f t="shared" si="85"/>
        <v/>
      </c>
      <c r="AM944" s="395" t="str">
        <f t="shared" si="86"/>
        <v/>
      </c>
      <c r="AN944" s="396">
        <f t="shared" si="87"/>
        <v>0</v>
      </c>
      <c r="AO944" s="109" t="str">
        <f t="shared" si="88"/>
        <v/>
      </c>
      <c r="AP944" s="109" t="e">
        <f t="shared" si="89"/>
        <v>#VALUE!</v>
      </c>
      <c r="AQ944" s="397" t="e">
        <f t="shared" si="90"/>
        <v>#VALUE!</v>
      </c>
    </row>
    <row r="945" spans="38:43">
      <c r="AL945" s="414" t="str">
        <f t="shared" si="85"/>
        <v/>
      </c>
      <c r="AM945" s="395" t="str">
        <f t="shared" si="86"/>
        <v/>
      </c>
      <c r="AN945" s="396">
        <f t="shared" si="87"/>
        <v>0</v>
      </c>
      <c r="AO945" s="109" t="str">
        <f t="shared" si="88"/>
        <v/>
      </c>
      <c r="AP945" s="109" t="e">
        <f t="shared" si="89"/>
        <v>#VALUE!</v>
      </c>
      <c r="AQ945" s="397" t="e">
        <f t="shared" si="90"/>
        <v>#VALUE!</v>
      </c>
    </row>
    <row r="946" spans="38:43">
      <c r="AL946" s="414" t="str">
        <f t="shared" si="85"/>
        <v/>
      </c>
      <c r="AM946" s="395" t="str">
        <f t="shared" si="86"/>
        <v/>
      </c>
      <c r="AN946" s="396">
        <f t="shared" si="87"/>
        <v>0</v>
      </c>
      <c r="AO946" s="109" t="str">
        <f t="shared" si="88"/>
        <v/>
      </c>
      <c r="AP946" s="109" t="e">
        <f t="shared" si="89"/>
        <v>#VALUE!</v>
      </c>
      <c r="AQ946" s="397" t="e">
        <f t="shared" si="90"/>
        <v>#VALUE!</v>
      </c>
    </row>
    <row r="947" spans="38:43">
      <c r="AL947" s="414" t="str">
        <f t="shared" si="85"/>
        <v/>
      </c>
      <c r="AM947" s="395" t="str">
        <f t="shared" si="86"/>
        <v/>
      </c>
      <c r="AN947" s="396">
        <f t="shared" si="87"/>
        <v>0</v>
      </c>
      <c r="AO947" s="109" t="str">
        <f t="shared" si="88"/>
        <v/>
      </c>
      <c r="AP947" s="109" t="e">
        <f t="shared" si="89"/>
        <v>#VALUE!</v>
      </c>
      <c r="AQ947" s="397" t="e">
        <f t="shared" si="90"/>
        <v>#VALUE!</v>
      </c>
    </row>
    <row r="948" spans="38:43">
      <c r="AL948" s="414" t="str">
        <f t="shared" si="85"/>
        <v/>
      </c>
      <c r="AM948" s="395" t="str">
        <f t="shared" si="86"/>
        <v/>
      </c>
      <c r="AN948" s="396">
        <f t="shared" si="87"/>
        <v>0</v>
      </c>
      <c r="AO948" s="109" t="str">
        <f t="shared" si="88"/>
        <v/>
      </c>
      <c r="AP948" s="109" t="e">
        <f t="shared" si="89"/>
        <v>#VALUE!</v>
      </c>
      <c r="AQ948" s="397" t="e">
        <f t="shared" si="90"/>
        <v>#VALUE!</v>
      </c>
    </row>
    <row r="949" spans="38:43">
      <c r="AL949" s="414" t="str">
        <f t="shared" si="85"/>
        <v/>
      </c>
      <c r="AM949" s="395" t="str">
        <f t="shared" si="86"/>
        <v/>
      </c>
      <c r="AN949" s="396">
        <f t="shared" si="87"/>
        <v>0</v>
      </c>
      <c r="AO949" s="109" t="str">
        <f t="shared" si="88"/>
        <v/>
      </c>
      <c r="AP949" s="109" t="e">
        <f t="shared" si="89"/>
        <v>#VALUE!</v>
      </c>
      <c r="AQ949" s="397" t="e">
        <f t="shared" si="90"/>
        <v>#VALUE!</v>
      </c>
    </row>
    <row r="950" spans="38:43">
      <c r="AL950" s="414" t="str">
        <f t="shared" si="85"/>
        <v/>
      </c>
      <c r="AM950" s="395" t="str">
        <f t="shared" si="86"/>
        <v/>
      </c>
      <c r="AN950" s="396">
        <f t="shared" si="87"/>
        <v>0</v>
      </c>
      <c r="AO950" s="109" t="str">
        <f t="shared" si="88"/>
        <v/>
      </c>
      <c r="AP950" s="109" t="e">
        <f t="shared" si="89"/>
        <v>#VALUE!</v>
      </c>
      <c r="AQ950" s="397" t="e">
        <f t="shared" si="90"/>
        <v>#VALUE!</v>
      </c>
    </row>
    <row r="951" spans="38:43">
      <c r="AL951" s="414" t="str">
        <f t="shared" si="85"/>
        <v/>
      </c>
      <c r="AM951" s="395" t="str">
        <f t="shared" si="86"/>
        <v/>
      </c>
      <c r="AN951" s="396">
        <f t="shared" si="87"/>
        <v>0</v>
      </c>
      <c r="AO951" s="109" t="str">
        <f t="shared" si="88"/>
        <v/>
      </c>
      <c r="AP951" s="109" t="e">
        <f t="shared" si="89"/>
        <v>#VALUE!</v>
      </c>
      <c r="AQ951" s="397" t="e">
        <f t="shared" si="90"/>
        <v>#VALUE!</v>
      </c>
    </row>
    <row r="952" spans="38:43">
      <c r="AL952" s="414" t="str">
        <f t="shared" si="85"/>
        <v/>
      </c>
      <c r="AM952" s="395" t="str">
        <f t="shared" si="86"/>
        <v/>
      </c>
      <c r="AN952" s="396">
        <f t="shared" si="87"/>
        <v>0</v>
      </c>
      <c r="AO952" s="109" t="str">
        <f t="shared" si="88"/>
        <v/>
      </c>
      <c r="AP952" s="109" t="e">
        <f t="shared" si="89"/>
        <v>#VALUE!</v>
      </c>
      <c r="AQ952" s="397" t="e">
        <f t="shared" si="90"/>
        <v>#VALUE!</v>
      </c>
    </row>
    <row r="953" spans="38:43">
      <c r="AL953" s="414" t="str">
        <f t="shared" si="85"/>
        <v/>
      </c>
      <c r="AM953" s="395" t="str">
        <f t="shared" si="86"/>
        <v/>
      </c>
      <c r="AN953" s="396">
        <f t="shared" si="87"/>
        <v>0</v>
      </c>
      <c r="AO953" s="109" t="str">
        <f t="shared" si="88"/>
        <v/>
      </c>
      <c r="AP953" s="109" t="e">
        <f t="shared" si="89"/>
        <v>#VALUE!</v>
      </c>
      <c r="AQ953" s="397" t="e">
        <f t="shared" si="90"/>
        <v>#VALUE!</v>
      </c>
    </row>
    <row r="954" spans="38:43">
      <c r="AL954" s="414" t="str">
        <f t="shared" si="85"/>
        <v/>
      </c>
      <c r="AM954" s="395" t="str">
        <f t="shared" si="86"/>
        <v/>
      </c>
      <c r="AN954" s="396">
        <f t="shared" si="87"/>
        <v>0</v>
      </c>
      <c r="AO954" s="109" t="str">
        <f t="shared" si="88"/>
        <v/>
      </c>
      <c r="AP954" s="109" t="e">
        <f t="shared" si="89"/>
        <v>#VALUE!</v>
      </c>
      <c r="AQ954" s="397" t="e">
        <f t="shared" si="90"/>
        <v>#VALUE!</v>
      </c>
    </row>
    <row r="955" spans="38:43">
      <c r="AL955" s="414" t="str">
        <f t="shared" si="85"/>
        <v/>
      </c>
      <c r="AM955" s="395" t="str">
        <f t="shared" si="86"/>
        <v/>
      </c>
      <c r="AN955" s="396">
        <f t="shared" si="87"/>
        <v>0</v>
      </c>
      <c r="AO955" s="109" t="str">
        <f t="shared" si="88"/>
        <v/>
      </c>
      <c r="AP955" s="109" t="e">
        <f t="shared" si="89"/>
        <v>#VALUE!</v>
      </c>
      <c r="AQ955" s="397" t="e">
        <f t="shared" si="90"/>
        <v>#VALUE!</v>
      </c>
    </row>
    <row r="956" spans="38:43">
      <c r="AL956" s="414" t="str">
        <f t="shared" si="85"/>
        <v/>
      </c>
      <c r="AM956" s="395" t="str">
        <f t="shared" si="86"/>
        <v/>
      </c>
      <c r="AN956" s="396">
        <f t="shared" si="87"/>
        <v>0</v>
      </c>
      <c r="AO956" s="109" t="str">
        <f t="shared" si="88"/>
        <v/>
      </c>
      <c r="AP956" s="109" t="e">
        <f t="shared" si="89"/>
        <v>#VALUE!</v>
      </c>
      <c r="AQ956" s="397" t="e">
        <f t="shared" si="90"/>
        <v>#VALUE!</v>
      </c>
    </row>
    <row r="957" spans="38:43">
      <c r="AL957" s="414" t="str">
        <f t="shared" si="85"/>
        <v/>
      </c>
      <c r="AM957" s="395" t="str">
        <f t="shared" si="86"/>
        <v/>
      </c>
      <c r="AN957" s="396">
        <f t="shared" si="87"/>
        <v>0</v>
      </c>
      <c r="AO957" s="109" t="str">
        <f t="shared" si="88"/>
        <v/>
      </c>
      <c r="AP957" s="109" t="e">
        <f t="shared" si="89"/>
        <v>#VALUE!</v>
      </c>
      <c r="AQ957" s="397" t="e">
        <f t="shared" si="90"/>
        <v>#VALUE!</v>
      </c>
    </row>
    <row r="958" spans="38:43">
      <c r="AL958" s="414" t="str">
        <f t="shared" si="85"/>
        <v/>
      </c>
      <c r="AM958" s="395" t="str">
        <f t="shared" si="86"/>
        <v/>
      </c>
      <c r="AN958" s="396">
        <f t="shared" si="87"/>
        <v>0</v>
      </c>
      <c r="AO958" s="109" t="str">
        <f t="shared" si="88"/>
        <v/>
      </c>
      <c r="AP958" s="109" t="e">
        <f t="shared" si="89"/>
        <v>#VALUE!</v>
      </c>
      <c r="AQ958" s="397" t="e">
        <f t="shared" si="90"/>
        <v>#VALUE!</v>
      </c>
    </row>
    <row r="959" spans="38:43">
      <c r="AL959" s="414" t="str">
        <f t="shared" si="85"/>
        <v/>
      </c>
      <c r="AM959" s="395" t="str">
        <f t="shared" si="86"/>
        <v/>
      </c>
      <c r="AN959" s="396">
        <f t="shared" si="87"/>
        <v>0</v>
      </c>
      <c r="AO959" s="109" t="str">
        <f t="shared" si="88"/>
        <v/>
      </c>
      <c r="AP959" s="109" t="e">
        <f t="shared" si="89"/>
        <v>#VALUE!</v>
      </c>
      <c r="AQ959" s="397" t="e">
        <f t="shared" si="90"/>
        <v>#VALUE!</v>
      </c>
    </row>
    <row r="960" spans="38:43">
      <c r="AL960" s="414" t="str">
        <f t="shared" si="85"/>
        <v/>
      </c>
      <c r="AM960" s="395" t="str">
        <f t="shared" si="86"/>
        <v/>
      </c>
      <c r="AN960" s="396">
        <f t="shared" si="87"/>
        <v>0</v>
      </c>
      <c r="AO960" s="109" t="str">
        <f t="shared" si="88"/>
        <v/>
      </c>
      <c r="AP960" s="109" t="e">
        <f t="shared" si="89"/>
        <v>#VALUE!</v>
      </c>
      <c r="AQ960" s="397" t="e">
        <f t="shared" si="90"/>
        <v>#VALUE!</v>
      </c>
    </row>
    <row r="961" spans="38:43">
      <c r="AL961" s="414" t="str">
        <f t="shared" si="85"/>
        <v/>
      </c>
      <c r="AM961" s="395" t="str">
        <f t="shared" si="86"/>
        <v/>
      </c>
      <c r="AN961" s="396">
        <f t="shared" si="87"/>
        <v>0</v>
      </c>
      <c r="AO961" s="109" t="str">
        <f t="shared" si="88"/>
        <v/>
      </c>
      <c r="AP961" s="109" t="e">
        <f t="shared" si="89"/>
        <v>#VALUE!</v>
      </c>
      <c r="AQ961" s="397" t="e">
        <f t="shared" si="90"/>
        <v>#VALUE!</v>
      </c>
    </row>
    <row r="962" spans="38:43">
      <c r="AL962" s="414" t="str">
        <f t="shared" si="85"/>
        <v/>
      </c>
      <c r="AM962" s="395" t="str">
        <f t="shared" si="86"/>
        <v/>
      </c>
      <c r="AN962" s="396">
        <f t="shared" si="87"/>
        <v>0</v>
      </c>
      <c r="AO962" s="109" t="str">
        <f t="shared" si="88"/>
        <v/>
      </c>
      <c r="AP962" s="109" t="e">
        <f t="shared" si="89"/>
        <v>#VALUE!</v>
      </c>
      <c r="AQ962" s="397" t="e">
        <f t="shared" si="90"/>
        <v>#VALUE!</v>
      </c>
    </row>
    <row r="963" spans="38:43">
      <c r="AL963" s="414" t="str">
        <f t="shared" ref="AL963:AL1026" si="91">SUBSTITUTE(SUBSTITUTE(H963,"[워커힐]워커힐 고메 시그니처 양념 본갈비 8팩","워커힐 시그니처 양념 본갈비 300g, 8개"),"[워커힐]워커힐 시그니처 양념 본갈비 4팩","워커힐 시그니처 양념 본갈비 300g, 4개")</f>
        <v/>
      </c>
      <c r="AM963" s="395" t="str">
        <f t="shared" ref="AM963:AM1026" si="92">IF(N963="배송완료", DATE(LEFT(M963,4), MID(M963,6,2), MID(M963,9,2)), "")</f>
        <v/>
      </c>
      <c r="AN963" s="396">
        <f t="shared" ref="AN963:AN1026" si="93">IF(OR(N963="배송완료", Q963&lt;0), Q963, 0)</f>
        <v>0</v>
      </c>
      <c r="AO963" s="109" t="str">
        <f t="shared" ref="AO963:AO1026" si="94">IF(AL963="워커힐 시그니처 양념 본갈비 300g, 8개",119000,IF(AL963="워커힐 시그니처 양념 본갈비 300g, 4개",78000,""))</f>
        <v/>
      </c>
      <c r="AP963" s="109" t="e">
        <f t="shared" ref="AP963:AP1026" si="95">AO963/1.1</f>
        <v>#VALUE!</v>
      </c>
      <c r="AQ963" s="397" t="e">
        <f t="shared" si="90"/>
        <v>#VALUE!</v>
      </c>
    </row>
    <row r="964" spans="38:43">
      <c r="AL964" s="414" t="str">
        <f t="shared" si="91"/>
        <v/>
      </c>
      <c r="AM964" s="395" t="str">
        <f t="shared" si="92"/>
        <v/>
      </c>
      <c r="AN964" s="396">
        <f t="shared" si="93"/>
        <v>0</v>
      </c>
      <c r="AO964" s="109" t="str">
        <f t="shared" si="94"/>
        <v/>
      </c>
      <c r="AP964" s="109" t="e">
        <f t="shared" si="95"/>
        <v>#VALUE!</v>
      </c>
      <c r="AQ964" s="397" t="e">
        <f t="shared" si="90"/>
        <v>#VALUE!</v>
      </c>
    </row>
    <row r="965" spans="38:43">
      <c r="AL965" s="414" t="str">
        <f t="shared" si="91"/>
        <v/>
      </c>
      <c r="AM965" s="395" t="str">
        <f t="shared" si="92"/>
        <v/>
      </c>
      <c r="AN965" s="396">
        <f t="shared" si="93"/>
        <v>0</v>
      </c>
      <c r="AO965" s="109" t="str">
        <f t="shared" si="94"/>
        <v/>
      </c>
      <c r="AP965" s="109" t="e">
        <f t="shared" si="95"/>
        <v>#VALUE!</v>
      </c>
      <c r="AQ965" s="397" t="e">
        <f t="shared" si="90"/>
        <v>#VALUE!</v>
      </c>
    </row>
    <row r="966" spans="38:43">
      <c r="AL966" s="414" t="str">
        <f t="shared" si="91"/>
        <v/>
      </c>
      <c r="AM966" s="395" t="str">
        <f t="shared" si="92"/>
        <v/>
      </c>
      <c r="AN966" s="396">
        <f t="shared" si="93"/>
        <v>0</v>
      </c>
      <c r="AO966" s="109" t="str">
        <f t="shared" si="94"/>
        <v/>
      </c>
      <c r="AP966" s="109" t="e">
        <f t="shared" si="95"/>
        <v>#VALUE!</v>
      </c>
      <c r="AQ966" s="397" t="e">
        <f t="shared" si="90"/>
        <v>#VALUE!</v>
      </c>
    </row>
    <row r="967" spans="38:43">
      <c r="AL967" s="414" t="str">
        <f t="shared" si="91"/>
        <v/>
      </c>
      <c r="AM967" s="395" t="str">
        <f t="shared" si="92"/>
        <v/>
      </c>
      <c r="AN967" s="396">
        <f t="shared" si="93"/>
        <v>0</v>
      </c>
      <c r="AO967" s="109" t="str">
        <f t="shared" si="94"/>
        <v/>
      </c>
      <c r="AP967" s="109" t="e">
        <f t="shared" si="95"/>
        <v>#VALUE!</v>
      </c>
      <c r="AQ967" s="397" t="e">
        <f t="shared" si="90"/>
        <v>#VALUE!</v>
      </c>
    </row>
    <row r="968" spans="38:43">
      <c r="AL968" s="414" t="str">
        <f t="shared" si="91"/>
        <v/>
      </c>
      <c r="AM968" s="395" t="str">
        <f t="shared" si="92"/>
        <v/>
      </c>
      <c r="AN968" s="396">
        <f t="shared" si="93"/>
        <v>0</v>
      </c>
      <c r="AO968" s="109" t="str">
        <f t="shared" si="94"/>
        <v/>
      </c>
      <c r="AP968" s="109" t="e">
        <f t="shared" si="95"/>
        <v>#VALUE!</v>
      </c>
      <c r="AQ968" s="397" t="e">
        <f t="shared" si="90"/>
        <v>#VALUE!</v>
      </c>
    </row>
    <row r="969" spans="38:43">
      <c r="AL969" s="414" t="str">
        <f t="shared" si="91"/>
        <v/>
      </c>
      <c r="AM969" s="395" t="str">
        <f t="shared" si="92"/>
        <v/>
      </c>
      <c r="AN969" s="396">
        <f t="shared" si="93"/>
        <v>0</v>
      </c>
      <c r="AO969" s="109" t="str">
        <f t="shared" si="94"/>
        <v/>
      </c>
      <c r="AP969" s="109" t="e">
        <f t="shared" si="95"/>
        <v>#VALUE!</v>
      </c>
      <c r="AQ969" s="397" t="e">
        <f t="shared" si="90"/>
        <v>#VALUE!</v>
      </c>
    </row>
    <row r="970" spans="38:43">
      <c r="AL970" s="414" t="str">
        <f t="shared" si="91"/>
        <v/>
      </c>
      <c r="AM970" s="395" t="str">
        <f t="shared" si="92"/>
        <v/>
      </c>
      <c r="AN970" s="396">
        <f t="shared" si="93"/>
        <v>0</v>
      </c>
      <c r="AO970" s="109" t="str">
        <f t="shared" si="94"/>
        <v/>
      </c>
      <c r="AP970" s="109" t="e">
        <f t="shared" si="95"/>
        <v>#VALUE!</v>
      </c>
      <c r="AQ970" s="397" t="e">
        <f t="shared" si="90"/>
        <v>#VALUE!</v>
      </c>
    </row>
    <row r="971" spans="38:43">
      <c r="AL971" s="414" t="str">
        <f t="shared" si="91"/>
        <v/>
      </c>
      <c r="AM971" s="395" t="str">
        <f t="shared" si="92"/>
        <v/>
      </c>
      <c r="AN971" s="396">
        <f t="shared" si="93"/>
        <v>0</v>
      </c>
      <c r="AO971" s="109" t="str">
        <f t="shared" si="94"/>
        <v/>
      </c>
      <c r="AP971" s="109" t="e">
        <f t="shared" si="95"/>
        <v>#VALUE!</v>
      </c>
      <c r="AQ971" s="397" t="e">
        <f t="shared" si="90"/>
        <v>#VALUE!</v>
      </c>
    </row>
    <row r="972" spans="38:43">
      <c r="AL972" s="414" t="str">
        <f t="shared" si="91"/>
        <v/>
      </c>
      <c r="AM972" s="395" t="str">
        <f t="shared" si="92"/>
        <v/>
      </c>
      <c r="AN972" s="396">
        <f t="shared" si="93"/>
        <v>0</v>
      </c>
      <c r="AO972" s="109" t="str">
        <f t="shared" si="94"/>
        <v/>
      </c>
      <c r="AP972" s="109" t="e">
        <f t="shared" si="95"/>
        <v>#VALUE!</v>
      </c>
      <c r="AQ972" s="397" t="e">
        <f t="shared" si="90"/>
        <v>#VALUE!</v>
      </c>
    </row>
    <row r="973" spans="38:43">
      <c r="AL973" s="414" t="str">
        <f t="shared" si="91"/>
        <v/>
      </c>
      <c r="AM973" s="395" t="str">
        <f t="shared" si="92"/>
        <v/>
      </c>
      <c r="AN973" s="396">
        <f t="shared" si="93"/>
        <v>0</v>
      </c>
      <c r="AO973" s="109" t="str">
        <f t="shared" si="94"/>
        <v/>
      </c>
      <c r="AP973" s="109" t="e">
        <f t="shared" si="95"/>
        <v>#VALUE!</v>
      </c>
      <c r="AQ973" s="397" t="e">
        <f t="shared" si="90"/>
        <v>#VALUE!</v>
      </c>
    </row>
    <row r="974" spans="38:43">
      <c r="AL974" s="414" t="str">
        <f t="shared" si="91"/>
        <v/>
      </c>
      <c r="AM974" s="395" t="str">
        <f t="shared" si="92"/>
        <v/>
      </c>
      <c r="AN974" s="396">
        <f t="shared" si="93"/>
        <v>0</v>
      </c>
      <c r="AO974" s="109" t="str">
        <f t="shared" si="94"/>
        <v/>
      </c>
      <c r="AP974" s="109" t="e">
        <f t="shared" si="95"/>
        <v>#VALUE!</v>
      </c>
      <c r="AQ974" s="397" t="e">
        <f t="shared" si="90"/>
        <v>#VALUE!</v>
      </c>
    </row>
    <row r="975" spans="38:43">
      <c r="AL975" s="414" t="str">
        <f t="shared" si="91"/>
        <v/>
      </c>
      <c r="AM975" s="395" t="str">
        <f t="shared" si="92"/>
        <v/>
      </c>
      <c r="AN975" s="396">
        <f t="shared" si="93"/>
        <v>0</v>
      </c>
      <c r="AO975" s="109" t="str">
        <f t="shared" si="94"/>
        <v/>
      </c>
      <c r="AP975" s="109" t="e">
        <f t="shared" si="95"/>
        <v>#VALUE!</v>
      </c>
      <c r="AQ975" s="397" t="e">
        <f t="shared" si="90"/>
        <v>#VALUE!</v>
      </c>
    </row>
    <row r="976" spans="38:43">
      <c r="AL976" s="414" t="str">
        <f t="shared" si="91"/>
        <v/>
      </c>
      <c r="AM976" s="395" t="str">
        <f t="shared" si="92"/>
        <v/>
      </c>
      <c r="AN976" s="396">
        <f t="shared" si="93"/>
        <v>0</v>
      </c>
      <c r="AO976" s="109" t="str">
        <f t="shared" si="94"/>
        <v/>
      </c>
      <c r="AP976" s="109" t="e">
        <f t="shared" si="95"/>
        <v>#VALUE!</v>
      </c>
      <c r="AQ976" s="397" t="e">
        <f t="shared" si="90"/>
        <v>#VALUE!</v>
      </c>
    </row>
    <row r="977" spans="38:43">
      <c r="AL977" s="414" t="str">
        <f t="shared" si="91"/>
        <v/>
      </c>
      <c r="AM977" s="395" t="str">
        <f t="shared" si="92"/>
        <v/>
      </c>
      <c r="AN977" s="396">
        <f t="shared" si="93"/>
        <v>0</v>
      </c>
      <c r="AO977" s="109" t="str">
        <f t="shared" si="94"/>
        <v/>
      </c>
      <c r="AP977" s="109" t="e">
        <f t="shared" si="95"/>
        <v>#VALUE!</v>
      </c>
      <c r="AQ977" s="397" t="e">
        <f t="shared" si="90"/>
        <v>#VALUE!</v>
      </c>
    </row>
    <row r="978" spans="38:43">
      <c r="AL978" s="414" t="str">
        <f t="shared" si="91"/>
        <v/>
      </c>
      <c r="AM978" s="395" t="str">
        <f t="shared" si="92"/>
        <v/>
      </c>
      <c r="AN978" s="396">
        <f t="shared" si="93"/>
        <v>0</v>
      </c>
      <c r="AO978" s="109" t="str">
        <f t="shared" si="94"/>
        <v/>
      </c>
      <c r="AP978" s="109" t="e">
        <f t="shared" si="95"/>
        <v>#VALUE!</v>
      </c>
      <c r="AQ978" s="397" t="e">
        <f t="shared" si="90"/>
        <v>#VALUE!</v>
      </c>
    </row>
    <row r="979" spans="38:43">
      <c r="AL979" s="414" t="str">
        <f t="shared" si="91"/>
        <v/>
      </c>
      <c r="AM979" s="395" t="str">
        <f t="shared" si="92"/>
        <v/>
      </c>
      <c r="AN979" s="396">
        <f t="shared" si="93"/>
        <v>0</v>
      </c>
      <c r="AO979" s="109" t="str">
        <f t="shared" si="94"/>
        <v/>
      </c>
      <c r="AP979" s="109" t="e">
        <f t="shared" si="95"/>
        <v>#VALUE!</v>
      </c>
      <c r="AQ979" s="397" t="e">
        <f t="shared" si="90"/>
        <v>#VALUE!</v>
      </c>
    </row>
    <row r="980" spans="38:43">
      <c r="AL980" s="414" t="str">
        <f t="shared" si="91"/>
        <v/>
      </c>
      <c r="AM980" s="395" t="str">
        <f t="shared" si="92"/>
        <v/>
      </c>
      <c r="AN980" s="396">
        <f t="shared" si="93"/>
        <v>0</v>
      </c>
      <c r="AO980" s="109" t="str">
        <f t="shared" si="94"/>
        <v/>
      </c>
      <c r="AP980" s="109" t="e">
        <f t="shared" si="95"/>
        <v>#VALUE!</v>
      </c>
      <c r="AQ980" s="397" t="e">
        <f t="shared" si="90"/>
        <v>#VALUE!</v>
      </c>
    </row>
    <row r="981" spans="38:43">
      <c r="AL981" s="414" t="str">
        <f t="shared" si="91"/>
        <v/>
      </c>
      <c r="AM981" s="395" t="str">
        <f t="shared" si="92"/>
        <v/>
      </c>
      <c r="AN981" s="396">
        <f t="shared" si="93"/>
        <v>0</v>
      </c>
      <c r="AO981" s="109" t="str">
        <f t="shared" si="94"/>
        <v/>
      </c>
      <c r="AP981" s="109" t="e">
        <f t="shared" si="95"/>
        <v>#VALUE!</v>
      </c>
      <c r="AQ981" s="397" t="e">
        <f t="shared" si="90"/>
        <v>#VALUE!</v>
      </c>
    </row>
    <row r="982" spans="38:43">
      <c r="AL982" s="414" t="str">
        <f t="shared" si="91"/>
        <v/>
      </c>
      <c r="AM982" s="395" t="str">
        <f t="shared" si="92"/>
        <v/>
      </c>
      <c r="AN982" s="396">
        <f t="shared" si="93"/>
        <v>0</v>
      </c>
      <c r="AO982" s="109" t="str">
        <f t="shared" si="94"/>
        <v/>
      </c>
      <c r="AP982" s="109" t="e">
        <f t="shared" si="95"/>
        <v>#VALUE!</v>
      </c>
      <c r="AQ982" s="397" t="e">
        <f t="shared" si="90"/>
        <v>#VALUE!</v>
      </c>
    </row>
    <row r="983" spans="38:43">
      <c r="AL983" s="414" t="str">
        <f t="shared" si="91"/>
        <v/>
      </c>
      <c r="AM983" s="395" t="str">
        <f t="shared" si="92"/>
        <v/>
      </c>
      <c r="AN983" s="396">
        <f t="shared" si="93"/>
        <v>0</v>
      </c>
      <c r="AO983" s="109" t="str">
        <f t="shared" si="94"/>
        <v/>
      </c>
      <c r="AP983" s="109" t="e">
        <f t="shared" si="95"/>
        <v>#VALUE!</v>
      </c>
      <c r="AQ983" s="397" t="e">
        <f t="shared" si="90"/>
        <v>#VALUE!</v>
      </c>
    </row>
    <row r="984" spans="38:43">
      <c r="AL984" s="414" t="str">
        <f t="shared" si="91"/>
        <v/>
      </c>
      <c r="AM984" s="395" t="str">
        <f t="shared" si="92"/>
        <v/>
      </c>
      <c r="AN984" s="396">
        <f t="shared" si="93"/>
        <v>0</v>
      </c>
      <c r="AO984" s="109" t="str">
        <f t="shared" si="94"/>
        <v/>
      </c>
      <c r="AP984" s="109" t="e">
        <f t="shared" si="95"/>
        <v>#VALUE!</v>
      </c>
      <c r="AQ984" s="397" t="e">
        <f t="shared" si="90"/>
        <v>#VALUE!</v>
      </c>
    </row>
    <row r="985" spans="38:43">
      <c r="AL985" s="414" t="str">
        <f t="shared" si="91"/>
        <v/>
      </c>
      <c r="AM985" s="395" t="str">
        <f t="shared" si="92"/>
        <v/>
      </c>
      <c r="AN985" s="396">
        <f t="shared" si="93"/>
        <v>0</v>
      </c>
      <c r="AO985" s="109" t="str">
        <f t="shared" si="94"/>
        <v/>
      </c>
      <c r="AP985" s="109" t="e">
        <f t="shared" si="95"/>
        <v>#VALUE!</v>
      </c>
      <c r="AQ985" s="397" t="e">
        <f t="shared" si="90"/>
        <v>#VALUE!</v>
      </c>
    </row>
    <row r="986" spans="38:43">
      <c r="AL986" s="414" t="str">
        <f t="shared" si="91"/>
        <v/>
      </c>
      <c r="AM986" s="395" t="str">
        <f t="shared" si="92"/>
        <v/>
      </c>
      <c r="AN986" s="396">
        <f t="shared" si="93"/>
        <v>0</v>
      </c>
      <c r="AO986" s="109" t="str">
        <f t="shared" si="94"/>
        <v/>
      </c>
      <c r="AP986" s="109" t="e">
        <f t="shared" si="95"/>
        <v>#VALUE!</v>
      </c>
      <c r="AQ986" s="397" t="e">
        <f t="shared" si="90"/>
        <v>#VALUE!</v>
      </c>
    </row>
    <row r="987" spans="38:43">
      <c r="AL987" s="414" t="str">
        <f t="shared" si="91"/>
        <v/>
      </c>
      <c r="AM987" s="395" t="str">
        <f t="shared" si="92"/>
        <v/>
      </c>
      <c r="AN987" s="396">
        <f t="shared" si="93"/>
        <v>0</v>
      </c>
      <c r="AO987" s="109" t="str">
        <f t="shared" si="94"/>
        <v/>
      </c>
      <c r="AP987" s="109" t="e">
        <f t="shared" si="95"/>
        <v>#VALUE!</v>
      </c>
      <c r="AQ987" s="397" t="e">
        <f t="shared" si="90"/>
        <v>#VALUE!</v>
      </c>
    </row>
    <row r="988" spans="38:43">
      <c r="AL988" s="414" t="str">
        <f t="shared" si="91"/>
        <v/>
      </c>
      <c r="AM988" s="395" t="str">
        <f t="shared" si="92"/>
        <v/>
      </c>
      <c r="AN988" s="396">
        <f t="shared" si="93"/>
        <v>0</v>
      </c>
      <c r="AO988" s="109" t="str">
        <f t="shared" si="94"/>
        <v/>
      </c>
      <c r="AP988" s="109" t="e">
        <f t="shared" si="95"/>
        <v>#VALUE!</v>
      </c>
      <c r="AQ988" s="397" t="e">
        <f t="shared" si="90"/>
        <v>#VALUE!</v>
      </c>
    </row>
    <row r="989" spans="38:43">
      <c r="AL989" s="414" t="str">
        <f t="shared" si="91"/>
        <v/>
      </c>
      <c r="AM989" s="395" t="str">
        <f t="shared" si="92"/>
        <v/>
      </c>
      <c r="AN989" s="396">
        <f t="shared" si="93"/>
        <v>0</v>
      </c>
      <c r="AO989" s="109" t="str">
        <f t="shared" si="94"/>
        <v/>
      </c>
      <c r="AP989" s="109" t="e">
        <f t="shared" si="95"/>
        <v>#VALUE!</v>
      </c>
      <c r="AQ989" s="397" t="e">
        <f t="shared" ref="AQ989:AQ1052" si="96">AN989*AP989</f>
        <v>#VALUE!</v>
      </c>
    </row>
    <row r="990" spans="38:43">
      <c r="AL990" s="414" t="str">
        <f t="shared" si="91"/>
        <v/>
      </c>
      <c r="AM990" s="395" t="str">
        <f t="shared" si="92"/>
        <v/>
      </c>
      <c r="AN990" s="396">
        <f t="shared" si="93"/>
        <v>0</v>
      </c>
      <c r="AO990" s="109" t="str">
        <f t="shared" si="94"/>
        <v/>
      </c>
      <c r="AP990" s="109" t="e">
        <f t="shared" si="95"/>
        <v>#VALUE!</v>
      </c>
      <c r="AQ990" s="397" t="e">
        <f t="shared" si="96"/>
        <v>#VALUE!</v>
      </c>
    </row>
    <row r="991" spans="38:43">
      <c r="AL991" s="414" t="str">
        <f t="shared" si="91"/>
        <v/>
      </c>
      <c r="AM991" s="395" t="str">
        <f t="shared" si="92"/>
        <v/>
      </c>
      <c r="AN991" s="396">
        <f t="shared" si="93"/>
        <v>0</v>
      </c>
      <c r="AO991" s="109" t="str">
        <f t="shared" si="94"/>
        <v/>
      </c>
      <c r="AP991" s="109" t="e">
        <f t="shared" si="95"/>
        <v>#VALUE!</v>
      </c>
      <c r="AQ991" s="397" t="e">
        <f t="shared" si="96"/>
        <v>#VALUE!</v>
      </c>
    </row>
    <row r="992" spans="38:43">
      <c r="AL992" s="414" t="str">
        <f t="shared" si="91"/>
        <v/>
      </c>
      <c r="AM992" s="395" t="str">
        <f t="shared" si="92"/>
        <v/>
      </c>
      <c r="AN992" s="396">
        <f t="shared" si="93"/>
        <v>0</v>
      </c>
      <c r="AO992" s="109" t="str">
        <f t="shared" si="94"/>
        <v/>
      </c>
      <c r="AP992" s="109" t="e">
        <f t="shared" si="95"/>
        <v>#VALUE!</v>
      </c>
      <c r="AQ992" s="397" t="e">
        <f t="shared" si="96"/>
        <v>#VALUE!</v>
      </c>
    </row>
    <row r="993" spans="38:43">
      <c r="AL993" s="414" t="str">
        <f t="shared" si="91"/>
        <v/>
      </c>
      <c r="AM993" s="395" t="str">
        <f t="shared" si="92"/>
        <v/>
      </c>
      <c r="AN993" s="396">
        <f t="shared" si="93"/>
        <v>0</v>
      </c>
      <c r="AO993" s="109" t="str">
        <f t="shared" si="94"/>
        <v/>
      </c>
      <c r="AP993" s="109" t="e">
        <f t="shared" si="95"/>
        <v>#VALUE!</v>
      </c>
      <c r="AQ993" s="397" t="e">
        <f t="shared" si="96"/>
        <v>#VALUE!</v>
      </c>
    </row>
    <row r="994" spans="38:43">
      <c r="AL994" s="414" t="str">
        <f t="shared" si="91"/>
        <v/>
      </c>
      <c r="AM994" s="395" t="str">
        <f t="shared" si="92"/>
        <v/>
      </c>
      <c r="AN994" s="396">
        <f t="shared" si="93"/>
        <v>0</v>
      </c>
      <c r="AO994" s="109" t="str">
        <f t="shared" si="94"/>
        <v/>
      </c>
      <c r="AP994" s="109" t="e">
        <f t="shared" si="95"/>
        <v>#VALUE!</v>
      </c>
      <c r="AQ994" s="397" t="e">
        <f t="shared" si="96"/>
        <v>#VALUE!</v>
      </c>
    </row>
    <row r="995" spans="38:43">
      <c r="AL995" s="414" t="str">
        <f t="shared" si="91"/>
        <v/>
      </c>
      <c r="AM995" s="395" t="str">
        <f t="shared" si="92"/>
        <v/>
      </c>
      <c r="AN995" s="396">
        <f t="shared" si="93"/>
        <v>0</v>
      </c>
      <c r="AO995" s="109" t="str">
        <f t="shared" si="94"/>
        <v/>
      </c>
      <c r="AP995" s="109" t="e">
        <f t="shared" si="95"/>
        <v>#VALUE!</v>
      </c>
      <c r="AQ995" s="397" t="e">
        <f t="shared" si="96"/>
        <v>#VALUE!</v>
      </c>
    </row>
    <row r="996" spans="38:43">
      <c r="AL996" s="414" t="str">
        <f t="shared" si="91"/>
        <v/>
      </c>
      <c r="AM996" s="395" t="str">
        <f t="shared" si="92"/>
        <v/>
      </c>
      <c r="AN996" s="396">
        <f t="shared" si="93"/>
        <v>0</v>
      </c>
      <c r="AO996" s="109" t="str">
        <f t="shared" si="94"/>
        <v/>
      </c>
      <c r="AP996" s="109" t="e">
        <f t="shared" si="95"/>
        <v>#VALUE!</v>
      </c>
      <c r="AQ996" s="397" t="e">
        <f t="shared" si="96"/>
        <v>#VALUE!</v>
      </c>
    </row>
    <row r="997" spans="38:43">
      <c r="AL997" s="414" t="str">
        <f t="shared" si="91"/>
        <v/>
      </c>
      <c r="AM997" s="395" t="str">
        <f t="shared" si="92"/>
        <v/>
      </c>
      <c r="AN997" s="396">
        <f t="shared" si="93"/>
        <v>0</v>
      </c>
      <c r="AO997" s="109" t="str">
        <f t="shared" si="94"/>
        <v/>
      </c>
      <c r="AP997" s="109" t="e">
        <f t="shared" si="95"/>
        <v>#VALUE!</v>
      </c>
      <c r="AQ997" s="397" t="e">
        <f t="shared" si="96"/>
        <v>#VALUE!</v>
      </c>
    </row>
    <row r="998" spans="38:43">
      <c r="AL998" s="414" t="str">
        <f t="shared" si="91"/>
        <v/>
      </c>
      <c r="AM998" s="395" t="str">
        <f t="shared" si="92"/>
        <v/>
      </c>
      <c r="AN998" s="396">
        <f t="shared" si="93"/>
        <v>0</v>
      </c>
      <c r="AO998" s="109" t="str">
        <f t="shared" si="94"/>
        <v/>
      </c>
      <c r="AP998" s="109" t="e">
        <f t="shared" si="95"/>
        <v>#VALUE!</v>
      </c>
      <c r="AQ998" s="397" t="e">
        <f t="shared" si="96"/>
        <v>#VALUE!</v>
      </c>
    </row>
    <row r="999" spans="38:43">
      <c r="AL999" s="414" t="str">
        <f t="shared" si="91"/>
        <v/>
      </c>
      <c r="AM999" s="395" t="str">
        <f t="shared" si="92"/>
        <v/>
      </c>
      <c r="AN999" s="396">
        <f t="shared" si="93"/>
        <v>0</v>
      </c>
      <c r="AO999" s="109" t="str">
        <f t="shared" si="94"/>
        <v/>
      </c>
      <c r="AP999" s="109" t="e">
        <f t="shared" si="95"/>
        <v>#VALUE!</v>
      </c>
      <c r="AQ999" s="397" t="e">
        <f t="shared" si="96"/>
        <v>#VALUE!</v>
      </c>
    </row>
    <row r="1000" spans="38:43">
      <c r="AL1000" s="414" t="str">
        <f t="shared" si="91"/>
        <v/>
      </c>
      <c r="AM1000" s="395" t="str">
        <f t="shared" si="92"/>
        <v/>
      </c>
      <c r="AN1000" s="396">
        <f t="shared" si="93"/>
        <v>0</v>
      </c>
      <c r="AO1000" s="109" t="str">
        <f t="shared" si="94"/>
        <v/>
      </c>
      <c r="AP1000" s="109" t="e">
        <f t="shared" si="95"/>
        <v>#VALUE!</v>
      </c>
      <c r="AQ1000" s="397" t="e">
        <f t="shared" si="96"/>
        <v>#VALUE!</v>
      </c>
    </row>
    <row r="1001" spans="38:43">
      <c r="AL1001" s="414" t="str">
        <f t="shared" si="91"/>
        <v/>
      </c>
      <c r="AM1001" s="395" t="str">
        <f t="shared" si="92"/>
        <v/>
      </c>
      <c r="AN1001" s="396">
        <f t="shared" si="93"/>
        <v>0</v>
      </c>
      <c r="AO1001" s="109" t="str">
        <f t="shared" si="94"/>
        <v/>
      </c>
      <c r="AP1001" s="109" t="e">
        <f t="shared" si="95"/>
        <v>#VALUE!</v>
      </c>
      <c r="AQ1001" s="397" t="e">
        <f t="shared" si="96"/>
        <v>#VALUE!</v>
      </c>
    </row>
    <row r="1002" spans="38:43">
      <c r="AL1002" s="414" t="str">
        <f t="shared" si="91"/>
        <v/>
      </c>
      <c r="AM1002" s="395" t="str">
        <f t="shared" si="92"/>
        <v/>
      </c>
      <c r="AN1002" s="396">
        <f t="shared" si="93"/>
        <v>0</v>
      </c>
      <c r="AO1002" s="109" t="str">
        <f t="shared" si="94"/>
        <v/>
      </c>
      <c r="AP1002" s="109" t="e">
        <f t="shared" si="95"/>
        <v>#VALUE!</v>
      </c>
      <c r="AQ1002" s="397" t="e">
        <f t="shared" si="96"/>
        <v>#VALUE!</v>
      </c>
    </row>
    <row r="1003" spans="38:43">
      <c r="AL1003" s="414" t="str">
        <f t="shared" si="91"/>
        <v/>
      </c>
      <c r="AM1003" s="395" t="str">
        <f t="shared" si="92"/>
        <v/>
      </c>
      <c r="AN1003" s="396">
        <f t="shared" si="93"/>
        <v>0</v>
      </c>
      <c r="AO1003" s="109" t="str">
        <f t="shared" si="94"/>
        <v/>
      </c>
      <c r="AP1003" s="109" t="e">
        <f t="shared" si="95"/>
        <v>#VALUE!</v>
      </c>
      <c r="AQ1003" s="397" t="e">
        <f t="shared" si="96"/>
        <v>#VALUE!</v>
      </c>
    </row>
    <row r="1004" spans="38:43">
      <c r="AL1004" s="414" t="str">
        <f t="shared" si="91"/>
        <v/>
      </c>
      <c r="AM1004" s="395" t="str">
        <f t="shared" si="92"/>
        <v/>
      </c>
      <c r="AN1004" s="396">
        <f t="shared" si="93"/>
        <v>0</v>
      </c>
      <c r="AO1004" s="109" t="str">
        <f t="shared" si="94"/>
        <v/>
      </c>
      <c r="AP1004" s="109" t="e">
        <f t="shared" si="95"/>
        <v>#VALUE!</v>
      </c>
      <c r="AQ1004" s="397" t="e">
        <f t="shared" si="96"/>
        <v>#VALUE!</v>
      </c>
    </row>
    <row r="1005" spans="38:43">
      <c r="AL1005" s="414" t="str">
        <f t="shared" si="91"/>
        <v/>
      </c>
      <c r="AM1005" s="395" t="str">
        <f t="shared" si="92"/>
        <v/>
      </c>
      <c r="AN1005" s="396">
        <f t="shared" si="93"/>
        <v>0</v>
      </c>
      <c r="AO1005" s="109" t="str">
        <f t="shared" si="94"/>
        <v/>
      </c>
      <c r="AP1005" s="109" t="e">
        <f t="shared" si="95"/>
        <v>#VALUE!</v>
      </c>
      <c r="AQ1005" s="397" t="e">
        <f t="shared" si="96"/>
        <v>#VALUE!</v>
      </c>
    </row>
    <row r="1006" spans="38:43">
      <c r="AL1006" s="414" t="str">
        <f t="shared" si="91"/>
        <v/>
      </c>
      <c r="AM1006" s="395" t="str">
        <f t="shared" si="92"/>
        <v/>
      </c>
      <c r="AN1006" s="396">
        <f t="shared" si="93"/>
        <v>0</v>
      </c>
      <c r="AO1006" s="109" t="str">
        <f t="shared" si="94"/>
        <v/>
      </c>
      <c r="AP1006" s="109" t="e">
        <f t="shared" si="95"/>
        <v>#VALUE!</v>
      </c>
      <c r="AQ1006" s="397" t="e">
        <f t="shared" si="96"/>
        <v>#VALUE!</v>
      </c>
    </row>
    <row r="1007" spans="38:43">
      <c r="AL1007" s="414" t="str">
        <f t="shared" si="91"/>
        <v/>
      </c>
      <c r="AM1007" s="395" t="str">
        <f t="shared" si="92"/>
        <v/>
      </c>
      <c r="AN1007" s="396">
        <f t="shared" si="93"/>
        <v>0</v>
      </c>
      <c r="AO1007" s="109" t="str">
        <f t="shared" si="94"/>
        <v/>
      </c>
      <c r="AP1007" s="109" t="e">
        <f t="shared" si="95"/>
        <v>#VALUE!</v>
      </c>
      <c r="AQ1007" s="397" t="e">
        <f t="shared" si="96"/>
        <v>#VALUE!</v>
      </c>
    </row>
    <row r="1008" spans="38:43">
      <c r="AL1008" s="414" t="str">
        <f t="shared" si="91"/>
        <v/>
      </c>
      <c r="AM1008" s="395" t="str">
        <f t="shared" si="92"/>
        <v/>
      </c>
      <c r="AN1008" s="396">
        <f t="shared" si="93"/>
        <v>0</v>
      </c>
      <c r="AO1008" s="109" t="str">
        <f t="shared" si="94"/>
        <v/>
      </c>
      <c r="AP1008" s="109" t="e">
        <f t="shared" si="95"/>
        <v>#VALUE!</v>
      </c>
      <c r="AQ1008" s="397" t="e">
        <f t="shared" si="96"/>
        <v>#VALUE!</v>
      </c>
    </row>
    <row r="1009" spans="38:43">
      <c r="AL1009" s="414" t="str">
        <f t="shared" si="91"/>
        <v/>
      </c>
      <c r="AM1009" s="395" t="str">
        <f t="shared" si="92"/>
        <v/>
      </c>
      <c r="AN1009" s="396">
        <f t="shared" si="93"/>
        <v>0</v>
      </c>
      <c r="AO1009" s="109" t="str">
        <f t="shared" si="94"/>
        <v/>
      </c>
      <c r="AP1009" s="109" t="e">
        <f t="shared" si="95"/>
        <v>#VALUE!</v>
      </c>
      <c r="AQ1009" s="397" t="e">
        <f t="shared" si="96"/>
        <v>#VALUE!</v>
      </c>
    </row>
    <row r="1010" spans="38:43">
      <c r="AL1010" s="414" t="str">
        <f t="shared" si="91"/>
        <v/>
      </c>
      <c r="AM1010" s="395" t="str">
        <f t="shared" si="92"/>
        <v/>
      </c>
      <c r="AN1010" s="396">
        <f t="shared" si="93"/>
        <v>0</v>
      </c>
      <c r="AO1010" s="109" t="str">
        <f t="shared" si="94"/>
        <v/>
      </c>
      <c r="AP1010" s="109" t="e">
        <f t="shared" si="95"/>
        <v>#VALUE!</v>
      </c>
      <c r="AQ1010" s="397" t="e">
        <f t="shared" si="96"/>
        <v>#VALUE!</v>
      </c>
    </row>
    <row r="1011" spans="38:43">
      <c r="AL1011" s="414" t="str">
        <f t="shared" si="91"/>
        <v/>
      </c>
      <c r="AM1011" s="395" t="str">
        <f t="shared" si="92"/>
        <v/>
      </c>
      <c r="AN1011" s="396">
        <f t="shared" si="93"/>
        <v>0</v>
      </c>
      <c r="AO1011" s="109" t="str">
        <f t="shared" si="94"/>
        <v/>
      </c>
      <c r="AP1011" s="109" t="e">
        <f t="shared" si="95"/>
        <v>#VALUE!</v>
      </c>
      <c r="AQ1011" s="397" t="e">
        <f t="shared" si="96"/>
        <v>#VALUE!</v>
      </c>
    </row>
    <row r="1012" spans="38:43">
      <c r="AL1012" s="414" t="str">
        <f t="shared" si="91"/>
        <v/>
      </c>
      <c r="AM1012" s="395" t="str">
        <f t="shared" si="92"/>
        <v/>
      </c>
      <c r="AN1012" s="396">
        <f t="shared" si="93"/>
        <v>0</v>
      </c>
      <c r="AO1012" s="109" t="str">
        <f t="shared" si="94"/>
        <v/>
      </c>
      <c r="AP1012" s="109" t="e">
        <f t="shared" si="95"/>
        <v>#VALUE!</v>
      </c>
      <c r="AQ1012" s="397" t="e">
        <f t="shared" si="96"/>
        <v>#VALUE!</v>
      </c>
    </row>
    <row r="1013" spans="38:43">
      <c r="AL1013" s="414" t="str">
        <f t="shared" si="91"/>
        <v/>
      </c>
      <c r="AM1013" s="395" t="str">
        <f t="shared" si="92"/>
        <v/>
      </c>
      <c r="AN1013" s="396">
        <f t="shared" si="93"/>
        <v>0</v>
      </c>
      <c r="AO1013" s="109" t="str">
        <f t="shared" si="94"/>
        <v/>
      </c>
      <c r="AP1013" s="109" t="e">
        <f t="shared" si="95"/>
        <v>#VALUE!</v>
      </c>
      <c r="AQ1013" s="397" t="e">
        <f t="shared" si="96"/>
        <v>#VALUE!</v>
      </c>
    </row>
    <row r="1014" spans="38:43">
      <c r="AL1014" s="414" t="str">
        <f t="shared" si="91"/>
        <v/>
      </c>
      <c r="AM1014" s="395" t="str">
        <f t="shared" si="92"/>
        <v/>
      </c>
      <c r="AN1014" s="396">
        <f t="shared" si="93"/>
        <v>0</v>
      </c>
      <c r="AO1014" s="109" t="str">
        <f t="shared" si="94"/>
        <v/>
      </c>
      <c r="AP1014" s="109" t="e">
        <f t="shared" si="95"/>
        <v>#VALUE!</v>
      </c>
      <c r="AQ1014" s="397" t="e">
        <f t="shared" si="96"/>
        <v>#VALUE!</v>
      </c>
    </row>
    <row r="1015" spans="38:43">
      <c r="AL1015" s="414" t="str">
        <f t="shared" si="91"/>
        <v/>
      </c>
      <c r="AM1015" s="395" t="str">
        <f t="shared" si="92"/>
        <v/>
      </c>
      <c r="AN1015" s="396">
        <f t="shared" si="93"/>
        <v>0</v>
      </c>
      <c r="AO1015" s="109" t="str">
        <f t="shared" si="94"/>
        <v/>
      </c>
      <c r="AP1015" s="109" t="e">
        <f t="shared" si="95"/>
        <v>#VALUE!</v>
      </c>
      <c r="AQ1015" s="397" t="e">
        <f t="shared" si="96"/>
        <v>#VALUE!</v>
      </c>
    </row>
    <row r="1016" spans="38:43">
      <c r="AL1016" s="414" t="str">
        <f t="shared" si="91"/>
        <v/>
      </c>
      <c r="AM1016" s="395" t="str">
        <f t="shared" si="92"/>
        <v/>
      </c>
      <c r="AN1016" s="396">
        <f t="shared" si="93"/>
        <v>0</v>
      </c>
      <c r="AO1016" s="109" t="str">
        <f t="shared" si="94"/>
        <v/>
      </c>
      <c r="AP1016" s="109" t="e">
        <f t="shared" si="95"/>
        <v>#VALUE!</v>
      </c>
      <c r="AQ1016" s="397" t="e">
        <f t="shared" si="96"/>
        <v>#VALUE!</v>
      </c>
    </row>
    <row r="1017" spans="38:43">
      <c r="AL1017" s="414" t="str">
        <f t="shared" si="91"/>
        <v/>
      </c>
      <c r="AM1017" s="395" t="str">
        <f t="shared" si="92"/>
        <v/>
      </c>
      <c r="AN1017" s="396">
        <f t="shared" si="93"/>
        <v>0</v>
      </c>
      <c r="AO1017" s="109" t="str">
        <f t="shared" si="94"/>
        <v/>
      </c>
      <c r="AP1017" s="109" t="e">
        <f t="shared" si="95"/>
        <v>#VALUE!</v>
      </c>
      <c r="AQ1017" s="397" t="e">
        <f t="shared" si="96"/>
        <v>#VALUE!</v>
      </c>
    </row>
    <row r="1018" spans="38:43">
      <c r="AL1018" s="414" t="str">
        <f t="shared" si="91"/>
        <v/>
      </c>
      <c r="AM1018" s="395" t="str">
        <f t="shared" si="92"/>
        <v/>
      </c>
      <c r="AN1018" s="396">
        <f t="shared" si="93"/>
        <v>0</v>
      </c>
      <c r="AO1018" s="109" t="str">
        <f t="shared" si="94"/>
        <v/>
      </c>
      <c r="AP1018" s="109" t="e">
        <f t="shared" si="95"/>
        <v>#VALUE!</v>
      </c>
      <c r="AQ1018" s="397" t="e">
        <f t="shared" si="96"/>
        <v>#VALUE!</v>
      </c>
    </row>
    <row r="1019" spans="38:43">
      <c r="AL1019" s="414" t="str">
        <f t="shared" si="91"/>
        <v/>
      </c>
      <c r="AM1019" s="395" t="str">
        <f t="shared" si="92"/>
        <v/>
      </c>
      <c r="AN1019" s="396">
        <f t="shared" si="93"/>
        <v>0</v>
      </c>
      <c r="AO1019" s="109" t="str">
        <f t="shared" si="94"/>
        <v/>
      </c>
      <c r="AP1019" s="109" t="e">
        <f t="shared" si="95"/>
        <v>#VALUE!</v>
      </c>
      <c r="AQ1019" s="397" t="e">
        <f t="shared" si="96"/>
        <v>#VALUE!</v>
      </c>
    </row>
    <row r="1020" spans="38:43">
      <c r="AL1020" s="414" t="str">
        <f t="shared" si="91"/>
        <v/>
      </c>
      <c r="AM1020" s="395" t="str">
        <f t="shared" si="92"/>
        <v/>
      </c>
      <c r="AN1020" s="396">
        <f t="shared" si="93"/>
        <v>0</v>
      </c>
      <c r="AO1020" s="109" t="str">
        <f t="shared" si="94"/>
        <v/>
      </c>
      <c r="AP1020" s="109" t="e">
        <f t="shared" si="95"/>
        <v>#VALUE!</v>
      </c>
      <c r="AQ1020" s="397" t="e">
        <f t="shared" si="96"/>
        <v>#VALUE!</v>
      </c>
    </row>
    <row r="1021" spans="38:43">
      <c r="AL1021" s="414" t="str">
        <f t="shared" si="91"/>
        <v/>
      </c>
      <c r="AM1021" s="395" t="str">
        <f t="shared" si="92"/>
        <v/>
      </c>
      <c r="AN1021" s="396">
        <f t="shared" si="93"/>
        <v>0</v>
      </c>
      <c r="AO1021" s="109" t="str">
        <f t="shared" si="94"/>
        <v/>
      </c>
      <c r="AP1021" s="109" t="e">
        <f t="shared" si="95"/>
        <v>#VALUE!</v>
      </c>
      <c r="AQ1021" s="397" t="e">
        <f t="shared" si="96"/>
        <v>#VALUE!</v>
      </c>
    </row>
    <row r="1022" spans="38:43">
      <c r="AL1022" s="414" t="str">
        <f t="shared" si="91"/>
        <v/>
      </c>
      <c r="AM1022" s="395" t="str">
        <f t="shared" si="92"/>
        <v/>
      </c>
      <c r="AN1022" s="396">
        <f t="shared" si="93"/>
        <v>0</v>
      </c>
      <c r="AO1022" s="109" t="str">
        <f t="shared" si="94"/>
        <v/>
      </c>
      <c r="AP1022" s="109" t="e">
        <f t="shared" si="95"/>
        <v>#VALUE!</v>
      </c>
      <c r="AQ1022" s="397" t="e">
        <f t="shared" si="96"/>
        <v>#VALUE!</v>
      </c>
    </row>
    <row r="1023" spans="38:43">
      <c r="AL1023" s="414" t="str">
        <f t="shared" si="91"/>
        <v/>
      </c>
      <c r="AM1023" s="395" t="str">
        <f t="shared" si="92"/>
        <v/>
      </c>
      <c r="AN1023" s="396">
        <f t="shared" si="93"/>
        <v>0</v>
      </c>
      <c r="AO1023" s="109" t="str">
        <f t="shared" si="94"/>
        <v/>
      </c>
      <c r="AP1023" s="109" t="e">
        <f t="shared" si="95"/>
        <v>#VALUE!</v>
      </c>
      <c r="AQ1023" s="397" t="e">
        <f t="shared" si="96"/>
        <v>#VALUE!</v>
      </c>
    </row>
    <row r="1024" spans="38:43">
      <c r="AL1024" s="414" t="str">
        <f t="shared" si="91"/>
        <v/>
      </c>
      <c r="AM1024" s="395" t="str">
        <f t="shared" si="92"/>
        <v/>
      </c>
      <c r="AN1024" s="396">
        <f t="shared" si="93"/>
        <v>0</v>
      </c>
      <c r="AO1024" s="109" t="str">
        <f t="shared" si="94"/>
        <v/>
      </c>
      <c r="AP1024" s="109" t="e">
        <f t="shared" si="95"/>
        <v>#VALUE!</v>
      </c>
      <c r="AQ1024" s="397" t="e">
        <f t="shared" si="96"/>
        <v>#VALUE!</v>
      </c>
    </row>
    <row r="1025" spans="38:43">
      <c r="AL1025" s="414" t="str">
        <f t="shared" si="91"/>
        <v/>
      </c>
      <c r="AM1025" s="395" t="str">
        <f t="shared" si="92"/>
        <v/>
      </c>
      <c r="AN1025" s="396">
        <f t="shared" si="93"/>
        <v>0</v>
      </c>
      <c r="AO1025" s="109" t="str">
        <f t="shared" si="94"/>
        <v/>
      </c>
      <c r="AP1025" s="109" t="e">
        <f t="shared" si="95"/>
        <v>#VALUE!</v>
      </c>
      <c r="AQ1025" s="397" t="e">
        <f t="shared" si="96"/>
        <v>#VALUE!</v>
      </c>
    </row>
    <row r="1026" spans="38:43">
      <c r="AL1026" s="414" t="str">
        <f t="shared" si="91"/>
        <v/>
      </c>
      <c r="AM1026" s="395" t="str">
        <f t="shared" si="92"/>
        <v/>
      </c>
      <c r="AN1026" s="396">
        <f t="shared" si="93"/>
        <v>0</v>
      </c>
      <c r="AO1026" s="109" t="str">
        <f t="shared" si="94"/>
        <v/>
      </c>
      <c r="AP1026" s="109" t="e">
        <f t="shared" si="95"/>
        <v>#VALUE!</v>
      </c>
      <c r="AQ1026" s="397" t="e">
        <f t="shared" si="96"/>
        <v>#VALUE!</v>
      </c>
    </row>
    <row r="1027" spans="38:43">
      <c r="AL1027" s="414" t="str">
        <f t="shared" ref="AL1027:AL1090" si="97">SUBSTITUTE(SUBSTITUTE(H1027,"[워커힐]워커힐 고메 시그니처 양념 본갈비 8팩","워커힐 시그니처 양념 본갈비 300g, 8개"),"[워커힐]워커힐 시그니처 양념 본갈비 4팩","워커힐 시그니처 양념 본갈비 300g, 4개")</f>
        <v/>
      </c>
      <c r="AM1027" s="395" t="str">
        <f t="shared" ref="AM1027:AM1090" si="98">IF(N1027="배송완료", DATE(LEFT(M1027,4), MID(M1027,6,2), MID(M1027,9,2)), "")</f>
        <v/>
      </c>
      <c r="AN1027" s="396">
        <f t="shared" ref="AN1027:AN1090" si="99">IF(OR(N1027="배송완료", Q1027&lt;0), Q1027, 0)</f>
        <v>0</v>
      </c>
      <c r="AO1027" s="109" t="str">
        <f t="shared" ref="AO1027:AO1090" si="100">IF(AL1027="워커힐 시그니처 양념 본갈비 300g, 8개",119000,IF(AL1027="워커힐 시그니처 양념 본갈비 300g, 4개",78000,""))</f>
        <v/>
      </c>
      <c r="AP1027" s="109" t="e">
        <f t="shared" ref="AP1027:AP1090" si="101">AO1027/1.1</f>
        <v>#VALUE!</v>
      </c>
      <c r="AQ1027" s="397" t="e">
        <f t="shared" si="96"/>
        <v>#VALUE!</v>
      </c>
    </row>
    <row r="1028" spans="38:43">
      <c r="AL1028" s="414" t="str">
        <f t="shared" si="97"/>
        <v/>
      </c>
      <c r="AM1028" s="395" t="str">
        <f t="shared" si="98"/>
        <v/>
      </c>
      <c r="AN1028" s="396">
        <f t="shared" si="99"/>
        <v>0</v>
      </c>
      <c r="AO1028" s="109" t="str">
        <f t="shared" si="100"/>
        <v/>
      </c>
      <c r="AP1028" s="109" t="e">
        <f t="shared" si="101"/>
        <v>#VALUE!</v>
      </c>
      <c r="AQ1028" s="397" t="e">
        <f t="shared" si="96"/>
        <v>#VALUE!</v>
      </c>
    </row>
    <row r="1029" spans="38:43">
      <c r="AL1029" s="414" t="str">
        <f t="shared" si="97"/>
        <v/>
      </c>
      <c r="AM1029" s="395" t="str">
        <f t="shared" si="98"/>
        <v/>
      </c>
      <c r="AN1029" s="396">
        <f t="shared" si="99"/>
        <v>0</v>
      </c>
      <c r="AO1029" s="109" t="str">
        <f t="shared" si="100"/>
        <v/>
      </c>
      <c r="AP1029" s="109" t="e">
        <f t="shared" si="101"/>
        <v>#VALUE!</v>
      </c>
      <c r="AQ1029" s="397" t="e">
        <f t="shared" si="96"/>
        <v>#VALUE!</v>
      </c>
    </row>
    <row r="1030" spans="38:43">
      <c r="AL1030" s="414" t="str">
        <f t="shared" si="97"/>
        <v/>
      </c>
      <c r="AM1030" s="395" t="str">
        <f t="shared" si="98"/>
        <v/>
      </c>
      <c r="AN1030" s="396">
        <f t="shared" si="99"/>
        <v>0</v>
      </c>
      <c r="AO1030" s="109" t="str">
        <f t="shared" si="100"/>
        <v/>
      </c>
      <c r="AP1030" s="109" t="e">
        <f t="shared" si="101"/>
        <v>#VALUE!</v>
      </c>
      <c r="AQ1030" s="397" t="e">
        <f t="shared" si="96"/>
        <v>#VALUE!</v>
      </c>
    </row>
    <row r="1031" spans="38:43">
      <c r="AL1031" s="414" t="str">
        <f t="shared" si="97"/>
        <v/>
      </c>
      <c r="AM1031" s="395" t="str">
        <f t="shared" si="98"/>
        <v/>
      </c>
      <c r="AN1031" s="396">
        <f t="shared" si="99"/>
        <v>0</v>
      </c>
      <c r="AO1031" s="109" t="str">
        <f t="shared" si="100"/>
        <v/>
      </c>
      <c r="AP1031" s="109" t="e">
        <f t="shared" si="101"/>
        <v>#VALUE!</v>
      </c>
      <c r="AQ1031" s="397" t="e">
        <f t="shared" si="96"/>
        <v>#VALUE!</v>
      </c>
    </row>
    <row r="1032" spans="38:43">
      <c r="AL1032" s="414" t="str">
        <f t="shared" si="97"/>
        <v/>
      </c>
      <c r="AM1032" s="395" t="str">
        <f t="shared" si="98"/>
        <v/>
      </c>
      <c r="AN1032" s="396">
        <f t="shared" si="99"/>
        <v>0</v>
      </c>
      <c r="AO1032" s="109" t="str">
        <f t="shared" si="100"/>
        <v/>
      </c>
      <c r="AP1032" s="109" t="e">
        <f t="shared" si="101"/>
        <v>#VALUE!</v>
      </c>
      <c r="AQ1032" s="397" t="e">
        <f t="shared" si="96"/>
        <v>#VALUE!</v>
      </c>
    </row>
    <row r="1033" spans="38:43">
      <c r="AL1033" s="414" t="str">
        <f t="shared" si="97"/>
        <v/>
      </c>
      <c r="AM1033" s="395" t="str">
        <f t="shared" si="98"/>
        <v/>
      </c>
      <c r="AN1033" s="396">
        <f t="shared" si="99"/>
        <v>0</v>
      </c>
      <c r="AO1033" s="109" t="str">
        <f t="shared" si="100"/>
        <v/>
      </c>
      <c r="AP1033" s="109" t="e">
        <f t="shared" si="101"/>
        <v>#VALUE!</v>
      </c>
      <c r="AQ1033" s="397" t="e">
        <f t="shared" si="96"/>
        <v>#VALUE!</v>
      </c>
    </row>
    <row r="1034" spans="38:43">
      <c r="AL1034" s="414" t="str">
        <f t="shared" si="97"/>
        <v/>
      </c>
      <c r="AM1034" s="395" t="str">
        <f t="shared" si="98"/>
        <v/>
      </c>
      <c r="AN1034" s="396">
        <f t="shared" si="99"/>
        <v>0</v>
      </c>
      <c r="AO1034" s="109" t="str">
        <f t="shared" si="100"/>
        <v/>
      </c>
      <c r="AP1034" s="109" t="e">
        <f t="shared" si="101"/>
        <v>#VALUE!</v>
      </c>
      <c r="AQ1034" s="397" t="e">
        <f t="shared" si="96"/>
        <v>#VALUE!</v>
      </c>
    </row>
    <row r="1035" spans="38:43">
      <c r="AL1035" s="414" t="str">
        <f t="shared" si="97"/>
        <v/>
      </c>
      <c r="AM1035" s="395" t="str">
        <f t="shared" si="98"/>
        <v/>
      </c>
      <c r="AN1035" s="396">
        <f t="shared" si="99"/>
        <v>0</v>
      </c>
      <c r="AO1035" s="109" t="str">
        <f t="shared" si="100"/>
        <v/>
      </c>
      <c r="AP1035" s="109" t="e">
        <f t="shared" si="101"/>
        <v>#VALUE!</v>
      </c>
      <c r="AQ1035" s="397" t="e">
        <f t="shared" si="96"/>
        <v>#VALUE!</v>
      </c>
    </row>
    <row r="1036" spans="38:43">
      <c r="AL1036" s="414" t="str">
        <f t="shared" si="97"/>
        <v/>
      </c>
      <c r="AM1036" s="395" t="str">
        <f t="shared" si="98"/>
        <v/>
      </c>
      <c r="AN1036" s="396">
        <f t="shared" si="99"/>
        <v>0</v>
      </c>
      <c r="AO1036" s="109" t="str">
        <f t="shared" si="100"/>
        <v/>
      </c>
      <c r="AP1036" s="109" t="e">
        <f t="shared" si="101"/>
        <v>#VALUE!</v>
      </c>
      <c r="AQ1036" s="397" t="e">
        <f t="shared" si="96"/>
        <v>#VALUE!</v>
      </c>
    </row>
    <row r="1037" spans="38:43">
      <c r="AL1037" s="414" t="str">
        <f t="shared" si="97"/>
        <v/>
      </c>
      <c r="AM1037" s="395" t="str">
        <f t="shared" si="98"/>
        <v/>
      </c>
      <c r="AN1037" s="396">
        <f t="shared" si="99"/>
        <v>0</v>
      </c>
      <c r="AO1037" s="109" t="str">
        <f t="shared" si="100"/>
        <v/>
      </c>
      <c r="AP1037" s="109" t="e">
        <f t="shared" si="101"/>
        <v>#VALUE!</v>
      </c>
      <c r="AQ1037" s="397" t="e">
        <f t="shared" si="96"/>
        <v>#VALUE!</v>
      </c>
    </row>
    <row r="1038" spans="38:43">
      <c r="AL1038" s="414" t="str">
        <f t="shared" si="97"/>
        <v/>
      </c>
      <c r="AM1038" s="395" t="str">
        <f t="shared" si="98"/>
        <v/>
      </c>
      <c r="AN1038" s="396">
        <f t="shared" si="99"/>
        <v>0</v>
      </c>
      <c r="AO1038" s="109" t="str">
        <f t="shared" si="100"/>
        <v/>
      </c>
      <c r="AP1038" s="109" t="e">
        <f t="shared" si="101"/>
        <v>#VALUE!</v>
      </c>
      <c r="AQ1038" s="397" t="e">
        <f t="shared" si="96"/>
        <v>#VALUE!</v>
      </c>
    </row>
    <row r="1039" spans="38:43">
      <c r="AL1039" s="414" t="str">
        <f t="shared" si="97"/>
        <v/>
      </c>
      <c r="AM1039" s="395" t="str">
        <f t="shared" si="98"/>
        <v/>
      </c>
      <c r="AN1039" s="396">
        <f t="shared" si="99"/>
        <v>0</v>
      </c>
      <c r="AO1039" s="109" t="str">
        <f t="shared" si="100"/>
        <v/>
      </c>
      <c r="AP1039" s="109" t="e">
        <f t="shared" si="101"/>
        <v>#VALUE!</v>
      </c>
      <c r="AQ1039" s="397" t="e">
        <f t="shared" si="96"/>
        <v>#VALUE!</v>
      </c>
    </row>
    <row r="1040" spans="38:43">
      <c r="AL1040" s="414" t="str">
        <f t="shared" si="97"/>
        <v/>
      </c>
      <c r="AM1040" s="395" t="str">
        <f t="shared" si="98"/>
        <v/>
      </c>
      <c r="AN1040" s="396">
        <f t="shared" si="99"/>
        <v>0</v>
      </c>
      <c r="AO1040" s="109" t="str">
        <f t="shared" si="100"/>
        <v/>
      </c>
      <c r="AP1040" s="109" t="e">
        <f t="shared" si="101"/>
        <v>#VALUE!</v>
      </c>
      <c r="AQ1040" s="397" t="e">
        <f t="shared" si="96"/>
        <v>#VALUE!</v>
      </c>
    </row>
    <row r="1041" spans="38:43">
      <c r="AL1041" s="414" t="str">
        <f t="shared" si="97"/>
        <v/>
      </c>
      <c r="AM1041" s="395" t="str">
        <f t="shared" si="98"/>
        <v/>
      </c>
      <c r="AN1041" s="396">
        <f t="shared" si="99"/>
        <v>0</v>
      </c>
      <c r="AO1041" s="109" t="str">
        <f t="shared" si="100"/>
        <v/>
      </c>
      <c r="AP1041" s="109" t="e">
        <f t="shared" si="101"/>
        <v>#VALUE!</v>
      </c>
      <c r="AQ1041" s="397" t="e">
        <f t="shared" si="96"/>
        <v>#VALUE!</v>
      </c>
    </row>
    <row r="1042" spans="38:43">
      <c r="AL1042" s="414" t="str">
        <f t="shared" si="97"/>
        <v/>
      </c>
      <c r="AM1042" s="395" t="str">
        <f t="shared" si="98"/>
        <v/>
      </c>
      <c r="AN1042" s="396">
        <f t="shared" si="99"/>
        <v>0</v>
      </c>
      <c r="AO1042" s="109" t="str">
        <f t="shared" si="100"/>
        <v/>
      </c>
      <c r="AP1042" s="109" t="e">
        <f t="shared" si="101"/>
        <v>#VALUE!</v>
      </c>
      <c r="AQ1042" s="397" t="e">
        <f t="shared" si="96"/>
        <v>#VALUE!</v>
      </c>
    </row>
    <row r="1043" spans="38:43">
      <c r="AL1043" s="414" t="str">
        <f t="shared" si="97"/>
        <v/>
      </c>
      <c r="AM1043" s="395" t="str">
        <f t="shared" si="98"/>
        <v/>
      </c>
      <c r="AN1043" s="396">
        <f t="shared" si="99"/>
        <v>0</v>
      </c>
      <c r="AO1043" s="109" t="str">
        <f t="shared" si="100"/>
        <v/>
      </c>
      <c r="AP1043" s="109" t="e">
        <f t="shared" si="101"/>
        <v>#VALUE!</v>
      </c>
      <c r="AQ1043" s="397" t="e">
        <f t="shared" si="96"/>
        <v>#VALUE!</v>
      </c>
    </row>
    <row r="1044" spans="38:43">
      <c r="AL1044" s="414" t="str">
        <f t="shared" si="97"/>
        <v/>
      </c>
      <c r="AM1044" s="395" t="str">
        <f t="shared" si="98"/>
        <v/>
      </c>
      <c r="AN1044" s="396">
        <f t="shared" si="99"/>
        <v>0</v>
      </c>
      <c r="AO1044" s="109" t="str">
        <f t="shared" si="100"/>
        <v/>
      </c>
      <c r="AP1044" s="109" t="e">
        <f t="shared" si="101"/>
        <v>#VALUE!</v>
      </c>
      <c r="AQ1044" s="397" t="e">
        <f t="shared" si="96"/>
        <v>#VALUE!</v>
      </c>
    </row>
    <row r="1045" spans="38:43">
      <c r="AL1045" s="414" t="str">
        <f t="shared" si="97"/>
        <v/>
      </c>
      <c r="AM1045" s="395" t="str">
        <f t="shared" si="98"/>
        <v/>
      </c>
      <c r="AN1045" s="396">
        <f t="shared" si="99"/>
        <v>0</v>
      </c>
      <c r="AO1045" s="109" t="str">
        <f t="shared" si="100"/>
        <v/>
      </c>
      <c r="AP1045" s="109" t="e">
        <f t="shared" si="101"/>
        <v>#VALUE!</v>
      </c>
      <c r="AQ1045" s="397" t="e">
        <f t="shared" si="96"/>
        <v>#VALUE!</v>
      </c>
    </row>
    <row r="1046" spans="38:43">
      <c r="AL1046" s="414" t="str">
        <f t="shared" si="97"/>
        <v/>
      </c>
      <c r="AM1046" s="395" t="str">
        <f t="shared" si="98"/>
        <v/>
      </c>
      <c r="AN1046" s="396">
        <f t="shared" si="99"/>
        <v>0</v>
      </c>
      <c r="AO1046" s="109" t="str">
        <f t="shared" si="100"/>
        <v/>
      </c>
      <c r="AP1046" s="109" t="e">
        <f t="shared" si="101"/>
        <v>#VALUE!</v>
      </c>
      <c r="AQ1046" s="397" t="e">
        <f t="shared" si="96"/>
        <v>#VALUE!</v>
      </c>
    </row>
    <row r="1047" spans="38:43">
      <c r="AL1047" s="414" t="str">
        <f t="shared" si="97"/>
        <v/>
      </c>
      <c r="AM1047" s="395" t="str">
        <f t="shared" si="98"/>
        <v/>
      </c>
      <c r="AN1047" s="396">
        <f t="shared" si="99"/>
        <v>0</v>
      </c>
      <c r="AO1047" s="109" t="str">
        <f t="shared" si="100"/>
        <v/>
      </c>
      <c r="AP1047" s="109" t="e">
        <f t="shared" si="101"/>
        <v>#VALUE!</v>
      </c>
      <c r="AQ1047" s="397" t="e">
        <f t="shared" si="96"/>
        <v>#VALUE!</v>
      </c>
    </row>
    <row r="1048" spans="38:43">
      <c r="AL1048" s="414" t="str">
        <f t="shared" si="97"/>
        <v/>
      </c>
      <c r="AM1048" s="395" t="str">
        <f t="shared" si="98"/>
        <v/>
      </c>
      <c r="AN1048" s="396">
        <f t="shared" si="99"/>
        <v>0</v>
      </c>
      <c r="AO1048" s="109" t="str">
        <f t="shared" si="100"/>
        <v/>
      </c>
      <c r="AP1048" s="109" t="e">
        <f t="shared" si="101"/>
        <v>#VALUE!</v>
      </c>
      <c r="AQ1048" s="397" t="e">
        <f t="shared" si="96"/>
        <v>#VALUE!</v>
      </c>
    </row>
    <row r="1049" spans="38:43">
      <c r="AL1049" s="414" t="str">
        <f t="shared" si="97"/>
        <v/>
      </c>
      <c r="AM1049" s="395" t="str">
        <f t="shared" si="98"/>
        <v/>
      </c>
      <c r="AN1049" s="396">
        <f t="shared" si="99"/>
        <v>0</v>
      </c>
      <c r="AO1049" s="109" t="str">
        <f t="shared" si="100"/>
        <v/>
      </c>
      <c r="AP1049" s="109" t="e">
        <f t="shared" si="101"/>
        <v>#VALUE!</v>
      </c>
      <c r="AQ1049" s="397" t="e">
        <f t="shared" si="96"/>
        <v>#VALUE!</v>
      </c>
    </row>
    <row r="1050" spans="38:43">
      <c r="AL1050" s="414" t="str">
        <f t="shared" si="97"/>
        <v/>
      </c>
      <c r="AM1050" s="395" t="str">
        <f t="shared" si="98"/>
        <v/>
      </c>
      <c r="AN1050" s="396">
        <f t="shared" si="99"/>
        <v>0</v>
      </c>
      <c r="AO1050" s="109" t="str">
        <f t="shared" si="100"/>
        <v/>
      </c>
      <c r="AP1050" s="109" t="e">
        <f t="shared" si="101"/>
        <v>#VALUE!</v>
      </c>
      <c r="AQ1050" s="397" t="e">
        <f t="shared" si="96"/>
        <v>#VALUE!</v>
      </c>
    </row>
    <row r="1051" spans="38:43">
      <c r="AL1051" s="414" t="str">
        <f t="shared" si="97"/>
        <v/>
      </c>
      <c r="AM1051" s="395" t="str">
        <f t="shared" si="98"/>
        <v/>
      </c>
      <c r="AN1051" s="396">
        <f t="shared" si="99"/>
        <v>0</v>
      </c>
      <c r="AO1051" s="109" t="str">
        <f t="shared" si="100"/>
        <v/>
      </c>
      <c r="AP1051" s="109" t="e">
        <f t="shared" si="101"/>
        <v>#VALUE!</v>
      </c>
      <c r="AQ1051" s="397" t="e">
        <f t="shared" si="96"/>
        <v>#VALUE!</v>
      </c>
    </row>
    <row r="1052" spans="38:43">
      <c r="AL1052" s="414" t="str">
        <f t="shared" si="97"/>
        <v/>
      </c>
      <c r="AM1052" s="395" t="str">
        <f t="shared" si="98"/>
        <v/>
      </c>
      <c r="AN1052" s="396">
        <f t="shared" si="99"/>
        <v>0</v>
      </c>
      <c r="AO1052" s="109" t="str">
        <f t="shared" si="100"/>
        <v/>
      </c>
      <c r="AP1052" s="109" t="e">
        <f t="shared" si="101"/>
        <v>#VALUE!</v>
      </c>
      <c r="AQ1052" s="397" t="e">
        <f t="shared" si="96"/>
        <v>#VALUE!</v>
      </c>
    </row>
    <row r="1053" spans="38:43">
      <c r="AL1053" s="414" t="str">
        <f t="shared" si="97"/>
        <v/>
      </c>
      <c r="AM1053" s="395" t="str">
        <f t="shared" si="98"/>
        <v/>
      </c>
      <c r="AN1053" s="396">
        <f t="shared" si="99"/>
        <v>0</v>
      </c>
      <c r="AO1053" s="109" t="str">
        <f t="shared" si="100"/>
        <v/>
      </c>
      <c r="AP1053" s="109" t="e">
        <f t="shared" si="101"/>
        <v>#VALUE!</v>
      </c>
      <c r="AQ1053" s="397" t="e">
        <f t="shared" ref="AQ1053:AQ1116" si="102">AN1053*AP1053</f>
        <v>#VALUE!</v>
      </c>
    </row>
    <row r="1054" spans="38:43">
      <c r="AL1054" s="414" t="str">
        <f t="shared" si="97"/>
        <v/>
      </c>
      <c r="AM1054" s="395" t="str">
        <f t="shared" si="98"/>
        <v/>
      </c>
      <c r="AN1054" s="396">
        <f t="shared" si="99"/>
        <v>0</v>
      </c>
      <c r="AO1054" s="109" t="str">
        <f t="shared" si="100"/>
        <v/>
      </c>
      <c r="AP1054" s="109" t="e">
        <f t="shared" si="101"/>
        <v>#VALUE!</v>
      </c>
      <c r="AQ1054" s="397" t="e">
        <f t="shared" si="102"/>
        <v>#VALUE!</v>
      </c>
    </row>
    <row r="1055" spans="38:43">
      <c r="AL1055" s="414" t="str">
        <f t="shared" si="97"/>
        <v/>
      </c>
      <c r="AM1055" s="395" t="str">
        <f t="shared" si="98"/>
        <v/>
      </c>
      <c r="AN1055" s="396">
        <f t="shared" si="99"/>
        <v>0</v>
      </c>
      <c r="AO1055" s="109" t="str">
        <f t="shared" si="100"/>
        <v/>
      </c>
      <c r="AP1055" s="109" t="e">
        <f t="shared" si="101"/>
        <v>#VALUE!</v>
      </c>
      <c r="AQ1055" s="397" t="e">
        <f t="shared" si="102"/>
        <v>#VALUE!</v>
      </c>
    </row>
    <row r="1056" spans="38:43">
      <c r="AL1056" s="414" t="str">
        <f t="shared" si="97"/>
        <v/>
      </c>
      <c r="AM1056" s="395" t="str">
        <f t="shared" si="98"/>
        <v/>
      </c>
      <c r="AN1056" s="396">
        <f t="shared" si="99"/>
        <v>0</v>
      </c>
      <c r="AO1056" s="109" t="str">
        <f t="shared" si="100"/>
        <v/>
      </c>
      <c r="AP1056" s="109" t="e">
        <f t="shared" si="101"/>
        <v>#VALUE!</v>
      </c>
      <c r="AQ1056" s="397" t="e">
        <f t="shared" si="102"/>
        <v>#VALUE!</v>
      </c>
    </row>
    <row r="1057" spans="38:43">
      <c r="AL1057" s="414" t="str">
        <f t="shared" si="97"/>
        <v/>
      </c>
      <c r="AM1057" s="395" t="str">
        <f t="shared" si="98"/>
        <v/>
      </c>
      <c r="AN1057" s="396">
        <f t="shared" si="99"/>
        <v>0</v>
      </c>
      <c r="AO1057" s="109" t="str">
        <f t="shared" si="100"/>
        <v/>
      </c>
      <c r="AP1057" s="109" t="e">
        <f t="shared" si="101"/>
        <v>#VALUE!</v>
      </c>
      <c r="AQ1057" s="397" t="e">
        <f t="shared" si="102"/>
        <v>#VALUE!</v>
      </c>
    </row>
    <row r="1058" spans="38:43">
      <c r="AL1058" s="414" t="str">
        <f t="shared" si="97"/>
        <v/>
      </c>
      <c r="AM1058" s="395" t="str">
        <f t="shared" si="98"/>
        <v/>
      </c>
      <c r="AN1058" s="396">
        <f t="shared" si="99"/>
        <v>0</v>
      </c>
      <c r="AO1058" s="109" t="str">
        <f t="shared" si="100"/>
        <v/>
      </c>
      <c r="AP1058" s="109" t="e">
        <f t="shared" si="101"/>
        <v>#VALUE!</v>
      </c>
      <c r="AQ1058" s="397" t="e">
        <f t="shared" si="102"/>
        <v>#VALUE!</v>
      </c>
    </row>
    <row r="1059" spans="38:43">
      <c r="AL1059" s="414" t="str">
        <f t="shared" si="97"/>
        <v/>
      </c>
      <c r="AM1059" s="395" t="str">
        <f t="shared" si="98"/>
        <v/>
      </c>
      <c r="AN1059" s="396">
        <f t="shared" si="99"/>
        <v>0</v>
      </c>
      <c r="AO1059" s="109" t="str">
        <f t="shared" si="100"/>
        <v/>
      </c>
      <c r="AP1059" s="109" t="e">
        <f t="shared" si="101"/>
        <v>#VALUE!</v>
      </c>
      <c r="AQ1059" s="397" t="e">
        <f t="shared" si="102"/>
        <v>#VALUE!</v>
      </c>
    </row>
    <row r="1060" spans="38:43">
      <c r="AL1060" s="414" t="str">
        <f t="shared" si="97"/>
        <v/>
      </c>
      <c r="AM1060" s="395" t="str">
        <f t="shared" si="98"/>
        <v/>
      </c>
      <c r="AN1060" s="396">
        <f t="shared" si="99"/>
        <v>0</v>
      </c>
      <c r="AO1060" s="109" t="str">
        <f t="shared" si="100"/>
        <v/>
      </c>
      <c r="AP1060" s="109" t="e">
        <f t="shared" si="101"/>
        <v>#VALUE!</v>
      </c>
      <c r="AQ1060" s="397" t="e">
        <f t="shared" si="102"/>
        <v>#VALUE!</v>
      </c>
    </row>
    <row r="1061" spans="38:43">
      <c r="AL1061" s="414" t="str">
        <f t="shared" si="97"/>
        <v/>
      </c>
      <c r="AM1061" s="395" t="str">
        <f t="shared" si="98"/>
        <v/>
      </c>
      <c r="AN1061" s="396">
        <f t="shared" si="99"/>
        <v>0</v>
      </c>
      <c r="AO1061" s="109" t="str">
        <f t="shared" si="100"/>
        <v/>
      </c>
      <c r="AP1061" s="109" t="e">
        <f t="shared" si="101"/>
        <v>#VALUE!</v>
      </c>
      <c r="AQ1061" s="397" t="e">
        <f t="shared" si="102"/>
        <v>#VALUE!</v>
      </c>
    </row>
    <row r="1062" spans="38:43">
      <c r="AL1062" s="414" t="str">
        <f t="shared" si="97"/>
        <v/>
      </c>
      <c r="AM1062" s="395" t="str">
        <f t="shared" si="98"/>
        <v/>
      </c>
      <c r="AN1062" s="396">
        <f t="shared" si="99"/>
        <v>0</v>
      </c>
      <c r="AO1062" s="109" t="str">
        <f t="shared" si="100"/>
        <v/>
      </c>
      <c r="AP1062" s="109" t="e">
        <f t="shared" si="101"/>
        <v>#VALUE!</v>
      </c>
      <c r="AQ1062" s="397" t="e">
        <f t="shared" si="102"/>
        <v>#VALUE!</v>
      </c>
    </row>
    <row r="1063" spans="38:43">
      <c r="AL1063" s="414" t="str">
        <f t="shared" si="97"/>
        <v/>
      </c>
      <c r="AM1063" s="395" t="str">
        <f t="shared" si="98"/>
        <v/>
      </c>
      <c r="AN1063" s="396">
        <f t="shared" si="99"/>
        <v>0</v>
      </c>
      <c r="AO1063" s="109" t="str">
        <f t="shared" si="100"/>
        <v/>
      </c>
      <c r="AP1063" s="109" t="e">
        <f t="shared" si="101"/>
        <v>#VALUE!</v>
      </c>
      <c r="AQ1063" s="397" t="e">
        <f t="shared" si="102"/>
        <v>#VALUE!</v>
      </c>
    </row>
    <row r="1064" spans="38:43">
      <c r="AL1064" s="414" t="str">
        <f t="shared" si="97"/>
        <v/>
      </c>
      <c r="AM1064" s="395" t="str">
        <f t="shared" si="98"/>
        <v/>
      </c>
      <c r="AN1064" s="396">
        <f t="shared" si="99"/>
        <v>0</v>
      </c>
      <c r="AO1064" s="109" t="str">
        <f t="shared" si="100"/>
        <v/>
      </c>
      <c r="AP1064" s="109" t="e">
        <f t="shared" si="101"/>
        <v>#VALUE!</v>
      </c>
      <c r="AQ1064" s="397" t="e">
        <f t="shared" si="102"/>
        <v>#VALUE!</v>
      </c>
    </row>
    <row r="1065" spans="38:43">
      <c r="AL1065" s="414" t="str">
        <f t="shared" si="97"/>
        <v/>
      </c>
      <c r="AM1065" s="395" t="str">
        <f t="shared" si="98"/>
        <v/>
      </c>
      <c r="AN1065" s="396">
        <f t="shared" si="99"/>
        <v>0</v>
      </c>
      <c r="AO1065" s="109" t="str">
        <f t="shared" si="100"/>
        <v/>
      </c>
      <c r="AP1065" s="109" t="e">
        <f t="shared" si="101"/>
        <v>#VALUE!</v>
      </c>
      <c r="AQ1065" s="397" t="e">
        <f t="shared" si="102"/>
        <v>#VALUE!</v>
      </c>
    </row>
    <row r="1066" spans="38:43">
      <c r="AL1066" s="414" t="str">
        <f t="shared" si="97"/>
        <v/>
      </c>
      <c r="AM1066" s="395" t="str">
        <f t="shared" si="98"/>
        <v/>
      </c>
      <c r="AN1066" s="396">
        <f t="shared" si="99"/>
        <v>0</v>
      </c>
      <c r="AO1066" s="109" t="str">
        <f t="shared" si="100"/>
        <v/>
      </c>
      <c r="AP1066" s="109" t="e">
        <f t="shared" si="101"/>
        <v>#VALUE!</v>
      </c>
      <c r="AQ1066" s="397" t="e">
        <f t="shared" si="102"/>
        <v>#VALUE!</v>
      </c>
    </row>
    <row r="1067" spans="38:43">
      <c r="AL1067" s="414" t="str">
        <f t="shared" si="97"/>
        <v/>
      </c>
      <c r="AM1067" s="395" t="str">
        <f t="shared" si="98"/>
        <v/>
      </c>
      <c r="AN1067" s="396">
        <f t="shared" si="99"/>
        <v>0</v>
      </c>
      <c r="AO1067" s="109" t="str">
        <f t="shared" si="100"/>
        <v/>
      </c>
      <c r="AP1067" s="109" t="e">
        <f t="shared" si="101"/>
        <v>#VALUE!</v>
      </c>
      <c r="AQ1067" s="397" t="e">
        <f t="shared" si="102"/>
        <v>#VALUE!</v>
      </c>
    </row>
    <row r="1068" spans="38:43">
      <c r="AL1068" s="414" t="str">
        <f t="shared" si="97"/>
        <v/>
      </c>
      <c r="AM1068" s="395" t="str">
        <f t="shared" si="98"/>
        <v/>
      </c>
      <c r="AN1068" s="396">
        <f t="shared" si="99"/>
        <v>0</v>
      </c>
      <c r="AO1068" s="109" t="str">
        <f t="shared" si="100"/>
        <v/>
      </c>
      <c r="AP1068" s="109" t="e">
        <f t="shared" si="101"/>
        <v>#VALUE!</v>
      </c>
      <c r="AQ1068" s="397" t="e">
        <f t="shared" si="102"/>
        <v>#VALUE!</v>
      </c>
    </row>
    <row r="1069" spans="38:43">
      <c r="AL1069" s="414" t="str">
        <f t="shared" si="97"/>
        <v/>
      </c>
      <c r="AM1069" s="395" t="str">
        <f t="shared" si="98"/>
        <v/>
      </c>
      <c r="AN1069" s="396">
        <f t="shared" si="99"/>
        <v>0</v>
      </c>
      <c r="AO1069" s="109" t="str">
        <f t="shared" si="100"/>
        <v/>
      </c>
      <c r="AP1069" s="109" t="e">
        <f t="shared" si="101"/>
        <v>#VALUE!</v>
      </c>
      <c r="AQ1069" s="397" t="e">
        <f t="shared" si="102"/>
        <v>#VALUE!</v>
      </c>
    </row>
    <row r="1070" spans="38:43">
      <c r="AL1070" s="414" t="str">
        <f t="shared" si="97"/>
        <v/>
      </c>
      <c r="AM1070" s="395" t="str">
        <f t="shared" si="98"/>
        <v/>
      </c>
      <c r="AN1070" s="396">
        <f t="shared" si="99"/>
        <v>0</v>
      </c>
      <c r="AO1070" s="109" t="str">
        <f t="shared" si="100"/>
        <v/>
      </c>
      <c r="AP1070" s="109" t="e">
        <f t="shared" si="101"/>
        <v>#VALUE!</v>
      </c>
      <c r="AQ1070" s="397" t="e">
        <f t="shared" si="102"/>
        <v>#VALUE!</v>
      </c>
    </row>
    <row r="1071" spans="38:43">
      <c r="AL1071" s="414" t="str">
        <f t="shared" si="97"/>
        <v/>
      </c>
      <c r="AM1071" s="395" t="str">
        <f t="shared" si="98"/>
        <v/>
      </c>
      <c r="AN1071" s="396">
        <f t="shared" si="99"/>
        <v>0</v>
      </c>
      <c r="AO1071" s="109" t="str">
        <f t="shared" si="100"/>
        <v/>
      </c>
      <c r="AP1071" s="109" t="e">
        <f t="shared" si="101"/>
        <v>#VALUE!</v>
      </c>
      <c r="AQ1071" s="397" t="e">
        <f t="shared" si="102"/>
        <v>#VALUE!</v>
      </c>
    </row>
    <row r="1072" spans="38:43">
      <c r="AL1072" s="414" t="str">
        <f t="shared" si="97"/>
        <v/>
      </c>
      <c r="AM1072" s="395" t="str">
        <f t="shared" si="98"/>
        <v/>
      </c>
      <c r="AN1072" s="396">
        <f t="shared" si="99"/>
        <v>0</v>
      </c>
      <c r="AO1072" s="109" t="str">
        <f t="shared" si="100"/>
        <v/>
      </c>
      <c r="AP1072" s="109" t="e">
        <f t="shared" si="101"/>
        <v>#VALUE!</v>
      </c>
      <c r="AQ1072" s="397" t="e">
        <f t="shared" si="102"/>
        <v>#VALUE!</v>
      </c>
    </row>
    <row r="1073" spans="38:43">
      <c r="AL1073" s="414" t="str">
        <f t="shared" si="97"/>
        <v/>
      </c>
      <c r="AM1073" s="395" t="str">
        <f t="shared" si="98"/>
        <v/>
      </c>
      <c r="AN1073" s="396">
        <f t="shared" si="99"/>
        <v>0</v>
      </c>
      <c r="AO1073" s="109" t="str">
        <f t="shared" si="100"/>
        <v/>
      </c>
      <c r="AP1073" s="109" t="e">
        <f t="shared" si="101"/>
        <v>#VALUE!</v>
      </c>
      <c r="AQ1073" s="397" t="e">
        <f t="shared" si="102"/>
        <v>#VALUE!</v>
      </c>
    </row>
    <row r="1074" spans="38:43">
      <c r="AL1074" s="414" t="str">
        <f t="shared" si="97"/>
        <v/>
      </c>
      <c r="AM1074" s="395" t="str">
        <f t="shared" si="98"/>
        <v/>
      </c>
      <c r="AN1074" s="396">
        <f t="shared" si="99"/>
        <v>0</v>
      </c>
      <c r="AO1074" s="109" t="str">
        <f t="shared" si="100"/>
        <v/>
      </c>
      <c r="AP1074" s="109" t="e">
        <f t="shared" si="101"/>
        <v>#VALUE!</v>
      </c>
      <c r="AQ1074" s="397" t="e">
        <f t="shared" si="102"/>
        <v>#VALUE!</v>
      </c>
    </row>
    <row r="1075" spans="38:43">
      <c r="AL1075" s="414" t="str">
        <f t="shared" si="97"/>
        <v/>
      </c>
      <c r="AM1075" s="395" t="str">
        <f t="shared" si="98"/>
        <v/>
      </c>
      <c r="AN1075" s="396">
        <f t="shared" si="99"/>
        <v>0</v>
      </c>
      <c r="AO1075" s="109" t="str">
        <f t="shared" si="100"/>
        <v/>
      </c>
      <c r="AP1075" s="109" t="e">
        <f t="shared" si="101"/>
        <v>#VALUE!</v>
      </c>
      <c r="AQ1075" s="397" t="e">
        <f t="shared" si="102"/>
        <v>#VALUE!</v>
      </c>
    </row>
    <row r="1076" spans="38:43">
      <c r="AL1076" s="414" t="str">
        <f t="shared" si="97"/>
        <v/>
      </c>
      <c r="AM1076" s="395" t="str">
        <f t="shared" si="98"/>
        <v/>
      </c>
      <c r="AN1076" s="396">
        <f t="shared" si="99"/>
        <v>0</v>
      </c>
      <c r="AO1076" s="109" t="str">
        <f t="shared" si="100"/>
        <v/>
      </c>
      <c r="AP1076" s="109" t="e">
        <f t="shared" si="101"/>
        <v>#VALUE!</v>
      </c>
      <c r="AQ1076" s="397" t="e">
        <f t="shared" si="102"/>
        <v>#VALUE!</v>
      </c>
    </row>
    <row r="1077" spans="38:43">
      <c r="AL1077" s="414" t="str">
        <f t="shared" si="97"/>
        <v/>
      </c>
      <c r="AM1077" s="395" t="str">
        <f t="shared" si="98"/>
        <v/>
      </c>
      <c r="AN1077" s="396">
        <f t="shared" si="99"/>
        <v>0</v>
      </c>
      <c r="AO1077" s="109" t="str">
        <f t="shared" si="100"/>
        <v/>
      </c>
      <c r="AP1077" s="109" t="e">
        <f t="shared" si="101"/>
        <v>#VALUE!</v>
      </c>
      <c r="AQ1077" s="397" t="e">
        <f t="shared" si="102"/>
        <v>#VALUE!</v>
      </c>
    </row>
    <row r="1078" spans="38:43">
      <c r="AL1078" s="414" t="str">
        <f t="shared" si="97"/>
        <v/>
      </c>
      <c r="AM1078" s="395" t="str">
        <f t="shared" si="98"/>
        <v/>
      </c>
      <c r="AN1078" s="396">
        <f t="shared" si="99"/>
        <v>0</v>
      </c>
      <c r="AO1078" s="109" t="str">
        <f t="shared" si="100"/>
        <v/>
      </c>
      <c r="AP1078" s="109" t="e">
        <f t="shared" si="101"/>
        <v>#VALUE!</v>
      </c>
      <c r="AQ1078" s="397" t="e">
        <f t="shared" si="102"/>
        <v>#VALUE!</v>
      </c>
    </row>
    <row r="1079" spans="38:43">
      <c r="AL1079" s="414" t="str">
        <f t="shared" si="97"/>
        <v/>
      </c>
      <c r="AM1079" s="395" t="str">
        <f t="shared" si="98"/>
        <v/>
      </c>
      <c r="AN1079" s="396">
        <f t="shared" si="99"/>
        <v>0</v>
      </c>
      <c r="AO1079" s="109" t="str">
        <f t="shared" si="100"/>
        <v/>
      </c>
      <c r="AP1079" s="109" t="e">
        <f t="shared" si="101"/>
        <v>#VALUE!</v>
      </c>
      <c r="AQ1079" s="397" t="e">
        <f t="shared" si="102"/>
        <v>#VALUE!</v>
      </c>
    </row>
    <row r="1080" spans="38:43">
      <c r="AL1080" s="414" t="str">
        <f t="shared" si="97"/>
        <v/>
      </c>
      <c r="AM1080" s="395" t="str">
        <f t="shared" si="98"/>
        <v/>
      </c>
      <c r="AN1080" s="396">
        <f t="shared" si="99"/>
        <v>0</v>
      </c>
      <c r="AO1080" s="109" t="str">
        <f t="shared" si="100"/>
        <v/>
      </c>
      <c r="AP1080" s="109" t="e">
        <f t="shared" si="101"/>
        <v>#VALUE!</v>
      </c>
      <c r="AQ1080" s="397" t="e">
        <f t="shared" si="102"/>
        <v>#VALUE!</v>
      </c>
    </row>
    <row r="1081" spans="38:43">
      <c r="AL1081" s="414" t="str">
        <f t="shared" si="97"/>
        <v/>
      </c>
      <c r="AM1081" s="395" t="str">
        <f t="shared" si="98"/>
        <v/>
      </c>
      <c r="AN1081" s="396">
        <f t="shared" si="99"/>
        <v>0</v>
      </c>
      <c r="AO1081" s="109" t="str">
        <f t="shared" si="100"/>
        <v/>
      </c>
      <c r="AP1081" s="109" t="e">
        <f t="shared" si="101"/>
        <v>#VALUE!</v>
      </c>
      <c r="AQ1081" s="397" t="e">
        <f t="shared" si="102"/>
        <v>#VALUE!</v>
      </c>
    </row>
    <row r="1082" spans="38:43">
      <c r="AL1082" s="414" t="str">
        <f t="shared" si="97"/>
        <v/>
      </c>
      <c r="AM1082" s="395" t="str">
        <f t="shared" si="98"/>
        <v/>
      </c>
      <c r="AN1082" s="396">
        <f t="shared" si="99"/>
        <v>0</v>
      </c>
      <c r="AO1082" s="109" t="str">
        <f t="shared" si="100"/>
        <v/>
      </c>
      <c r="AP1082" s="109" t="e">
        <f t="shared" si="101"/>
        <v>#VALUE!</v>
      </c>
      <c r="AQ1082" s="397" t="e">
        <f t="shared" si="102"/>
        <v>#VALUE!</v>
      </c>
    </row>
    <row r="1083" spans="38:43">
      <c r="AL1083" s="414" t="str">
        <f t="shared" si="97"/>
        <v/>
      </c>
      <c r="AM1083" s="395" t="str">
        <f t="shared" si="98"/>
        <v/>
      </c>
      <c r="AN1083" s="396">
        <f t="shared" si="99"/>
        <v>0</v>
      </c>
      <c r="AO1083" s="109" t="str">
        <f t="shared" si="100"/>
        <v/>
      </c>
      <c r="AP1083" s="109" t="e">
        <f t="shared" si="101"/>
        <v>#VALUE!</v>
      </c>
      <c r="AQ1083" s="397" t="e">
        <f t="shared" si="102"/>
        <v>#VALUE!</v>
      </c>
    </row>
    <row r="1084" spans="38:43">
      <c r="AL1084" s="414" t="str">
        <f t="shared" si="97"/>
        <v/>
      </c>
      <c r="AM1084" s="395" t="str">
        <f t="shared" si="98"/>
        <v/>
      </c>
      <c r="AN1084" s="396">
        <f t="shared" si="99"/>
        <v>0</v>
      </c>
      <c r="AO1084" s="109" t="str">
        <f t="shared" si="100"/>
        <v/>
      </c>
      <c r="AP1084" s="109" t="e">
        <f t="shared" si="101"/>
        <v>#VALUE!</v>
      </c>
      <c r="AQ1084" s="397" t="e">
        <f t="shared" si="102"/>
        <v>#VALUE!</v>
      </c>
    </row>
    <row r="1085" spans="38:43">
      <c r="AL1085" s="414" t="str">
        <f t="shared" si="97"/>
        <v/>
      </c>
      <c r="AM1085" s="395" t="str">
        <f t="shared" si="98"/>
        <v/>
      </c>
      <c r="AN1085" s="396">
        <f t="shared" si="99"/>
        <v>0</v>
      </c>
      <c r="AO1085" s="109" t="str">
        <f t="shared" si="100"/>
        <v/>
      </c>
      <c r="AP1085" s="109" t="e">
        <f t="shared" si="101"/>
        <v>#VALUE!</v>
      </c>
      <c r="AQ1085" s="397" t="e">
        <f t="shared" si="102"/>
        <v>#VALUE!</v>
      </c>
    </row>
    <row r="1086" spans="38:43">
      <c r="AL1086" s="414" t="str">
        <f t="shared" si="97"/>
        <v/>
      </c>
      <c r="AM1086" s="395" t="str">
        <f t="shared" si="98"/>
        <v/>
      </c>
      <c r="AN1086" s="396">
        <f t="shared" si="99"/>
        <v>0</v>
      </c>
      <c r="AO1086" s="109" t="str">
        <f t="shared" si="100"/>
        <v/>
      </c>
      <c r="AP1086" s="109" t="e">
        <f t="shared" si="101"/>
        <v>#VALUE!</v>
      </c>
      <c r="AQ1086" s="397" t="e">
        <f t="shared" si="102"/>
        <v>#VALUE!</v>
      </c>
    </row>
    <row r="1087" spans="38:43">
      <c r="AL1087" s="414" t="str">
        <f t="shared" si="97"/>
        <v/>
      </c>
      <c r="AM1087" s="395" t="str">
        <f t="shared" si="98"/>
        <v/>
      </c>
      <c r="AN1087" s="396">
        <f t="shared" si="99"/>
        <v>0</v>
      </c>
      <c r="AO1087" s="109" t="str">
        <f t="shared" si="100"/>
        <v/>
      </c>
      <c r="AP1087" s="109" t="e">
        <f t="shared" si="101"/>
        <v>#VALUE!</v>
      </c>
      <c r="AQ1087" s="397" t="e">
        <f t="shared" si="102"/>
        <v>#VALUE!</v>
      </c>
    </row>
    <row r="1088" spans="38:43">
      <c r="AL1088" s="414" t="str">
        <f t="shared" si="97"/>
        <v/>
      </c>
      <c r="AM1088" s="395" t="str">
        <f t="shared" si="98"/>
        <v/>
      </c>
      <c r="AN1088" s="396">
        <f t="shared" si="99"/>
        <v>0</v>
      </c>
      <c r="AO1088" s="109" t="str">
        <f t="shared" si="100"/>
        <v/>
      </c>
      <c r="AP1088" s="109" t="e">
        <f t="shared" si="101"/>
        <v>#VALUE!</v>
      </c>
      <c r="AQ1088" s="397" t="e">
        <f t="shared" si="102"/>
        <v>#VALUE!</v>
      </c>
    </row>
    <row r="1089" spans="38:43">
      <c r="AL1089" s="414" t="str">
        <f t="shared" si="97"/>
        <v/>
      </c>
      <c r="AM1089" s="395" t="str">
        <f t="shared" si="98"/>
        <v/>
      </c>
      <c r="AN1089" s="396">
        <f t="shared" si="99"/>
        <v>0</v>
      </c>
      <c r="AO1089" s="109" t="str">
        <f t="shared" si="100"/>
        <v/>
      </c>
      <c r="AP1089" s="109" t="e">
        <f t="shared" si="101"/>
        <v>#VALUE!</v>
      </c>
      <c r="AQ1089" s="397" t="e">
        <f t="shared" si="102"/>
        <v>#VALUE!</v>
      </c>
    </row>
    <row r="1090" spans="38:43">
      <c r="AL1090" s="414" t="str">
        <f t="shared" si="97"/>
        <v/>
      </c>
      <c r="AM1090" s="395" t="str">
        <f t="shared" si="98"/>
        <v/>
      </c>
      <c r="AN1090" s="396">
        <f t="shared" si="99"/>
        <v>0</v>
      </c>
      <c r="AO1090" s="109" t="str">
        <f t="shared" si="100"/>
        <v/>
      </c>
      <c r="AP1090" s="109" t="e">
        <f t="shared" si="101"/>
        <v>#VALUE!</v>
      </c>
      <c r="AQ1090" s="397" t="e">
        <f t="shared" si="102"/>
        <v>#VALUE!</v>
      </c>
    </row>
    <row r="1091" spans="38:43">
      <c r="AL1091" s="414" t="str">
        <f t="shared" ref="AL1091:AL1154" si="103">SUBSTITUTE(SUBSTITUTE(H1091,"[워커힐]워커힐 고메 시그니처 양념 본갈비 8팩","워커힐 시그니처 양념 본갈비 300g, 8개"),"[워커힐]워커힐 시그니처 양념 본갈비 4팩","워커힐 시그니처 양념 본갈비 300g, 4개")</f>
        <v/>
      </c>
      <c r="AM1091" s="395" t="str">
        <f t="shared" ref="AM1091:AM1154" si="104">IF(N1091="배송완료", DATE(LEFT(M1091,4), MID(M1091,6,2), MID(M1091,9,2)), "")</f>
        <v/>
      </c>
      <c r="AN1091" s="396">
        <f t="shared" ref="AN1091:AN1154" si="105">IF(OR(N1091="배송완료", Q1091&lt;0), Q1091, 0)</f>
        <v>0</v>
      </c>
      <c r="AO1091" s="109" t="str">
        <f t="shared" ref="AO1091:AO1154" si="106">IF(AL1091="워커힐 시그니처 양념 본갈비 300g, 8개",119000,IF(AL1091="워커힐 시그니처 양념 본갈비 300g, 4개",78000,""))</f>
        <v/>
      </c>
      <c r="AP1091" s="109" t="e">
        <f t="shared" ref="AP1091:AP1154" si="107">AO1091/1.1</f>
        <v>#VALUE!</v>
      </c>
      <c r="AQ1091" s="397" t="e">
        <f t="shared" si="102"/>
        <v>#VALUE!</v>
      </c>
    </row>
    <row r="1092" spans="38:43">
      <c r="AL1092" s="414" t="str">
        <f t="shared" si="103"/>
        <v/>
      </c>
      <c r="AM1092" s="395" t="str">
        <f t="shared" si="104"/>
        <v/>
      </c>
      <c r="AN1092" s="396">
        <f t="shared" si="105"/>
        <v>0</v>
      </c>
      <c r="AO1092" s="109" t="str">
        <f t="shared" si="106"/>
        <v/>
      </c>
      <c r="AP1092" s="109" t="e">
        <f t="shared" si="107"/>
        <v>#VALUE!</v>
      </c>
      <c r="AQ1092" s="397" t="e">
        <f t="shared" si="102"/>
        <v>#VALUE!</v>
      </c>
    </row>
    <row r="1093" spans="38:43">
      <c r="AL1093" s="414" t="str">
        <f t="shared" si="103"/>
        <v/>
      </c>
      <c r="AM1093" s="395" t="str">
        <f t="shared" si="104"/>
        <v/>
      </c>
      <c r="AN1093" s="396">
        <f t="shared" si="105"/>
        <v>0</v>
      </c>
      <c r="AO1093" s="109" t="str">
        <f t="shared" si="106"/>
        <v/>
      </c>
      <c r="AP1093" s="109" t="e">
        <f t="shared" si="107"/>
        <v>#VALUE!</v>
      </c>
      <c r="AQ1093" s="397" t="e">
        <f t="shared" si="102"/>
        <v>#VALUE!</v>
      </c>
    </row>
    <row r="1094" spans="38:43">
      <c r="AL1094" s="414" t="str">
        <f t="shared" si="103"/>
        <v/>
      </c>
      <c r="AM1094" s="395" t="str">
        <f t="shared" si="104"/>
        <v/>
      </c>
      <c r="AN1094" s="396">
        <f t="shared" si="105"/>
        <v>0</v>
      </c>
      <c r="AO1094" s="109" t="str">
        <f t="shared" si="106"/>
        <v/>
      </c>
      <c r="AP1094" s="109" t="e">
        <f t="shared" si="107"/>
        <v>#VALUE!</v>
      </c>
      <c r="AQ1094" s="397" t="e">
        <f t="shared" si="102"/>
        <v>#VALUE!</v>
      </c>
    </row>
    <row r="1095" spans="38:43">
      <c r="AL1095" s="414" t="str">
        <f t="shared" si="103"/>
        <v/>
      </c>
      <c r="AM1095" s="395" t="str">
        <f t="shared" si="104"/>
        <v/>
      </c>
      <c r="AN1095" s="396">
        <f t="shared" si="105"/>
        <v>0</v>
      </c>
      <c r="AO1095" s="109" t="str">
        <f t="shared" si="106"/>
        <v/>
      </c>
      <c r="AP1095" s="109" t="e">
        <f t="shared" si="107"/>
        <v>#VALUE!</v>
      </c>
      <c r="AQ1095" s="397" t="e">
        <f t="shared" si="102"/>
        <v>#VALUE!</v>
      </c>
    </row>
    <row r="1096" spans="38:43">
      <c r="AL1096" s="414" t="str">
        <f t="shared" si="103"/>
        <v/>
      </c>
      <c r="AM1096" s="395" t="str">
        <f t="shared" si="104"/>
        <v/>
      </c>
      <c r="AN1096" s="396">
        <f t="shared" si="105"/>
        <v>0</v>
      </c>
      <c r="AO1096" s="109" t="str">
        <f t="shared" si="106"/>
        <v/>
      </c>
      <c r="AP1096" s="109" t="e">
        <f t="shared" si="107"/>
        <v>#VALUE!</v>
      </c>
      <c r="AQ1096" s="397" t="e">
        <f t="shared" si="102"/>
        <v>#VALUE!</v>
      </c>
    </row>
    <row r="1097" spans="38:43">
      <c r="AL1097" s="414" t="str">
        <f t="shared" si="103"/>
        <v/>
      </c>
      <c r="AM1097" s="395" t="str">
        <f t="shared" si="104"/>
        <v/>
      </c>
      <c r="AN1097" s="396">
        <f t="shared" si="105"/>
        <v>0</v>
      </c>
      <c r="AO1097" s="109" t="str">
        <f t="shared" si="106"/>
        <v/>
      </c>
      <c r="AP1097" s="109" t="e">
        <f t="shared" si="107"/>
        <v>#VALUE!</v>
      </c>
      <c r="AQ1097" s="397" t="e">
        <f t="shared" si="102"/>
        <v>#VALUE!</v>
      </c>
    </row>
    <row r="1098" spans="38:43">
      <c r="AL1098" s="414" t="str">
        <f t="shared" si="103"/>
        <v/>
      </c>
      <c r="AM1098" s="395" t="str">
        <f t="shared" si="104"/>
        <v/>
      </c>
      <c r="AN1098" s="396">
        <f t="shared" si="105"/>
        <v>0</v>
      </c>
      <c r="AO1098" s="109" t="str">
        <f t="shared" si="106"/>
        <v/>
      </c>
      <c r="AP1098" s="109" t="e">
        <f t="shared" si="107"/>
        <v>#VALUE!</v>
      </c>
      <c r="AQ1098" s="397" t="e">
        <f t="shared" si="102"/>
        <v>#VALUE!</v>
      </c>
    </row>
    <row r="1099" spans="38:43">
      <c r="AL1099" s="414" t="str">
        <f t="shared" si="103"/>
        <v/>
      </c>
      <c r="AM1099" s="395" t="str">
        <f t="shared" si="104"/>
        <v/>
      </c>
      <c r="AN1099" s="396">
        <f t="shared" si="105"/>
        <v>0</v>
      </c>
      <c r="AO1099" s="109" t="str">
        <f t="shared" si="106"/>
        <v/>
      </c>
      <c r="AP1099" s="109" t="e">
        <f t="shared" si="107"/>
        <v>#VALUE!</v>
      </c>
      <c r="AQ1099" s="397" t="e">
        <f t="shared" si="102"/>
        <v>#VALUE!</v>
      </c>
    </row>
    <row r="1100" spans="38:43">
      <c r="AL1100" s="414" t="str">
        <f t="shared" si="103"/>
        <v/>
      </c>
      <c r="AM1100" s="395" t="str">
        <f t="shared" si="104"/>
        <v/>
      </c>
      <c r="AN1100" s="396">
        <f t="shared" si="105"/>
        <v>0</v>
      </c>
      <c r="AO1100" s="109" t="str">
        <f t="shared" si="106"/>
        <v/>
      </c>
      <c r="AP1100" s="109" t="e">
        <f t="shared" si="107"/>
        <v>#VALUE!</v>
      </c>
      <c r="AQ1100" s="397" t="e">
        <f t="shared" si="102"/>
        <v>#VALUE!</v>
      </c>
    </row>
    <row r="1101" spans="38:43">
      <c r="AL1101" s="414" t="str">
        <f t="shared" si="103"/>
        <v/>
      </c>
      <c r="AM1101" s="395" t="str">
        <f t="shared" si="104"/>
        <v/>
      </c>
      <c r="AN1101" s="396">
        <f t="shared" si="105"/>
        <v>0</v>
      </c>
      <c r="AO1101" s="109" t="str">
        <f t="shared" si="106"/>
        <v/>
      </c>
      <c r="AP1101" s="109" t="e">
        <f t="shared" si="107"/>
        <v>#VALUE!</v>
      </c>
      <c r="AQ1101" s="397" t="e">
        <f t="shared" si="102"/>
        <v>#VALUE!</v>
      </c>
    </row>
    <row r="1102" spans="38:43">
      <c r="AL1102" s="414" t="str">
        <f t="shared" si="103"/>
        <v/>
      </c>
      <c r="AM1102" s="395" t="str">
        <f t="shared" si="104"/>
        <v/>
      </c>
      <c r="AN1102" s="396">
        <f t="shared" si="105"/>
        <v>0</v>
      </c>
      <c r="AO1102" s="109" t="str">
        <f t="shared" si="106"/>
        <v/>
      </c>
      <c r="AP1102" s="109" t="e">
        <f t="shared" si="107"/>
        <v>#VALUE!</v>
      </c>
      <c r="AQ1102" s="397" t="e">
        <f t="shared" si="102"/>
        <v>#VALUE!</v>
      </c>
    </row>
    <row r="1103" spans="38:43">
      <c r="AL1103" s="414" t="str">
        <f t="shared" si="103"/>
        <v/>
      </c>
      <c r="AM1103" s="395" t="str">
        <f t="shared" si="104"/>
        <v/>
      </c>
      <c r="AN1103" s="396">
        <f t="shared" si="105"/>
        <v>0</v>
      </c>
      <c r="AO1103" s="109" t="str">
        <f t="shared" si="106"/>
        <v/>
      </c>
      <c r="AP1103" s="109" t="e">
        <f t="shared" si="107"/>
        <v>#VALUE!</v>
      </c>
      <c r="AQ1103" s="397" t="e">
        <f t="shared" si="102"/>
        <v>#VALUE!</v>
      </c>
    </row>
    <row r="1104" spans="38:43">
      <c r="AL1104" s="414" t="str">
        <f t="shared" si="103"/>
        <v/>
      </c>
      <c r="AM1104" s="395" t="str">
        <f t="shared" si="104"/>
        <v/>
      </c>
      <c r="AN1104" s="396">
        <f t="shared" si="105"/>
        <v>0</v>
      </c>
      <c r="AO1104" s="109" t="str">
        <f t="shared" si="106"/>
        <v/>
      </c>
      <c r="AP1104" s="109" t="e">
        <f t="shared" si="107"/>
        <v>#VALUE!</v>
      </c>
      <c r="AQ1104" s="397" t="e">
        <f t="shared" si="102"/>
        <v>#VALUE!</v>
      </c>
    </row>
    <row r="1105" spans="38:43">
      <c r="AL1105" s="414" t="str">
        <f t="shared" si="103"/>
        <v/>
      </c>
      <c r="AM1105" s="395" t="str">
        <f t="shared" si="104"/>
        <v/>
      </c>
      <c r="AN1105" s="396">
        <f t="shared" si="105"/>
        <v>0</v>
      </c>
      <c r="AO1105" s="109" t="str">
        <f t="shared" si="106"/>
        <v/>
      </c>
      <c r="AP1105" s="109" t="e">
        <f t="shared" si="107"/>
        <v>#VALUE!</v>
      </c>
      <c r="AQ1105" s="397" t="e">
        <f t="shared" si="102"/>
        <v>#VALUE!</v>
      </c>
    </row>
    <row r="1106" spans="38:43">
      <c r="AL1106" s="414" t="str">
        <f t="shared" si="103"/>
        <v/>
      </c>
      <c r="AM1106" s="395" t="str">
        <f t="shared" si="104"/>
        <v/>
      </c>
      <c r="AN1106" s="396">
        <f t="shared" si="105"/>
        <v>0</v>
      </c>
      <c r="AO1106" s="109" t="str">
        <f t="shared" si="106"/>
        <v/>
      </c>
      <c r="AP1106" s="109" t="e">
        <f t="shared" si="107"/>
        <v>#VALUE!</v>
      </c>
      <c r="AQ1106" s="397" t="e">
        <f t="shared" si="102"/>
        <v>#VALUE!</v>
      </c>
    </row>
    <row r="1107" spans="38:43">
      <c r="AL1107" s="414" t="str">
        <f t="shared" si="103"/>
        <v/>
      </c>
      <c r="AM1107" s="395" t="str">
        <f t="shared" si="104"/>
        <v/>
      </c>
      <c r="AN1107" s="396">
        <f t="shared" si="105"/>
        <v>0</v>
      </c>
      <c r="AO1107" s="109" t="str">
        <f t="shared" si="106"/>
        <v/>
      </c>
      <c r="AP1107" s="109" t="e">
        <f t="shared" si="107"/>
        <v>#VALUE!</v>
      </c>
      <c r="AQ1107" s="397" t="e">
        <f t="shared" si="102"/>
        <v>#VALUE!</v>
      </c>
    </row>
    <row r="1108" spans="38:43">
      <c r="AL1108" s="414" t="str">
        <f t="shared" si="103"/>
        <v/>
      </c>
      <c r="AM1108" s="395" t="str">
        <f t="shared" si="104"/>
        <v/>
      </c>
      <c r="AN1108" s="396">
        <f t="shared" si="105"/>
        <v>0</v>
      </c>
      <c r="AO1108" s="109" t="str">
        <f t="shared" si="106"/>
        <v/>
      </c>
      <c r="AP1108" s="109" t="e">
        <f t="shared" si="107"/>
        <v>#VALUE!</v>
      </c>
      <c r="AQ1108" s="397" t="e">
        <f t="shared" si="102"/>
        <v>#VALUE!</v>
      </c>
    </row>
    <row r="1109" spans="38:43">
      <c r="AL1109" s="414" t="str">
        <f t="shared" si="103"/>
        <v/>
      </c>
      <c r="AM1109" s="395" t="str">
        <f t="shared" si="104"/>
        <v/>
      </c>
      <c r="AN1109" s="396">
        <f t="shared" si="105"/>
        <v>0</v>
      </c>
      <c r="AO1109" s="109" t="str">
        <f t="shared" si="106"/>
        <v/>
      </c>
      <c r="AP1109" s="109" t="e">
        <f t="shared" si="107"/>
        <v>#VALUE!</v>
      </c>
      <c r="AQ1109" s="397" t="e">
        <f t="shared" si="102"/>
        <v>#VALUE!</v>
      </c>
    </row>
    <row r="1110" spans="38:43">
      <c r="AL1110" s="414" t="str">
        <f t="shared" si="103"/>
        <v/>
      </c>
      <c r="AM1110" s="395" t="str">
        <f t="shared" si="104"/>
        <v/>
      </c>
      <c r="AN1110" s="396">
        <f t="shared" si="105"/>
        <v>0</v>
      </c>
      <c r="AO1110" s="109" t="str">
        <f t="shared" si="106"/>
        <v/>
      </c>
      <c r="AP1110" s="109" t="e">
        <f t="shared" si="107"/>
        <v>#VALUE!</v>
      </c>
      <c r="AQ1110" s="397" t="e">
        <f t="shared" si="102"/>
        <v>#VALUE!</v>
      </c>
    </row>
    <row r="1111" spans="38:43">
      <c r="AL1111" s="414" t="str">
        <f t="shared" si="103"/>
        <v/>
      </c>
      <c r="AM1111" s="395" t="str">
        <f t="shared" si="104"/>
        <v/>
      </c>
      <c r="AN1111" s="396">
        <f t="shared" si="105"/>
        <v>0</v>
      </c>
      <c r="AO1111" s="109" t="str">
        <f t="shared" si="106"/>
        <v/>
      </c>
      <c r="AP1111" s="109" t="e">
        <f t="shared" si="107"/>
        <v>#VALUE!</v>
      </c>
      <c r="AQ1111" s="397" t="e">
        <f t="shared" si="102"/>
        <v>#VALUE!</v>
      </c>
    </row>
    <row r="1112" spans="38:43">
      <c r="AL1112" s="414" t="str">
        <f t="shared" si="103"/>
        <v/>
      </c>
      <c r="AM1112" s="395" t="str">
        <f t="shared" si="104"/>
        <v/>
      </c>
      <c r="AN1112" s="396">
        <f t="shared" si="105"/>
        <v>0</v>
      </c>
      <c r="AO1112" s="109" t="str">
        <f t="shared" si="106"/>
        <v/>
      </c>
      <c r="AP1112" s="109" t="e">
        <f t="shared" si="107"/>
        <v>#VALUE!</v>
      </c>
      <c r="AQ1112" s="397" t="e">
        <f t="shared" si="102"/>
        <v>#VALUE!</v>
      </c>
    </row>
    <row r="1113" spans="38:43">
      <c r="AL1113" s="414" t="str">
        <f t="shared" si="103"/>
        <v/>
      </c>
      <c r="AM1113" s="395" t="str">
        <f t="shared" si="104"/>
        <v/>
      </c>
      <c r="AN1113" s="396">
        <f t="shared" si="105"/>
        <v>0</v>
      </c>
      <c r="AO1113" s="109" t="str">
        <f t="shared" si="106"/>
        <v/>
      </c>
      <c r="AP1113" s="109" t="e">
        <f t="shared" si="107"/>
        <v>#VALUE!</v>
      </c>
      <c r="AQ1113" s="397" t="e">
        <f t="shared" si="102"/>
        <v>#VALUE!</v>
      </c>
    </row>
    <row r="1114" spans="38:43">
      <c r="AL1114" s="414" t="str">
        <f t="shared" si="103"/>
        <v/>
      </c>
      <c r="AM1114" s="395" t="str">
        <f t="shared" si="104"/>
        <v/>
      </c>
      <c r="AN1114" s="396">
        <f t="shared" si="105"/>
        <v>0</v>
      </c>
      <c r="AO1114" s="109" t="str">
        <f t="shared" si="106"/>
        <v/>
      </c>
      <c r="AP1114" s="109" t="e">
        <f t="shared" si="107"/>
        <v>#VALUE!</v>
      </c>
      <c r="AQ1114" s="397" t="e">
        <f t="shared" si="102"/>
        <v>#VALUE!</v>
      </c>
    </row>
    <row r="1115" spans="38:43">
      <c r="AL1115" s="414" t="str">
        <f t="shared" si="103"/>
        <v/>
      </c>
      <c r="AM1115" s="395" t="str">
        <f t="shared" si="104"/>
        <v/>
      </c>
      <c r="AN1115" s="396">
        <f t="shared" si="105"/>
        <v>0</v>
      </c>
      <c r="AO1115" s="109" t="str">
        <f t="shared" si="106"/>
        <v/>
      </c>
      <c r="AP1115" s="109" t="e">
        <f t="shared" si="107"/>
        <v>#VALUE!</v>
      </c>
      <c r="AQ1115" s="397" t="e">
        <f t="shared" si="102"/>
        <v>#VALUE!</v>
      </c>
    </row>
    <row r="1116" spans="38:43">
      <c r="AL1116" s="414" t="str">
        <f t="shared" si="103"/>
        <v/>
      </c>
      <c r="AM1116" s="395" t="str">
        <f t="shared" si="104"/>
        <v/>
      </c>
      <c r="AN1116" s="396">
        <f t="shared" si="105"/>
        <v>0</v>
      </c>
      <c r="AO1116" s="109" t="str">
        <f t="shared" si="106"/>
        <v/>
      </c>
      <c r="AP1116" s="109" t="e">
        <f t="shared" si="107"/>
        <v>#VALUE!</v>
      </c>
      <c r="AQ1116" s="397" t="e">
        <f t="shared" si="102"/>
        <v>#VALUE!</v>
      </c>
    </row>
    <row r="1117" spans="38:43">
      <c r="AL1117" s="414" t="str">
        <f t="shared" si="103"/>
        <v/>
      </c>
      <c r="AM1117" s="395" t="str">
        <f t="shared" si="104"/>
        <v/>
      </c>
      <c r="AN1117" s="396">
        <f t="shared" si="105"/>
        <v>0</v>
      </c>
      <c r="AO1117" s="109" t="str">
        <f t="shared" si="106"/>
        <v/>
      </c>
      <c r="AP1117" s="109" t="e">
        <f t="shared" si="107"/>
        <v>#VALUE!</v>
      </c>
      <c r="AQ1117" s="397" t="e">
        <f t="shared" ref="AQ1117:AQ1180" si="108">AN1117*AP1117</f>
        <v>#VALUE!</v>
      </c>
    </row>
    <row r="1118" spans="38:43">
      <c r="AL1118" s="414" t="str">
        <f t="shared" si="103"/>
        <v/>
      </c>
      <c r="AM1118" s="395" t="str">
        <f t="shared" si="104"/>
        <v/>
      </c>
      <c r="AN1118" s="396">
        <f t="shared" si="105"/>
        <v>0</v>
      </c>
      <c r="AO1118" s="109" t="str">
        <f t="shared" si="106"/>
        <v/>
      </c>
      <c r="AP1118" s="109" t="e">
        <f t="shared" si="107"/>
        <v>#VALUE!</v>
      </c>
      <c r="AQ1118" s="397" t="e">
        <f t="shared" si="108"/>
        <v>#VALUE!</v>
      </c>
    </row>
    <row r="1119" spans="38:43">
      <c r="AL1119" s="414" t="str">
        <f t="shared" si="103"/>
        <v/>
      </c>
      <c r="AM1119" s="395" t="str">
        <f t="shared" si="104"/>
        <v/>
      </c>
      <c r="AN1119" s="396">
        <f t="shared" si="105"/>
        <v>0</v>
      </c>
      <c r="AO1119" s="109" t="str">
        <f t="shared" si="106"/>
        <v/>
      </c>
      <c r="AP1119" s="109" t="e">
        <f t="shared" si="107"/>
        <v>#VALUE!</v>
      </c>
      <c r="AQ1119" s="397" t="e">
        <f t="shared" si="108"/>
        <v>#VALUE!</v>
      </c>
    </row>
    <row r="1120" spans="38:43">
      <c r="AL1120" s="414" t="str">
        <f t="shared" si="103"/>
        <v/>
      </c>
      <c r="AM1120" s="395" t="str">
        <f t="shared" si="104"/>
        <v/>
      </c>
      <c r="AN1120" s="396">
        <f t="shared" si="105"/>
        <v>0</v>
      </c>
      <c r="AO1120" s="109" t="str">
        <f t="shared" si="106"/>
        <v/>
      </c>
      <c r="AP1120" s="109" t="e">
        <f t="shared" si="107"/>
        <v>#VALUE!</v>
      </c>
      <c r="AQ1120" s="397" t="e">
        <f t="shared" si="108"/>
        <v>#VALUE!</v>
      </c>
    </row>
    <row r="1121" spans="38:43">
      <c r="AL1121" s="414" t="str">
        <f t="shared" si="103"/>
        <v/>
      </c>
      <c r="AM1121" s="395" t="str">
        <f t="shared" si="104"/>
        <v/>
      </c>
      <c r="AN1121" s="396">
        <f t="shared" si="105"/>
        <v>0</v>
      </c>
      <c r="AO1121" s="109" t="str">
        <f t="shared" si="106"/>
        <v/>
      </c>
      <c r="AP1121" s="109" t="e">
        <f t="shared" si="107"/>
        <v>#VALUE!</v>
      </c>
      <c r="AQ1121" s="397" t="e">
        <f t="shared" si="108"/>
        <v>#VALUE!</v>
      </c>
    </row>
    <row r="1122" spans="38:43">
      <c r="AL1122" s="414" t="str">
        <f t="shared" si="103"/>
        <v/>
      </c>
      <c r="AM1122" s="395" t="str">
        <f t="shared" si="104"/>
        <v/>
      </c>
      <c r="AN1122" s="396">
        <f t="shared" si="105"/>
        <v>0</v>
      </c>
      <c r="AO1122" s="109" t="str">
        <f t="shared" si="106"/>
        <v/>
      </c>
      <c r="AP1122" s="109" t="e">
        <f t="shared" si="107"/>
        <v>#VALUE!</v>
      </c>
      <c r="AQ1122" s="397" t="e">
        <f t="shared" si="108"/>
        <v>#VALUE!</v>
      </c>
    </row>
    <row r="1123" spans="38:43">
      <c r="AL1123" s="414" t="str">
        <f t="shared" si="103"/>
        <v/>
      </c>
      <c r="AM1123" s="395" t="str">
        <f t="shared" si="104"/>
        <v/>
      </c>
      <c r="AN1123" s="396">
        <f t="shared" si="105"/>
        <v>0</v>
      </c>
      <c r="AO1123" s="109" t="str">
        <f t="shared" si="106"/>
        <v/>
      </c>
      <c r="AP1123" s="109" t="e">
        <f t="shared" si="107"/>
        <v>#VALUE!</v>
      </c>
      <c r="AQ1123" s="397" t="e">
        <f t="shared" si="108"/>
        <v>#VALUE!</v>
      </c>
    </row>
    <row r="1124" spans="38:43">
      <c r="AL1124" s="414" t="str">
        <f t="shared" si="103"/>
        <v/>
      </c>
      <c r="AM1124" s="395" t="str">
        <f t="shared" si="104"/>
        <v/>
      </c>
      <c r="AN1124" s="396">
        <f t="shared" si="105"/>
        <v>0</v>
      </c>
      <c r="AO1124" s="109" t="str">
        <f t="shared" si="106"/>
        <v/>
      </c>
      <c r="AP1124" s="109" t="e">
        <f t="shared" si="107"/>
        <v>#VALUE!</v>
      </c>
      <c r="AQ1124" s="397" t="e">
        <f t="shared" si="108"/>
        <v>#VALUE!</v>
      </c>
    </row>
    <row r="1125" spans="38:43">
      <c r="AL1125" s="414" t="str">
        <f t="shared" si="103"/>
        <v/>
      </c>
      <c r="AM1125" s="395" t="str">
        <f t="shared" si="104"/>
        <v/>
      </c>
      <c r="AN1125" s="396">
        <f t="shared" si="105"/>
        <v>0</v>
      </c>
      <c r="AO1125" s="109" t="str">
        <f t="shared" si="106"/>
        <v/>
      </c>
      <c r="AP1125" s="109" t="e">
        <f t="shared" si="107"/>
        <v>#VALUE!</v>
      </c>
      <c r="AQ1125" s="397" t="e">
        <f t="shared" si="108"/>
        <v>#VALUE!</v>
      </c>
    </row>
    <row r="1126" spans="38:43">
      <c r="AL1126" s="414" t="str">
        <f t="shared" si="103"/>
        <v/>
      </c>
      <c r="AM1126" s="395" t="str">
        <f t="shared" si="104"/>
        <v/>
      </c>
      <c r="AN1126" s="396">
        <f t="shared" si="105"/>
        <v>0</v>
      </c>
      <c r="AO1126" s="109" t="str">
        <f t="shared" si="106"/>
        <v/>
      </c>
      <c r="AP1126" s="109" t="e">
        <f t="shared" si="107"/>
        <v>#VALUE!</v>
      </c>
      <c r="AQ1126" s="397" t="e">
        <f t="shared" si="108"/>
        <v>#VALUE!</v>
      </c>
    </row>
    <row r="1127" spans="38:43">
      <c r="AL1127" s="414" t="str">
        <f t="shared" si="103"/>
        <v/>
      </c>
      <c r="AM1127" s="395" t="str">
        <f t="shared" si="104"/>
        <v/>
      </c>
      <c r="AN1127" s="396">
        <f t="shared" si="105"/>
        <v>0</v>
      </c>
      <c r="AO1127" s="109" t="str">
        <f t="shared" si="106"/>
        <v/>
      </c>
      <c r="AP1127" s="109" t="e">
        <f t="shared" si="107"/>
        <v>#VALUE!</v>
      </c>
      <c r="AQ1127" s="397" t="e">
        <f t="shared" si="108"/>
        <v>#VALUE!</v>
      </c>
    </row>
    <row r="1128" spans="38:43">
      <c r="AL1128" s="414" t="str">
        <f t="shared" si="103"/>
        <v/>
      </c>
      <c r="AM1128" s="395" t="str">
        <f t="shared" si="104"/>
        <v/>
      </c>
      <c r="AN1128" s="396">
        <f t="shared" si="105"/>
        <v>0</v>
      </c>
      <c r="AO1128" s="109" t="str">
        <f t="shared" si="106"/>
        <v/>
      </c>
      <c r="AP1128" s="109" t="e">
        <f t="shared" si="107"/>
        <v>#VALUE!</v>
      </c>
      <c r="AQ1128" s="397" t="e">
        <f t="shared" si="108"/>
        <v>#VALUE!</v>
      </c>
    </row>
    <row r="1129" spans="38:43">
      <c r="AL1129" s="414" t="str">
        <f t="shared" si="103"/>
        <v/>
      </c>
      <c r="AM1129" s="395" t="str">
        <f t="shared" si="104"/>
        <v/>
      </c>
      <c r="AN1129" s="396">
        <f t="shared" si="105"/>
        <v>0</v>
      </c>
      <c r="AO1129" s="109" t="str">
        <f t="shared" si="106"/>
        <v/>
      </c>
      <c r="AP1129" s="109" t="e">
        <f t="shared" si="107"/>
        <v>#VALUE!</v>
      </c>
      <c r="AQ1129" s="397" t="e">
        <f t="shared" si="108"/>
        <v>#VALUE!</v>
      </c>
    </row>
    <row r="1130" spans="38:43">
      <c r="AL1130" s="414" t="str">
        <f t="shared" si="103"/>
        <v/>
      </c>
      <c r="AM1130" s="395" t="str">
        <f t="shared" si="104"/>
        <v/>
      </c>
      <c r="AN1130" s="396">
        <f t="shared" si="105"/>
        <v>0</v>
      </c>
      <c r="AO1130" s="109" t="str">
        <f t="shared" si="106"/>
        <v/>
      </c>
      <c r="AP1130" s="109" t="e">
        <f t="shared" si="107"/>
        <v>#VALUE!</v>
      </c>
      <c r="AQ1130" s="397" t="e">
        <f t="shared" si="108"/>
        <v>#VALUE!</v>
      </c>
    </row>
    <row r="1131" spans="38:43">
      <c r="AL1131" s="414" t="str">
        <f t="shared" si="103"/>
        <v/>
      </c>
      <c r="AM1131" s="395" t="str">
        <f t="shared" si="104"/>
        <v/>
      </c>
      <c r="AN1131" s="396">
        <f t="shared" si="105"/>
        <v>0</v>
      </c>
      <c r="AO1131" s="109" t="str">
        <f t="shared" si="106"/>
        <v/>
      </c>
      <c r="AP1131" s="109" t="e">
        <f t="shared" si="107"/>
        <v>#VALUE!</v>
      </c>
      <c r="AQ1131" s="397" t="e">
        <f t="shared" si="108"/>
        <v>#VALUE!</v>
      </c>
    </row>
    <row r="1132" spans="38:43">
      <c r="AL1132" s="414" t="str">
        <f t="shared" si="103"/>
        <v/>
      </c>
      <c r="AM1132" s="395" t="str">
        <f t="shared" si="104"/>
        <v/>
      </c>
      <c r="AN1132" s="396">
        <f t="shared" si="105"/>
        <v>0</v>
      </c>
      <c r="AO1132" s="109" t="str">
        <f t="shared" si="106"/>
        <v/>
      </c>
      <c r="AP1132" s="109" t="e">
        <f t="shared" si="107"/>
        <v>#VALUE!</v>
      </c>
      <c r="AQ1132" s="397" t="e">
        <f t="shared" si="108"/>
        <v>#VALUE!</v>
      </c>
    </row>
    <row r="1133" spans="38:43">
      <c r="AL1133" s="414" t="str">
        <f t="shared" si="103"/>
        <v/>
      </c>
      <c r="AM1133" s="395" t="str">
        <f t="shared" si="104"/>
        <v/>
      </c>
      <c r="AN1133" s="396">
        <f t="shared" si="105"/>
        <v>0</v>
      </c>
      <c r="AO1133" s="109" t="str">
        <f t="shared" si="106"/>
        <v/>
      </c>
      <c r="AP1133" s="109" t="e">
        <f t="shared" si="107"/>
        <v>#VALUE!</v>
      </c>
      <c r="AQ1133" s="397" t="e">
        <f t="shared" si="108"/>
        <v>#VALUE!</v>
      </c>
    </row>
    <row r="1134" spans="38:43">
      <c r="AL1134" s="414" t="str">
        <f t="shared" si="103"/>
        <v/>
      </c>
      <c r="AM1134" s="395" t="str">
        <f t="shared" si="104"/>
        <v/>
      </c>
      <c r="AN1134" s="396">
        <f t="shared" si="105"/>
        <v>0</v>
      </c>
      <c r="AO1134" s="109" t="str">
        <f t="shared" si="106"/>
        <v/>
      </c>
      <c r="AP1134" s="109" t="e">
        <f t="shared" si="107"/>
        <v>#VALUE!</v>
      </c>
      <c r="AQ1134" s="397" t="e">
        <f t="shared" si="108"/>
        <v>#VALUE!</v>
      </c>
    </row>
    <row r="1135" spans="38:43">
      <c r="AL1135" s="414" t="str">
        <f t="shared" si="103"/>
        <v/>
      </c>
      <c r="AM1135" s="395" t="str">
        <f t="shared" si="104"/>
        <v/>
      </c>
      <c r="AN1135" s="396">
        <f t="shared" si="105"/>
        <v>0</v>
      </c>
      <c r="AO1135" s="109" t="str">
        <f t="shared" si="106"/>
        <v/>
      </c>
      <c r="AP1135" s="109" t="e">
        <f t="shared" si="107"/>
        <v>#VALUE!</v>
      </c>
      <c r="AQ1135" s="397" t="e">
        <f t="shared" si="108"/>
        <v>#VALUE!</v>
      </c>
    </row>
    <row r="1136" spans="38:43">
      <c r="AL1136" s="414" t="str">
        <f t="shared" si="103"/>
        <v/>
      </c>
      <c r="AM1136" s="395" t="str">
        <f t="shared" si="104"/>
        <v/>
      </c>
      <c r="AN1136" s="396">
        <f t="shared" si="105"/>
        <v>0</v>
      </c>
      <c r="AO1136" s="109" t="str">
        <f t="shared" si="106"/>
        <v/>
      </c>
      <c r="AP1136" s="109" t="e">
        <f t="shared" si="107"/>
        <v>#VALUE!</v>
      </c>
      <c r="AQ1136" s="397" t="e">
        <f t="shared" si="108"/>
        <v>#VALUE!</v>
      </c>
    </row>
    <row r="1137" spans="38:43">
      <c r="AL1137" s="414" t="str">
        <f t="shared" si="103"/>
        <v/>
      </c>
      <c r="AM1137" s="395" t="str">
        <f t="shared" si="104"/>
        <v/>
      </c>
      <c r="AN1137" s="396">
        <f t="shared" si="105"/>
        <v>0</v>
      </c>
      <c r="AO1137" s="109" t="str">
        <f t="shared" si="106"/>
        <v/>
      </c>
      <c r="AP1137" s="109" t="e">
        <f t="shared" si="107"/>
        <v>#VALUE!</v>
      </c>
      <c r="AQ1137" s="397" t="e">
        <f t="shared" si="108"/>
        <v>#VALUE!</v>
      </c>
    </row>
    <row r="1138" spans="38:43">
      <c r="AL1138" s="414" t="str">
        <f t="shared" si="103"/>
        <v/>
      </c>
      <c r="AM1138" s="395" t="str">
        <f t="shared" si="104"/>
        <v/>
      </c>
      <c r="AN1138" s="396">
        <f t="shared" si="105"/>
        <v>0</v>
      </c>
      <c r="AO1138" s="109" t="str">
        <f t="shared" si="106"/>
        <v/>
      </c>
      <c r="AP1138" s="109" t="e">
        <f t="shared" si="107"/>
        <v>#VALUE!</v>
      </c>
      <c r="AQ1138" s="397" t="e">
        <f t="shared" si="108"/>
        <v>#VALUE!</v>
      </c>
    </row>
    <row r="1139" spans="38:43">
      <c r="AL1139" s="414" t="str">
        <f t="shared" si="103"/>
        <v/>
      </c>
      <c r="AM1139" s="395" t="str">
        <f t="shared" si="104"/>
        <v/>
      </c>
      <c r="AN1139" s="396">
        <f t="shared" si="105"/>
        <v>0</v>
      </c>
      <c r="AO1139" s="109" t="str">
        <f t="shared" si="106"/>
        <v/>
      </c>
      <c r="AP1139" s="109" t="e">
        <f t="shared" si="107"/>
        <v>#VALUE!</v>
      </c>
      <c r="AQ1139" s="397" t="e">
        <f t="shared" si="108"/>
        <v>#VALUE!</v>
      </c>
    </row>
    <row r="1140" spans="38:43">
      <c r="AL1140" s="414" t="str">
        <f t="shared" si="103"/>
        <v/>
      </c>
      <c r="AM1140" s="395" t="str">
        <f t="shared" si="104"/>
        <v/>
      </c>
      <c r="AN1140" s="396">
        <f t="shared" si="105"/>
        <v>0</v>
      </c>
      <c r="AO1140" s="109" t="str">
        <f t="shared" si="106"/>
        <v/>
      </c>
      <c r="AP1140" s="109" t="e">
        <f t="shared" si="107"/>
        <v>#VALUE!</v>
      </c>
      <c r="AQ1140" s="397" t="e">
        <f t="shared" si="108"/>
        <v>#VALUE!</v>
      </c>
    </row>
    <row r="1141" spans="38:43">
      <c r="AL1141" s="414" t="str">
        <f t="shared" si="103"/>
        <v/>
      </c>
      <c r="AM1141" s="395" t="str">
        <f t="shared" si="104"/>
        <v/>
      </c>
      <c r="AN1141" s="396">
        <f t="shared" si="105"/>
        <v>0</v>
      </c>
      <c r="AO1141" s="109" t="str">
        <f t="shared" si="106"/>
        <v/>
      </c>
      <c r="AP1141" s="109" t="e">
        <f t="shared" si="107"/>
        <v>#VALUE!</v>
      </c>
      <c r="AQ1141" s="397" t="e">
        <f t="shared" si="108"/>
        <v>#VALUE!</v>
      </c>
    </row>
    <row r="1142" spans="38:43">
      <c r="AL1142" s="414" t="str">
        <f t="shared" si="103"/>
        <v/>
      </c>
      <c r="AM1142" s="395" t="str">
        <f t="shared" si="104"/>
        <v/>
      </c>
      <c r="AN1142" s="396">
        <f t="shared" si="105"/>
        <v>0</v>
      </c>
      <c r="AO1142" s="109" t="str">
        <f t="shared" si="106"/>
        <v/>
      </c>
      <c r="AP1142" s="109" t="e">
        <f t="shared" si="107"/>
        <v>#VALUE!</v>
      </c>
      <c r="AQ1142" s="397" t="e">
        <f t="shared" si="108"/>
        <v>#VALUE!</v>
      </c>
    </row>
    <row r="1143" spans="38:43">
      <c r="AL1143" s="414" t="str">
        <f t="shared" si="103"/>
        <v/>
      </c>
      <c r="AM1143" s="395" t="str">
        <f t="shared" si="104"/>
        <v/>
      </c>
      <c r="AN1143" s="396">
        <f t="shared" si="105"/>
        <v>0</v>
      </c>
      <c r="AO1143" s="109" t="str">
        <f t="shared" si="106"/>
        <v/>
      </c>
      <c r="AP1143" s="109" t="e">
        <f t="shared" si="107"/>
        <v>#VALUE!</v>
      </c>
      <c r="AQ1143" s="397" t="e">
        <f t="shared" si="108"/>
        <v>#VALUE!</v>
      </c>
    </row>
    <row r="1144" spans="38:43">
      <c r="AL1144" s="414" t="str">
        <f t="shared" si="103"/>
        <v/>
      </c>
      <c r="AM1144" s="395" t="str">
        <f t="shared" si="104"/>
        <v/>
      </c>
      <c r="AN1144" s="396">
        <f t="shared" si="105"/>
        <v>0</v>
      </c>
      <c r="AO1144" s="109" t="str">
        <f t="shared" si="106"/>
        <v/>
      </c>
      <c r="AP1144" s="109" t="e">
        <f t="shared" si="107"/>
        <v>#VALUE!</v>
      </c>
      <c r="AQ1144" s="397" t="e">
        <f t="shared" si="108"/>
        <v>#VALUE!</v>
      </c>
    </row>
    <row r="1145" spans="38:43">
      <c r="AL1145" s="414" t="str">
        <f t="shared" si="103"/>
        <v/>
      </c>
      <c r="AM1145" s="395" t="str">
        <f t="shared" si="104"/>
        <v/>
      </c>
      <c r="AN1145" s="396">
        <f t="shared" si="105"/>
        <v>0</v>
      </c>
      <c r="AO1145" s="109" t="str">
        <f t="shared" si="106"/>
        <v/>
      </c>
      <c r="AP1145" s="109" t="e">
        <f t="shared" si="107"/>
        <v>#VALUE!</v>
      </c>
      <c r="AQ1145" s="397" t="e">
        <f t="shared" si="108"/>
        <v>#VALUE!</v>
      </c>
    </row>
    <row r="1146" spans="38:43">
      <c r="AL1146" s="414" t="str">
        <f t="shared" si="103"/>
        <v/>
      </c>
      <c r="AM1146" s="395" t="str">
        <f t="shared" si="104"/>
        <v/>
      </c>
      <c r="AN1146" s="396">
        <f t="shared" si="105"/>
        <v>0</v>
      </c>
      <c r="AO1146" s="109" t="str">
        <f t="shared" si="106"/>
        <v/>
      </c>
      <c r="AP1146" s="109" t="e">
        <f t="shared" si="107"/>
        <v>#VALUE!</v>
      </c>
      <c r="AQ1146" s="397" t="e">
        <f t="shared" si="108"/>
        <v>#VALUE!</v>
      </c>
    </row>
    <row r="1147" spans="38:43">
      <c r="AL1147" s="414" t="str">
        <f t="shared" si="103"/>
        <v/>
      </c>
      <c r="AM1147" s="395" t="str">
        <f t="shared" si="104"/>
        <v/>
      </c>
      <c r="AN1147" s="396">
        <f t="shared" si="105"/>
        <v>0</v>
      </c>
      <c r="AO1147" s="109" t="str">
        <f t="shared" si="106"/>
        <v/>
      </c>
      <c r="AP1147" s="109" t="e">
        <f t="shared" si="107"/>
        <v>#VALUE!</v>
      </c>
      <c r="AQ1147" s="397" t="e">
        <f t="shared" si="108"/>
        <v>#VALUE!</v>
      </c>
    </row>
    <row r="1148" spans="38:43">
      <c r="AL1148" s="414" t="str">
        <f t="shared" si="103"/>
        <v/>
      </c>
      <c r="AM1148" s="395" t="str">
        <f t="shared" si="104"/>
        <v/>
      </c>
      <c r="AN1148" s="396">
        <f t="shared" si="105"/>
        <v>0</v>
      </c>
      <c r="AO1148" s="109" t="str">
        <f t="shared" si="106"/>
        <v/>
      </c>
      <c r="AP1148" s="109" t="e">
        <f t="shared" si="107"/>
        <v>#VALUE!</v>
      </c>
      <c r="AQ1148" s="397" t="e">
        <f t="shared" si="108"/>
        <v>#VALUE!</v>
      </c>
    </row>
    <row r="1149" spans="38:43">
      <c r="AL1149" s="414" t="str">
        <f t="shared" si="103"/>
        <v/>
      </c>
      <c r="AM1149" s="395" t="str">
        <f t="shared" si="104"/>
        <v/>
      </c>
      <c r="AN1149" s="396">
        <f t="shared" si="105"/>
        <v>0</v>
      </c>
      <c r="AO1149" s="109" t="str">
        <f t="shared" si="106"/>
        <v/>
      </c>
      <c r="AP1149" s="109" t="e">
        <f t="shared" si="107"/>
        <v>#VALUE!</v>
      </c>
      <c r="AQ1149" s="397" t="e">
        <f t="shared" si="108"/>
        <v>#VALUE!</v>
      </c>
    </row>
    <row r="1150" spans="38:43">
      <c r="AL1150" s="414" t="str">
        <f t="shared" si="103"/>
        <v/>
      </c>
      <c r="AM1150" s="395" t="str">
        <f t="shared" si="104"/>
        <v/>
      </c>
      <c r="AN1150" s="396">
        <f t="shared" si="105"/>
        <v>0</v>
      </c>
      <c r="AO1150" s="109" t="str">
        <f t="shared" si="106"/>
        <v/>
      </c>
      <c r="AP1150" s="109" t="e">
        <f t="shared" si="107"/>
        <v>#VALUE!</v>
      </c>
      <c r="AQ1150" s="397" t="e">
        <f t="shared" si="108"/>
        <v>#VALUE!</v>
      </c>
    </row>
    <row r="1151" spans="38:43">
      <c r="AL1151" s="414" t="str">
        <f t="shared" si="103"/>
        <v/>
      </c>
      <c r="AM1151" s="395" t="str">
        <f t="shared" si="104"/>
        <v/>
      </c>
      <c r="AN1151" s="396">
        <f t="shared" si="105"/>
        <v>0</v>
      </c>
      <c r="AO1151" s="109" t="str">
        <f t="shared" si="106"/>
        <v/>
      </c>
      <c r="AP1151" s="109" t="e">
        <f t="shared" si="107"/>
        <v>#VALUE!</v>
      </c>
      <c r="AQ1151" s="397" t="e">
        <f t="shared" si="108"/>
        <v>#VALUE!</v>
      </c>
    </row>
    <row r="1152" spans="38:43">
      <c r="AL1152" s="414" t="str">
        <f t="shared" si="103"/>
        <v/>
      </c>
      <c r="AM1152" s="395" t="str">
        <f t="shared" si="104"/>
        <v/>
      </c>
      <c r="AN1152" s="396">
        <f t="shared" si="105"/>
        <v>0</v>
      </c>
      <c r="AO1152" s="109" t="str">
        <f t="shared" si="106"/>
        <v/>
      </c>
      <c r="AP1152" s="109" t="e">
        <f t="shared" si="107"/>
        <v>#VALUE!</v>
      </c>
      <c r="AQ1152" s="397" t="e">
        <f t="shared" si="108"/>
        <v>#VALUE!</v>
      </c>
    </row>
    <row r="1153" spans="38:43">
      <c r="AL1153" s="414" t="str">
        <f t="shared" si="103"/>
        <v/>
      </c>
      <c r="AM1153" s="395" t="str">
        <f t="shared" si="104"/>
        <v/>
      </c>
      <c r="AN1153" s="396">
        <f t="shared" si="105"/>
        <v>0</v>
      </c>
      <c r="AO1153" s="109" t="str">
        <f t="shared" si="106"/>
        <v/>
      </c>
      <c r="AP1153" s="109" t="e">
        <f t="shared" si="107"/>
        <v>#VALUE!</v>
      </c>
      <c r="AQ1153" s="397" t="e">
        <f t="shared" si="108"/>
        <v>#VALUE!</v>
      </c>
    </row>
    <row r="1154" spans="38:43">
      <c r="AL1154" s="414" t="str">
        <f t="shared" si="103"/>
        <v/>
      </c>
      <c r="AM1154" s="395" t="str">
        <f t="shared" si="104"/>
        <v/>
      </c>
      <c r="AN1154" s="396">
        <f t="shared" si="105"/>
        <v>0</v>
      </c>
      <c r="AO1154" s="109" t="str">
        <f t="shared" si="106"/>
        <v/>
      </c>
      <c r="AP1154" s="109" t="e">
        <f t="shared" si="107"/>
        <v>#VALUE!</v>
      </c>
      <c r="AQ1154" s="397" t="e">
        <f t="shared" si="108"/>
        <v>#VALUE!</v>
      </c>
    </row>
    <row r="1155" spans="38:43">
      <c r="AL1155" s="414" t="str">
        <f t="shared" ref="AL1155:AL1218" si="109">SUBSTITUTE(SUBSTITUTE(H1155,"[워커힐]워커힐 고메 시그니처 양념 본갈비 8팩","워커힐 시그니처 양념 본갈비 300g, 8개"),"[워커힐]워커힐 시그니처 양념 본갈비 4팩","워커힐 시그니처 양념 본갈비 300g, 4개")</f>
        <v/>
      </c>
      <c r="AM1155" s="395" t="str">
        <f t="shared" ref="AM1155:AM1218" si="110">IF(N1155="배송완료", DATE(LEFT(M1155,4), MID(M1155,6,2), MID(M1155,9,2)), "")</f>
        <v/>
      </c>
      <c r="AN1155" s="396">
        <f t="shared" ref="AN1155:AN1218" si="111">IF(OR(N1155="배송완료", Q1155&lt;0), Q1155, 0)</f>
        <v>0</v>
      </c>
      <c r="AO1155" s="109" t="str">
        <f t="shared" ref="AO1155:AO1218" si="112">IF(AL1155="워커힐 시그니처 양념 본갈비 300g, 8개",119000,IF(AL1155="워커힐 시그니처 양념 본갈비 300g, 4개",78000,""))</f>
        <v/>
      </c>
      <c r="AP1155" s="109" t="e">
        <f t="shared" ref="AP1155:AP1218" si="113">AO1155/1.1</f>
        <v>#VALUE!</v>
      </c>
      <c r="AQ1155" s="397" t="e">
        <f t="shared" si="108"/>
        <v>#VALUE!</v>
      </c>
    </row>
    <row r="1156" spans="38:43">
      <c r="AL1156" s="414" t="str">
        <f t="shared" si="109"/>
        <v/>
      </c>
      <c r="AM1156" s="395" t="str">
        <f t="shared" si="110"/>
        <v/>
      </c>
      <c r="AN1156" s="396">
        <f t="shared" si="111"/>
        <v>0</v>
      </c>
      <c r="AO1156" s="109" t="str">
        <f t="shared" si="112"/>
        <v/>
      </c>
      <c r="AP1156" s="109" t="e">
        <f t="shared" si="113"/>
        <v>#VALUE!</v>
      </c>
      <c r="AQ1156" s="397" t="e">
        <f t="shared" si="108"/>
        <v>#VALUE!</v>
      </c>
    </row>
    <row r="1157" spans="38:43">
      <c r="AL1157" s="414" t="str">
        <f t="shared" si="109"/>
        <v/>
      </c>
      <c r="AM1157" s="395" t="str">
        <f t="shared" si="110"/>
        <v/>
      </c>
      <c r="AN1157" s="396">
        <f t="shared" si="111"/>
        <v>0</v>
      </c>
      <c r="AO1157" s="109" t="str">
        <f t="shared" si="112"/>
        <v/>
      </c>
      <c r="AP1157" s="109" t="e">
        <f t="shared" si="113"/>
        <v>#VALUE!</v>
      </c>
      <c r="AQ1157" s="397" t="e">
        <f t="shared" si="108"/>
        <v>#VALUE!</v>
      </c>
    </row>
    <row r="1158" spans="38:43">
      <c r="AL1158" s="414" t="str">
        <f t="shared" si="109"/>
        <v/>
      </c>
      <c r="AM1158" s="395" t="str">
        <f t="shared" si="110"/>
        <v/>
      </c>
      <c r="AN1158" s="396">
        <f t="shared" si="111"/>
        <v>0</v>
      </c>
      <c r="AO1158" s="109" t="str">
        <f t="shared" si="112"/>
        <v/>
      </c>
      <c r="AP1158" s="109" t="e">
        <f t="shared" si="113"/>
        <v>#VALUE!</v>
      </c>
      <c r="AQ1158" s="397" t="e">
        <f t="shared" si="108"/>
        <v>#VALUE!</v>
      </c>
    </row>
    <row r="1159" spans="38:43">
      <c r="AL1159" s="414" t="str">
        <f t="shared" si="109"/>
        <v/>
      </c>
      <c r="AM1159" s="395" t="str">
        <f t="shared" si="110"/>
        <v/>
      </c>
      <c r="AN1159" s="396">
        <f t="shared" si="111"/>
        <v>0</v>
      </c>
      <c r="AO1159" s="109" t="str">
        <f t="shared" si="112"/>
        <v/>
      </c>
      <c r="AP1159" s="109" t="e">
        <f t="shared" si="113"/>
        <v>#VALUE!</v>
      </c>
      <c r="AQ1159" s="397" t="e">
        <f t="shared" si="108"/>
        <v>#VALUE!</v>
      </c>
    </row>
    <row r="1160" spans="38:43">
      <c r="AL1160" s="414" t="str">
        <f t="shared" si="109"/>
        <v/>
      </c>
      <c r="AM1160" s="395" t="str">
        <f t="shared" si="110"/>
        <v/>
      </c>
      <c r="AN1160" s="396">
        <f t="shared" si="111"/>
        <v>0</v>
      </c>
      <c r="AO1160" s="109" t="str">
        <f t="shared" si="112"/>
        <v/>
      </c>
      <c r="AP1160" s="109" t="e">
        <f t="shared" si="113"/>
        <v>#VALUE!</v>
      </c>
      <c r="AQ1160" s="397" t="e">
        <f t="shared" si="108"/>
        <v>#VALUE!</v>
      </c>
    </row>
    <row r="1161" spans="38:43">
      <c r="AL1161" s="414" t="str">
        <f t="shared" si="109"/>
        <v/>
      </c>
      <c r="AM1161" s="395" t="str">
        <f t="shared" si="110"/>
        <v/>
      </c>
      <c r="AN1161" s="396">
        <f t="shared" si="111"/>
        <v>0</v>
      </c>
      <c r="AO1161" s="109" t="str">
        <f t="shared" si="112"/>
        <v/>
      </c>
      <c r="AP1161" s="109" t="e">
        <f t="shared" si="113"/>
        <v>#VALUE!</v>
      </c>
      <c r="AQ1161" s="397" t="e">
        <f t="shared" si="108"/>
        <v>#VALUE!</v>
      </c>
    </row>
    <row r="1162" spans="38:43">
      <c r="AL1162" s="414" t="str">
        <f t="shared" si="109"/>
        <v/>
      </c>
      <c r="AM1162" s="395" t="str">
        <f t="shared" si="110"/>
        <v/>
      </c>
      <c r="AN1162" s="396">
        <f t="shared" si="111"/>
        <v>0</v>
      </c>
      <c r="AO1162" s="109" t="str">
        <f t="shared" si="112"/>
        <v/>
      </c>
      <c r="AP1162" s="109" t="e">
        <f t="shared" si="113"/>
        <v>#VALUE!</v>
      </c>
      <c r="AQ1162" s="397" t="e">
        <f t="shared" si="108"/>
        <v>#VALUE!</v>
      </c>
    </row>
    <row r="1163" spans="38:43">
      <c r="AL1163" s="414" t="str">
        <f t="shared" si="109"/>
        <v/>
      </c>
      <c r="AM1163" s="395" t="str">
        <f t="shared" si="110"/>
        <v/>
      </c>
      <c r="AN1163" s="396">
        <f t="shared" si="111"/>
        <v>0</v>
      </c>
      <c r="AO1163" s="109" t="str">
        <f t="shared" si="112"/>
        <v/>
      </c>
      <c r="AP1163" s="109" t="e">
        <f t="shared" si="113"/>
        <v>#VALUE!</v>
      </c>
      <c r="AQ1163" s="397" t="e">
        <f t="shared" si="108"/>
        <v>#VALUE!</v>
      </c>
    </row>
    <row r="1164" spans="38:43">
      <c r="AL1164" s="414" t="str">
        <f t="shared" si="109"/>
        <v/>
      </c>
      <c r="AM1164" s="395" t="str">
        <f t="shared" si="110"/>
        <v/>
      </c>
      <c r="AN1164" s="396">
        <f t="shared" si="111"/>
        <v>0</v>
      </c>
      <c r="AO1164" s="109" t="str">
        <f t="shared" si="112"/>
        <v/>
      </c>
      <c r="AP1164" s="109" t="e">
        <f t="shared" si="113"/>
        <v>#VALUE!</v>
      </c>
      <c r="AQ1164" s="397" t="e">
        <f t="shared" si="108"/>
        <v>#VALUE!</v>
      </c>
    </row>
    <row r="1165" spans="38:43">
      <c r="AL1165" s="414" t="str">
        <f t="shared" si="109"/>
        <v/>
      </c>
      <c r="AM1165" s="395" t="str">
        <f t="shared" si="110"/>
        <v/>
      </c>
      <c r="AN1165" s="396">
        <f t="shared" si="111"/>
        <v>0</v>
      </c>
      <c r="AO1165" s="109" t="str">
        <f t="shared" si="112"/>
        <v/>
      </c>
      <c r="AP1165" s="109" t="e">
        <f t="shared" si="113"/>
        <v>#VALUE!</v>
      </c>
      <c r="AQ1165" s="397" t="e">
        <f t="shared" si="108"/>
        <v>#VALUE!</v>
      </c>
    </row>
    <row r="1166" spans="38:43">
      <c r="AL1166" s="414" t="str">
        <f t="shared" si="109"/>
        <v/>
      </c>
      <c r="AM1166" s="395" t="str">
        <f t="shared" si="110"/>
        <v/>
      </c>
      <c r="AN1166" s="396">
        <f t="shared" si="111"/>
        <v>0</v>
      </c>
      <c r="AO1166" s="109" t="str">
        <f t="shared" si="112"/>
        <v/>
      </c>
      <c r="AP1166" s="109" t="e">
        <f t="shared" si="113"/>
        <v>#VALUE!</v>
      </c>
      <c r="AQ1166" s="397" t="e">
        <f t="shared" si="108"/>
        <v>#VALUE!</v>
      </c>
    </row>
    <row r="1167" spans="38:43">
      <c r="AL1167" s="414" t="str">
        <f t="shared" si="109"/>
        <v/>
      </c>
      <c r="AM1167" s="395" t="str">
        <f t="shared" si="110"/>
        <v/>
      </c>
      <c r="AN1167" s="396">
        <f t="shared" si="111"/>
        <v>0</v>
      </c>
      <c r="AO1167" s="109" t="str">
        <f t="shared" si="112"/>
        <v/>
      </c>
      <c r="AP1167" s="109" t="e">
        <f t="shared" si="113"/>
        <v>#VALUE!</v>
      </c>
      <c r="AQ1167" s="397" t="e">
        <f t="shared" si="108"/>
        <v>#VALUE!</v>
      </c>
    </row>
    <row r="1168" spans="38:43">
      <c r="AL1168" s="414" t="str">
        <f t="shared" si="109"/>
        <v/>
      </c>
      <c r="AM1168" s="395" t="str">
        <f t="shared" si="110"/>
        <v/>
      </c>
      <c r="AN1168" s="396">
        <f t="shared" si="111"/>
        <v>0</v>
      </c>
      <c r="AO1168" s="109" t="str">
        <f t="shared" si="112"/>
        <v/>
      </c>
      <c r="AP1168" s="109" t="e">
        <f t="shared" si="113"/>
        <v>#VALUE!</v>
      </c>
      <c r="AQ1168" s="397" t="e">
        <f t="shared" si="108"/>
        <v>#VALUE!</v>
      </c>
    </row>
    <row r="1169" spans="38:43">
      <c r="AL1169" s="414" t="str">
        <f t="shared" si="109"/>
        <v/>
      </c>
      <c r="AM1169" s="395" t="str">
        <f t="shared" si="110"/>
        <v/>
      </c>
      <c r="AN1169" s="396">
        <f t="shared" si="111"/>
        <v>0</v>
      </c>
      <c r="AO1169" s="109" t="str">
        <f t="shared" si="112"/>
        <v/>
      </c>
      <c r="AP1169" s="109" t="e">
        <f t="shared" si="113"/>
        <v>#VALUE!</v>
      </c>
      <c r="AQ1169" s="397" t="e">
        <f t="shared" si="108"/>
        <v>#VALUE!</v>
      </c>
    </row>
    <row r="1170" spans="38:43">
      <c r="AL1170" s="414" t="str">
        <f t="shared" si="109"/>
        <v/>
      </c>
      <c r="AM1170" s="395" t="str">
        <f t="shared" si="110"/>
        <v/>
      </c>
      <c r="AN1170" s="396">
        <f t="shared" si="111"/>
        <v>0</v>
      </c>
      <c r="AO1170" s="109" t="str">
        <f t="shared" si="112"/>
        <v/>
      </c>
      <c r="AP1170" s="109" t="e">
        <f t="shared" si="113"/>
        <v>#VALUE!</v>
      </c>
      <c r="AQ1170" s="397" t="e">
        <f t="shared" si="108"/>
        <v>#VALUE!</v>
      </c>
    </row>
    <row r="1171" spans="38:43">
      <c r="AL1171" s="414" t="str">
        <f t="shared" si="109"/>
        <v/>
      </c>
      <c r="AM1171" s="395" t="str">
        <f t="shared" si="110"/>
        <v/>
      </c>
      <c r="AN1171" s="396">
        <f t="shared" si="111"/>
        <v>0</v>
      </c>
      <c r="AO1171" s="109" t="str">
        <f t="shared" si="112"/>
        <v/>
      </c>
      <c r="AP1171" s="109" t="e">
        <f t="shared" si="113"/>
        <v>#VALUE!</v>
      </c>
      <c r="AQ1171" s="397" t="e">
        <f t="shared" si="108"/>
        <v>#VALUE!</v>
      </c>
    </row>
    <row r="1172" spans="38:43">
      <c r="AL1172" s="414" t="str">
        <f t="shared" si="109"/>
        <v/>
      </c>
      <c r="AM1172" s="395" t="str">
        <f t="shared" si="110"/>
        <v/>
      </c>
      <c r="AN1172" s="396">
        <f t="shared" si="111"/>
        <v>0</v>
      </c>
      <c r="AO1172" s="109" t="str">
        <f t="shared" si="112"/>
        <v/>
      </c>
      <c r="AP1172" s="109" t="e">
        <f t="shared" si="113"/>
        <v>#VALUE!</v>
      </c>
      <c r="AQ1172" s="397" t="e">
        <f t="shared" si="108"/>
        <v>#VALUE!</v>
      </c>
    </row>
    <row r="1173" spans="38:43">
      <c r="AL1173" s="414" t="str">
        <f t="shared" si="109"/>
        <v/>
      </c>
      <c r="AM1173" s="395" t="str">
        <f t="shared" si="110"/>
        <v/>
      </c>
      <c r="AN1173" s="396">
        <f t="shared" si="111"/>
        <v>0</v>
      </c>
      <c r="AO1173" s="109" t="str">
        <f t="shared" si="112"/>
        <v/>
      </c>
      <c r="AP1173" s="109" t="e">
        <f t="shared" si="113"/>
        <v>#VALUE!</v>
      </c>
      <c r="AQ1173" s="397" t="e">
        <f t="shared" si="108"/>
        <v>#VALUE!</v>
      </c>
    </row>
    <row r="1174" spans="38:43">
      <c r="AL1174" s="414" t="str">
        <f t="shared" si="109"/>
        <v/>
      </c>
      <c r="AM1174" s="395" t="str">
        <f t="shared" si="110"/>
        <v/>
      </c>
      <c r="AN1174" s="396">
        <f t="shared" si="111"/>
        <v>0</v>
      </c>
      <c r="AO1174" s="109" t="str">
        <f t="shared" si="112"/>
        <v/>
      </c>
      <c r="AP1174" s="109" t="e">
        <f t="shared" si="113"/>
        <v>#VALUE!</v>
      </c>
      <c r="AQ1174" s="397" t="e">
        <f t="shared" si="108"/>
        <v>#VALUE!</v>
      </c>
    </row>
    <row r="1175" spans="38:43">
      <c r="AL1175" s="414" t="str">
        <f t="shared" si="109"/>
        <v/>
      </c>
      <c r="AM1175" s="395" t="str">
        <f t="shared" si="110"/>
        <v/>
      </c>
      <c r="AN1175" s="396">
        <f t="shared" si="111"/>
        <v>0</v>
      </c>
      <c r="AO1175" s="109" t="str">
        <f t="shared" si="112"/>
        <v/>
      </c>
      <c r="AP1175" s="109" t="e">
        <f t="shared" si="113"/>
        <v>#VALUE!</v>
      </c>
      <c r="AQ1175" s="397" t="e">
        <f t="shared" si="108"/>
        <v>#VALUE!</v>
      </c>
    </row>
    <row r="1176" spans="38:43">
      <c r="AL1176" s="414" t="str">
        <f t="shared" si="109"/>
        <v/>
      </c>
      <c r="AM1176" s="395" t="str">
        <f t="shared" si="110"/>
        <v/>
      </c>
      <c r="AN1176" s="396">
        <f t="shared" si="111"/>
        <v>0</v>
      </c>
      <c r="AO1176" s="109" t="str">
        <f t="shared" si="112"/>
        <v/>
      </c>
      <c r="AP1176" s="109" t="e">
        <f t="shared" si="113"/>
        <v>#VALUE!</v>
      </c>
      <c r="AQ1176" s="397" t="e">
        <f t="shared" si="108"/>
        <v>#VALUE!</v>
      </c>
    </row>
    <row r="1177" spans="38:43">
      <c r="AL1177" s="414" t="str">
        <f t="shared" si="109"/>
        <v/>
      </c>
      <c r="AM1177" s="395" t="str">
        <f t="shared" si="110"/>
        <v/>
      </c>
      <c r="AN1177" s="396">
        <f t="shared" si="111"/>
        <v>0</v>
      </c>
      <c r="AO1177" s="109" t="str">
        <f t="shared" si="112"/>
        <v/>
      </c>
      <c r="AP1177" s="109" t="e">
        <f t="shared" si="113"/>
        <v>#VALUE!</v>
      </c>
      <c r="AQ1177" s="397" t="e">
        <f t="shared" si="108"/>
        <v>#VALUE!</v>
      </c>
    </row>
    <row r="1178" spans="38:43">
      <c r="AL1178" s="414" t="str">
        <f t="shared" si="109"/>
        <v/>
      </c>
      <c r="AM1178" s="395" t="str">
        <f t="shared" si="110"/>
        <v/>
      </c>
      <c r="AN1178" s="396">
        <f t="shared" si="111"/>
        <v>0</v>
      </c>
      <c r="AO1178" s="109" t="str">
        <f t="shared" si="112"/>
        <v/>
      </c>
      <c r="AP1178" s="109" t="e">
        <f t="shared" si="113"/>
        <v>#VALUE!</v>
      </c>
      <c r="AQ1178" s="397" t="e">
        <f t="shared" si="108"/>
        <v>#VALUE!</v>
      </c>
    </row>
    <row r="1179" spans="38:43">
      <c r="AL1179" s="414" t="str">
        <f t="shared" si="109"/>
        <v/>
      </c>
      <c r="AM1179" s="395" t="str">
        <f t="shared" si="110"/>
        <v/>
      </c>
      <c r="AN1179" s="396">
        <f t="shared" si="111"/>
        <v>0</v>
      </c>
      <c r="AO1179" s="109" t="str">
        <f t="shared" si="112"/>
        <v/>
      </c>
      <c r="AP1179" s="109" t="e">
        <f t="shared" si="113"/>
        <v>#VALUE!</v>
      </c>
      <c r="AQ1179" s="397" t="e">
        <f t="shared" si="108"/>
        <v>#VALUE!</v>
      </c>
    </row>
    <row r="1180" spans="38:43">
      <c r="AL1180" s="414" t="str">
        <f t="shared" si="109"/>
        <v/>
      </c>
      <c r="AM1180" s="395" t="str">
        <f t="shared" si="110"/>
        <v/>
      </c>
      <c r="AN1180" s="396">
        <f t="shared" si="111"/>
        <v>0</v>
      </c>
      <c r="AO1180" s="109" t="str">
        <f t="shared" si="112"/>
        <v/>
      </c>
      <c r="AP1180" s="109" t="e">
        <f t="shared" si="113"/>
        <v>#VALUE!</v>
      </c>
      <c r="AQ1180" s="397" t="e">
        <f t="shared" si="108"/>
        <v>#VALUE!</v>
      </c>
    </row>
    <row r="1181" spans="38:43">
      <c r="AL1181" s="414" t="str">
        <f t="shared" si="109"/>
        <v/>
      </c>
      <c r="AM1181" s="395" t="str">
        <f t="shared" si="110"/>
        <v/>
      </c>
      <c r="AN1181" s="396">
        <f t="shared" si="111"/>
        <v>0</v>
      </c>
      <c r="AO1181" s="109" t="str">
        <f t="shared" si="112"/>
        <v/>
      </c>
      <c r="AP1181" s="109" t="e">
        <f t="shared" si="113"/>
        <v>#VALUE!</v>
      </c>
      <c r="AQ1181" s="397" t="e">
        <f t="shared" ref="AQ1181:AQ1244" si="114">AN1181*AP1181</f>
        <v>#VALUE!</v>
      </c>
    </row>
    <row r="1182" spans="38:43">
      <c r="AL1182" s="414" t="str">
        <f t="shared" si="109"/>
        <v/>
      </c>
      <c r="AM1182" s="395" t="str">
        <f t="shared" si="110"/>
        <v/>
      </c>
      <c r="AN1182" s="396">
        <f t="shared" si="111"/>
        <v>0</v>
      </c>
      <c r="AO1182" s="109" t="str">
        <f t="shared" si="112"/>
        <v/>
      </c>
      <c r="AP1182" s="109" t="e">
        <f t="shared" si="113"/>
        <v>#VALUE!</v>
      </c>
      <c r="AQ1182" s="397" t="e">
        <f t="shared" si="114"/>
        <v>#VALUE!</v>
      </c>
    </row>
    <row r="1183" spans="38:43">
      <c r="AL1183" s="414" t="str">
        <f t="shared" si="109"/>
        <v/>
      </c>
      <c r="AM1183" s="395" t="str">
        <f t="shared" si="110"/>
        <v/>
      </c>
      <c r="AN1183" s="396">
        <f t="shared" si="111"/>
        <v>0</v>
      </c>
      <c r="AO1183" s="109" t="str">
        <f t="shared" si="112"/>
        <v/>
      </c>
      <c r="AP1183" s="109" t="e">
        <f t="shared" si="113"/>
        <v>#VALUE!</v>
      </c>
      <c r="AQ1183" s="397" t="e">
        <f t="shared" si="114"/>
        <v>#VALUE!</v>
      </c>
    </row>
    <row r="1184" spans="38:43">
      <c r="AL1184" s="414" t="str">
        <f t="shared" si="109"/>
        <v/>
      </c>
      <c r="AM1184" s="395" t="str">
        <f t="shared" si="110"/>
        <v/>
      </c>
      <c r="AN1184" s="396">
        <f t="shared" si="111"/>
        <v>0</v>
      </c>
      <c r="AO1184" s="109" t="str">
        <f t="shared" si="112"/>
        <v/>
      </c>
      <c r="AP1184" s="109" t="e">
        <f t="shared" si="113"/>
        <v>#VALUE!</v>
      </c>
      <c r="AQ1184" s="397" t="e">
        <f t="shared" si="114"/>
        <v>#VALUE!</v>
      </c>
    </row>
    <row r="1185" spans="38:43">
      <c r="AL1185" s="414" t="str">
        <f t="shared" si="109"/>
        <v/>
      </c>
      <c r="AM1185" s="395" t="str">
        <f t="shared" si="110"/>
        <v/>
      </c>
      <c r="AN1185" s="396">
        <f t="shared" si="111"/>
        <v>0</v>
      </c>
      <c r="AO1185" s="109" t="str">
        <f t="shared" si="112"/>
        <v/>
      </c>
      <c r="AP1185" s="109" t="e">
        <f t="shared" si="113"/>
        <v>#VALUE!</v>
      </c>
      <c r="AQ1185" s="397" t="e">
        <f t="shared" si="114"/>
        <v>#VALUE!</v>
      </c>
    </row>
    <row r="1186" spans="38:43">
      <c r="AL1186" s="414" t="str">
        <f t="shared" si="109"/>
        <v/>
      </c>
      <c r="AM1186" s="395" t="str">
        <f t="shared" si="110"/>
        <v/>
      </c>
      <c r="AN1186" s="396">
        <f t="shared" si="111"/>
        <v>0</v>
      </c>
      <c r="AO1186" s="109" t="str">
        <f t="shared" si="112"/>
        <v/>
      </c>
      <c r="AP1186" s="109" t="e">
        <f t="shared" si="113"/>
        <v>#VALUE!</v>
      </c>
      <c r="AQ1186" s="397" t="e">
        <f t="shared" si="114"/>
        <v>#VALUE!</v>
      </c>
    </row>
    <row r="1187" spans="38:43">
      <c r="AL1187" s="414" t="str">
        <f t="shared" si="109"/>
        <v/>
      </c>
      <c r="AM1187" s="395" t="str">
        <f t="shared" si="110"/>
        <v/>
      </c>
      <c r="AN1187" s="396">
        <f t="shared" si="111"/>
        <v>0</v>
      </c>
      <c r="AO1187" s="109" t="str">
        <f t="shared" si="112"/>
        <v/>
      </c>
      <c r="AP1187" s="109" t="e">
        <f t="shared" si="113"/>
        <v>#VALUE!</v>
      </c>
      <c r="AQ1187" s="397" t="e">
        <f t="shared" si="114"/>
        <v>#VALUE!</v>
      </c>
    </row>
    <row r="1188" spans="38:43">
      <c r="AL1188" s="414" t="str">
        <f t="shared" si="109"/>
        <v/>
      </c>
      <c r="AM1188" s="395" t="str">
        <f t="shared" si="110"/>
        <v/>
      </c>
      <c r="AN1188" s="396">
        <f t="shared" si="111"/>
        <v>0</v>
      </c>
      <c r="AO1188" s="109" t="str">
        <f t="shared" si="112"/>
        <v/>
      </c>
      <c r="AP1188" s="109" t="e">
        <f t="shared" si="113"/>
        <v>#VALUE!</v>
      </c>
      <c r="AQ1188" s="397" t="e">
        <f t="shared" si="114"/>
        <v>#VALUE!</v>
      </c>
    </row>
    <row r="1189" spans="38:43">
      <c r="AL1189" s="414" t="str">
        <f t="shared" si="109"/>
        <v/>
      </c>
      <c r="AM1189" s="395" t="str">
        <f t="shared" si="110"/>
        <v/>
      </c>
      <c r="AN1189" s="396">
        <f t="shared" si="111"/>
        <v>0</v>
      </c>
      <c r="AO1189" s="109" t="str">
        <f t="shared" si="112"/>
        <v/>
      </c>
      <c r="AP1189" s="109" t="e">
        <f t="shared" si="113"/>
        <v>#VALUE!</v>
      </c>
      <c r="AQ1189" s="397" t="e">
        <f t="shared" si="114"/>
        <v>#VALUE!</v>
      </c>
    </row>
    <row r="1190" spans="38:43">
      <c r="AL1190" s="414" t="str">
        <f t="shared" si="109"/>
        <v/>
      </c>
      <c r="AM1190" s="395" t="str">
        <f t="shared" si="110"/>
        <v/>
      </c>
      <c r="AN1190" s="396">
        <f t="shared" si="111"/>
        <v>0</v>
      </c>
      <c r="AO1190" s="109" t="str">
        <f t="shared" si="112"/>
        <v/>
      </c>
      <c r="AP1190" s="109" t="e">
        <f t="shared" si="113"/>
        <v>#VALUE!</v>
      </c>
      <c r="AQ1190" s="397" t="e">
        <f t="shared" si="114"/>
        <v>#VALUE!</v>
      </c>
    </row>
    <row r="1191" spans="38:43">
      <c r="AL1191" s="414" t="str">
        <f t="shared" si="109"/>
        <v/>
      </c>
      <c r="AM1191" s="395" t="str">
        <f t="shared" si="110"/>
        <v/>
      </c>
      <c r="AN1191" s="396">
        <f t="shared" si="111"/>
        <v>0</v>
      </c>
      <c r="AO1191" s="109" t="str">
        <f t="shared" si="112"/>
        <v/>
      </c>
      <c r="AP1191" s="109" t="e">
        <f t="shared" si="113"/>
        <v>#VALUE!</v>
      </c>
      <c r="AQ1191" s="397" t="e">
        <f t="shared" si="114"/>
        <v>#VALUE!</v>
      </c>
    </row>
    <row r="1192" spans="38:43">
      <c r="AL1192" s="414" t="str">
        <f t="shared" si="109"/>
        <v/>
      </c>
      <c r="AM1192" s="395" t="str">
        <f t="shared" si="110"/>
        <v/>
      </c>
      <c r="AN1192" s="396">
        <f t="shared" si="111"/>
        <v>0</v>
      </c>
      <c r="AO1192" s="109" t="str">
        <f t="shared" si="112"/>
        <v/>
      </c>
      <c r="AP1192" s="109" t="e">
        <f t="shared" si="113"/>
        <v>#VALUE!</v>
      </c>
      <c r="AQ1192" s="397" t="e">
        <f t="shared" si="114"/>
        <v>#VALUE!</v>
      </c>
    </row>
    <row r="1193" spans="38:43">
      <c r="AL1193" s="414" t="str">
        <f t="shared" si="109"/>
        <v/>
      </c>
      <c r="AM1193" s="395" t="str">
        <f t="shared" si="110"/>
        <v/>
      </c>
      <c r="AN1193" s="396">
        <f t="shared" si="111"/>
        <v>0</v>
      </c>
      <c r="AO1193" s="109" t="str">
        <f t="shared" si="112"/>
        <v/>
      </c>
      <c r="AP1193" s="109" t="e">
        <f t="shared" si="113"/>
        <v>#VALUE!</v>
      </c>
      <c r="AQ1193" s="397" t="e">
        <f t="shared" si="114"/>
        <v>#VALUE!</v>
      </c>
    </row>
    <row r="1194" spans="38:43">
      <c r="AL1194" s="414" t="str">
        <f t="shared" si="109"/>
        <v/>
      </c>
      <c r="AM1194" s="395" t="str">
        <f t="shared" si="110"/>
        <v/>
      </c>
      <c r="AN1194" s="396">
        <f t="shared" si="111"/>
        <v>0</v>
      </c>
      <c r="AO1194" s="109" t="str">
        <f t="shared" si="112"/>
        <v/>
      </c>
      <c r="AP1194" s="109" t="e">
        <f t="shared" si="113"/>
        <v>#VALUE!</v>
      </c>
      <c r="AQ1194" s="397" t="e">
        <f t="shared" si="114"/>
        <v>#VALUE!</v>
      </c>
    </row>
    <row r="1195" spans="38:43">
      <c r="AL1195" s="414" t="str">
        <f t="shared" si="109"/>
        <v/>
      </c>
      <c r="AM1195" s="395" t="str">
        <f t="shared" si="110"/>
        <v/>
      </c>
      <c r="AN1195" s="396">
        <f t="shared" si="111"/>
        <v>0</v>
      </c>
      <c r="AO1195" s="109" t="str">
        <f t="shared" si="112"/>
        <v/>
      </c>
      <c r="AP1195" s="109" t="e">
        <f t="shared" si="113"/>
        <v>#VALUE!</v>
      </c>
      <c r="AQ1195" s="397" t="e">
        <f t="shared" si="114"/>
        <v>#VALUE!</v>
      </c>
    </row>
    <row r="1196" spans="38:43">
      <c r="AL1196" s="414" t="str">
        <f t="shared" si="109"/>
        <v/>
      </c>
      <c r="AM1196" s="395" t="str">
        <f t="shared" si="110"/>
        <v/>
      </c>
      <c r="AN1196" s="396">
        <f t="shared" si="111"/>
        <v>0</v>
      </c>
      <c r="AO1196" s="109" t="str">
        <f t="shared" si="112"/>
        <v/>
      </c>
      <c r="AP1196" s="109" t="e">
        <f t="shared" si="113"/>
        <v>#VALUE!</v>
      </c>
      <c r="AQ1196" s="397" t="e">
        <f t="shared" si="114"/>
        <v>#VALUE!</v>
      </c>
    </row>
    <row r="1197" spans="38:43">
      <c r="AL1197" s="414" t="str">
        <f t="shared" si="109"/>
        <v/>
      </c>
      <c r="AM1197" s="395" t="str">
        <f t="shared" si="110"/>
        <v/>
      </c>
      <c r="AN1197" s="396">
        <f t="shared" si="111"/>
        <v>0</v>
      </c>
      <c r="AO1197" s="109" t="str">
        <f t="shared" si="112"/>
        <v/>
      </c>
      <c r="AP1197" s="109" t="e">
        <f t="shared" si="113"/>
        <v>#VALUE!</v>
      </c>
      <c r="AQ1197" s="397" t="e">
        <f t="shared" si="114"/>
        <v>#VALUE!</v>
      </c>
    </row>
    <row r="1198" spans="38:43">
      <c r="AL1198" s="414" t="str">
        <f t="shared" si="109"/>
        <v/>
      </c>
      <c r="AM1198" s="395" t="str">
        <f t="shared" si="110"/>
        <v/>
      </c>
      <c r="AN1198" s="396">
        <f t="shared" si="111"/>
        <v>0</v>
      </c>
      <c r="AO1198" s="109" t="str">
        <f t="shared" si="112"/>
        <v/>
      </c>
      <c r="AP1198" s="109" t="e">
        <f t="shared" si="113"/>
        <v>#VALUE!</v>
      </c>
      <c r="AQ1198" s="397" t="e">
        <f t="shared" si="114"/>
        <v>#VALUE!</v>
      </c>
    </row>
    <row r="1199" spans="38:43">
      <c r="AL1199" s="414" t="str">
        <f t="shared" si="109"/>
        <v/>
      </c>
      <c r="AM1199" s="395" t="str">
        <f t="shared" si="110"/>
        <v/>
      </c>
      <c r="AN1199" s="396">
        <f t="shared" si="111"/>
        <v>0</v>
      </c>
      <c r="AO1199" s="109" t="str">
        <f t="shared" si="112"/>
        <v/>
      </c>
      <c r="AP1199" s="109" t="e">
        <f t="shared" si="113"/>
        <v>#VALUE!</v>
      </c>
      <c r="AQ1199" s="397" t="e">
        <f t="shared" si="114"/>
        <v>#VALUE!</v>
      </c>
    </row>
    <row r="1200" spans="38:43">
      <c r="AL1200" s="414" t="str">
        <f t="shared" si="109"/>
        <v/>
      </c>
      <c r="AM1200" s="395" t="str">
        <f t="shared" si="110"/>
        <v/>
      </c>
      <c r="AN1200" s="396">
        <f t="shared" si="111"/>
        <v>0</v>
      </c>
      <c r="AO1200" s="109" t="str">
        <f t="shared" si="112"/>
        <v/>
      </c>
      <c r="AP1200" s="109" t="e">
        <f t="shared" si="113"/>
        <v>#VALUE!</v>
      </c>
      <c r="AQ1200" s="397" t="e">
        <f t="shared" si="114"/>
        <v>#VALUE!</v>
      </c>
    </row>
    <row r="1201" spans="38:43">
      <c r="AL1201" s="414" t="str">
        <f t="shared" si="109"/>
        <v/>
      </c>
      <c r="AM1201" s="395" t="str">
        <f t="shared" si="110"/>
        <v/>
      </c>
      <c r="AN1201" s="396">
        <f t="shared" si="111"/>
        <v>0</v>
      </c>
      <c r="AO1201" s="109" t="str">
        <f t="shared" si="112"/>
        <v/>
      </c>
      <c r="AP1201" s="109" t="e">
        <f t="shared" si="113"/>
        <v>#VALUE!</v>
      </c>
      <c r="AQ1201" s="397" t="e">
        <f t="shared" si="114"/>
        <v>#VALUE!</v>
      </c>
    </row>
    <row r="1202" spans="38:43">
      <c r="AL1202" s="414" t="str">
        <f t="shared" si="109"/>
        <v/>
      </c>
      <c r="AM1202" s="395" t="str">
        <f t="shared" si="110"/>
        <v/>
      </c>
      <c r="AN1202" s="396">
        <f t="shared" si="111"/>
        <v>0</v>
      </c>
      <c r="AO1202" s="109" t="str">
        <f t="shared" si="112"/>
        <v/>
      </c>
      <c r="AP1202" s="109" t="e">
        <f t="shared" si="113"/>
        <v>#VALUE!</v>
      </c>
      <c r="AQ1202" s="397" t="e">
        <f t="shared" si="114"/>
        <v>#VALUE!</v>
      </c>
    </row>
    <row r="1203" spans="38:43">
      <c r="AL1203" s="414" t="str">
        <f t="shared" si="109"/>
        <v/>
      </c>
      <c r="AM1203" s="395" t="str">
        <f t="shared" si="110"/>
        <v/>
      </c>
      <c r="AN1203" s="396">
        <f t="shared" si="111"/>
        <v>0</v>
      </c>
      <c r="AO1203" s="109" t="str">
        <f t="shared" si="112"/>
        <v/>
      </c>
      <c r="AP1203" s="109" t="e">
        <f t="shared" si="113"/>
        <v>#VALUE!</v>
      </c>
      <c r="AQ1203" s="397" t="e">
        <f t="shared" si="114"/>
        <v>#VALUE!</v>
      </c>
    </row>
    <row r="1204" spans="38:43">
      <c r="AL1204" s="414" t="str">
        <f t="shared" si="109"/>
        <v/>
      </c>
      <c r="AM1204" s="395" t="str">
        <f t="shared" si="110"/>
        <v/>
      </c>
      <c r="AN1204" s="396">
        <f t="shared" si="111"/>
        <v>0</v>
      </c>
      <c r="AO1204" s="109" t="str">
        <f t="shared" si="112"/>
        <v/>
      </c>
      <c r="AP1204" s="109" t="e">
        <f t="shared" si="113"/>
        <v>#VALUE!</v>
      </c>
      <c r="AQ1204" s="397" t="e">
        <f t="shared" si="114"/>
        <v>#VALUE!</v>
      </c>
    </row>
    <row r="1205" spans="38:43">
      <c r="AL1205" s="414" t="str">
        <f t="shared" si="109"/>
        <v/>
      </c>
      <c r="AM1205" s="395" t="str">
        <f t="shared" si="110"/>
        <v/>
      </c>
      <c r="AN1205" s="396">
        <f t="shared" si="111"/>
        <v>0</v>
      </c>
      <c r="AO1205" s="109" t="str">
        <f t="shared" si="112"/>
        <v/>
      </c>
      <c r="AP1205" s="109" t="e">
        <f t="shared" si="113"/>
        <v>#VALUE!</v>
      </c>
      <c r="AQ1205" s="397" t="e">
        <f t="shared" si="114"/>
        <v>#VALUE!</v>
      </c>
    </row>
    <row r="1206" spans="38:43">
      <c r="AL1206" s="414" t="str">
        <f t="shared" si="109"/>
        <v/>
      </c>
      <c r="AM1206" s="395" t="str">
        <f t="shared" si="110"/>
        <v/>
      </c>
      <c r="AN1206" s="396">
        <f t="shared" si="111"/>
        <v>0</v>
      </c>
      <c r="AO1206" s="109" t="str">
        <f t="shared" si="112"/>
        <v/>
      </c>
      <c r="AP1206" s="109" t="e">
        <f t="shared" si="113"/>
        <v>#VALUE!</v>
      </c>
      <c r="AQ1206" s="397" t="e">
        <f t="shared" si="114"/>
        <v>#VALUE!</v>
      </c>
    </row>
    <row r="1207" spans="38:43">
      <c r="AL1207" s="414" t="str">
        <f t="shared" si="109"/>
        <v/>
      </c>
      <c r="AM1207" s="395" t="str">
        <f t="shared" si="110"/>
        <v/>
      </c>
      <c r="AN1207" s="396">
        <f t="shared" si="111"/>
        <v>0</v>
      </c>
      <c r="AO1207" s="109" t="str">
        <f t="shared" si="112"/>
        <v/>
      </c>
      <c r="AP1207" s="109" t="e">
        <f t="shared" si="113"/>
        <v>#VALUE!</v>
      </c>
      <c r="AQ1207" s="397" t="e">
        <f t="shared" si="114"/>
        <v>#VALUE!</v>
      </c>
    </row>
    <row r="1208" spans="38:43">
      <c r="AL1208" s="414" t="str">
        <f t="shared" si="109"/>
        <v/>
      </c>
      <c r="AM1208" s="395" t="str">
        <f t="shared" si="110"/>
        <v/>
      </c>
      <c r="AN1208" s="396">
        <f t="shared" si="111"/>
        <v>0</v>
      </c>
      <c r="AO1208" s="109" t="str">
        <f t="shared" si="112"/>
        <v/>
      </c>
      <c r="AP1208" s="109" t="e">
        <f t="shared" si="113"/>
        <v>#VALUE!</v>
      </c>
      <c r="AQ1208" s="397" t="e">
        <f t="shared" si="114"/>
        <v>#VALUE!</v>
      </c>
    </row>
    <row r="1209" spans="38:43">
      <c r="AL1209" s="414" t="str">
        <f t="shared" si="109"/>
        <v/>
      </c>
      <c r="AM1209" s="395" t="str">
        <f t="shared" si="110"/>
        <v/>
      </c>
      <c r="AN1209" s="396">
        <f t="shared" si="111"/>
        <v>0</v>
      </c>
      <c r="AO1209" s="109" t="str">
        <f t="shared" si="112"/>
        <v/>
      </c>
      <c r="AP1209" s="109" t="e">
        <f t="shared" si="113"/>
        <v>#VALUE!</v>
      </c>
      <c r="AQ1209" s="397" t="e">
        <f t="shared" si="114"/>
        <v>#VALUE!</v>
      </c>
    </row>
    <row r="1210" spans="38:43">
      <c r="AL1210" s="414" t="str">
        <f t="shared" si="109"/>
        <v/>
      </c>
      <c r="AM1210" s="395" t="str">
        <f t="shared" si="110"/>
        <v/>
      </c>
      <c r="AN1210" s="396">
        <f t="shared" si="111"/>
        <v>0</v>
      </c>
      <c r="AO1210" s="109" t="str">
        <f t="shared" si="112"/>
        <v/>
      </c>
      <c r="AP1210" s="109" t="e">
        <f t="shared" si="113"/>
        <v>#VALUE!</v>
      </c>
      <c r="AQ1210" s="397" t="e">
        <f t="shared" si="114"/>
        <v>#VALUE!</v>
      </c>
    </row>
    <row r="1211" spans="38:43">
      <c r="AL1211" s="414" t="str">
        <f t="shared" si="109"/>
        <v/>
      </c>
      <c r="AM1211" s="395" t="str">
        <f t="shared" si="110"/>
        <v/>
      </c>
      <c r="AN1211" s="396">
        <f t="shared" si="111"/>
        <v>0</v>
      </c>
      <c r="AO1211" s="109" t="str">
        <f t="shared" si="112"/>
        <v/>
      </c>
      <c r="AP1211" s="109" t="e">
        <f t="shared" si="113"/>
        <v>#VALUE!</v>
      </c>
      <c r="AQ1211" s="397" t="e">
        <f t="shared" si="114"/>
        <v>#VALUE!</v>
      </c>
    </row>
    <row r="1212" spans="38:43">
      <c r="AL1212" s="414" t="str">
        <f t="shared" si="109"/>
        <v/>
      </c>
      <c r="AM1212" s="395" t="str">
        <f t="shared" si="110"/>
        <v/>
      </c>
      <c r="AN1212" s="396">
        <f t="shared" si="111"/>
        <v>0</v>
      </c>
      <c r="AO1212" s="109" t="str">
        <f t="shared" si="112"/>
        <v/>
      </c>
      <c r="AP1212" s="109" t="e">
        <f t="shared" si="113"/>
        <v>#VALUE!</v>
      </c>
      <c r="AQ1212" s="397" t="e">
        <f t="shared" si="114"/>
        <v>#VALUE!</v>
      </c>
    </row>
    <row r="1213" spans="38:43">
      <c r="AL1213" s="414" t="str">
        <f t="shared" si="109"/>
        <v/>
      </c>
      <c r="AM1213" s="395" t="str">
        <f t="shared" si="110"/>
        <v/>
      </c>
      <c r="AN1213" s="396">
        <f t="shared" si="111"/>
        <v>0</v>
      </c>
      <c r="AO1213" s="109" t="str">
        <f t="shared" si="112"/>
        <v/>
      </c>
      <c r="AP1213" s="109" t="e">
        <f t="shared" si="113"/>
        <v>#VALUE!</v>
      </c>
      <c r="AQ1213" s="397" t="e">
        <f t="shared" si="114"/>
        <v>#VALUE!</v>
      </c>
    </row>
    <row r="1214" spans="38:43">
      <c r="AL1214" s="414" t="str">
        <f t="shared" si="109"/>
        <v/>
      </c>
      <c r="AM1214" s="395" t="str">
        <f t="shared" si="110"/>
        <v/>
      </c>
      <c r="AN1214" s="396">
        <f t="shared" si="111"/>
        <v>0</v>
      </c>
      <c r="AO1214" s="109" t="str">
        <f t="shared" si="112"/>
        <v/>
      </c>
      <c r="AP1214" s="109" t="e">
        <f t="shared" si="113"/>
        <v>#VALUE!</v>
      </c>
      <c r="AQ1214" s="397" t="e">
        <f t="shared" si="114"/>
        <v>#VALUE!</v>
      </c>
    </row>
    <row r="1215" spans="38:43">
      <c r="AL1215" s="414" t="str">
        <f t="shared" si="109"/>
        <v/>
      </c>
      <c r="AM1215" s="395" t="str">
        <f t="shared" si="110"/>
        <v/>
      </c>
      <c r="AN1215" s="396">
        <f t="shared" si="111"/>
        <v>0</v>
      </c>
      <c r="AO1215" s="109" t="str">
        <f t="shared" si="112"/>
        <v/>
      </c>
      <c r="AP1215" s="109" t="e">
        <f t="shared" si="113"/>
        <v>#VALUE!</v>
      </c>
      <c r="AQ1215" s="397" t="e">
        <f t="shared" si="114"/>
        <v>#VALUE!</v>
      </c>
    </row>
    <row r="1216" spans="38:43">
      <c r="AL1216" s="414" t="str">
        <f t="shared" si="109"/>
        <v/>
      </c>
      <c r="AM1216" s="395" t="str">
        <f t="shared" si="110"/>
        <v/>
      </c>
      <c r="AN1216" s="396">
        <f t="shared" si="111"/>
        <v>0</v>
      </c>
      <c r="AO1216" s="109" t="str">
        <f t="shared" si="112"/>
        <v/>
      </c>
      <c r="AP1216" s="109" t="e">
        <f t="shared" si="113"/>
        <v>#VALUE!</v>
      </c>
      <c r="AQ1216" s="397" t="e">
        <f t="shared" si="114"/>
        <v>#VALUE!</v>
      </c>
    </row>
    <row r="1217" spans="38:43">
      <c r="AL1217" s="414" t="str">
        <f t="shared" si="109"/>
        <v/>
      </c>
      <c r="AM1217" s="395" t="str">
        <f t="shared" si="110"/>
        <v/>
      </c>
      <c r="AN1217" s="396">
        <f t="shared" si="111"/>
        <v>0</v>
      </c>
      <c r="AO1217" s="109" t="str">
        <f t="shared" si="112"/>
        <v/>
      </c>
      <c r="AP1217" s="109" t="e">
        <f t="shared" si="113"/>
        <v>#VALUE!</v>
      </c>
      <c r="AQ1217" s="397" t="e">
        <f t="shared" si="114"/>
        <v>#VALUE!</v>
      </c>
    </row>
    <row r="1218" spans="38:43">
      <c r="AL1218" s="414" t="str">
        <f t="shared" si="109"/>
        <v/>
      </c>
      <c r="AM1218" s="395" t="str">
        <f t="shared" si="110"/>
        <v/>
      </c>
      <c r="AN1218" s="396">
        <f t="shared" si="111"/>
        <v>0</v>
      </c>
      <c r="AO1218" s="109" t="str">
        <f t="shared" si="112"/>
        <v/>
      </c>
      <c r="AP1218" s="109" t="e">
        <f t="shared" si="113"/>
        <v>#VALUE!</v>
      </c>
      <c r="AQ1218" s="397" t="e">
        <f t="shared" si="114"/>
        <v>#VALUE!</v>
      </c>
    </row>
    <row r="1219" spans="38:43">
      <c r="AL1219" s="414" t="str">
        <f t="shared" ref="AL1219:AL1282" si="115">SUBSTITUTE(SUBSTITUTE(H1219,"[워커힐]워커힐 고메 시그니처 양념 본갈비 8팩","워커힐 시그니처 양념 본갈비 300g, 8개"),"[워커힐]워커힐 시그니처 양념 본갈비 4팩","워커힐 시그니처 양념 본갈비 300g, 4개")</f>
        <v/>
      </c>
      <c r="AM1219" s="395" t="str">
        <f t="shared" ref="AM1219:AM1282" si="116">IF(N1219="배송완료", DATE(LEFT(M1219,4), MID(M1219,6,2), MID(M1219,9,2)), "")</f>
        <v/>
      </c>
      <c r="AN1219" s="396">
        <f t="shared" ref="AN1219:AN1282" si="117">IF(OR(N1219="배송완료", Q1219&lt;0), Q1219, 0)</f>
        <v>0</v>
      </c>
      <c r="AO1219" s="109" t="str">
        <f t="shared" ref="AO1219:AO1282" si="118">IF(AL1219="워커힐 시그니처 양념 본갈비 300g, 8개",119000,IF(AL1219="워커힐 시그니처 양념 본갈비 300g, 4개",78000,""))</f>
        <v/>
      </c>
      <c r="AP1219" s="109" t="e">
        <f t="shared" ref="AP1219:AP1282" si="119">AO1219/1.1</f>
        <v>#VALUE!</v>
      </c>
      <c r="AQ1219" s="397" t="e">
        <f t="shared" si="114"/>
        <v>#VALUE!</v>
      </c>
    </row>
    <row r="1220" spans="38:43">
      <c r="AL1220" s="414" t="str">
        <f t="shared" si="115"/>
        <v/>
      </c>
      <c r="AM1220" s="395" t="str">
        <f t="shared" si="116"/>
        <v/>
      </c>
      <c r="AN1220" s="396">
        <f t="shared" si="117"/>
        <v>0</v>
      </c>
      <c r="AO1220" s="109" t="str">
        <f t="shared" si="118"/>
        <v/>
      </c>
      <c r="AP1220" s="109" t="e">
        <f t="shared" si="119"/>
        <v>#VALUE!</v>
      </c>
      <c r="AQ1220" s="397" t="e">
        <f t="shared" si="114"/>
        <v>#VALUE!</v>
      </c>
    </row>
    <row r="1221" spans="38:43">
      <c r="AL1221" s="414" t="str">
        <f t="shared" si="115"/>
        <v/>
      </c>
      <c r="AM1221" s="395" t="str">
        <f t="shared" si="116"/>
        <v/>
      </c>
      <c r="AN1221" s="396">
        <f t="shared" si="117"/>
        <v>0</v>
      </c>
      <c r="AO1221" s="109" t="str">
        <f t="shared" si="118"/>
        <v/>
      </c>
      <c r="AP1221" s="109" t="e">
        <f t="shared" si="119"/>
        <v>#VALUE!</v>
      </c>
      <c r="AQ1221" s="397" t="e">
        <f t="shared" si="114"/>
        <v>#VALUE!</v>
      </c>
    </row>
    <row r="1222" spans="38:43">
      <c r="AL1222" s="414" t="str">
        <f t="shared" si="115"/>
        <v/>
      </c>
      <c r="AM1222" s="395" t="str">
        <f t="shared" si="116"/>
        <v/>
      </c>
      <c r="AN1222" s="396">
        <f t="shared" si="117"/>
        <v>0</v>
      </c>
      <c r="AO1222" s="109" t="str">
        <f t="shared" si="118"/>
        <v/>
      </c>
      <c r="AP1222" s="109" t="e">
        <f t="shared" si="119"/>
        <v>#VALUE!</v>
      </c>
      <c r="AQ1222" s="397" t="e">
        <f t="shared" si="114"/>
        <v>#VALUE!</v>
      </c>
    </row>
    <row r="1223" spans="38:43">
      <c r="AL1223" s="414" t="str">
        <f t="shared" si="115"/>
        <v/>
      </c>
      <c r="AM1223" s="395" t="str">
        <f t="shared" si="116"/>
        <v/>
      </c>
      <c r="AN1223" s="396">
        <f t="shared" si="117"/>
        <v>0</v>
      </c>
      <c r="AO1223" s="109" t="str">
        <f t="shared" si="118"/>
        <v/>
      </c>
      <c r="AP1223" s="109" t="e">
        <f t="shared" si="119"/>
        <v>#VALUE!</v>
      </c>
      <c r="AQ1223" s="397" t="e">
        <f t="shared" si="114"/>
        <v>#VALUE!</v>
      </c>
    </row>
    <row r="1224" spans="38:43">
      <c r="AL1224" s="414" t="str">
        <f t="shared" si="115"/>
        <v/>
      </c>
      <c r="AM1224" s="395" t="str">
        <f t="shared" si="116"/>
        <v/>
      </c>
      <c r="AN1224" s="396">
        <f t="shared" si="117"/>
        <v>0</v>
      </c>
      <c r="AO1224" s="109" t="str">
        <f t="shared" si="118"/>
        <v/>
      </c>
      <c r="AP1224" s="109" t="e">
        <f t="shared" si="119"/>
        <v>#VALUE!</v>
      </c>
      <c r="AQ1224" s="397" t="e">
        <f t="shared" si="114"/>
        <v>#VALUE!</v>
      </c>
    </row>
    <row r="1225" spans="38:43">
      <c r="AL1225" s="414" t="str">
        <f t="shared" si="115"/>
        <v/>
      </c>
      <c r="AM1225" s="395" t="str">
        <f t="shared" si="116"/>
        <v/>
      </c>
      <c r="AN1225" s="396">
        <f t="shared" si="117"/>
        <v>0</v>
      </c>
      <c r="AO1225" s="109" t="str">
        <f t="shared" si="118"/>
        <v/>
      </c>
      <c r="AP1225" s="109" t="e">
        <f t="shared" si="119"/>
        <v>#VALUE!</v>
      </c>
      <c r="AQ1225" s="397" t="e">
        <f t="shared" si="114"/>
        <v>#VALUE!</v>
      </c>
    </row>
    <row r="1226" spans="38:43">
      <c r="AL1226" s="414" t="str">
        <f t="shared" si="115"/>
        <v/>
      </c>
      <c r="AM1226" s="395" t="str">
        <f t="shared" si="116"/>
        <v/>
      </c>
      <c r="AN1226" s="396">
        <f t="shared" si="117"/>
        <v>0</v>
      </c>
      <c r="AO1226" s="109" t="str">
        <f t="shared" si="118"/>
        <v/>
      </c>
      <c r="AP1226" s="109" t="e">
        <f t="shared" si="119"/>
        <v>#VALUE!</v>
      </c>
      <c r="AQ1226" s="397" t="e">
        <f t="shared" si="114"/>
        <v>#VALUE!</v>
      </c>
    </row>
    <row r="1227" spans="38:43">
      <c r="AL1227" s="414" t="str">
        <f t="shared" si="115"/>
        <v/>
      </c>
      <c r="AM1227" s="395" t="str">
        <f t="shared" si="116"/>
        <v/>
      </c>
      <c r="AN1227" s="396">
        <f t="shared" si="117"/>
        <v>0</v>
      </c>
      <c r="AO1227" s="109" t="str">
        <f t="shared" si="118"/>
        <v/>
      </c>
      <c r="AP1227" s="109" t="e">
        <f t="shared" si="119"/>
        <v>#VALUE!</v>
      </c>
      <c r="AQ1227" s="397" t="e">
        <f t="shared" si="114"/>
        <v>#VALUE!</v>
      </c>
    </row>
    <row r="1228" spans="38:43">
      <c r="AL1228" s="414" t="str">
        <f t="shared" si="115"/>
        <v/>
      </c>
      <c r="AM1228" s="395" t="str">
        <f t="shared" si="116"/>
        <v/>
      </c>
      <c r="AN1228" s="396">
        <f t="shared" si="117"/>
        <v>0</v>
      </c>
      <c r="AO1228" s="109" t="str">
        <f t="shared" si="118"/>
        <v/>
      </c>
      <c r="AP1228" s="109" t="e">
        <f t="shared" si="119"/>
        <v>#VALUE!</v>
      </c>
      <c r="AQ1228" s="397" t="e">
        <f t="shared" si="114"/>
        <v>#VALUE!</v>
      </c>
    </row>
    <row r="1229" spans="38:43">
      <c r="AL1229" s="414" t="str">
        <f t="shared" si="115"/>
        <v/>
      </c>
      <c r="AM1229" s="395" t="str">
        <f t="shared" si="116"/>
        <v/>
      </c>
      <c r="AN1229" s="396">
        <f t="shared" si="117"/>
        <v>0</v>
      </c>
      <c r="AO1229" s="109" t="str">
        <f t="shared" si="118"/>
        <v/>
      </c>
      <c r="AP1229" s="109" t="e">
        <f t="shared" si="119"/>
        <v>#VALUE!</v>
      </c>
      <c r="AQ1229" s="397" t="e">
        <f t="shared" si="114"/>
        <v>#VALUE!</v>
      </c>
    </row>
    <row r="1230" spans="38:43">
      <c r="AL1230" s="414" t="str">
        <f t="shared" si="115"/>
        <v/>
      </c>
      <c r="AM1230" s="395" t="str">
        <f t="shared" si="116"/>
        <v/>
      </c>
      <c r="AN1230" s="396">
        <f t="shared" si="117"/>
        <v>0</v>
      </c>
      <c r="AO1230" s="109" t="str">
        <f t="shared" si="118"/>
        <v/>
      </c>
      <c r="AP1230" s="109" t="e">
        <f t="shared" si="119"/>
        <v>#VALUE!</v>
      </c>
      <c r="AQ1230" s="397" t="e">
        <f t="shared" si="114"/>
        <v>#VALUE!</v>
      </c>
    </row>
    <row r="1231" spans="38:43">
      <c r="AL1231" s="414" t="str">
        <f t="shared" si="115"/>
        <v/>
      </c>
      <c r="AM1231" s="395" t="str">
        <f t="shared" si="116"/>
        <v/>
      </c>
      <c r="AN1231" s="396">
        <f t="shared" si="117"/>
        <v>0</v>
      </c>
      <c r="AO1231" s="109" t="str">
        <f t="shared" si="118"/>
        <v/>
      </c>
      <c r="AP1231" s="109" t="e">
        <f t="shared" si="119"/>
        <v>#VALUE!</v>
      </c>
      <c r="AQ1231" s="397" t="e">
        <f t="shared" si="114"/>
        <v>#VALUE!</v>
      </c>
    </row>
    <row r="1232" spans="38:43">
      <c r="AL1232" s="414" t="str">
        <f t="shared" si="115"/>
        <v/>
      </c>
      <c r="AM1232" s="395" t="str">
        <f t="shared" si="116"/>
        <v/>
      </c>
      <c r="AN1232" s="396">
        <f t="shared" si="117"/>
        <v>0</v>
      </c>
      <c r="AO1232" s="109" t="str">
        <f t="shared" si="118"/>
        <v/>
      </c>
      <c r="AP1232" s="109" t="e">
        <f t="shared" si="119"/>
        <v>#VALUE!</v>
      </c>
      <c r="AQ1232" s="397" t="e">
        <f t="shared" si="114"/>
        <v>#VALUE!</v>
      </c>
    </row>
    <row r="1233" spans="38:43">
      <c r="AL1233" s="414" t="str">
        <f t="shared" si="115"/>
        <v/>
      </c>
      <c r="AM1233" s="395" t="str">
        <f t="shared" si="116"/>
        <v/>
      </c>
      <c r="AN1233" s="396">
        <f t="shared" si="117"/>
        <v>0</v>
      </c>
      <c r="AO1233" s="109" t="str">
        <f t="shared" si="118"/>
        <v/>
      </c>
      <c r="AP1233" s="109" t="e">
        <f t="shared" si="119"/>
        <v>#VALUE!</v>
      </c>
      <c r="AQ1233" s="397" t="e">
        <f t="shared" si="114"/>
        <v>#VALUE!</v>
      </c>
    </row>
    <row r="1234" spans="38:43">
      <c r="AL1234" s="414" t="str">
        <f t="shared" si="115"/>
        <v/>
      </c>
      <c r="AM1234" s="395" t="str">
        <f t="shared" si="116"/>
        <v/>
      </c>
      <c r="AN1234" s="396">
        <f t="shared" si="117"/>
        <v>0</v>
      </c>
      <c r="AO1234" s="109" t="str">
        <f t="shared" si="118"/>
        <v/>
      </c>
      <c r="AP1234" s="109" t="e">
        <f t="shared" si="119"/>
        <v>#VALUE!</v>
      </c>
      <c r="AQ1234" s="397" t="e">
        <f t="shared" si="114"/>
        <v>#VALUE!</v>
      </c>
    </row>
    <row r="1235" spans="38:43">
      <c r="AL1235" s="414" t="str">
        <f t="shared" si="115"/>
        <v/>
      </c>
      <c r="AM1235" s="395" t="str">
        <f t="shared" si="116"/>
        <v/>
      </c>
      <c r="AN1235" s="396">
        <f t="shared" si="117"/>
        <v>0</v>
      </c>
      <c r="AO1235" s="109" t="str">
        <f t="shared" si="118"/>
        <v/>
      </c>
      <c r="AP1235" s="109" t="e">
        <f t="shared" si="119"/>
        <v>#VALUE!</v>
      </c>
      <c r="AQ1235" s="397" t="e">
        <f t="shared" si="114"/>
        <v>#VALUE!</v>
      </c>
    </row>
    <row r="1236" spans="38:43">
      <c r="AL1236" s="414" t="str">
        <f t="shared" si="115"/>
        <v/>
      </c>
      <c r="AM1236" s="395" t="str">
        <f t="shared" si="116"/>
        <v/>
      </c>
      <c r="AN1236" s="396">
        <f t="shared" si="117"/>
        <v>0</v>
      </c>
      <c r="AO1236" s="109" t="str">
        <f t="shared" si="118"/>
        <v/>
      </c>
      <c r="AP1236" s="109" t="e">
        <f t="shared" si="119"/>
        <v>#VALUE!</v>
      </c>
      <c r="AQ1236" s="397" t="e">
        <f t="shared" si="114"/>
        <v>#VALUE!</v>
      </c>
    </row>
    <row r="1237" spans="38:43">
      <c r="AL1237" s="414" t="str">
        <f t="shared" si="115"/>
        <v/>
      </c>
      <c r="AM1237" s="395" t="str">
        <f t="shared" si="116"/>
        <v/>
      </c>
      <c r="AN1237" s="396">
        <f t="shared" si="117"/>
        <v>0</v>
      </c>
      <c r="AO1237" s="109" t="str">
        <f t="shared" si="118"/>
        <v/>
      </c>
      <c r="AP1237" s="109" t="e">
        <f t="shared" si="119"/>
        <v>#VALUE!</v>
      </c>
      <c r="AQ1237" s="397" t="e">
        <f t="shared" si="114"/>
        <v>#VALUE!</v>
      </c>
    </row>
    <row r="1238" spans="38:43">
      <c r="AL1238" s="414" t="str">
        <f t="shared" si="115"/>
        <v/>
      </c>
      <c r="AM1238" s="395" t="str">
        <f t="shared" si="116"/>
        <v/>
      </c>
      <c r="AN1238" s="396">
        <f t="shared" si="117"/>
        <v>0</v>
      </c>
      <c r="AO1238" s="109" t="str">
        <f t="shared" si="118"/>
        <v/>
      </c>
      <c r="AP1238" s="109" t="e">
        <f t="shared" si="119"/>
        <v>#VALUE!</v>
      </c>
      <c r="AQ1238" s="397" t="e">
        <f t="shared" si="114"/>
        <v>#VALUE!</v>
      </c>
    </row>
    <row r="1239" spans="38:43">
      <c r="AL1239" s="414" t="str">
        <f t="shared" si="115"/>
        <v/>
      </c>
      <c r="AM1239" s="395" t="str">
        <f t="shared" si="116"/>
        <v/>
      </c>
      <c r="AN1239" s="396">
        <f t="shared" si="117"/>
        <v>0</v>
      </c>
      <c r="AO1239" s="109" t="str">
        <f t="shared" si="118"/>
        <v/>
      </c>
      <c r="AP1239" s="109" t="e">
        <f t="shared" si="119"/>
        <v>#VALUE!</v>
      </c>
      <c r="AQ1239" s="397" t="e">
        <f t="shared" si="114"/>
        <v>#VALUE!</v>
      </c>
    </row>
    <row r="1240" spans="38:43">
      <c r="AL1240" s="414" t="str">
        <f t="shared" si="115"/>
        <v/>
      </c>
      <c r="AM1240" s="395" t="str">
        <f t="shared" si="116"/>
        <v/>
      </c>
      <c r="AN1240" s="396">
        <f t="shared" si="117"/>
        <v>0</v>
      </c>
      <c r="AO1240" s="109" t="str">
        <f t="shared" si="118"/>
        <v/>
      </c>
      <c r="AP1240" s="109" t="e">
        <f t="shared" si="119"/>
        <v>#VALUE!</v>
      </c>
      <c r="AQ1240" s="397" t="e">
        <f t="shared" si="114"/>
        <v>#VALUE!</v>
      </c>
    </row>
    <row r="1241" spans="38:43">
      <c r="AL1241" s="414" t="str">
        <f t="shared" si="115"/>
        <v/>
      </c>
      <c r="AM1241" s="395" t="str">
        <f t="shared" si="116"/>
        <v/>
      </c>
      <c r="AN1241" s="396">
        <f t="shared" si="117"/>
        <v>0</v>
      </c>
      <c r="AO1241" s="109" t="str">
        <f t="shared" si="118"/>
        <v/>
      </c>
      <c r="AP1241" s="109" t="e">
        <f t="shared" si="119"/>
        <v>#VALUE!</v>
      </c>
      <c r="AQ1241" s="397" t="e">
        <f t="shared" si="114"/>
        <v>#VALUE!</v>
      </c>
    </row>
    <row r="1242" spans="38:43">
      <c r="AL1242" s="414" t="str">
        <f t="shared" si="115"/>
        <v/>
      </c>
      <c r="AM1242" s="395" t="str">
        <f t="shared" si="116"/>
        <v/>
      </c>
      <c r="AN1242" s="396">
        <f t="shared" si="117"/>
        <v>0</v>
      </c>
      <c r="AO1242" s="109" t="str">
        <f t="shared" si="118"/>
        <v/>
      </c>
      <c r="AP1242" s="109" t="e">
        <f t="shared" si="119"/>
        <v>#VALUE!</v>
      </c>
      <c r="AQ1242" s="397" t="e">
        <f t="shared" si="114"/>
        <v>#VALUE!</v>
      </c>
    </row>
    <row r="1243" spans="38:43">
      <c r="AL1243" s="414" t="str">
        <f t="shared" si="115"/>
        <v/>
      </c>
      <c r="AM1243" s="395" t="str">
        <f t="shared" si="116"/>
        <v/>
      </c>
      <c r="AN1243" s="396">
        <f t="shared" si="117"/>
        <v>0</v>
      </c>
      <c r="AO1243" s="109" t="str">
        <f t="shared" si="118"/>
        <v/>
      </c>
      <c r="AP1243" s="109" t="e">
        <f t="shared" si="119"/>
        <v>#VALUE!</v>
      </c>
      <c r="AQ1243" s="397" t="e">
        <f t="shared" si="114"/>
        <v>#VALUE!</v>
      </c>
    </row>
    <row r="1244" spans="38:43">
      <c r="AL1244" s="414" t="str">
        <f t="shared" si="115"/>
        <v/>
      </c>
      <c r="AM1244" s="395" t="str">
        <f t="shared" si="116"/>
        <v/>
      </c>
      <c r="AN1244" s="396">
        <f t="shared" si="117"/>
        <v>0</v>
      </c>
      <c r="AO1244" s="109" t="str">
        <f t="shared" si="118"/>
        <v/>
      </c>
      <c r="AP1244" s="109" t="e">
        <f t="shared" si="119"/>
        <v>#VALUE!</v>
      </c>
      <c r="AQ1244" s="397" t="e">
        <f t="shared" si="114"/>
        <v>#VALUE!</v>
      </c>
    </row>
    <row r="1245" spans="38:43">
      <c r="AL1245" s="414" t="str">
        <f t="shared" si="115"/>
        <v/>
      </c>
      <c r="AM1245" s="395" t="str">
        <f t="shared" si="116"/>
        <v/>
      </c>
      <c r="AN1245" s="396">
        <f t="shared" si="117"/>
        <v>0</v>
      </c>
      <c r="AO1245" s="109" t="str">
        <f t="shared" si="118"/>
        <v/>
      </c>
      <c r="AP1245" s="109" t="e">
        <f t="shared" si="119"/>
        <v>#VALUE!</v>
      </c>
      <c r="AQ1245" s="397" t="e">
        <f t="shared" ref="AQ1245:AQ1308" si="120">AN1245*AP1245</f>
        <v>#VALUE!</v>
      </c>
    </row>
    <row r="1246" spans="38:43">
      <c r="AL1246" s="414" t="str">
        <f t="shared" si="115"/>
        <v/>
      </c>
      <c r="AM1246" s="395" t="str">
        <f t="shared" si="116"/>
        <v/>
      </c>
      <c r="AN1246" s="396">
        <f t="shared" si="117"/>
        <v>0</v>
      </c>
      <c r="AO1246" s="109" t="str">
        <f t="shared" si="118"/>
        <v/>
      </c>
      <c r="AP1246" s="109" t="e">
        <f t="shared" si="119"/>
        <v>#VALUE!</v>
      </c>
      <c r="AQ1246" s="397" t="e">
        <f t="shared" si="120"/>
        <v>#VALUE!</v>
      </c>
    </row>
    <row r="1247" spans="38:43">
      <c r="AL1247" s="414" t="str">
        <f t="shared" si="115"/>
        <v/>
      </c>
      <c r="AM1247" s="395" t="str">
        <f t="shared" si="116"/>
        <v/>
      </c>
      <c r="AN1247" s="396">
        <f t="shared" si="117"/>
        <v>0</v>
      </c>
      <c r="AO1247" s="109" t="str">
        <f t="shared" si="118"/>
        <v/>
      </c>
      <c r="AP1247" s="109" t="e">
        <f t="shared" si="119"/>
        <v>#VALUE!</v>
      </c>
      <c r="AQ1247" s="397" t="e">
        <f t="shared" si="120"/>
        <v>#VALUE!</v>
      </c>
    </row>
    <row r="1248" spans="38:43">
      <c r="AL1248" s="414" t="str">
        <f t="shared" si="115"/>
        <v/>
      </c>
      <c r="AM1248" s="395" t="str">
        <f t="shared" si="116"/>
        <v/>
      </c>
      <c r="AN1248" s="396">
        <f t="shared" si="117"/>
        <v>0</v>
      </c>
      <c r="AO1248" s="109" t="str">
        <f t="shared" si="118"/>
        <v/>
      </c>
      <c r="AP1248" s="109" t="e">
        <f t="shared" si="119"/>
        <v>#VALUE!</v>
      </c>
      <c r="AQ1248" s="397" t="e">
        <f t="shared" si="120"/>
        <v>#VALUE!</v>
      </c>
    </row>
    <row r="1249" spans="38:43">
      <c r="AL1249" s="414" t="str">
        <f t="shared" si="115"/>
        <v/>
      </c>
      <c r="AM1249" s="395" t="str">
        <f t="shared" si="116"/>
        <v/>
      </c>
      <c r="AN1249" s="396">
        <f t="shared" si="117"/>
        <v>0</v>
      </c>
      <c r="AO1249" s="109" t="str">
        <f t="shared" si="118"/>
        <v/>
      </c>
      <c r="AP1249" s="109" t="e">
        <f t="shared" si="119"/>
        <v>#VALUE!</v>
      </c>
      <c r="AQ1249" s="397" t="e">
        <f t="shared" si="120"/>
        <v>#VALUE!</v>
      </c>
    </row>
    <row r="1250" spans="38:43">
      <c r="AL1250" s="414" t="str">
        <f t="shared" si="115"/>
        <v/>
      </c>
      <c r="AM1250" s="395" t="str">
        <f t="shared" si="116"/>
        <v/>
      </c>
      <c r="AN1250" s="396">
        <f t="shared" si="117"/>
        <v>0</v>
      </c>
      <c r="AO1250" s="109" t="str">
        <f t="shared" si="118"/>
        <v/>
      </c>
      <c r="AP1250" s="109" t="e">
        <f t="shared" si="119"/>
        <v>#VALUE!</v>
      </c>
      <c r="AQ1250" s="397" t="e">
        <f t="shared" si="120"/>
        <v>#VALUE!</v>
      </c>
    </row>
    <row r="1251" spans="38:43">
      <c r="AL1251" s="414" t="str">
        <f t="shared" si="115"/>
        <v/>
      </c>
      <c r="AM1251" s="395" t="str">
        <f t="shared" si="116"/>
        <v/>
      </c>
      <c r="AN1251" s="396">
        <f t="shared" si="117"/>
        <v>0</v>
      </c>
      <c r="AO1251" s="109" t="str">
        <f t="shared" si="118"/>
        <v/>
      </c>
      <c r="AP1251" s="109" t="e">
        <f t="shared" si="119"/>
        <v>#VALUE!</v>
      </c>
      <c r="AQ1251" s="397" t="e">
        <f t="shared" si="120"/>
        <v>#VALUE!</v>
      </c>
    </row>
    <row r="1252" spans="38:43">
      <c r="AL1252" s="414" t="str">
        <f t="shared" si="115"/>
        <v/>
      </c>
      <c r="AM1252" s="395" t="str">
        <f t="shared" si="116"/>
        <v/>
      </c>
      <c r="AN1252" s="396">
        <f t="shared" si="117"/>
        <v>0</v>
      </c>
      <c r="AO1252" s="109" t="str">
        <f t="shared" si="118"/>
        <v/>
      </c>
      <c r="AP1252" s="109" t="e">
        <f t="shared" si="119"/>
        <v>#VALUE!</v>
      </c>
      <c r="AQ1252" s="397" t="e">
        <f t="shared" si="120"/>
        <v>#VALUE!</v>
      </c>
    </row>
    <row r="1253" spans="38:43">
      <c r="AL1253" s="414" t="str">
        <f t="shared" si="115"/>
        <v/>
      </c>
      <c r="AM1253" s="395" t="str">
        <f t="shared" si="116"/>
        <v/>
      </c>
      <c r="AN1253" s="396">
        <f t="shared" si="117"/>
        <v>0</v>
      </c>
      <c r="AO1253" s="109" t="str">
        <f t="shared" si="118"/>
        <v/>
      </c>
      <c r="AP1253" s="109" t="e">
        <f t="shared" si="119"/>
        <v>#VALUE!</v>
      </c>
      <c r="AQ1253" s="397" t="e">
        <f t="shared" si="120"/>
        <v>#VALUE!</v>
      </c>
    </row>
    <row r="1254" spans="38:43">
      <c r="AL1254" s="414" t="str">
        <f t="shared" si="115"/>
        <v/>
      </c>
      <c r="AM1254" s="395" t="str">
        <f t="shared" si="116"/>
        <v/>
      </c>
      <c r="AN1254" s="396">
        <f t="shared" si="117"/>
        <v>0</v>
      </c>
      <c r="AO1254" s="109" t="str">
        <f t="shared" si="118"/>
        <v/>
      </c>
      <c r="AP1254" s="109" t="e">
        <f t="shared" si="119"/>
        <v>#VALUE!</v>
      </c>
      <c r="AQ1254" s="397" t="e">
        <f t="shared" si="120"/>
        <v>#VALUE!</v>
      </c>
    </row>
    <row r="1255" spans="38:43">
      <c r="AL1255" s="414" t="str">
        <f t="shared" si="115"/>
        <v/>
      </c>
      <c r="AM1255" s="395" t="str">
        <f t="shared" si="116"/>
        <v/>
      </c>
      <c r="AN1255" s="396">
        <f t="shared" si="117"/>
        <v>0</v>
      </c>
      <c r="AO1255" s="109" t="str">
        <f t="shared" si="118"/>
        <v/>
      </c>
      <c r="AP1255" s="109" t="e">
        <f t="shared" si="119"/>
        <v>#VALUE!</v>
      </c>
      <c r="AQ1255" s="397" t="e">
        <f t="shared" si="120"/>
        <v>#VALUE!</v>
      </c>
    </row>
    <row r="1256" spans="38:43">
      <c r="AL1256" s="414" t="str">
        <f t="shared" si="115"/>
        <v/>
      </c>
      <c r="AM1256" s="395" t="str">
        <f t="shared" si="116"/>
        <v/>
      </c>
      <c r="AN1256" s="396">
        <f t="shared" si="117"/>
        <v>0</v>
      </c>
      <c r="AO1256" s="109" t="str">
        <f t="shared" si="118"/>
        <v/>
      </c>
      <c r="AP1256" s="109" t="e">
        <f t="shared" si="119"/>
        <v>#VALUE!</v>
      </c>
      <c r="AQ1256" s="397" t="e">
        <f t="shared" si="120"/>
        <v>#VALUE!</v>
      </c>
    </row>
    <row r="1257" spans="38:43">
      <c r="AL1257" s="414" t="str">
        <f t="shared" si="115"/>
        <v/>
      </c>
      <c r="AM1257" s="395" t="str">
        <f t="shared" si="116"/>
        <v/>
      </c>
      <c r="AN1257" s="396">
        <f t="shared" si="117"/>
        <v>0</v>
      </c>
      <c r="AO1257" s="109" t="str">
        <f t="shared" si="118"/>
        <v/>
      </c>
      <c r="AP1257" s="109" t="e">
        <f t="shared" si="119"/>
        <v>#VALUE!</v>
      </c>
      <c r="AQ1257" s="397" t="e">
        <f t="shared" si="120"/>
        <v>#VALUE!</v>
      </c>
    </row>
    <row r="1258" spans="38:43">
      <c r="AL1258" s="414" t="str">
        <f t="shared" si="115"/>
        <v/>
      </c>
      <c r="AM1258" s="395" t="str">
        <f t="shared" si="116"/>
        <v/>
      </c>
      <c r="AN1258" s="396">
        <f t="shared" si="117"/>
        <v>0</v>
      </c>
      <c r="AO1258" s="109" t="str">
        <f t="shared" si="118"/>
        <v/>
      </c>
      <c r="AP1258" s="109" t="e">
        <f t="shared" si="119"/>
        <v>#VALUE!</v>
      </c>
      <c r="AQ1258" s="397" t="e">
        <f t="shared" si="120"/>
        <v>#VALUE!</v>
      </c>
    </row>
    <row r="1259" spans="38:43">
      <c r="AL1259" s="414" t="str">
        <f t="shared" si="115"/>
        <v/>
      </c>
      <c r="AM1259" s="395" t="str">
        <f t="shared" si="116"/>
        <v/>
      </c>
      <c r="AN1259" s="396">
        <f t="shared" si="117"/>
        <v>0</v>
      </c>
      <c r="AO1259" s="109" t="str">
        <f t="shared" si="118"/>
        <v/>
      </c>
      <c r="AP1259" s="109" t="e">
        <f t="shared" si="119"/>
        <v>#VALUE!</v>
      </c>
      <c r="AQ1259" s="397" t="e">
        <f t="shared" si="120"/>
        <v>#VALUE!</v>
      </c>
    </row>
    <row r="1260" spans="38:43">
      <c r="AL1260" s="414" t="str">
        <f t="shared" si="115"/>
        <v/>
      </c>
      <c r="AM1260" s="395" t="str">
        <f t="shared" si="116"/>
        <v/>
      </c>
      <c r="AN1260" s="396">
        <f t="shared" si="117"/>
        <v>0</v>
      </c>
      <c r="AO1260" s="109" t="str">
        <f t="shared" si="118"/>
        <v/>
      </c>
      <c r="AP1260" s="109" t="e">
        <f t="shared" si="119"/>
        <v>#VALUE!</v>
      </c>
      <c r="AQ1260" s="397" t="e">
        <f t="shared" si="120"/>
        <v>#VALUE!</v>
      </c>
    </row>
    <row r="1261" spans="38:43">
      <c r="AL1261" s="414" t="str">
        <f t="shared" si="115"/>
        <v/>
      </c>
      <c r="AM1261" s="395" t="str">
        <f t="shared" si="116"/>
        <v/>
      </c>
      <c r="AN1261" s="396">
        <f t="shared" si="117"/>
        <v>0</v>
      </c>
      <c r="AO1261" s="109" t="str">
        <f t="shared" si="118"/>
        <v/>
      </c>
      <c r="AP1261" s="109" t="e">
        <f t="shared" si="119"/>
        <v>#VALUE!</v>
      </c>
      <c r="AQ1261" s="397" t="e">
        <f t="shared" si="120"/>
        <v>#VALUE!</v>
      </c>
    </row>
    <row r="1262" spans="38:43">
      <c r="AL1262" s="414" t="str">
        <f t="shared" si="115"/>
        <v/>
      </c>
      <c r="AM1262" s="395" t="str">
        <f t="shared" si="116"/>
        <v/>
      </c>
      <c r="AN1262" s="396">
        <f t="shared" si="117"/>
        <v>0</v>
      </c>
      <c r="AO1262" s="109" t="str">
        <f t="shared" si="118"/>
        <v/>
      </c>
      <c r="AP1262" s="109" t="e">
        <f t="shared" si="119"/>
        <v>#VALUE!</v>
      </c>
      <c r="AQ1262" s="397" t="e">
        <f t="shared" si="120"/>
        <v>#VALUE!</v>
      </c>
    </row>
    <row r="1263" spans="38:43">
      <c r="AL1263" s="414" t="str">
        <f t="shared" si="115"/>
        <v/>
      </c>
      <c r="AM1263" s="395" t="str">
        <f t="shared" si="116"/>
        <v/>
      </c>
      <c r="AN1263" s="396">
        <f t="shared" si="117"/>
        <v>0</v>
      </c>
      <c r="AO1263" s="109" t="str">
        <f t="shared" si="118"/>
        <v/>
      </c>
      <c r="AP1263" s="109" t="e">
        <f t="shared" si="119"/>
        <v>#VALUE!</v>
      </c>
      <c r="AQ1263" s="397" t="e">
        <f t="shared" si="120"/>
        <v>#VALUE!</v>
      </c>
    </row>
    <row r="1264" spans="38:43">
      <c r="AL1264" s="414" t="str">
        <f t="shared" si="115"/>
        <v/>
      </c>
      <c r="AM1264" s="395" t="str">
        <f t="shared" si="116"/>
        <v/>
      </c>
      <c r="AN1264" s="396">
        <f t="shared" si="117"/>
        <v>0</v>
      </c>
      <c r="AO1264" s="109" t="str">
        <f t="shared" si="118"/>
        <v/>
      </c>
      <c r="AP1264" s="109" t="e">
        <f t="shared" si="119"/>
        <v>#VALUE!</v>
      </c>
      <c r="AQ1264" s="397" t="e">
        <f t="shared" si="120"/>
        <v>#VALUE!</v>
      </c>
    </row>
    <row r="1265" spans="38:43">
      <c r="AL1265" s="414" t="str">
        <f t="shared" si="115"/>
        <v/>
      </c>
      <c r="AM1265" s="395" t="str">
        <f t="shared" si="116"/>
        <v/>
      </c>
      <c r="AN1265" s="396">
        <f t="shared" si="117"/>
        <v>0</v>
      </c>
      <c r="AO1265" s="109" t="str">
        <f t="shared" si="118"/>
        <v/>
      </c>
      <c r="AP1265" s="109" t="e">
        <f t="shared" si="119"/>
        <v>#VALUE!</v>
      </c>
      <c r="AQ1265" s="397" t="e">
        <f t="shared" si="120"/>
        <v>#VALUE!</v>
      </c>
    </row>
    <row r="1266" spans="38:43">
      <c r="AL1266" s="414" t="str">
        <f t="shared" si="115"/>
        <v/>
      </c>
      <c r="AM1266" s="395" t="str">
        <f t="shared" si="116"/>
        <v/>
      </c>
      <c r="AN1266" s="396">
        <f t="shared" si="117"/>
        <v>0</v>
      </c>
      <c r="AO1266" s="109" t="str">
        <f t="shared" si="118"/>
        <v/>
      </c>
      <c r="AP1266" s="109" t="e">
        <f t="shared" si="119"/>
        <v>#VALUE!</v>
      </c>
      <c r="AQ1266" s="397" t="e">
        <f t="shared" si="120"/>
        <v>#VALUE!</v>
      </c>
    </row>
    <row r="1267" spans="38:43">
      <c r="AL1267" s="414" t="str">
        <f t="shared" si="115"/>
        <v/>
      </c>
      <c r="AM1267" s="395" t="str">
        <f t="shared" si="116"/>
        <v/>
      </c>
      <c r="AN1267" s="396">
        <f t="shared" si="117"/>
        <v>0</v>
      </c>
      <c r="AO1267" s="109" t="str">
        <f t="shared" si="118"/>
        <v/>
      </c>
      <c r="AP1267" s="109" t="e">
        <f t="shared" si="119"/>
        <v>#VALUE!</v>
      </c>
      <c r="AQ1267" s="397" t="e">
        <f t="shared" si="120"/>
        <v>#VALUE!</v>
      </c>
    </row>
    <row r="1268" spans="38:43">
      <c r="AL1268" s="414" t="str">
        <f t="shared" si="115"/>
        <v/>
      </c>
      <c r="AM1268" s="395" t="str">
        <f t="shared" si="116"/>
        <v/>
      </c>
      <c r="AN1268" s="396">
        <f t="shared" si="117"/>
        <v>0</v>
      </c>
      <c r="AO1268" s="109" t="str">
        <f t="shared" si="118"/>
        <v/>
      </c>
      <c r="AP1268" s="109" t="e">
        <f t="shared" si="119"/>
        <v>#VALUE!</v>
      </c>
      <c r="AQ1268" s="397" t="e">
        <f t="shared" si="120"/>
        <v>#VALUE!</v>
      </c>
    </row>
    <row r="1269" spans="38:43">
      <c r="AL1269" s="414" t="str">
        <f t="shared" si="115"/>
        <v/>
      </c>
      <c r="AM1269" s="395" t="str">
        <f t="shared" si="116"/>
        <v/>
      </c>
      <c r="AN1269" s="396">
        <f t="shared" si="117"/>
        <v>0</v>
      </c>
      <c r="AO1269" s="109" t="str">
        <f t="shared" si="118"/>
        <v/>
      </c>
      <c r="AP1269" s="109" t="e">
        <f t="shared" si="119"/>
        <v>#VALUE!</v>
      </c>
      <c r="AQ1269" s="397" t="e">
        <f t="shared" si="120"/>
        <v>#VALUE!</v>
      </c>
    </row>
    <row r="1270" spans="38:43">
      <c r="AL1270" s="414" t="str">
        <f t="shared" si="115"/>
        <v/>
      </c>
      <c r="AM1270" s="395" t="str">
        <f t="shared" si="116"/>
        <v/>
      </c>
      <c r="AN1270" s="396">
        <f t="shared" si="117"/>
        <v>0</v>
      </c>
      <c r="AO1270" s="109" t="str">
        <f t="shared" si="118"/>
        <v/>
      </c>
      <c r="AP1270" s="109" t="e">
        <f t="shared" si="119"/>
        <v>#VALUE!</v>
      </c>
      <c r="AQ1270" s="397" t="e">
        <f t="shared" si="120"/>
        <v>#VALUE!</v>
      </c>
    </row>
    <row r="1271" spans="38:43">
      <c r="AL1271" s="414" t="str">
        <f t="shared" si="115"/>
        <v/>
      </c>
      <c r="AM1271" s="395" t="str">
        <f t="shared" si="116"/>
        <v/>
      </c>
      <c r="AN1271" s="396">
        <f t="shared" si="117"/>
        <v>0</v>
      </c>
      <c r="AO1271" s="109" t="str">
        <f t="shared" si="118"/>
        <v/>
      </c>
      <c r="AP1271" s="109" t="e">
        <f t="shared" si="119"/>
        <v>#VALUE!</v>
      </c>
      <c r="AQ1271" s="397" t="e">
        <f t="shared" si="120"/>
        <v>#VALUE!</v>
      </c>
    </row>
    <row r="1272" spans="38:43">
      <c r="AL1272" s="414" t="str">
        <f t="shared" si="115"/>
        <v/>
      </c>
      <c r="AM1272" s="395" t="str">
        <f t="shared" si="116"/>
        <v/>
      </c>
      <c r="AN1272" s="396">
        <f t="shared" si="117"/>
        <v>0</v>
      </c>
      <c r="AO1272" s="109" t="str">
        <f t="shared" si="118"/>
        <v/>
      </c>
      <c r="AP1272" s="109" t="e">
        <f t="shared" si="119"/>
        <v>#VALUE!</v>
      </c>
      <c r="AQ1272" s="397" t="e">
        <f t="shared" si="120"/>
        <v>#VALUE!</v>
      </c>
    </row>
    <row r="1273" spans="38:43">
      <c r="AL1273" s="414" t="str">
        <f t="shared" si="115"/>
        <v/>
      </c>
      <c r="AM1273" s="395" t="str">
        <f t="shared" si="116"/>
        <v/>
      </c>
      <c r="AN1273" s="396">
        <f t="shared" si="117"/>
        <v>0</v>
      </c>
      <c r="AO1273" s="109" t="str">
        <f t="shared" si="118"/>
        <v/>
      </c>
      <c r="AP1273" s="109" t="e">
        <f t="shared" si="119"/>
        <v>#VALUE!</v>
      </c>
      <c r="AQ1273" s="397" t="e">
        <f t="shared" si="120"/>
        <v>#VALUE!</v>
      </c>
    </row>
    <row r="1274" spans="38:43">
      <c r="AL1274" s="414" t="str">
        <f t="shared" si="115"/>
        <v/>
      </c>
      <c r="AM1274" s="395" t="str">
        <f t="shared" si="116"/>
        <v/>
      </c>
      <c r="AN1274" s="396">
        <f t="shared" si="117"/>
        <v>0</v>
      </c>
      <c r="AO1274" s="109" t="str">
        <f t="shared" si="118"/>
        <v/>
      </c>
      <c r="AP1274" s="109" t="e">
        <f t="shared" si="119"/>
        <v>#VALUE!</v>
      </c>
      <c r="AQ1274" s="397" t="e">
        <f t="shared" si="120"/>
        <v>#VALUE!</v>
      </c>
    </row>
    <row r="1275" spans="38:43">
      <c r="AL1275" s="414" t="str">
        <f t="shared" si="115"/>
        <v/>
      </c>
      <c r="AM1275" s="395" t="str">
        <f t="shared" si="116"/>
        <v/>
      </c>
      <c r="AN1275" s="396">
        <f t="shared" si="117"/>
        <v>0</v>
      </c>
      <c r="AO1275" s="109" t="str">
        <f t="shared" si="118"/>
        <v/>
      </c>
      <c r="AP1275" s="109" t="e">
        <f t="shared" si="119"/>
        <v>#VALUE!</v>
      </c>
      <c r="AQ1275" s="397" t="e">
        <f t="shared" si="120"/>
        <v>#VALUE!</v>
      </c>
    </row>
    <row r="1276" spans="38:43">
      <c r="AL1276" s="414" t="str">
        <f t="shared" si="115"/>
        <v/>
      </c>
      <c r="AM1276" s="395" t="str">
        <f t="shared" si="116"/>
        <v/>
      </c>
      <c r="AN1276" s="396">
        <f t="shared" si="117"/>
        <v>0</v>
      </c>
      <c r="AO1276" s="109" t="str">
        <f t="shared" si="118"/>
        <v/>
      </c>
      <c r="AP1276" s="109" t="e">
        <f t="shared" si="119"/>
        <v>#VALUE!</v>
      </c>
      <c r="AQ1276" s="397" t="e">
        <f t="shared" si="120"/>
        <v>#VALUE!</v>
      </c>
    </row>
    <row r="1277" spans="38:43">
      <c r="AL1277" s="414" t="str">
        <f t="shared" si="115"/>
        <v/>
      </c>
      <c r="AM1277" s="395" t="str">
        <f t="shared" si="116"/>
        <v/>
      </c>
      <c r="AN1277" s="396">
        <f t="shared" si="117"/>
        <v>0</v>
      </c>
      <c r="AO1277" s="109" t="str">
        <f t="shared" si="118"/>
        <v/>
      </c>
      <c r="AP1277" s="109" t="e">
        <f t="shared" si="119"/>
        <v>#VALUE!</v>
      </c>
      <c r="AQ1277" s="397" t="e">
        <f t="shared" si="120"/>
        <v>#VALUE!</v>
      </c>
    </row>
    <row r="1278" spans="38:43">
      <c r="AL1278" s="414" t="str">
        <f t="shared" si="115"/>
        <v/>
      </c>
      <c r="AM1278" s="395" t="str">
        <f t="shared" si="116"/>
        <v/>
      </c>
      <c r="AN1278" s="396">
        <f t="shared" si="117"/>
        <v>0</v>
      </c>
      <c r="AO1278" s="109" t="str">
        <f t="shared" si="118"/>
        <v/>
      </c>
      <c r="AP1278" s="109" t="e">
        <f t="shared" si="119"/>
        <v>#VALUE!</v>
      </c>
      <c r="AQ1278" s="397" t="e">
        <f t="shared" si="120"/>
        <v>#VALUE!</v>
      </c>
    </row>
    <row r="1279" spans="38:43">
      <c r="AL1279" s="414" t="str">
        <f t="shared" si="115"/>
        <v/>
      </c>
      <c r="AM1279" s="395" t="str">
        <f t="shared" si="116"/>
        <v/>
      </c>
      <c r="AN1279" s="396">
        <f t="shared" si="117"/>
        <v>0</v>
      </c>
      <c r="AO1279" s="109" t="str">
        <f t="shared" si="118"/>
        <v/>
      </c>
      <c r="AP1279" s="109" t="e">
        <f t="shared" si="119"/>
        <v>#VALUE!</v>
      </c>
      <c r="AQ1279" s="397" t="e">
        <f t="shared" si="120"/>
        <v>#VALUE!</v>
      </c>
    </row>
    <row r="1280" spans="38:43">
      <c r="AL1280" s="414" t="str">
        <f t="shared" si="115"/>
        <v/>
      </c>
      <c r="AM1280" s="395" t="str">
        <f t="shared" si="116"/>
        <v/>
      </c>
      <c r="AN1280" s="396">
        <f t="shared" si="117"/>
        <v>0</v>
      </c>
      <c r="AO1280" s="109" t="str">
        <f t="shared" si="118"/>
        <v/>
      </c>
      <c r="AP1280" s="109" t="e">
        <f t="shared" si="119"/>
        <v>#VALUE!</v>
      </c>
      <c r="AQ1280" s="397" t="e">
        <f t="shared" si="120"/>
        <v>#VALUE!</v>
      </c>
    </row>
    <row r="1281" spans="38:43">
      <c r="AL1281" s="414" t="str">
        <f t="shared" si="115"/>
        <v/>
      </c>
      <c r="AM1281" s="395" t="str">
        <f t="shared" si="116"/>
        <v/>
      </c>
      <c r="AN1281" s="396">
        <f t="shared" si="117"/>
        <v>0</v>
      </c>
      <c r="AO1281" s="109" t="str">
        <f t="shared" si="118"/>
        <v/>
      </c>
      <c r="AP1281" s="109" t="e">
        <f t="shared" si="119"/>
        <v>#VALUE!</v>
      </c>
      <c r="AQ1281" s="397" t="e">
        <f t="shared" si="120"/>
        <v>#VALUE!</v>
      </c>
    </row>
    <row r="1282" spans="38:43">
      <c r="AL1282" s="414" t="str">
        <f t="shared" si="115"/>
        <v/>
      </c>
      <c r="AM1282" s="395" t="str">
        <f t="shared" si="116"/>
        <v/>
      </c>
      <c r="AN1282" s="396">
        <f t="shared" si="117"/>
        <v>0</v>
      </c>
      <c r="AO1282" s="109" t="str">
        <f t="shared" si="118"/>
        <v/>
      </c>
      <c r="AP1282" s="109" t="e">
        <f t="shared" si="119"/>
        <v>#VALUE!</v>
      </c>
      <c r="AQ1282" s="397" t="e">
        <f t="shared" si="120"/>
        <v>#VALUE!</v>
      </c>
    </row>
    <row r="1283" spans="38:43">
      <c r="AL1283" s="414" t="str">
        <f t="shared" ref="AL1283:AL1346" si="121">SUBSTITUTE(SUBSTITUTE(H1283,"[워커힐]워커힐 고메 시그니처 양념 본갈비 8팩","워커힐 시그니처 양념 본갈비 300g, 8개"),"[워커힐]워커힐 시그니처 양념 본갈비 4팩","워커힐 시그니처 양념 본갈비 300g, 4개")</f>
        <v/>
      </c>
      <c r="AM1283" s="395" t="str">
        <f t="shared" ref="AM1283:AM1346" si="122">IF(N1283="배송완료", DATE(LEFT(M1283,4), MID(M1283,6,2), MID(M1283,9,2)), "")</f>
        <v/>
      </c>
      <c r="AN1283" s="396">
        <f t="shared" ref="AN1283:AN1346" si="123">IF(OR(N1283="배송완료", Q1283&lt;0), Q1283, 0)</f>
        <v>0</v>
      </c>
      <c r="AO1283" s="109" t="str">
        <f t="shared" ref="AO1283:AO1346" si="124">IF(AL1283="워커힐 시그니처 양념 본갈비 300g, 8개",119000,IF(AL1283="워커힐 시그니처 양념 본갈비 300g, 4개",78000,""))</f>
        <v/>
      </c>
      <c r="AP1283" s="109" t="e">
        <f t="shared" ref="AP1283:AP1346" si="125">AO1283/1.1</f>
        <v>#VALUE!</v>
      </c>
      <c r="AQ1283" s="397" t="e">
        <f t="shared" si="120"/>
        <v>#VALUE!</v>
      </c>
    </row>
    <row r="1284" spans="38:43">
      <c r="AL1284" s="414" t="str">
        <f t="shared" si="121"/>
        <v/>
      </c>
      <c r="AM1284" s="395" t="str">
        <f t="shared" si="122"/>
        <v/>
      </c>
      <c r="AN1284" s="396">
        <f t="shared" si="123"/>
        <v>0</v>
      </c>
      <c r="AO1284" s="109" t="str">
        <f t="shared" si="124"/>
        <v/>
      </c>
      <c r="AP1284" s="109" t="e">
        <f t="shared" si="125"/>
        <v>#VALUE!</v>
      </c>
      <c r="AQ1284" s="397" t="e">
        <f t="shared" si="120"/>
        <v>#VALUE!</v>
      </c>
    </row>
    <row r="1285" spans="38:43">
      <c r="AL1285" s="414" t="str">
        <f t="shared" si="121"/>
        <v/>
      </c>
      <c r="AM1285" s="395" t="str">
        <f t="shared" si="122"/>
        <v/>
      </c>
      <c r="AN1285" s="396">
        <f t="shared" si="123"/>
        <v>0</v>
      </c>
      <c r="AO1285" s="109" t="str">
        <f t="shared" si="124"/>
        <v/>
      </c>
      <c r="AP1285" s="109" t="e">
        <f t="shared" si="125"/>
        <v>#VALUE!</v>
      </c>
      <c r="AQ1285" s="397" t="e">
        <f t="shared" si="120"/>
        <v>#VALUE!</v>
      </c>
    </row>
    <row r="1286" spans="38:43">
      <c r="AL1286" s="414" t="str">
        <f t="shared" si="121"/>
        <v/>
      </c>
      <c r="AM1286" s="395" t="str">
        <f t="shared" si="122"/>
        <v/>
      </c>
      <c r="AN1286" s="396">
        <f t="shared" si="123"/>
        <v>0</v>
      </c>
      <c r="AO1286" s="109" t="str">
        <f t="shared" si="124"/>
        <v/>
      </c>
      <c r="AP1286" s="109" t="e">
        <f t="shared" si="125"/>
        <v>#VALUE!</v>
      </c>
      <c r="AQ1286" s="397" t="e">
        <f t="shared" si="120"/>
        <v>#VALUE!</v>
      </c>
    </row>
    <row r="1287" spans="38:43">
      <c r="AL1287" s="414" t="str">
        <f t="shared" si="121"/>
        <v/>
      </c>
      <c r="AM1287" s="395" t="str">
        <f t="shared" si="122"/>
        <v/>
      </c>
      <c r="AN1287" s="396">
        <f t="shared" si="123"/>
        <v>0</v>
      </c>
      <c r="AO1287" s="109" t="str">
        <f t="shared" si="124"/>
        <v/>
      </c>
      <c r="AP1287" s="109" t="e">
        <f t="shared" si="125"/>
        <v>#VALUE!</v>
      </c>
      <c r="AQ1287" s="397" t="e">
        <f t="shared" si="120"/>
        <v>#VALUE!</v>
      </c>
    </row>
    <row r="1288" spans="38:43">
      <c r="AL1288" s="414" t="str">
        <f t="shared" si="121"/>
        <v/>
      </c>
      <c r="AM1288" s="395" t="str">
        <f t="shared" si="122"/>
        <v/>
      </c>
      <c r="AN1288" s="396">
        <f t="shared" si="123"/>
        <v>0</v>
      </c>
      <c r="AO1288" s="109" t="str">
        <f t="shared" si="124"/>
        <v/>
      </c>
      <c r="AP1288" s="109" t="e">
        <f t="shared" si="125"/>
        <v>#VALUE!</v>
      </c>
      <c r="AQ1288" s="397" t="e">
        <f t="shared" si="120"/>
        <v>#VALUE!</v>
      </c>
    </row>
    <row r="1289" spans="38:43">
      <c r="AL1289" s="414" t="str">
        <f t="shared" si="121"/>
        <v/>
      </c>
      <c r="AM1289" s="395" t="str">
        <f t="shared" si="122"/>
        <v/>
      </c>
      <c r="AN1289" s="396">
        <f t="shared" si="123"/>
        <v>0</v>
      </c>
      <c r="AO1289" s="109" t="str">
        <f t="shared" si="124"/>
        <v/>
      </c>
      <c r="AP1289" s="109" t="e">
        <f t="shared" si="125"/>
        <v>#VALUE!</v>
      </c>
      <c r="AQ1289" s="397" t="e">
        <f t="shared" si="120"/>
        <v>#VALUE!</v>
      </c>
    </row>
    <row r="1290" spans="38:43">
      <c r="AL1290" s="414" t="str">
        <f t="shared" si="121"/>
        <v/>
      </c>
      <c r="AM1290" s="395" t="str">
        <f t="shared" si="122"/>
        <v/>
      </c>
      <c r="AN1290" s="396">
        <f t="shared" si="123"/>
        <v>0</v>
      </c>
      <c r="AO1290" s="109" t="str">
        <f t="shared" si="124"/>
        <v/>
      </c>
      <c r="AP1290" s="109" t="e">
        <f t="shared" si="125"/>
        <v>#VALUE!</v>
      </c>
      <c r="AQ1290" s="397" t="e">
        <f t="shared" si="120"/>
        <v>#VALUE!</v>
      </c>
    </row>
    <row r="1291" spans="38:43">
      <c r="AL1291" s="414" t="str">
        <f t="shared" si="121"/>
        <v/>
      </c>
      <c r="AM1291" s="395" t="str">
        <f t="shared" si="122"/>
        <v/>
      </c>
      <c r="AN1291" s="396">
        <f t="shared" si="123"/>
        <v>0</v>
      </c>
      <c r="AO1291" s="109" t="str">
        <f t="shared" si="124"/>
        <v/>
      </c>
      <c r="AP1291" s="109" t="e">
        <f t="shared" si="125"/>
        <v>#VALUE!</v>
      </c>
      <c r="AQ1291" s="397" t="e">
        <f t="shared" si="120"/>
        <v>#VALUE!</v>
      </c>
    </row>
    <row r="1292" spans="38:43">
      <c r="AL1292" s="414" t="str">
        <f t="shared" si="121"/>
        <v/>
      </c>
      <c r="AM1292" s="395" t="str">
        <f t="shared" si="122"/>
        <v/>
      </c>
      <c r="AN1292" s="396">
        <f t="shared" si="123"/>
        <v>0</v>
      </c>
      <c r="AO1292" s="109" t="str">
        <f t="shared" si="124"/>
        <v/>
      </c>
      <c r="AP1292" s="109" t="e">
        <f t="shared" si="125"/>
        <v>#VALUE!</v>
      </c>
      <c r="AQ1292" s="397" t="e">
        <f t="shared" si="120"/>
        <v>#VALUE!</v>
      </c>
    </row>
    <row r="1293" spans="38:43">
      <c r="AL1293" s="414" t="str">
        <f t="shared" si="121"/>
        <v/>
      </c>
      <c r="AM1293" s="395" t="str">
        <f t="shared" si="122"/>
        <v/>
      </c>
      <c r="AN1293" s="396">
        <f t="shared" si="123"/>
        <v>0</v>
      </c>
      <c r="AO1293" s="109" t="str">
        <f t="shared" si="124"/>
        <v/>
      </c>
      <c r="AP1293" s="109" t="e">
        <f t="shared" si="125"/>
        <v>#VALUE!</v>
      </c>
      <c r="AQ1293" s="397" t="e">
        <f t="shared" si="120"/>
        <v>#VALUE!</v>
      </c>
    </row>
    <row r="1294" spans="38:43">
      <c r="AL1294" s="414" t="str">
        <f t="shared" si="121"/>
        <v/>
      </c>
      <c r="AM1294" s="395" t="str">
        <f t="shared" si="122"/>
        <v/>
      </c>
      <c r="AN1294" s="396">
        <f t="shared" si="123"/>
        <v>0</v>
      </c>
      <c r="AO1294" s="109" t="str">
        <f t="shared" si="124"/>
        <v/>
      </c>
      <c r="AP1294" s="109" t="e">
        <f t="shared" si="125"/>
        <v>#VALUE!</v>
      </c>
      <c r="AQ1294" s="397" t="e">
        <f t="shared" si="120"/>
        <v>#VALUE!</v>
      </c>
    </row>
    <row r="1295" spans="38:43">
      <c r="AL1295" s="414" t="str">
        <f t="shared" si="121"/>
        <v/>
      </c>
      <c r="AM1295" s="395" t="str">
        <f t="shared" si="122"/>
        <v/>
      </c>
      <c r="AN1295" s="396">
        <f t="shared" si="123"/>
        <v>0</v>
      </c>
      <c r="AO1295" s="109" t="str">
        <f t="shared" si="124"/>
        <v/>
      </c>
      <c r="AP1295" s="109" t="e">
        <f t="shared" si="125"/>
        <v>#VALUE!</v>
      </c>
      <c r="AQ1295" s="397" t="e">
        <f t="shared" si="120"/>
        <v>#VALUE!</v>
      </c>
    </row>
    <row r="1296" spans="38:43">
      <c r="AL1296" s="414" t="str">
        <f t="shared" si="121"/>
        <v/>
      </c>
      <c r="AM1296" s="395" t="str">
        <f t="shared" si="122"/>
        <v/>
      </c>
      <c r="AN1296" s="396">
        <f t="shared" si="123"/>
        <v>0</v>
      </c>
      <c r="AO1296" s="109" t="str">
        <f t="shared" si="124"/>
        <v/>
      </c>
      <c r="AP1296" s="109" t="e">
        <f t="shared" si="125"/>
        <v>#VALUE!</v>
      </c>
      <c r="AQ1296" s="397" t="e">
        <f t="shared" si="120"/>
        <v>#VALUE!</v>
      </c>
    </row>
    <row r="1297" spans="38:43">
      <c r="AL1297" s="414" t="str">
        <f t="shared" si="121"/>
        <v/>
      </c>
      <c r="AM1297" s="395" t="str">
        <f t="shared" si="122"/>
        <v/>
      </c>
      <c r="AN1297" s="396">
        <f t="shared" si="123"/>
        <v>0</v>
      </c>
      <c r="AO1297" s="109" t="str">
        <f t="shared" si="124"/>
        <v/>
      </c>
      <c r="AP1297" s="109" t="e">
        <f t="shared" si="125"/>
        <v>#VALUE!</v>
      </c>
      <c r="AQ1297" s="397" t="e">
        <f t="shared" si="120"/>
        <v>#VALUE!</v>
      </c>
    </row>
    <row r="1298" spans="38:43">
      <c r="AL1298" s="414" t="str">
        <f t="shared" si="121"/>
        <v/>
      </c>
      <c r="AM1298" s="395" t="str">
        <f t="shared" si="122"/>
        <v/>
      </c>
      <c r="AN1298" s="396">
        <f t="shared" si="123"/>
        <v>0</v>
      </c>
      <c r="AO1298" s="109" t="str">
        <f t="shared" si="124"/>
        <v/>
      </c>
      <c r="AP1298" s="109" t="e">
        <f t="shared" si="125"/>
        <v>#VALUE!</v>
      </c>
      <c r="AQ1298" s="397" t="e">
        <f t="shared" si="120"/>
        <v>#VALUE!</v>
      </c>
    </row>
    <row r="1299" spans="38:43">
      <c r="AL1299" s="414" t="str">
        <f t="shared" si="121"/>
        <v/>
      </c>
      <c r="AM1299" s="395" t="str">
        <f t="shared" si="122"/>
        <v/>
      </c>
      <c r="AN1299" s="396">
        <f t="shared" si="123"/>
        <v>0</v>
      </c>
      <c r="AO1299" s="109" t="str">
        <f t="shared" si="124"/>
        <v/>
      </c>
      <c r="AP1299" s="109" t="e">
        <f t="shared" si="125"/>
        <v>#VALUE!</v>
      </c>
      <c r="AQ1299" s="397" t="e">
        <f t="shared" si="120"/>
        <v>#VALUE!</v>
      </c>
    </row>
    <row r="1300" spans="38:43">
      <c r="AL1300" s="414" t="str">
        <f t="shared" si="121"/>
        <v/>
      </c>
      <c r="AM1300" s="395" t="str">
        <f t="shared" si="122"/>
        <v/>
      </c>
      <c r="AN1300" s="396">
        <f t="shared" si="123"/>
        <v>0</v>
      </c>
      <c r="AO1300" s="109" t="str">
        <f t="shared" si="124"/>
        <v/>
      </c>
      <c r="AP1300" s="109" t="e">
        <f t="shared" si="125"/>
        <v>#VALUE!</v>
      </c>
      <c r="AQ1300" s="397" t="e">
        <f t="shared" si="120"/>
        <v>#VALUE!</v>
      </c>
    </row>
    <row r="1301" spans="38:43">
      <c r="AL1301" s="414" t="str">
        <f t="shared" si="121"/>
        <v/>
      </c>
      <c r="AM1301" s="395" t="str">
        <f t="shared" si="122"/>
        <v/>
      </c>
      <c r="AN1301" s="396">
        <f t="shared" si="123"/>
        <v>0</v>
      </c>
      <c r="AO1301" s="109" t="str">
        <f t="shared" si="124"/>
        <v/>
      </c>
      <c r="AP1301" s="109" t="e">
        <f t="shared" si="125"/>
        <v>#VALUE!</v>
      </c>
      <c r="AQ1301" s="397" t="e">
        <f t="shared" si="120"/>
        <v>#VALUE!</v>
      </c>
    </row>
    <row r="1302" spans="38:43">
      <c r="AL1302" s="414" t="str">
        <f t="shared" si="121"/>
        <v/>
      </c>
      <c r="AM1302" s="395" t="str">
        <f t="shared" si="122"/>
        <v/>
      </c>
      <c r="AN1302" s="396">
        <f t="shared" si="123"/>
        <v>0</v>
      </c>
      <c r="AO1302" s="109" t="str">
        <f t="shared" si="124"/>
        <v/>
      </c>
      <c r="AP1302" s="109" t="e">
        <f t="shared" si="125"/>
        <v>#VALUE!</v>
      </c>
      <c r="AQ1302" s="397" t="e">
        <f t="shared" si="120"/>
        <v>#VALUE!</v>
      </c>
    </row>
    <row r="1303" spans="38:43">
      <c r="AL1303" s="414" t="str">
        <f t="shared" si="121"/>
        <v/>
      </c>
      <c r="AM1303" s="395" t="str">
        <f t="shared" si="122"/>
        <v/>
      </c>
      <c r="AN1303" s="396">
        <f t="shared" si="123"/>
        <v>0</v>
      </c>
      <c r="AO1303" s="109" t="str">
        <f t="shared" si="124"/>
        <v/>
      </c>
      <c r="AP1303" s="109" t="e">
        <f t="shared" si="125"/>
        <v>#VALUE!</v>
      </c>
      <c r="AQ1303" s="397" t="e">
        <f t="shared" si="120"/>
        <v>#VALUE!</v>
      </c>
    </row>
    <row r="1304" spans="38:43">
      <c r="AL1304" s="414" t="str">
        <f t="shared" si="121"/>
        <v/>
      </c>
      <c r="AM1304" s="395" t="str">
        <f t="shared" si="122"/>
        <v/>
      </c>
      <c r="AN1304" s="396">
        <f t="shared" si="123"/>
        <v>0</v>
      </c>
      <c r="AO1304" s="109" t="str">
        <f t="shared" si="124"/>
        <v/>
      </c>
      <c r="AP1304" s="109" t="e">
        <f t="shared" si="125"/>
        <v>#VALUE!</v>
      </c>
      <c r="AQ1304" s="397" t="e">
        <f t="shared" si="120"/>
        <v>#VALUE!</v>
      </c>
    </row>
    <row r="1305" spans="38:43">
      <c r="AL1305" s="414" t="str">
        <f t="shared" si="121"/>
        <v/>
      </c>
      <c r="AM1305" s="395" t="str">
        <f t="shared" si="122"/>
        <v/>
      </c>
      <c r="AN1305" s="396">
        <f t="shared" si="123"/>
        <v>0</v>
      </c>
      <c r="AO1305" s="109" t="str">
        <f t="shared" si="124"/>
        <v/>
      </c>
      <c r="AP1305" s="109" t="e">
        <f t="shared" si="125"/>
        <v>#VALUE!</v>
      </c>
      <c r="AQ1305" s="397" t="e">
        <f t="shared" si="120"/>
        <v>#VALUE!</v>
      </c>
    </row>
    <row r="1306" spans="38:43">
      <c r="AL1306" s="414" t="str">
        <f t="shared" si="121"/>
        <v/>
      </c>
      <c r="AM1306" s="395" t="str">
        <f t="shared" si="122"/>
        <v/>
      </c>
      <c r="AN1306" s="396">
        <f t="shared" si="123"/>
        <v>0</v>
      </c>
      <c r="AO1306" s="109" t="str">
        <f t="shared" si="124"/>
        <v/>
      </c>
      <c r="AP1306" s="109" t="e">
        <f t="shared" si="125"/>
        <v>#VALUE!</v>
      </c>
      <c r="AQ1306" s="397" t="e">
        <f t="shared" si="120"/>
        <v>#VALUE!</v>
      </c>
    </row>
    <row r="1307" spans="38:43">
      <c r="AL1307" s="414" t="str">
        <f t="shared" si="121"/>
        <v/>
      </c>
      <c r="AM1307" s="395" t="str">
        <f t="shared" si="122"/>
        <v/>
      </c>
      <c r="AN1307" s="396">
        <f t="shared" si="123"/>
        <v>0</v>
      </c>
      <c r="AO1307" s="109" t="str">
        <f t="shared" si="124"/>
        <v/>
      </c>
      <c r="AP1307" s="109" t="e">
        <f t="shared" si="125"/>
        <v>#VALUE!</v>
      </c>
      <c r="AQ1307" s="397" t="e">
        <f t="shared" si="120"/>
        <v>#VALUE!</v>
      </c>
    </row>
    <row r="1308" spans="38:43">
      <c r="AL1308" s="414" t="str">
        <f t="shared" si="121"/>
        <v/>
      </c>
      <c r="AM1308" s="395" t="str">
        <f t="shared" si="122"/>
        <v/>
      </c>
      <c r="AN1308" s="396">
        <f t="shared" si="123"/>
        <v>0</v>
      </c>
      <c r="AO1308" s="109" t="str">
        <f t="shared" si="124"/>
        <v/>
      </c>
      <c r="AP1308" s="109" t="e">
        <f t="shared" si="125"/>
        <v>#VALUE!</v>
      </c>
      <c r="AQ1308" s="397" t="e">
        <f t="shared" si="120"/>
        <v>#VALUE!</v>
      </c>
    </row>
    <row r="1309" spans="38:43">
      <c r="AL1309" s="414" t="str">
        <f t="shared" si="121"/>
        <v/>
      </c>
      <c r="AM1309" s="395" t="str">
        <f t="shared" si="122"/>
        <v/>
      </c>
      <c r="AN1309" s="396">
        <f t="shared" si="123"/>
        <v>0</v>
      </c>
      <c r="AO1309" s="109" t="str">
        <f t="shared" si="124"/>
        <v/>
      </c>
      <c r="AP1309" s="109" t="e">
        <f t="shared" si="125"/>
        <v>#VALUE!</v>
      </c>
      <c r="AQ1309" s="397" t="e">
        <f t="shared" ref="AQ1309:AQ1372" si="126">AN1309*AP1309</f>
        <v>#VALUE!</v>
      </c>
    </row>
    <row r="1310" spans="38:43">
      <c r="AL1310" s="414" t="str">
        <f t="shared" si="121"/>
        <v/>
      </c>
      <c r="AM1310" s="395" t="str">
        <f t="shared" si="122"/>
        <v/>
      </c>
      <c r="AN1310" s="396">
        <f t="shared" si="123"/>
        <v>0</v>
      </c>
      <c r="AO1310" s="109" t="str">
        <f t="shared" si="124"/>
        <v/>
      </c>
      <c r="AP1310" s="109" t="e">
        <f t="shared" si="125"/>
        <v>#VALUE!</v>
      </c>
      <c r="AQ1310" s="397" t="e">
        <f t="shared" si="126"/>
        <v>#VALUE!</v>
      </c>
    </row>
    <row r="1311" spans="38:43">
      <c r="AL1311" s="414" t="str">
        <f t="shared" si="121"/>
        <v/>
      </c>
      <c r="AM1311" s="395" t="str">
        <f t="shared" si="122"/>
        <v/>
      </c>
      <c r="AN1311" s="396">
        <f t="shared" si="123"/>
        <v>0</v>
      </c>
      <c r="AO1311" s="109" t="str">
        <f t="shared" si="124"/>
        <v/>
      </c>
      <c r="AP1311" s="109" t="e">
        <f t="shared" si="125"/>
        <v>#VALUE!</v>
      </c>
      <c r="AQ1311" s="397" t="e">
        <f t="shared" si="126"/>
        <v>#VALUE!</v>
      </c>
    </row>
    <row r="1312" spans="38:43">
      <c r="AL1312" s="414" t="str">
        <f t="shared" si="121"/>
        <v/>
      </c>
      <c r="AM1312" s="395" t="str">
        <f t="shared" si="122"/>
        <v/>
      </c>
      <c r="AN1312" s="396">
        <f t="shared" si="123"/>
        <v>0</v>
      </c>
      <c r="AO1312" s="109" t="str">
        <f t="shared" si="124"/>
        <v/>
      </c>
      <c r="AP1312" s="109" t="e">
        <f t="shared" si="125"/>
        <v>#VALUE!</v>
      </c>
      <c r="AQ1312" s="397" t="e">
        <f t="shared" si="126"/>
        <v>#VALUE!</v>
      </c>
    </row>
    <row r="1313" spans="38:43">
      <c r="AL1313" s="414" t="str">
        <f t="shared" si="121"/>
        <v/>
      </c>
      <c r="AM1313" s="395" t="str">
        <f t="shared" si="122"/>
        <v/>
      </c>
      <c r="AN1313" s="396">
        <f t="shared" si="123"/>
        <v>0</v>
      </c>
      <c r="AO1313" s="109" t="str">
        <f t="shared" si="124"/>
        <v/>
      </c>
      <c r="AP1313" s="109" t="e">
        <f t="shared" si="125"/>
        <v>#VALUE!</v>
      </c>
      <c r="AQ1313" s="397" t="e">
        <f t="shared" si="126"/>
        <v>#VALUE!</v>
      </c>
    </row>
    <row r="1314" spans="38:43">
      <c r="AL1314" s="414" t="str">
        <f t="shared" si="121"/>
        <v/>
      </c>
      <c r="AM1314" s="395" t="str">
        <f t="shared" si="122"/>
        <v/>
      </c>
      <c r="AN1314" s="396">
        <f t="shared" si="123"/>
        <v>0</v>
      </c>
      <c r="AO1314" s="109" t="str">
        <f t="shared" si="124"/>
        <v/>
      </c>
      <c r="AP1314" s="109" t="e">
        <f t="shared" si="125"/>
        <v>#VALUE!</v>
      </c>
      <c r="AQ1314" s="397" t="e">
        <f t="shared" si="126"/>
        <v>#VALUE!</v>
      </c>
    </row>
    <row r="1315" spans="38:43">
      <c r="AL1315" s="414" t="str">
        <f t="shared" si="121"/>
        <v/>
      </c>
      <c r="AM1315" s="395" t="str">
        <f t="shared" si="122"/>
        <v/>
      </c>
      <c r="AN1315" s="396">
        <f t="shared" si="123"/>
        <v>0</v>
      </c>
      <c r="AO1315" s="109" t="str">
        <f t="shared" si="124"/>
        <v/>
      </c>
      <c r="AP1315" s="109" t="e">
        <f t="shared" si="125"/>
        <v>#VALUE!</v>
      </c>
      <c r="AQ1315" s="397" t="e">
        <f t="shared" si="126"/>
        <v>#VALUE!</v>
      </c>
    </row>
    <row r="1316" spans="38:43">
      <c r="AL1316" s="414" t="str">
        <f t="shared" si="121"/>
        <v/>
      </c>
      <c r="AM1316" s="395" t="str">
        <f t="shared" si="122"/>
        <v/>
      </c>
      <c r="AN1316" s="396">
        <f t="shared" si="123"/>
        <v>0</v>
      </c>
      <c r="AO1316" s="109" t="str">
        <f t="shared" si="124"/>
        <v/>
      </c>
      <c r="AP1316" s="109" t="e">
        <f t="shared" si="125"/>
        <v>#VALUE!</v>
      </c>
      <c r="AQ1316" s="397" t="e">
        <f t="shared" si="126"/>
        <v>#VALUE!</v>
      </c>
    </row>
    <row r="1317" spans="38:43">
      <c r="AL1317" s="414" t="str">
        <f t="shared" si="121"/>
        <v/>
      </c>
      <c r="AM1317" s="395" t="str">
        <f t="shared" si="122"/>
        <v/>
      </c>
      <c r="AN1317" s="396">
        <f t="shared" si="123"/>
        <v>0</v>
      </c>
      <c r="AO1317" s="109" t="str">
        <f t="shared" si="124"/>
        <v/>
      </c>
      <c r="AP1317" s="109" t="e">
        <f t="shared" si="125"/>
        <v>#VALUE!</v>
      </c>
      <c r="AQ1317" s="397" t="e">
        <f t="shared" si="126"/>
        <v>#VALUE!</v>
      </c>
    </row>
    <row r="1318" spans="38:43">
      <c r="AL1318" s="414" t="str">
        <f t="shared" si="121"/>
        <v/>
      </c>
      <c r="AM1318" s="395" t="str">
        <f t="shared" si="122"/>
        <v/>
      </c>
      <c r="AN1318" s="396">
        <f t="shared" si="123"/>
        <v>0</v>
      </c>
      <c r="AO1318" s="109" t="str">
        <f t="shared" si="124"/>
        <v/>
      </c>
      <c r="AP1318" s="109" t="e">
        <f t="shared" si="125"/>
        <v>#VALUE!</v>
      </c>
      <c r="AQ1318" s="397" t="e">
        <f t="shared" si="126"/>
        <v>#VALUE!</v>
      </c>
    </row>
    <row r="1319" spans="38:43">
      <c r="AL1319" s="414" t="str">
        <f t="shared" si="121"/>
        <v/>
      </c>
      <c r="AM1319" s="395" t="str">
        <f t="shared" si="122"/>
        <v/>
      </c>
      <c r="AN1319" s="396">
        <f t="shared" si="123"/>
        <v>0</v>
      </c>
      <c r="AO1319" s="109" t="str">
        <f t="shared" si="124"/>
        <v/>
      </c>
      <c r="AP1319" s="109" t="e">
        <f t="shared" si="125"/>
        <v>#VALUE!</v>
      </c>
      <c r="AQ1319" s="397" t="e">
        <f t="shared" si="126"/>
        <v>#VALUE!</v>
      </c>
    </row>
    <row r="1320" spans="38:43">
      <c r="AL1320" s="414" t="str">
        <f t="shared" si="121"/>
        <v/>
      </c>
      <c r="AM1320" s="395" t="str">
        <f t="shared" si="122"/>
        <v/>
      </c>
      <c r="AN1320" s="396">
        <f t="shared" si="123"/>
        <v>0</v>
      </c>
      <c r="AO1320" s="109" t="str">
        <f t="shared" si="124"/>
        <v/>
      </c>
      <c r="AP1320" s="109" t="e">
        <f t="shared" si="125"/>
        <v>#VALUE!</v>
      </c>
      <c r="AQ1320" s="397" t="e">
        <f t="shared" si="126"/>
        <v>#VALUE!</v>
      </c>
    </row>
    <row r="1321" spans="38:43">
      <c r="AL1321" s="414" t="str">
        <f t="shared" si="121"/>
        <v/>
      </c>
      <c r="AM1321" s="395" t="str">
        <f t="shared" si="122"/>
        <v/>
      </c>
      <c r="AN1321" s="396">
        <f t="shared" si="123"/>
        <v>0</v>
      </c>
      <c r="AO1321" s="109" t="str">
        <f t="shared" si="124"/>
        <v/>
      </c>
      <c r="AP1321" s="109" t="e">
        <f t="shared" si="125"/>
        <v>#VALUE!</v>
      </c>
      <c r="AQ1321" s="397" t="e">
        <f t="shared" si="126"/>
        <v>#VALUE!</v>
      </c>
    </row>
    <row r="1322" spans="38:43">
      <c r="AL1322" s="414" t="str">
        <f t="shared" si="121"/>
        <v/>
      </c>
      <c r="AM1322" s="395" t="str">
        <f t="shared" si="122"/>
        <v/>
      </c>
      <c r="AN1322" s="396">
        <f t="shared" si="123"/>
        <v>0</v>
      </c>
      <c r="AO1322" s="109" t="str">
        <f t="shared" si="124"/>
        <v/>
      </c>
      <c r="AP1322" s="109" t="e">
        <f t="shared" si="125"/>
        <v>#VALUE!</v>
      </c>
      <c r="AQ1322" s="397" t="e">
        <f t="shared" si="126"/>
        <v>#VALUE!</v>
      </c>
    </row>
    <row r="1323" spans="38:43">
      <c r="AL1323" s="414" t="str">
        <f t="shared" si="121"/>
        <v/>
      </c>
      <c r="AM1323" s="395" t="str">
        <f t="shared" si="122"/>
        <v/>
      </c>
      <c r="AN1323" s="396">
        <f t="shared" si="123"/>
        <v>0</v>
      </c>
      <c r="AO1323" s="109" t="str">
        <f t="shared" si="124"/>
        <v/>
      </c>
      <c r="AP1323" s="109" t="e">
        <f t="shared" si="125"/>
        <v>#VALUE!</v>
      </c>
      <c r="AQ1323" s="397" t="e">
        <f t="shared" si="126"/>
        <v>#VALUE!</v>
      </c>
    </row>
    <row r="1324" spans="38:43">
      <c r="AL1324" s="414" t="str">
        <f t="shared" si="121"/>
        <v/>
      </c>
      <c r="AM1324" s="395" t="str">
        <f t="shared" si="122"/>
        <v/>
      </c>
      <c r="AN1324" s="396">
        <f t="shared" si="123"/>
        <v>0</v>
      </c>
      <c r="AO1324" s="109" t="str">
        <f t="shared" si="124"/>
        <v/>
      </c>
      <c r="AP1324" s="109" t="e">
        <f t="shared" si="125"/>
        <v>#VALUE!</v>
      </c>
      <c r="AQ1324" s="397" t="e">
        <f t="shared" si="126"/>
        <v>#VALUE!</v>
      </c>
    </row>
    <row r="1325" spans="38:43">
      <c r="AL1325" s="414" t="str">
        <f t="shared" si="121"/>
        <v/>
      </c>
      <c r="AM1325" s="395" t="str">
        <f t="shared" si="122"/>
        <v/>
      </c>
      <c r="AN1325" s="396">
        <f t="shared" si="123"/>
        <v>0</v>
      </c>
      <c r="AO1325" s="109" t="str">
        <f t="shared" si="124"/>
        <v/>
      </c>
      <c r="AP1325" s="109" t="e">
        <f t="shared" si="125"/>
        <v>#VALUE!</v>
      </c>
      <c r="AQ1325" s="397" t="e">
        <f t="shared" si="126"/>
        <v>#VALUE!</v>
      </c>
    </row>
    <row r="1326" spans="38:43">
      <c r="AL1326" s="414" t="str">
        <f t="shared" si="121"/>
        <v/>
      </c>
      <c r="AM1326" s="395" t="str">
        <f t="shared" si="122"/>
        <v/>
      </c>
      <c r="AN1326" s="396">
        <f t="shared" si="123"/>
        <v>0</v>
      </c>
      <c r="AO1326" s="109" t="str">
        <f t="shared" si="124"/>
        <v/>
      </c>
      <c r="AP1326" s="109" t="e">
        <f t="shared" si="125"/>
        <v>#VALUE!</v>
      </c>
      <c r="AQ1326" s="397" t="e">
        <f t="shared" si="126"/>
        <v>#VALUE!</v>
      </c>
    </row>
    <row r="1327" spans="38:43">
      <c r="AL1327" s="414" t="str">
        <f t="shared" si="121"/>
        <v/>
      </c>
      <c r="AM1327" s="395" t="str">
        <f t="shared" si="122"/>
        <v/>
      </c>
      <c r="AN1327" s="396">
        <f t="shared" si="123"/>
        <v>0</v>
      </c>
      <c r="AO1327" s="109" t="str">
        <f t="shared" si="124"/>
        <v/>
      </c>
      <c r="AP1327" s="109" t="e">
        <f t="shared" si="125"/>
        <v>#VALUE!</v>
      </c>
      <c r="AQ1327" s="397" t="e">
        <f t="shared" si="126"/>
        <v>#VALUE!</v>
      </c>
    </row>
    <row r="1328" spans="38:43">
      <c r="AL1328" s="414" t="str">
        <f t="shared" si="121"/>
        <v/>
      </c>
      <c r="AM1328" s="395" t="str">
        <f t="shared" si="122"/>
        <v/>
      </c>
      <c r="AN1328" s="396">
        <f t="shared" si="123"/>
        <v>0</v>
      </c>
      <c r="AO1328" s="109" t="str">
        <f t="shared" si="124"/>
        <v/>
      </c>
      <c r="AP1328" s="109" t="e">
        <f t="shared" si="125"/>
        <v>#VALUE!</v>
      </c>
      <c r="AQ1328" s="397" t="e">
        <f t="shared" si="126"/>
        <v>#VALUE!</v>
      </c>
    </row>
    <row r="1329" spans="38:43">
      <c r="AL1329" s="414" t="str">
        <f t="shared" si="121"/>
        <v/>
      </c>
      <c r="AM1329" s="395" t="str">
        <f t="shared" si="122"/>
        <v/>
      </c>
      <c r="AN1329" s="396">
        <f t="shared" si="123"/>
        <v>0</v>
      </c>
      <c r="AO1329" s="109" t="str">
        <f t="shared" si="124"/>
        <v/>
      </c>
      <c r="AP1329" s="109" t="e">
        <f t="shared" si="125"/>
        <v>#VALUE!</v>
      </c>
      <c r="AQ1329" s="397" t="e">
        <f t="shared" si="126"/>
        <v>#VALUE!</v>
      </c>
    </row>
    <row r="1330" spans="38:43">
      <c r="AL1330" s="414" t="str">
        <f t="shared" si="121"/>
        <v/>
      </c>
      <c r="AM1330" s="395" t="str">
        <f t="shared" si="122"/>
        <v/>
      </c>
      <c r="AN1330" s="396">
        <f t="shared" si="123"/>
        <v>0</v>
      </c>
      <c r="AO1330" s="109" t="str">
        <f t="shared" si="124"/>
        <v/>
      </c>
      <c r="AP1330" s="109" t="e">
        <f t="shared" si="125"/>
        <v>#VALUE!</v>
      </c>
      <c r="AQ1330" s="397" t="e">
        <f t="shared" si="126"/>
        <v>#VALUE!</v>
      </c>
    </row>
    <row r="1331" spans="38:43">
      <c r="AL1331" s="414" t="str">
        <f t="shared" si="121"/>
        <v/>
      </c>
      <c r="AM1331" s="395" t="str">
        <f t="shared" si="122"/>
        <v/>
      </c>
      <c r="AN1331" s="396">
        <f t="shared" si="123"/>
        <v>0</v>
      </c>
      <c r="AO1331" s="109" t="str">
        <f t="shared" si="124"/>
        <v/>
      </c>
      <c r="AP1331" s="109" t="e">
        <f t="shared" si="125"/>
        <v>#VALUE!</v>
      </c>
      <c r="AQ1331" s="397" t="e">
        <f t="shared" si="126"/>
        <v>#VALUE!</v>
      </c>
    </row>
    <row r="1332" spans="38:43">
      <c r="AL1332" s="414" t="str">
        <f t="shared" si="121"/>
        <v/>
      </c>
      <c r="AM1332" s="395" t="str">
        <f t="shared" si="122"/>
        <v/>
      </c>
      <c r="AN1332" s="396">
        <f t="shared" si="123"/>
        <v>0</v>
      </c>
      <c r="AO1332" s="109" t="str">
        <f t="shared" si="124"/>
        <v/>
      </c>
      <c r="AP1332" s="109" t="e">
        <f t="shared" si="125"/>
        <v>#VALUE!</v>
      </c>
      <c r="AQ1332" s="397" t="e">
        <f t="shared" si="126"/>
        <v>#VALUE!</v>
      </c>
    </row>
    <row r="1333" spans="38:43">
      <c r="AL1333" s="414" t="str">
        <f t="shared" si="121"/>
        <v/>
      </c>
      <c r="AM1333" s="395" t="str">
        <f t="shared" si="122"/>
        <v/>
      </c>
      <c r="AN1333" s="396">
        <f t="shared" si="123"/>
        <v>0</v>
      </c>
      <c r="AO1333" s="109" t="str">
        <f t="shared" si="124"/>
        <v/>
      </c>
      <c r="AP1333" s="109" t="e">
        <f t="shared" si="125"/>
        <v>#VALUE!</v>
      </c>
      <c r="AQ1333" s="397" t="e">
        <f t="shared" si="126"/>
        <v>#VALUE!</v>
      </c>
    </row>
    <row r="1334" spans="38:43">
      <c r="AL1334" s="414" t="str">
        <f t="shared" si="121"/>
        <v/>
      </c>
      <c r="AM1334" s="395" t="str">
        <f t="shared" si="122"/>
        <v/>
      </c>
      <c r="AN1334" s="396">
        <f t="shared" si="123"/>
        <v>0</v>
      </c>
      <c r="AO1334" s="109" t="str">
        <f t="shared" si="124"/>
        <v/>
      </c>
      <c r="AP1334" s="109" t="e">
        <f t="shared" si="125"/>
        <v>#VALUE!</v>
      </c>
      <c r="AQ1334" s="397" t="e">
        <f t="shared" si="126"/>
        <v>#VALUE!</v>
      </c>
    </row>
    <row r="1335" spans="38:43">
      <c r="AL1335" s="414" t="str">
        <f t="shared" si="121"/>
        <v/>
      </c>
      <c r="AM1335" s="395" t="str">
        <f t="shared" si="122"/>
        <v/>
      </c>
      <c r="AN1335" s="396">
        <f t="shared" si="123"/>
        <v>0</v>
      </c>
      <c r="AO1335" s="109" t="str">
        <f t="shared" si="124"/>
        <v/>
      </c>
      <c r="AP1335" s="109" t="e">
        <f t="shared" si="125"/>
        <v>#VALUE!</v>
      </c>
      <c r="AQ1335" s="397" t="e">
        <f t="shared" si="126"/>
        <v>#VALUE!</v>
      </c>
    </row>
    <row r="1336" spans="38:43">
      <c r="AL1336" s="414" t="str">
        <f t="shared" si="121"/>
        <v/>
      </c>
      <c r="AM1336" s="395" t="str">
        <f t="shared" si="122"/>
        <v/>
      </c>
      <c r="AN1336" s="396">
        <f t="shared" si="123"/>
        <v>0</v>
      </c>
      <c r="AO1336" s="109" t="str">
        <f t="shared" si="124"/>
        <v/>
      </c>
      <c r="AP1336" s="109" t="e">
        <f t="shared" si="125"/>
        <v>#VALUE!</v>
      </c>
      <c r="AQ1336" s="397" t="e">
        <f t="shared" si="126"/>
        <v>#VALUE!</v>
      </c>
    </row>
    <row r="1337" spans="38:43">
      <c r="AL1337" s="414" t="str">
        <f t="shared" si="121"/>
        <v/>
      </c>
      <c r="AM1337" s="395" t="str">
        <f t="shared" si="122"/>
        <v/>
      </c>
      <c r="AN1337" s="396">
        <f t="shared" si="123"/>
        <v>0</v>
      </c>
      <c r="AO1337" s="109" t="str">
        <f t="shared" si="124"/>
        <v/>
      </c>
      <c r="AP1337" s="109" t="e">
        <f t="shared" si="125"/>
        <v>#VALUE!</v>
      </c>
      <c r="AQ1337" s="397" t="e">
        <f t="shared" si="126"/>
        <v>#VALUE!</v>
      </c>
    </row>
    <row r="1338" spans="38:43">
      <c r="AL1338" s="414" t="str">
        <f t="shared" si="121"/>
        <v/>
      </c>
      <c r="AM1338" s="395" t="str">
        <f t="shared" si="122"/>
        <v/>
      </c>
      <c r="AN1338" s="396">
        <f t="shared" si="123"/>
        <v>0</v>
      </c>
      <c r="AO1338" s="109" t="str">
        <f t="shared" si="124"/>
        <v/>
      </c>
      <c r="AP1338" s="109" t="e">
        <f t="shared" si="125"/>
        <v>#VALUE!</v>
      </c>
      <c r="AQ1338" s="397" t="e">
        <f t="shared" si="126"/>
        <v>#VALUE!</v>
      </c>
    </row>
    <row r="1339" spans="38:43">
      <c r="AL1339" s="414" t="str">
        <f t="shared" si="121"/>
        <v/>
      </c>
      <c r="AM1339" s="395" t="str">
        <f t="shared" si="122"/>
        <v/>
      </c>
      <c r="AN1339" s="396">
        <f t="shared" si="123"/>
        <v>0</v>
      </c>
      <c r="AO1339" s="109" t="str">
        <f t="shared" si="124"/>
        <v/>
      </c>
      <c r="AP1339" s="109" t="e">
        <f t="shared" si="125"/>
        <v>#VALUE!</v>
      </c>
      <c r="AQ1339" s="397" t="e">
        <f t="shared" si="126"/>
        <v>#VALUE!</v>
      </c>
    </row>
    <row r="1340" spans="38:43">
      <c r="AL1340" s="414" t="str">
        <f t="shared" si="121"/>
        <v/>
      </c>
      <c r="AM1340" s="395" t="str">
        <f t="shared" si="122"/>
        <v/>
      </c>
      <c r="AN1340" s="396">
        <f t="shared" si="123"/>
        <v>0</v>
      </c>
      <c r="AO1340" s="109" t="str">
        <f t="shared" si="124"/>
        <v/>
      </c>
      <c r="AP1340" s="109" t="e">
        <f t="shared" si="125"/>
        <v>#VALUE!</v>
      </c>
      <c r="AQ1340" s="397" t="e">
        <f t="shared" si="126"/>
        <v>#VALUE!</v>
      </c>
    </row>
    <row r="1341" spans="38:43">
      <c r="AL1341" s="414" t="str">
        <f t="shared" si="121"/>
        <v/>
      </c>
      <c r="AM1341" s="395" t="str">
        <f t="shared" si="122"/>
        <v/>
      </c>
      <c r="AN1341" s="396">
        <f t="shared" si="123"/>
        <v>0</v>
      </c>
      <c r="AO1341" s="109" t="str">
        <f t="shared" si="124"/>
        <v/>
      </c>
      <c r="AP1341" s="109" t="e">
        <f t="shared" si="125"/>
        <v>#VALUE!</v>
      </c>
      <c r="AQ1341" s="397" t="e">
        <f t="shared" si="126"/>
        <v>#VALUE!</v>
      </c>
    </row>
    <row r="1342" spans="38:43">
      <c r="AL1342" s="414" t="str">
        <f t="shared" si="121"/>
        <v/>
      </c>
      <c r="AM1342" s="395" t="str">
        <f t="shared" si="122"/>
        <v/>
      </c>
      <c r="AN1342" s="396">
        <f t="shared" si="123"/>
        <v>0</v>
      </c>
      <c r="AO1342" s="109" t="str">
        <f t="shared" si="124"/>
        <v/>
      </c>
      <c r="AP1342" s="109" t="e">
        <f t="shared" si="125"/>
        <v>#VALUE!</v>
      </c>
      <c r="AQ1342" s="397" t="e">
        <f t="shared" si="126"/>
        <v>#VALUE!</v>
      </c>
    </row>
    <row r="1343" spans="38:43">
      <c r="AL1343" s="414" t="str">
        <f t="shared" si="121"/>
        <v/>
      </c>
      <c r="AM1343" s="395" t="str">
        <f t="shared" si="122"/>
        <v/>
      </c>
      <c r="AN1343" s="396">
        <f t="shared" si="123"/>
        <v>0</v>
      </c>
      <c r="AO1343" s="109" t="str">
        <f t="shared" si="124"/>
        <v/>
      </c>
      <c r="AP1343" s="109" t="e">
        <f t="shared" si="125"/>
        <v>#VALUE!</v>
      </c>
      <c r="AQ1343" s="397" t="e">
        <f t="shared" si="126"/>
        <v>#VALUE!</v>
      </c>
    </row>
    <row r="1344" spans="38:43">
      <c r="AL1344" s="414" t="str">
        <f t="shared" si="121"/>
        <v/>
      </c>
      <c r="AM1344" s="395" t="str">
        <f t="shared" si="122"/>
        <v/>
      </c>
      <c r="AN1344" s="396">
        <f t="shared" si="123"/>
        <v>0</v>
      </c>
      <c r="AO1344" s="109" t="str">
        <f t="shared" si="124"/>
        <v/>
      </c>
      <c r="AP1344" s="109" t="e">
        <f t="shared" si="125"/>
        <v>#VALUE!</v>
      </c>
      <c r="AQ1344" s="397" t="e">
        <f t="shared" si="126"/>
        <v>#VALUE!</v>
      </c>
    </row>
    <row r="1345" spans="38:43">
      <c r="AL1345" s="414" t="str">
        <f t="shared" si="121"/>
        <v/>
      </c>
      <c r="AM1345" s="395" t="str">
        <f t="shared" si="122"/>
        <v/>
      </c>
      <c r="AN1345" s="396">
        <f t="shared" si="123"/>
        <v>0</v>
      </c>
      <c r="AO1345" s="109" t="str">
        <f t="shared" si="124"/>
        <v/>
      </c>
      <c r="AP1345" s="109" t="e">
        <f t="shared" si="125"/>
        <v>#VALUE!</v>
      </c>
      <c r="AQ1345" s="397" t="e">
        <f t="shared" si="126"/>
        <v>#VALUE!</v>
      </c>
    </row>
    <row r="1346" spans="38:43">
      <c r="AL1346" s="414" t="str">
        <f t="shared" si="121"/>
        <v/>
      </c>
      <c r="AM1346" s="395" t="str">
        <f t="shared" si="122"/>
        <v/>
      </c>
      <c r="AN1346" s="396">
        <f t="shared" si="123"/>
        <v>0</v>
      </c>
      <c r="AO1346" s="109" t="str">
        <f t="shared" si="124"/>
        <v/>
      </c>
      <c r="AP1346" s="109" t="e">
        <f t="shared" si="125"/>
        <v>#VALUE!</v>
      </c>
      <c r="AQ1346" s="397" t="e">
        <f t="shared" si="126"/>
        <v>#VALUE!</v>
      </c>
    </row>
    <row r="1347" spans="38:43">
      <c r="AL1347" s="414" t="str">
        <f t="shared" ref="AL1347:AL1410" si="127">SUBSTITUTE(SUBSTITUTE(H1347,"[워커힐]워커힐 고메 시그니처 양념 본갈비 8팩","워커힐 시그니처 양념 본갈비 300g, 8개"),"[워커힐]워커힐 시그니처 양념 본갈비 4팩","워커힐 시그니처 양념 본갈비 300g, 4개")</f>
        <v/>
      </c>
      <c r="AM1347" s="395" t="str">
        <f t="shared" ref="AM1347:AM1410" si="128">IF(N1347="배송완료", DATE(LEFT(M1347,4), MID(M1347,6,2), MID(M1347,9,2)), "")</f>
        <v/>
      </c>
      <c r="AN1347" s="396">
        <f t="shared" ref="AN1347:AN1410" si="129">IF(OR(N1347="배송완료", Q1347&lt;0), Q1347, 0)</f>
        <v>0</v>
      </c>
      <c r="AO1347" s="109" t="str">
        <f t="shared" ref="AO1347:AO1410" si="130">IF(AL1347="워커힐 시그니처 양념 본갈비 300g, 8개",119000,IF(AL1347="워커힐 시그니처 양념 본갈비 300g, 4개",78000,""))</f>
        <v/>
      </c>
      <c r="AP1347" s="109" t="e">
        <f t="shared" ref="AP1347:AP1410" si="131">AO1347/1.1</f>
        <v>#VALUE!</v>
      </c>
      <c r="AQ1347" s="397" t="e">
        <f t="shared" si="126"/>
        <v>#VALUE!</v>
      </c>
    </row>
    <row r="1348" spans="38:43">
      <c r="AL1348" s="414" t="str">
        <f t="shared" si="127"/>
        <v/>
      </c>
      <c r="AM1348" s="395" t="str">
        <f t="shared" si="128"/>
        <v/>
      </c>
      <c r="AN1348" s="396">
        <f t="shared" si="129"/>
        <v>0</v>
      </c>
      <c r="AO1348" s="109" t="str">
        <f t="shared" si="130"/>
        <v/>
      </c>
      <c r="AP1348" s="109" t="e">
        <f t="shared" si="131"/>
        <v>#VALUE!</v>
      </c>
      <c r="AQ1348" s="397" t="e">
        <f t="shared" si="126"/>
        <v>#VALUE!</v>
      </c>
    </row>
    <row r="1349" spans="38:43">
      <c r="AL1349" s="414" t="str">
        <f t="shared" si="127"/>
        <v/>
      </c>
      <c r="AM1349" s="395" t="str">
        <f t="shared" si="128"/>
        <v/>
      </c>
      <c r="AN1349" s="396">
        <f t="shared" si="129"/>
        <v>0</v>
      </c>
      <c r="AO1349" s="109" t="str">
        <f t="shared" si="130"/>
        <v/>
      </c>
      <c r="AP1349" s="109" t="e">
        <f t="shared" si="131"/>
        <v>#VALUE!</v>
      </c>
      <c r="AQ1349" s="397" t="e">
        <f t="shared" si="126"/>
        <v>#VALUE!</v>
      </c>
    </row>
    <row r="1350" spans="38:43">
      <c r="AL1350" s="414" t="str">
        <f t="shared" si="127"/>
        <v/>
      </c>
      <c r="AM1350" s="395" t="str">
        <f t="shared" si="128"/>
        <v/>
      </c>
      <c r="AN1350" s="396">
        <f t="shared" si="129"/>
        <v>0</v>
      </c>
      <c r="AO1350" s="109" t="str">
        <f t="shared" si="130"/>
        <v/>
      </c>
      <c r="AP1350" s="109" t="e">
        <f t="shared" si="131"/>
        <v>#VALUE!</v>
      </c>
      <c r="AQ1350" s="397" t="e">
        <f t="shared" si="126"/>
        <v>#VALUE!</v>
      </c>
    </row>
    <row r="1351" spans="38:43">
      <c r="AL1351" s="414" t="str">
        <f t="shared" si="127"/>
        <v/>
      </c>
      <c r="AM1351" s="395" t="str">
        <f t="shared" si="128"/>
        <v/>
      </c>
      <c r="AN1351" s="396">
        <f t="shared" si="129"/>
        <v>0</v>
      </c>
      <c r="AO1351" s="109" t="str">
        <f t="shared" si="130"/>
        <v/>
      </c>
      <c r="AP1351" s="109" t="e">
        <f t="shared" si="131"/>
        <v>#VALUE!</v>
      </c>
      <c r="AQ1351" s="397" t="e">
        <f t="shared" si="126"/>
        <v>#VALUE!</v>
      </c>
    </row>
    <row r="1352" spans="38:43">
      <c r="AL1352" s="414" t="str">
        <f t="shared" si="127"/>
        <v/>
      </c>
      <c r="AM1352" s="395" t="str">
        <f t="shared" si="128"/>
        <v/>
      </c>
      <c r="AN1352" s="396">
        <f t="shared" si="129"/>
        <v>0</v>
      </c>
      <c r="AO1352" s="109" t="str">
        <f t="shared" si="130"/>
        <v/>
      </c>
      <c r="AP1352" s="109" t="e">
        <f t="shared" si="131"/>
        <v>#VALUE!</v>
      </c>
      <c r="AQ1352" s="397" t="e">
        <f t="shared" si="126"/>
        <v>#VALUE!</v>
      </c>
    </row>
    <row r="1353" spans="38:43">
      <c r="AL1353" s="414" t="str">
        <f t="shared" si="127"/>
        <v/>
      </c>
      <c r="AM1353" s="395" t="str">
        <f t="shared" si="128"/>
        <v/>
      </c>
      <c r="AN1353" s="396">
        <f t="shared" si="129"/>
        <v>0</v>
      </c>
      <c r="AO1353" s="109" t="str">
        <f t="shared" si="130"/>
        <v/>
      </c>
      <c r="AP1353" s="109" t="e">
        <f t="shared" si="131"/>
        <v>#VALUE!</v>
      </c>
      <c r="AQ1353" s="397" t="e">
        <f t="shared" si="126"/>
        <v>#VALUE!</v>
      </c>
    </row>
    <row r="1354" spans="38:43">
      <c r="AL1354" s="414" t="str">
        <f t="shared" si="127"/>
        <v/>
      </c>
      <c r="AM1354" s="395" t="str">
        <f t="shared" si="128"/>
        <v/>
      </c>
      <c r="AN1354" s="396">
        <f t="shared" si="129"/>
        <v>0</v>
      </c>
      <c r="AO1354" s="109" t="str">
        <f t="shared" si="130"/>
        <v/>
      </c>
      <c r="AP1354" s="109" t="e">
        <f t="shared" si="131"/>
        <v>#VALUE!</v>
      </c>
      <c r="AQ1354" s="397" t="e">
        <f t="shared" si="126"/>
        <v>#VALUE!</v>
      </c>
    </row>
    <row r="1355" spans="38:43">
      <c r="AL1355" s="414" t="str">
        <f t="shared" si="127"/>
        <v/>
      </c>
      <c r="AM1355" s="395" t="str">
        <f t="shared" si="128"/>
        <v/>
      </c>
      <c r="AN1355" s="396">
        <f t="shared" si="129"/>
        <v>0</v>
      </c>
      <c r="AO1355" s="109" t="str">
        <f t="shared" si="130"/>
        <v/>
      </c>
      <c r="AP1355" s="109" t="e">
        <f t="shared" si="131"/>
        <v>#VALUE!</v>
      </c>
      <c r="AQ1355" s="397" t="e">
        <f t="shared" si="126"/>
        <v>#VALUE!</v>
      </c>
    </row>
    <row r="1356" spans="38:43">
      <c r="AL1356" s="414" t="str">
        <f t="shared" si="127"/>
        <v/>
      </c>
      <c r="AM1356" s="395" t="str">
        <f t="shared" si="128"/>
        <v/>
      </c>
      <c r="AN1356" s="396">
        <f t="shared" si="129"/>
        <v>0</v>
      </c>
      <c r="AO1356" s="109" t="str">
        <f t="shared" si="130"/>
        <v/>
      </c>
      <c r="AP1356" s="109" t="e">
        <f t="shared" si="131"/>
        <v>#VALUE!</v>
      </c>
      <c r="AQ1356" s="397" t="e">
        <f t="shared" si="126"/>
        <v>#VALUE!</v>
      </c>
    </row>
    <row r="1357" spans="38:43">
      <c r="AL1357" s="414" t="str">
        <f t="shared" si="127"/>
        <v/>
      </c>
      <c r="AM1357" s="395" t="str">
        <f t="shared" si="128"/>
        <v/>
      </c>
      <c r="AN1357" s="396">
        <f t="shared" si="129"/>
        <v>0</v>
      </c>
      <c r="AO1357" s="109" t="str">
        <f t="shared" si="130"/>
        <v/>
      </c>
      <c r="AP1357" s="109" t="e">
        <f t="shared" si="131"/>
        <v>#VALUE!</v>
      </c>
      <c r="AQ1357" s="397" t="e">
        <f t="shared" si="126"/>
        <v>#VALUE!</v>
      </c>
    </row>
    <row r="1358" spans="38:43">
      <c r="AL1358" s="414" t="str">
        <f t="shared" si="127"/>
        <v/>
      </c>
      <c r="AM1358" s="395" t="str">
        <f t="shared" si="128"/>
        <v/>
      </c>
      <c r="AN1358" s="396">
        <f t="shared" si="129"/>
        <v>0</v>
      </c>
      <c r="AO1358" s="109" t="str">
        <f t="shared" si="130"/>
        <v/>
      </c>
      <c r="AP1358" s="109" t="e">
        <f t="shared" si="131"/>
        <v>#VALUE!</v>
      </c>
      <c r="AQ1358" s="397" t="e">
        <f t="shared" si="126"/>
        <v>#VALUE!</v>
      </c>
    </row>
    <row r="1359" spans="38:43">
      <c r="AL1359" s="414" t="str">
        <f t="shared" si="127"/>
        <v/>
      </c>
      <c r="AM1359" s="395" t="str">
        <f t="shared" si="128"/>
        <v/>
      </c>
      <c r="AN1359" s="396">
        <f t="shared" si="129"/>
        <v>0</v>
      </c>
      <c r="AO1359" s="109" t="str">
        <f t="shared" si="130"/>
        <v/>
      </c>
      <c r="AP1359" s="109" t="e">
        <f t="shared" si="131"/>
        <v>#VALUE!</v>
      </c>
      <c r="AQ1359" s="397" t="e">
        <f t="shared" si="126"/>
        <v>#VALUE!</v>
      </c>
    </row>
    <row r="1360" spans="38:43">
      <c r="AL1360" s="414" t="str">
        <f t="shared" si="127"/>
        <v/>
      </c>
      <c r="AM1360" s="395" t="str">
        <f t="shared" si="128"/>
        <v/>
      </c>
      <c r="AN1360" s="396">
        <f t="shared" si="129"/>
        <v>0</v>
      </c>
      <c r="AO1360" s="109" t="str">
        <f t="shared" si="130"/>
        <v/>
      </c>
      <c r="AP1360" s="109" t="e">
        <f t="shared" si="131"/>
        <v>#VALUE!</v>
      </c>
      <c r="AQ1360" s="397" t="e">
        <f t="shared" si="126"/>
        <v>#VALUE!</v>
      </c>
    </row>
    <row r="1361" spans="38:43">
      <c r="AL1361" s="414" t="str">
        <f t="shared" si="127"/>
        <v/>
      </c>
      <c r="AM1361" s="395" t="str">
        <f t="shared" si="128"/>
        <v/>
      </c>
      <c r="AN1361" s="396">
        <f t="shared" si="129"/>
        <v>0</v>
      </c>
      <c r="AO1361" s="109" t="str">
        <f t="shared" si="130"/>
        <v/>
      </c>
      <c r="AP1361" s="109" t="e">
        <f t="shared" si="131"/>
        <v>#VALUE!</v>
      </c>
      <c r="AQ1361" s="397" t="e">
        <f t="shared" si="126"/>
        <v>#VALUE!</v>
      </c>
    </row>
    <row r="1362" spans="38:43">
      <c r="AL1362" s="414" t="str">
        <f t="shared" si="127"/>
        <v/>
      </c>
      <c r="AM1362" s="395" t="str">
        <f t="shared" si="128"/>
        <v/>
      </c>
      <c r="AN1362" s="396">
        <f t="shared" si="129"/>
        <v>0</v>
      </c>
      <c r="AO1362" s="109" t="str">
        <f t="shared" si="130"/>
        <v/>
      </c>
      <c r="AP1362" s="109" t="e">
        <f t="shared" si="131"/>
        <v>#VALUE!</v>
      </c>
      <c r="AQ1362" s="397" t="e">
        <f t="shared" si="126"/>
        <v>#VALUE!</v>
      </c>
    </row>
    <row r="1363" spans="38:43">
      <c r="AL1363" s="414" t="str">
        <f t="shared" si="127"/>
        <v/>
      </c>
      <c r="AM1363" s="395" t="str">
        <f t="shared" si="128"/>
        <v/>
      </c>
      <c r="AN1363" s="396">
        <f t="shared" si="129"/>
        <v>0</v>
      </c>
      <c r="AO1363" s="109" t="str">
        <f t="shared" si="130"/>
        <v/>
      </c>
      <c r="AP1363" s="109" t="e">
        <f t="shared" si="131"/>
        <v>#VALUE!</v>
      </c>
      <c r="AQ1363" s="397" t="e">
        <f t="shared" si="126"/>
        <v>#VALUE!</v>
      </c>
    </row>
    <row r="1364" spans="38:43">
      <c r="AL1364" s="414" t="str">
        <f t="shared" si="127"/>
        <v/>
      </c>
      <c r="AM1364" s="395" t="str">
        <f t="shared" si="128"/>
        <v/>
      </c>
      <c r="AN1364" s="396">
        <f t="shared" si="129"/>
        <v>0</v>
      </c>
      <c r="AO1364" s="109" t="str">
        <f t="shared" si="130"/>
        <v/>
      </c>
      <c r="AP1364" s="109" t="e">
        <f t="shared" si="131"/>
        <v>#VALUE!</v>
      </c>
      <c r="AQ1364" s="397" t="e">
        <f t="shared" si="126"/>
        <v>#VALUE!</v>
      </c>
    </row>
    <row r="1365" spans="38:43">
      <c r="AL1365" s="414" t="str">
        <f t="shared" si="127"/>
        <v/>
      </c>
      <c r="AM1365" s="395" t="str">
        <f t="shared" si="128"/>
        <v/>
      </c>
      <c r="AN1365" s="396">
        <f t="shared" si="129"/>
        <v>0</v>
      </c>
      <c r="AO1365" s="109" t="str">
        <f t="shared" si="130"/>
        <v/>
      </c>
      <c r="AP1365" s="109" t="e">
        <f t="shared" si="131"/>
        <v>#VALUE!</v>
      </c>
      <c r="AQ1365" s="397" t="e">
        <f t="shared" si="126"/>
        <v>#VALUE!</v>
      </c>
    </row>
    <row r="1366" spans="38:43">
      <c r="AL1366" s="414" t="str">
        <f t="shared" si="127"/>
        <v/>
      </c>
      <c r="AM1366" s="395" t="str">
        <f t="shared" si="128"/>
        <v/>
      </c>
      <c r="AN1366" s="396">
        <f t="shared" si="129"/>
        <v>0</v>
      </c>
      <c r="AO1366" s="109" t="str">
        <f t="shared" si="130"/>
        <v/>
      </c>
      <c r="AP1366" s="109" t="e">
        <f t="shared" si="131"/>
        <v>#VALUE!</v>
      </c>
      <c r="AQ1366" s="397" t="e">
        <f t="shared" si="126"/>
        <v>#VALUE!</v>
      </c>
    </row>
    <row r="1367" spans="38:43">
      <c r="AL1367" s="414" t="str">
        <f t="shared" si="127"/>
        <v/>
      </c>
      <c r="AM1367" s="395" t="str">
        <f t="shared" si="128"/>
        <v/>
      </c>
      <c r="AN1367" s="396">
        <f t="shared" si="129"/>
        <v>0</v>
      </c>
      <c r="AO1367" s="109" t="str">
        <f t="shared" si="130"/>
        <v/>
      </c>
      <c r="AP1367" s="109" t="e">
        <f t="shared" si="131"/>
        <v>#VALUE!</v>
      </c>
      <c r="AQ1367" s="397" t="e">
        <f t="shared" si="126"/>
        <v>#VALUE!</v>
      </c>
    </row>
    <row r="1368" spans="38:43">
      <c r="AL1368" s="414" t="str">
        <f t="shared" si="127"/>
        <v/>
      </c>
      <c r="AM1368" s="395" t="str">
        <f t="shared" si="128"/>
        <v/>
      </c>
      <c r="AN1368" s="396">
        <f t="shared" si="129"/>
        <v>0</v>
      </c>
      <c r="AO1368" s="109" t="str">
        <f t="shared" si="130"/>
        <v/>
      </c>
      <c r="AP1368" s="109" t="e">
        <f t="shared" si="131"/>
        <v>#VALUE!</v>
      </c>
      <c r="AQ1368" s="397" t="e">
        <f t="shared" si="126"/>
        <v>#VALUE!</v>
      </c>
    </row>
    <row r="1369" spans="38:43">
      <c r="AL1369" s="414" t="str">
        <f t="shared" si="127"/>
        <v/>
      </c>
      <c r="AM1369" s="395" t="str">
        <f t="shared" si="128"/>
        <v/>
      </c>
      <c r="AN1369" s="396">
        <f t="shared" si="129"/>
        <v>0</v>
      </c>
      <c r="AO1369" s="109" t="str">
        <f t="shared" si="130"/>
        <v/>
      </c>
      <c r="AP1369" s="109" t="e">
        <f t="shared" si="131"/>
        <v>#VALUE!</v>
      </c>
      <c r="AQ1369" s="397" t="e">
        <f t="shared" si="126"/>
        <v>#VALUE!</v>
      </c>
    </row>
    <row r="1370" spans="38:43">
      <c r="AL1370" s="414" t="str">
        <f t="shared" si="127"/>
        <v/>
      </c>
      <c r="AM1370" s="395" t="str">
        <f t="shared" si="128"/>
        <v/>
      </c>
      <c r="AN1370" s="396">
        <f t="shared" si="129"/>
        <v>0</v>
      </c>
      <c r="AO1370" s="109" t="str">
        <f t="shared" si="130"/>
        <v/>
      </c>
      <c r="AP1370" s="109" t="e">
        <f t="shared" si="131"/>
        <v>#VALUE!</v>
      </c>
      <c r="AQ1370" s="397" t="e">
        <f t="shared" si="126"/>
        <v>#VALUE!</v>
      </c>
    </row>
    <row r="1371" spans="38:43">
      <c r="AL1371" s="414" t="str">
        <f t="shared" si="127"/>
        <v/>
      </c>
      <c r="AM1371" s="395" t="str">
        <f t="shared" si="128"/>
        <v/>
      </c>
      <c r="AN1371" s="396">
        <f t="shared" si="129"/>
        <v>0</v>
      </c>
      <c r="AO1371" s="109" t="str">
        <f t="shared" si="130"/>
        <v/>
      </c>
      <c r="AP1371" s="109" t="e">
        <f t="shared" si="131"/>
        <v>#VALUE!</v>
      </c>
      <c r="AQ1371" s="397" t="e">
        <f t="shared" si="126"/>
        <v>#VALUE!</v>
      </c>
    </row>
    <row r="1372" spans="38:43">
      <c r="AL1372" s="414" t="str">
        <f t="shared" si="127"/>
        <v/>
      </c>
      <c r="AM1372" s="395" t="str">
        <f t="shared" si="128"/>
        <v/>
      </c>
      <c r="AN1372" s="396">
        <f t="shared" si="129"/>
        <v>0</v>
      </c>
      <c r="AO1372" s="109" t="str">
        <f t="shared" si="130"/>
        <v/>
      </c>
      <c r="AP1372" s="109" t="e">
        <f t="shared" si="131"/>
        <v>#VALUE!</v>
      </c>
      <c r="AQ1372" s="397" t="e">
        <f t="shared" si="126"/>
        <v>#VALUE!</v>
      </c>
    </row>
    <row r="1373" spans="38:43">
      <c r="AL1373" s="414" t="str">
        <f t="shared" si="127"/>
        <v/>
      </c>
      <c r="AM1373" s="395" t="str">
        <f t="shared" si="128"/>
        <v/>
      </c>
      <c r="AN1373" s="396">
        <f t="shared" si="129"/>
        <v>0</v>
      </c>
      <c r="AO1373" s="109" t="str">
        <f t="shared" si="130"/>
        <v/>
      </c>
      <c r="AP1373" s="109" t="e">
        <f t="shared" si="131"/>
        <v>#VALUE!</v>
      </c>
      <c r="AQ1373" s="397" t="e">
        <f t="shared" ref="AQ1373:AQ1436" si="132">AN1373*AP1373</f>
        <v>#VALUE!</v>
      </c>
    </row>
    <row r="1374" spans="38:43">
      <c r="AL1374" s="414" t="str">
        <f t="shared" si="127"/>
        <v/>
      </c>
      <c r="AM1374" s="395" t="str">
        <f t="shared" si="128"/>
        <v/>
      </c>
      <c r="AN1374" s="396">
        <f t="shared" si="129"/>
        <v>0</v>
      </c>
      <c r="AO1374" s="109" t="str">
        <f t="shared" si="130"/>
        <v/>
      </c>
      <c r="AP1374" s="109" t="e">
        <f t="shared" si="131"/>
        <v>#VALUE!</v>
      </c>
      <c r="AQ1374" s="397" t="e">
        <f t="shared" si="132"/>
        <v>#VALUE!</v>
      </c>
    </row>
    <row r="1375" spans="38:43">
      <c r="AL1375" s="414" t="str">
        <f t="shared" si="127"/>
        <v/>
      </c>
      <c r="AM1375" s="395" t="str">
        <f t="shared" si="128"/>
        <v/>
      </c>
      <c r="AN1375" s="396">
        <f t="shared" si="129"/>
        <v>0</v>
      </c>
      <c r="AO1375" s="109" t="str">
        <f t="shared" si="130"/>
        <v/>
      </c>
      <c r="AP1375" s="109" t="e">
        <f t="shared" si="131"/>
        <v>#VALUE!</v>
      </c>
      <c r="AQ1375" s="397" t="e">
        <f t="shared" si="132"/>
        <v>#VALUE!</v>
      </c>
    </row>
    <row r="1376" spans="38:43">
      <c r="AL1376" s="414" t="str">
        <f t="shared" si="127"/>
        <v/>
      </c>
      <c r="AM1376" s="395" t="str">
        <f t="shared" si="128"/>
        <v/>
      </c>
      <c r="AN1376" s="396">
        <f t="shared" si="129"/>
        <v>0</v>
      </c>
      <c r="AO1376" s="109" t="str">
        <f t="shared" si="130"/>
        <v/>
      </c>
      <c r="AP1376" s="109" t="e">
        <f t="shared" si="131"/>
        <v>#VALUE!</v>
      </c>
      <c r="AQ1376" s="397" t="e">
        <f t="shared" si="132"/>
        <v>#VALUE!</v>
      </c>
    </row>
    <row r="1377" spans="38:43">
      <c r="AL1377" s="414" t="str">
        <f t="shared" si="127"/>
        <v/>
      </c>
      <c r="AM1377" s="395" t="str">
        <f t="shared" si="128"/>
        <v/>
      </c>
      <c r="AN1377" s="396">
        <f t="shared" si="129"/>
        <v>0</v>
      </c>
      <c r="AO1377" s="109" t="str">
        <f t="shared" si="130"/>
        <v/>
      </c>
      <c r="AP1377" s="109" t="e">
        <f t="shared" si="131"/>
        <v>#VALUE!</v>
      </c>
      <c r="AQ1377" s="397" t="e">
        <f t="shared" si="132"/>
        <v>#VALUE!</v>
      </c>
    </row>
    <row r="1378" spans="38:43">
      <c r="AL1378" s="414" t="str">
        <f t="shared" si="127"/>
        <v/>
      </c>
      <c r="AM1378" s="395" t="str">
        <f t="shared" si="128"/>
        <v/>
      </c>
      <c r="AN1378" s="396">
        <f t="shared" si="129"/>
        <v>0</v>
      </c>
      <c r="AO1378" s="109" t="str">
        <f t="shared" si="130"/>
        <v/>
      </c>
      <c r="AP1378" s="109" t="e">
        <f t="shared" si="131"/>
        <v>#VALUE!</v>
      </c>
      <c r="AQ1378" s="397" t="e">
        <f t="shared" si="132"/>
        <v>#VALUE!</v>
      </c>
    </row>
    <row r="1379" spans="38:43">
      <c r="AL1379" s="414" t="str">
        <f t="shared" si="127"/>
        <v/>
      </c>
      <c r="AM1379" s="395" t="str">
        <f t="shared" si="128"/>
        <v/>
      </c>
      <c r="AN1379" s="396">
        <f t="shared" si="129"/>
        <v>0</v>
      </c>
      <c r="AO1379" s="109" t="str">
        <f t="shared" si="130"/>
        <v/>
      </c>
      <c r="AP1379" s="109" t="e">
        <f t="shared" si="131"/>
        <v>#VALUE!</v>
      </c>
      <c r="AQ1379" s="397" t="e">
        <f t="shared" si="132"/>
        <v>#VALUE!</v>
      </c>
    </row>
    <row r="1380" spans="38:43">
      <c r="AL1380" s="414" t="str">
        <f t="shared" si="127"/>
        <v/>
      </c>
      <c r="AM1380" s="395" t="str">
        <f t="shared" si="128"/>
        <v/>
      </c>
      <c r="AN1380" s="396">
        <f t="shared" si="129"/>
        <v>0</v>
      </c>
      <c r="AO1380" s="109" t="str">
        <f t="shared" si="130"/>
        <v/>
      </c>
      <c r="AP1380" s="109" t="e">
        <f t="shared" si="131"/>
        <v>#VALUE!</v>
      </c>
      <c r="AQ1380" s="397" t="e">
        <f t="shared" si="132"/>
        <v>#VALUE!</v>
      </c>
    </row>
    <row r="1381" spans="38:43">
      <c r="AL1381" s="414" t="str">
        <f t="shared" si="127"/>
        <v/>
      </c>
      <c r="AM1381" s="395" t="str">
        <f t="shared" si="128"/>
        <v/>
      </c>
      <c r="AN1381" s="396">
        <f t="shared" si="129"/>
        <v>0</v>
      </c>
      <c r="AO1381" s="109" t="str">
        <f t="shared" si="130"/>
        <v/>
      </c>
      <c r="AP1381" s="109" t="e">
        <f t="shared" si="131"/>
        <v>#VALUE!</v>
      </c>
      <c r="AQ1381" s="397" t="e">
        <f t="shared" si="132"/>
        <v>#VALUE!</v>
      </c>
    </row>
    <row r="1382" spans="38:43">
      <c r="AL1382" s="414" t="str">
        <f t="shared" si="127"/>
        <v/>
      </c>
      <c r="AM1382" s="395" t="str">
        <f t="shared" si="128"/>
        <v/>
      </c>
      <c r="AN1382" s="396">
        <f t="shared" si="129"/>
        <v>0</v>
      </c>
      <c r="AO1382" s="109" t="str">
        <f t="shared" si="130"/>
        <v/>
      </c>
      <c r="AP1382" s="109" t="e">
        <f t="shared" si="131"/>
        <v>#VALUE!</v>
      </c>
      <c r="AQ1382" s="397" t="e">
        <f t="shared" si="132"/>
        <v>#VALUE!</v>
      </c>
    </row>
    <row r="1383" spans="38:43">
      <c r="AL1383" s="414" t="str">
        <f t="shared" si="127"/>
        <v/>
      </c>
      <c r="AM1383" s="395" t="str">
        <f t="shared" si="128"/>
        <v/>
      </c>
      <c r="AN1383" s="396">
        <f t="shared" si="129"/>
        <v>0</v>
      </c>
      <c r="AO1383" s="109" t="str">
        <f t="shared" si="130"/>
        <v/>
      </c>
      <c r="AP1383" s="109" t="e">
        <f t="shared" si="131"/>
        <v>#VALUE!</v>
      </c>
      <c r="AQ1383" s="397" t="e">
        <f t="shared" si="132"/>
        <v>#VALUE!</v>
      </c>
    </row>
    <row r="1384" spans="38:43">
      <c r="AL1384" s="414" t="str">
        <f t="shared" si="127"/>
        <v/>
      </c>
      <c r="AM1384" s="395" t="str">
        <f t="shared" si="128"/>
        <v/>
      </c>
      <c r="AN1384" s="396">
        <f t="shared" si="129"/>
        <v>0</v>
      </c>
      <c r="AO1384" s="109" t="str">
        <f t="shared" si="130"/>
        <v/>
      </c>
      <c r="AP1384" s="109" t="e">
        <f t="shared" si="131"/>
        <v>#VALUE!</v>
      </c>
      <c r="AQ1384" s="397" t="e">
        <f t="shared" si="132"/>
        <v>#VALUE!</v>
      </c>
    </row>
    <row r="1385" spans="38:43">
      <c r="AL1385" s="414" t="str">
        <f t="shared" si="127"/>
        <v/>
      </c>
      <c r="AM1385" s="395" t="str">
        <f t="shared" si="128"/>
        <v/>
      </c>
      <c r="AN1385" s="396">
        <f t="shared" si="129"/>
        <v>0</v>
      </c>
      <c r="AO1385" s="109" t="str">
        <f t="shared" si="130"/>
        <v/>
      </c>
      <c r="AP1385" s="109" t="e">
        <f t="shared" si="131"/>
        <v>#VALUE!</v>
      </c>
      <c r="AQ1385" s="397" t="e">
        <f t="shared" si="132"/>
        <v>#VALUE!</v>
      </c>
    </row>
    <row r="1386" spans="38:43">
      <c r="AL1386" s="414" t="str">
        <f t="shared" si="127"/>
        <v/>
      </c>
      <c r="AM1386" s="395" t="str">
        <f t="shared" si="128"/>
        <v/>
      </c>
      <c r="AN1386" s="396">
        <f t="shared" si="129"/>
        <v>0</v>
      </c>
      <c r="AO1386" s="109" t="str">
        <f t="shared" si="130"/>
        <v/>
      </c>
      <c r="AP1386" s="109" t="e">
        <f t="shared" si="131"/>
        <v>#VALUE!</v>
      </c>
      <c r="AQ1386" s="397" t="e">
        <f t="shared" si="132"/>
        <v>#VALUE!</v>
      </c>
    </row>
    <row r="1387" spans="38:43">
      <c r="AL1387" s="414" t="str">
        <f t="shared" si="127"/>
        <v/>
      </c>
      <c r="AM1387" s="395" t="str">
        <f t="shared" si="128"/>
        <v/>
      </c>
      <c r="AN1387" s="396">
        <f t="shared" si="129"/>
        <v>0</v>
      </c>
      <c r="AO1387" s="109" t="str">
        <f t="shared" si="130"/>
        <v/>
      </c>
      <c r="AP1387" s="109" t="e">
        <f t="shared" si="131"/>
        <v>#VALUE!</v>
      </c>
      <c r="AQ1387" s="397" t="e">
        <f t="shared" si="132"/>
        <v>#VALUE!</v>
      </c>
    </row>
    <row r="1388" spans="38:43">
      <c r="AL1388" s="414" t="str">
        <f t="shared" si="127"/>
        <v/>
      </c>
      <c r="AM1388" s="395" t="str">
        <f t="shared" si="128"/>
        <v/>
      </c>
      <c r="AN1388" s="396">
        <f t="shared" si="129"/>
        <v>0</v>
      </c>
      <c r="AO1388" s="109" t="str">
        <f t="shared" si="130"/>
        <v/>
      </c>
      <c r="AP1388" s="109" t="e">
        <f t="shared" si="131"/>
        <v>#VALUE!</v>
      </c>
      <c r="AQ1388" s="397" t="e">
        <f t="shared" si="132"/>
        <v>#VALUE!</v>
      </c>
    </row>
    <row r="1389" spans="38:43">
      <c r="AL1389" s="414" t="str">
        <f t="shared" si="127"/>
        <v/>
      </c>
      <c r="AM1389" s="395" t="str">
        <f t="shared" si="128"/>
        <v/>
      </c>
      <c r="AN1389" s="396">
        <f t="shared" si="129"/>
        <v>0</v>
      </c>
      <c r="AO1389" s="109" t="str">
        <f t="shared" si="130"/>
        <v/>
      </c>
      <c r="AP1389" s="109" t="e">
        <f t="shared" si="131"/>
        <v>#VALUE!</v>
      </c>
      <c r="AQ1389" s="397" t="e">
        <f t="shared" si="132"/>
        <v>#VALUE!</v>
      </c>
    </row>
    <row r="1390" spans="38:43">
      <c r="AL1390" s="414" t="str">
        <f t="shared" si="127"/>
        <v/>
      </c>
      <c r="AM1390" s="395" t="str">
        <f t="shared" si="128"/>
        <v/>
      </c>
      <c r="AN1390" s="396">
        <f t="shared" si="129"/>
        <v>0</v>
      </c>
      <c r="AO1390" s="109" t="str">
        <f t="shared" si="130"/>
        <v/>
      </c>
      <c r="AP1390" s="109" t="e">
        <f t="shared" si="131"/>
        <v>#VALUE!</v>
      </c>
      <c r="AQ1390" s="397" t="e">
        <f t="shared" si="132"/>
        <v>#VALUE!</v>
      </c>
    </row>
    <row r="1391" spans="38:43">
      <c r="AL1391" s="414" t="str">
        <f t="shared" si="127"/>
        <v/>
      </c>
      <c r="AM1391" s="395" t="str">
        <f t="shared" si="128"/>
        <v/>
      </c>
      <c r="AN1391" s="396">
        <f t="shared" si="129"/>
        <v>0</v>
      </c>
      <c r="AO1391" s="109" t="str">
        <f t="shared" si="130"/>
        <v/>
      </c>
      <c r="AP1391" s="109" t="e">
        <f t="shared" si="131"/>
        <v>#VALUE!</v>
      </c>
      <c r="AQ1391" s="397" t="e">
        <f t="shared" si="132"/>
        <v>#VALUE!</v>
      </c>
    </row>
    <row r="1392" spans="38:43">
      <c r="AL1392" s="414" t="str">
        <f t="shared" si="127"/>
        <v/>
      </c>
      <c r="AM1392" s="395" t="str">
        <f t="shared" si="128"/>
        <v/>
      </c>
      <c r="AN1392" s="396">
        <f t="shared" si="129"/>
        <v>0</v>
      </c>
      <c r="AO1392" s="109" t="str">
        <f t="shared" si="130"/>
        <v/>
      </c>
      <c r="AP1392" s="109" t="e">
        <f t="shared" si="131"/>
        <v>#VALUE!</v>
      </c>
      <c r="AQ1392" s="397" t="e">
        <f t="shared" si="132"/>
        <v>#VALUE!</v>
      </c>
    </row>
    <row r="1393" spans="38:43">
      <c r="AL1393" s="414" t="str">
        <f t="shared" si="127"/>
        <v/>
      </c>
      <c r="AM1393" s="395" t="str">
        <f t="shared" si="128"/>
        <v/>
      </c>
      <c r="AN1393" s="396">
        <f t="shared" si="129"/>
        <v>0</v>
      </c>
      <c r="AO1393" s="109" t="str">
        <f t="shared" si="130"/>
        <v/>
      </c>
      <c r="AP1393" s="109" t="e">
        <f t="shared" si="131"/>
        <v>#VALUE!</v>
      </c>
      <c r="AQ1393" s="397" t="e">
        <f t="shared" si="132"/>
        <v>#VALUE!</v>
      </c>
    </row>
    <row r="1394" spans="38:43">
      <c r="AL1394" s="414" t="str">
        <f t="shared" si="127"/>
        <v/>
      </c>
      <c r="AM1394" s="395" t="str">
        <f t="shared" si="128"/>
        <v/>
      </c>
      <c r="AN1394" s="396">
        <f t="shared" si="129"/>
        <v>0</v>
      </c>
      <c r="AO1394" s="109" t="str">
        <f t="shared" si="130"/>
        <v/>
      </c>
      <c r="AP1394" s="109" t="e">
        <f t="shared" si="131"/>
        <v>#VALUE!</v>
      </c>
      <c r="AQ1394" s="397" t="e">
        <f t="shared" si="132"/>
        <v>#VALUE!</v>
      </c>
    </row>
    <row r="1395" spans="38:43">
      <c r="AL1395" s="414" t="str">
        <f t="shared" si="127"/>
        <v/>
      </c>
      <c r="AM1395" s="395" t="str">
        <f t="shared" si="128"/>
        <v/>
      </c>
      <c r="AN1395" s="396">
        <f t="shared" si="129"/>
        <v>0</v>
      </c>
      <c r="AO1395" s="109" t="str">
        <f t="shared" si="130"/>
        <v/>
      </c>
      <c r="AP1395" s="109" t="e">
        <f t="shared" si="131"/>
        <v>#VALUE!</v>
      </c>
      <c r="AQ1395" s="397" t="e">
        <f t="shared" si="132"/>
        <v>#VALUE!</v>
      </c>
    </row>
    <row r="1396" spans="38:43">
      <c r="AL1396" s="414" t="str">
        <f t="shared" si="127"/>
        <v/>
      </c>
      <c r="AM1396" s="395" t="str">
        <f t="shared" si="128"/>
        <v/>
      </c>
      <c r="AN1396" s="396">
        <f t="shared" si="129"/>
        <v>0</v>
      </c>
      <c r="AO1396" s="109" t="str">
        <f t="shared" si="130"/>
        <v/>
      </c>
      <c r="AP1396" s="109" t="e">
        <f t="shared" si="131"/>
        <v>#VALUE!</v>
      </c>
      <c r="AQ1396" s="397" t="e">
        <f t="shared" si="132"/>
        <v>#VALUE!</v>
      </c>
    </row>
    <row r="1397" spans="38:43">
      <c r="AL1397" s="414" t="str">
        <f t="shared" si="127"/>
        <v/>
      </c>
      <c r="AM1397" s="395" t="str">
        <f t="shared" si="128"/>
        <v/>
      </c>
      <c r="AN1397" s="396">
        <f t="shared" si="129"/>
        <v>0</v>
      </c>
      <c r="AO1397" s="109" t="str">
        <f t="shared" si="130"/>
        <v/>
      </c>
      <c r="AP1397" s="109" t="e">
        <f t="shared" si="131"/>
        <v>#VALUE!</v>
      </c>
      <c r="AQ1397" s="397" t="e">
        <f t="shared" si="132"/>
        <v>#VALUE!</v>
      </c>
    </row>
    <row r="1398" spans="38:43">
      <c r="AL1398" s="414" t="str">
        <f t="shared" si="127"/>
        <v/>
      </c>
      <c r="AM1398" s="395" t="str">
        <f t="shared" si="128"/>
        <v/>
      </c>
      <c r="AN1398" s="396">
        <f t="shared" si="129"/>
        <v>0</v>
      </c>
      <c r="AO1398" s="109" t="str">
        <f t="shared" si="130"/>
        <v/>
      </c>
      <c r="AP1398" s="109" t="e">
        <f t="shared" si="131"/>
        <v>#VALUE!</v>
      </c>
      <c r="AQ1398" s="397" t="e">
        <f t="shared" si="132"/>
        <v>#VALUE!</v>
      </c>
    </row>
    <row r="1399" spans="38:43">
      <c r="AL1399" s="414" t="str">
        <f t="shared" si="127"/>
        <v/>
      </c>
      <c r="AM1399" s="395" t="str">
        <f t="shared" si="128"/>
        <v/>
      </c>
      <c r="AN1399" s="396">
        <f t="shared" si="129"/>
        <v>0</v>
      </c>
      <c r="AO1399" s="109" t="str">
        <f t="shared" si="130"/>
        <v/>
      </c>
      <c r="AP1399" s="109" t="e">
        <f t="shared" si="131"/>
        <v>#VALUE!</v>
      </c>
      <c r="AQ1399" s="397" t="e">
        <f t="shared" si="132"/>
        <v>#VALUE!</v>
      </c>
    </row>
    <row r="1400" spans="38:43">
      <c r="AL1400" s="414" t="str">
        <f t="shared" si="127"/>
        <v/>
      </c>
      <c r="AM1400" s="395" t="str">
        <f t="shared" si="128"/>
        <v/>
      </c>
      <c r="AN1400" s="396">
        <f t="shared" si="129"/>
        <v>0</v>
      </c>
      <c r="AO1400" s="109" t="str">
        <f t="shared" si="130"/>
        <v/>
      </c>
      <c r="AP1400" s="109" t="e">
        <f t="shared" si="131"/>
        <v>#VALUE!</v>
      </c>
      <c r="AQ1400" s="397" t="e">
        <f t="shared" si="132"/>
        <v>#VALUE!</v>
      </c>
    </row>
    <row r="1401" spans="38:43">
      <c r="AL1401" s="414" t="str">
        <f t="shared" si="127"/>
        <v/>
      </c>
      <c r="AM1401" s="395" t="str">
        <f t="shared" si="128"/>
        <v/>
      </c>
      <c r="AN1401" s="396">
        <f t="shared" si="129"/>
        <v>0</v>
      </c>
      <c r="AO1401" s="109" t="str">
        <f t="shared" si="130"/>
        <v/>
      </c>
      <c r="AP1401" s="109" t="e">
        <f t="shared" si="131"/>
        <v>#VALUE!</v>
      </c>
      <c r="AQ1401" s="397" t="e">
        <f t="shared" si="132"/>
        <v>#VALUE!</v>
      </c>
    </row>
    <row r="1402" spans="38:43">
      <c r="AL1402" s="414" t="str">
        <f t="shared" si="127"/>
        <v/>
      </c>
      <c r="AM1402" s="395" t="str">
        <f t="shared" si="128"/>
        <v/>
      </c>
      <c r="AN1402" s="396">
        <f t="shared" si="129"/>
        <v>0</v>
      </c>
      <c r="AO1402" s="109" t="str">
        <f t="shared" si="130"/>
        <v/>
      </c>
      <c r="AP1402" s="109" t="e">
        <f t="shared" si="131"/>
        <v>#VALUE!</v>
      </c>
      <c r="AQ1402" s="397" t="e">
        <f t="shared" si="132"/>
        <v>#VALUE!</v>
      </c>
    </row>
    <row r="1403" spans="38:43">
      <c r="AL1403" s="414" t="str">
        <f t="shared" si="127"/>
        <v/>
      </c>
      <c r="AM1403" s="395" t="str">
        <f t="shared" si="128"/>
        <v/>
      </c>
      <c r="AN1403" s="396">
        <f t="shared" si="129"/>
        <v>0</v>
      </c>
      <c r="AO1403" s="109" t="str">
        <f t="shared" si="130"/>
        <v/>
      </c>
      <c r="AP1403" s="109" t="e">
        <f t="shared" si="131"/>
        <v>#VALUE!</v>
      </c>
      <c r="AQ1403" s="397" t="e">
        <f t="shared" si="132"/>
        <v>#VALUE!</v>
      </c>
    </row>
    <row r="1404" spans="38:43">
      <c r="AL1404" s="414" t="str">
        <f t="shared" si="127"/>
        <v/>
      </c>
      <c r="AM1404" s="395" t="str">
        <f t="shared" si="128"/>
        <v/>
      </c>
      <c r="AN1404" s="396">
        <f t="shared" si="129"/>
        <v>0</v>
      </c>
      <c r="AO1404" s="109" t="str">
        <f t="shared" si="130"/>
        <v/>
      </c>
      <c r="AP1404" s="109" t="e">
        <f t="shared" si="131"/>
        <v>#VALUE!</v>
      </c>
      <c r="AQ1404" s="397" t="e">
        <f t="shared" si="132"/>
        <v>#VALUE!</v>
      </c>
    </row>
    <row r="1405" spans="38:43">
      <c r="AL1405" s="414" t="str">
        <f t="shared" si="127"/>
        <v/>
      </c>
      <c r="AM1405" s="395" t="str">
        <f t="shared" si="128"/>
        <v/>
      </c>
      <c r="AN1405" s="396">
        <f t="shared" si="129"/>
        <v>0</v>
      </c>
      <c r="AO1405" s="109" t="str">
        <f t="shared" si="130"/>
        <v/>
      </c>
      <c r="AP1405" s="109" t="e">
        <f t="shared" si="131"/>
        <v>#VALUE!</v>
      </c>
      <c r="AQ1405" s="397" t="e">
        <f t="shared" si="132"/>
        <v>#VALUE!</v>
      </c>
    </row>
    <row r="1406" spans="38:43">
      <c r="AL1406" s="414" t="str">
        <f t="shared" si="127"/>
        <v/>
      </c>
      <c r="AM1406" s="395" t="str">
        <f t="shared" si="128"/>
        <v/>
      </c>
      <c r="AN1406" s="396">
        <f t="shared" si="129"/>
        <v>0</v>
      </c>
      <c r="AO1406" s="109" t="str">
        <f t="shared" si="130"/>
        <v/>
      </c>
      <c r="AP1406" s="109" t="e">
        <f t="shared" si="131"/>
        <v>#VALUE!</v>
      </c>
      <c r="AQ1406" s="397" t="e">
        <f t="shared" si="132"/>
        <v>#VALUE!</v>
      </c>
    </row>
    <row r="1407" spans="38:43">
      <c r="AL1407" s="414" t="str">
        <f t="shared" si="127"/>
        <v/>
      </c>
      <c r="AM1407" s="395" t="str">
        <f t="shared" si="128"/>
        <v/>
      </c>
      <c r="AN1407" s="396">
        <f t="shared" si="129"/>
        <v>0</v>
      </c>
      <c r="AO1407" s="109" t="str">
        <f t="shared" si="130"/>
        <v/>
      </c>
      <c r="AP1407" s="109" t="e">
        <f t="shared" si="131"/>
        <v>#VALUE!</v>
      </c>
      <c r="AQ1407" s="397" t="e">
        <f t="shared" si="132"/>
        <v>#VALUE!</v>
      </c>
    </row>
    <row r="1408" spans="38:43">
      <c r="AL1408" s="414" t="str">
        <f t="shared" si="127"/>
        <v/>
      </c>
      <c r="AM1408" s="395" t="str">
        <f t="shared" si="128"/>
        <v/>
      </c>
      <c r="AN1408" s="396">
        <f t="shared" si="129"/>
        <v>0</v>
      </c>
      <c r="AO1408" s="109" t="str">
        <f t="shared" si="130"/>
        <v/>
      </c>
      <c r="AP1408" s="109" t="e">
        <f t="shared" si="131"/>
        <v>#VALUE!</v>
      </c>
      <c r="AQ1408" s="397" t="e">
        <f t="shared" si="132"/>
        <v>#VALUE!</v>
      </c>
    </row>
    <row r="1409" spans="38:43">
      <c r="AL1409" s="414" t="str">
        <f t="shared" si="127"/>
        <v/>
      </c>
      <c r="AM1409" s="395" t="str">
        <f t="shared" si="128"/>
        <v/>
      </c>
      <c r="AN1409" s="396">
        <f t="shared" si="129"/>
        <v>0</v>
      </c>
      <c r="AO1409" s="109" t="str">
        <f t="shared" si="130"/>
        <v/>
      </c>
      <c r="AP1409" s="109" t="e">
        <f t="shared" si="131"/>
        <v>#VALUE!</v>
      </c>
      <c r="AQ1409" s="397" t="e">
        <f t="shared" si="132"/>
        <v>#VALUE!</v>
      </c>
    </row>
    <row r="1410" spans="38:43">
      <c r="AL1410" s="414" t="str">
        <f t="shared" si="127"/>
        <v/>
      </c>
      <c r="AM1410" s="395" t="str">
        <f t="shared" si="128"/>
        <v/>
      </c>
      <c r="AN1410" s="396">
        <f t="shared" si="129"/>
        <v>0</v>
      </c>
      <c r="AO1410" s="109" t="str">
        <f t="shared" si="130"/>
        <v/>
      </c>
      <c r="AP1410" s="109" t="e">
        <f t="shared" si="131"/>
        <v>#VALUE!</v>
      </c>
      <c r="AQ1410" s="397" t="e">
        <f t="shared" si="132"/>
        <v>#VALUE!</v>
      </c>
    </row>
    <row r="1411" spans="38:43">
      <c r="AL1411" s="414" t="str">
        <f t="shared" ref="AL1411:AL1474" si="133">SUBSTITUTE(SUBSTITUTE(H1411,"[워커힐]워커힐 고메 시그니처 양념 본갈비 8팩","워커힐 시그니처 양념 본갈비 300g, 8개"),"[워커힐]워커힐 시그니처 양념 본갈비 4팩","워커힐 시그니처 양념 본갈비 300g, 4개")</f>
        <v/>
      </c>
      <c r="AM1411" s="395" t="str">
        <f t="shared" ref="AM1411:AM1474" si="134">IF(N1411="배송완료", DATE(LEFT(M1411,4), MID(M1411,6,2), MID(M1411,9,2)), "")</f>
        <v/>
      </c>
      <c r="AN1411" s="396">
        <f t="shared" ref="AN1411:AN1474" si="135">IF(OR(N1411="배송완료", Q1411&lt;0), Q1411, 0)</f>
        <v>0</v>
      </c>
      <c r="AO1411" s="109" t="str">
        <f t="shared" ref="AO1411:AO1474" si="136">IF(AL1411="워커힐 시그니처 양념 본갈비 300g, 8개",119000,IF(AL1411="워커힐 시그니처 양념 본갈비 300g, 4개",78000,""))</f>
        <v/>
      </c>
      <c r="AP1411" s="109" t="e">
        <f t="shared" ref="AP1411:AP1474" si="137">AO1411/1.1</f>
        <v>#VALUE!</v>
      </c>
      <c r="AQ1411" s="397" t="e">
        <f t="shared" si="132"/>
        <v>#VALUE!</v>
      </c>
    </row>
    <row r="1412" spans="38:43">
      <c r="AL1412" s="414" t="str">
        <f t="shared" si="133"/>
        <v/>
      </c>
      <c r="AM1412" s="395" t="str">
        <f t="shared" si="134"/>
        <v/>
      </c>
      <c r="AN1412" s="396">
        <f t="shared" si="135"/>
        <v>0</v>
      </c>
      <c r="AO1412" s="109" t="str">
        <f t="shared" si="136"/>
        <v/>
      </c>
      <c r="AP1412" s="109" t="e">
        <f t="shared" si="137"/>
        <v>#VALUE!</v>
      </c>
      <c r="AQ1412" s="397" t="e">
        <f t="shared" si="132"/>
        <v>#VALUE!</v>
      </c>
    </row>
    <row r="1413" spans="38:43">
      <c r="AL1413" s="414" t="str">
        <f t="shared" si="133"/>
        <v/>
      </c>
      <c r="AM1413" s="395" t="str">
        <f t="shared" si="134"/>
        <v/>
      </c>
      <c r="AN1413" s="396">
        <f t="shared" si="135"/>
        <v>0</v>
      </c>
      <c r="AO1413" s="109" t="str">
        <f t="shared" si="136"/>
        <v/>
      </c>
      <c r="AP1413" s="109" t="e">
        <f t="shared" si="137"/>
        <v>#VALUE!</v>
      </c>
      <c r="AQ1413" s="397" t="e">
        <f t="shared" si="132"/>
        <v>#VALUE!</v>
      </c>
    </row>
    <row r="1414" spans="38:43">
      <c r="AL1414" s="414" t="str">
        <f t="shared" si="133"/>
        <v/>
      </c>
      <c r="AM1414" s="395" t="str">
        <f t="shared" si="134"/>
        <v/>
      </c>
      <c r="AN1414" s="396">
        <f t="shared" si="135"/>
        <v>0</v>
      </c>
      <c r="AO1414" s="109" t="str">
        <f t="shared" si="136"/>
        <v/>
      </c>
      <c r="AP1414" s="109" t="e">
        <f t="shared" si="137"/>
        <v>#VALUE!</v>
      </c>
      <c r="AQ1414" s="397" t="e">
        <f t="shared" si="132"/>
        <v>#VALUE!</v>
      </c>
    </row>
    <row r="1415" spans="38:43">
      <c r="AL1415" s="414" t="str">
        <f t="shared" si="133"/>
        <v/>
      </c>
      <c r="AM1415" s="395" t="str">
        <f t="shared" si="134"/>
        <v/>
      </c>
      <c r="AN1415" s="396">
        <f t="shared" si="135"/>
        <v>0</v>
      </c>
      <c r="AO1415" s="109" t="str">
        <f t="shared" si="136"/>
        <v/>
      </c>
      <c r="AP1415" s="109" t="e">
        <f t="shared" si="137"/>
        <v>#VALUE!</v>
      </c>
      <c r="AQ1415" s="397" t="e">
        <f t="shared" si="132"/>
        <v>#VALUE!</v>
      </c>
    </row>
    <row r="1416" spans="38:43">
      <c r="AL1416" s="414" t="str">
        <f t="shared" si="133"/>
        <v/>
      </c>
      <c r="AM1416" s="395" t="str">
        <f t="shared" si="134"/>
        <v/>
      </c>
      <c r="AN1416" s="396">
        <f t="shared" si="135"/>
        <v>0</v>
      </c>
      <c r="AO1416" s="109" t="str">
        <f t="shared" si="136"/>
        <v/>
      </c>
      <c r="AP1416" s="109" t="e">
        <f t="shared" si="137"/>
        <v>#VALUE!</v>
      </c>
      <c r="AQ1416" s="397" t="e">
        <f t="shared" si="132"/>
        <v>#VALUE!</v>
      </c>
    </row>
    <row r="1417" spans="38:43">
      <c r="AL1417" s="414" t="str">
        <f t="shared" si="133"/>
        <v/>
      </c>
      <c r="AM1417" s="395" t="str">
        <f t="shared" si="134"/>
        <v/>
      </c>
      <c r="AN1417" s="396">
        <f t="shared" si="135"/>
        <v>0</v>
      </c>
      <c r="AO1417" s="109" t="str">
        <f t="shared" si="136"/>
        <v/>
      </c>
      <c r="AP1417" s="109" t="e">
        <f t="shared" si="137"/>
        <v>#VALUE!</v>
      </c>
      <c r="AQ1417" s="397" t="e">
        <f t="shared" si="132"/>
        <v>#VALUE!</v>
      </c>
    </row>
    <row r="1418" spans="38:43">
      <c r="AL1418" s="414" t="str">
        <f t="shared" si="133"/>
        <v/>
      </c>
      <c r="AM1418" s="395" t="str">
        <f t="shared" si="134"/>
        <v/>
      </c>
      <c r="AN1418" s="396">
        <f t="shared" si="135"/>
        <v>0</v>
      </c>
      <c r="AO1418" s="109" t="str">
        <f t="shared" si="136"/>
        <v/>
      </c>
      <c r="AP1418" s="109" t="e">
        <f t="shared" si="137"/>
        <v>#VALUE!</v>
      </c>
      <c r="AQ1418" s="397" t="e">
        <f t="shared" si="132"/>
        <v>#VALUE!</v>
      </c>
    </row>
    <row r="1419" spans="38:43">
      <c r="AL1419" s="414" t="str">
        <f t="shared" si="133"/>
        <v/>
      </c>
      <c r="AM1419" s="395" t="str">
        <f t="shared" si="134"/>
        <v/>
      </c>
      <c r="AN1419" s="396">
        <f t="shared" si="135"/>
        <v>0</v>
      </c>
      <c r="AO1419" s="109" t="str">
        <f t="shared" si="136"/>
        <v/>
      </c>
      <c r="AP1419" s="109" t="e">
        <f t="shared" si="137"/>
        <v>#VALUE!</v>
      </c>
      <c r="AQ1419" s="397" t="e">
        <f t="shared" si="132"/>
        <v>#VALUE!</v>
      </c>
    </row>
    <row r="1420" spans="38:43">
      <c r="AL1420" s="414" t="str">
        <f t="shared" si="133"/>
        <v/>
      </c>
      <c r="AM1420" s="395" t="str">
        <f t="shared" si="134"/>
        <v/>
      </c>
      <c r="AN1420" s="396">
        <f t="shared" si="135"/>
        <v>0</v>
      </c>
      <c r="AO1420" s="109" t="str">
        <f t="shared" si="136"/>
        <v/>
      </c>
      <c r="AP1420" s="109" t="e">
        <f t="shared" si="137"/>
        <v>#VALUE!</v>
      </c>
      <c r="AQ1420" s="397" t="e">
        <f t="shared" si="132"/>
        <v>#VALUE!</v>
      </c>
    </row>
    <row r="1421" spans="38:43">
      <c r="AL1421" s="414" t="str">
        <f t="shared" si="133"/>
        <v/>
      </c>
      <c r="AM1421" s="395" t="str">
        <f t="shared" si="134"/>
        <v/>
      </c>
      <c r="AN1421" s="396">
        <f t="shared" si="135"/>
        <v>0</v>
      </c>
      <c r="AO1421" s="109" t="str">
        <f t="shared" si="136"/>
        <v/>
      </c>
      <c r="AP1421" s="109" t="e">
        <f t="shared" si="137"/>
        <v>#VALUE!</v>
      </c>
      <c r="AQ1421" s="397" t="e">
        <f t="shared" si="132"/>
        <v>#VALUE!</v>
      </c>
    </row>
    <row r="1422" spans="38:43">
      <c r="AL1422" s="414" t="str">
        <f t="shared" si="133"/>
        <v/>
      </c>
      <c r="AM1422" s="395" t="str">
        <f t="shared" si="134"/>
        <v/>
      </c>
      <c r="AN1422" s="396">
        <f t="shared" si="135"/>
        <v>0</v>
      </c>
      <c r="AO1422" s="109" t="str">
        <f t="shared" si="136"/>
        <v/>
      </c>
      <c r="AP1422" s="109" t="e">
        <f t="shared" si="137"/>
        <v>#VALUE!</v>
      </c>
      <c r="AQ1422" s="397" t="e">
        <f t="shared" si="132"/>
        <v>#VALUE!</v>
      </c>
    </row>
    <row r="1423" spans="38:43">
      <c r="AL1423" s="414" t="str">
        <f t="shared" si="133"/>
        <v/>
      </c>
      <c r="AM1423" s="395" t="str">
        <f t="shared" si="134"/>
        <v/>
      </c>
      <c r="AN1423" s="396">
        <f t="shared" si="135"/>
        <v>0</v>
      </c>
      <c r="AO1423" s="109" t="str">
        <f t="shared" si="136"/>
        <v/>
      </c>
      <c r="AP1423" s="109" t="e">
        <f t="shared" si="137"/>
        <v>#VALUE!</v>
      </c>
      <c r="AQ1423" s="397" t="e">
        <f t="shared" si="132"/>
        <v>#VALUE!</v>
      </c>
    </row>
    <row r="1424" spans="38:43">
      <c r="AL1424" s="414" t="str">
        <f t="shared" si="133"/>
        <v/>
      </c>
      <c r="AM1424" s="395" t="str">
        <f t="shared" si="134"/>
        <v/>
      </c>
      <c r="AN1424" s="396">
        <f t="shared" si="135"/>
        <v>0</v>
      </c>
      <c r="AO1424" s="109" t="str">
        <f t="shared" si="136"/>
        <v/>
      </c>
      <c r="AP1424" s="109" t="e">
        <f t="shared" si="137"/>
        <v>#VALUE!</v>
      </c>
      <c r="AQ1424" s="397" t="e">
        <f t="shared" si="132"/>
        <v>#VALUE!</v>
      </c>
    </row>
    <row r="1425" spans="38:43">
      <c r="AL1425" s="414" t="str">
        <f t="shared" si="133"/>
        <v/>
      </c>
      <c r="AM1425" s="395" t="str">
        <f t="shared" si="134"/>
        <v/>
      </c>
      <c r="AN1425" s="396">
        <f t="shared" si="135"/>
        <v>0</v>
      </c>
      <c r="AO1425" s="109" t="str">
        <f t="shared" si="136"/>
        <v/>
      </c>
      <c r="AP1425" s="109" t="e">
        <f t="shared" si="137"/>
        <v>#VALUE!</v>
      </c>
      <c r="AQ1425" s="397" t="e">
        <f t="shared" si="132"/>
        <v>#VALUE!</v>
      </c>
    </row>
    <row r="1426" spans="38:43">
      <c r="AL1426" s="414" t="str">
        <f t="shared" si="133"/>
        <v/>
      </c>
      <c r="AM1426" s="395" t="str">
        <f t="shared" si="134"/>
        <v/>
      </c>
      <c r="AN1426" s="396">
        <f t="shared" si="135"/>
        <v>0</v>
      </c>
      <c r="AO1426" s="109" t="str">
        <f t="shared" si="136"/>
        <v/>
      </c>
      <c r="AP1426" s="109" t="e">
        <f t="shared" si="137"/>
        <v>#VALUE!</v>
      </c>
      <c r="AQ1426" s="397" t="e">
        <f t="shared" si="132"/>
        <v>#VALUE!</v>
      </c>
    </row>
    <row r="1427" spans="38:43">
      <c r="AL1427" s="414" t="str">
        <f t="shared" si="133"/>
        <v/>
      </c>
      <c r="AM1427" s="395" t="str">
        <f t="shared" si="134"/>
        <v/>
      </c>
      <c r="AN1427" s="396">
        <f t="shared" si="135"/>
        <v>0</v>
      </c>
      <c r="AO1427" s="109" t="str">
        <f t="shared" si="136"/>
        <v/>
      </c>
      <c r="AP1427" s="109" t="e">
        <f t="shared" si="137"/>
        <v>#VALUE!</v>
      </c>
      <c r="AQ1427" s="397" t="e">
        <f t="shared" si="132"/>
        <v>#VALUE!</v>
      </c>
    </row>
    <row r="1428" spans="38:43">
      <c r="AL1428" s="414" t="str">
        <f t="shared" si="133"/>
        <v/>
      </c>
      <c r="AM1428" s="395" t="str">
        <f t="shared" si="134"/>
        <v/>
      </c>
      <c r="AN1428" s="396">
        <f t="shared" si="135"/>
        <v>0</v>
      </c>
      <c r="AO1428" s="109" t="str">
        <f t="shared" si="136"/>
        <v/>
      </c>
      <c r="AP1428" s="109" t="e">
        <f t="shared" si="137"/>
        <v>#VALUE!</v>
      </c>
      <c r="AQ1428" s="397" t="e">
        <f t="shared" si="132"/>
        <v>#VALUE!</v>
      </c>
    </row>
    <row r="1429" spans="38:43">
      <c r="AL1429" s="414" t="str">
        <f t="shared" si="133"/>
        <v/>
      </c>
      <c r="AM1429" s="395" t="str">
        <f t="shared" si="134"/>
        <v/>
      </c>
      <c r="AN1429" s="396">
        <f t="shared" si="135"/>
        <v>0</v>
      </c>
      <c r="AO1429" s="109" t="str">
        <f t="shared" si="136"/>
        <v/>
      </c>
      <c r="AP1429" s="109" t="e">
        <f t="shared" si="137"/>
        <v>#VALUE!</v>
      </c>
      <c r="AQ1429" s="397" t="e">
        <f t="shared" si="132"/>
        <v>#VALUE!</v>
      </c>
    </row>
    <row r="1430" spans="38:43">
      <c r="AL1430" s="414" t="str">
        <f t="shared" si="133"/>
        <v/>
      </c>
      <c r="AM1430" s="395" t="str">
        <f t="shared" si="134"/>
        <v/>
      </c>
      <c r="AN1430" s="396">
        <f t="shared" si="135"/>
        <v>0</v>
      </c>
      <c r="AO1430" s="109" t="str">
        <f t="shared" si="136"/>
        <v/>
      </c>
      <c r="AP1430" s="109" t="e">
        <f t="shared" si="137"/>
        <v>#VALUE!</v>
      </c>
      <c r="AQ1430" s="397" t="e">
        <f t="shared" si="132"/>
        <v>#VALUE!</v>
      </c>
    </row>
    <row r="1431" spans="38:43">
      <c r="AL1431" s="414" t="str">
        <f t="shared" si="133"/>
        <v/>
      </c>
      <c r="AM1431" s="395" t="str">
        <f t="shared" si="134"/>
        <v/>
      </c>
      <c r="AN1431" s="396">
        <f t="shared" si="135"/>
        <v>0</v>
      </c>
      <c r="AO1431" s="109" t="str">
        <f t="shared" si="136"/>
        <v/>
      </c>
      <c r="AP1431" s="109" t="e">
        <f t="shared" si="137"/>
        <v>#VALUE!</v>
      </c>
      <c r="AQ1431" s="397" t="e">
        <f t="shared" si="132"/>
        <v>#VALUE!</v>
      </c>
    </row>
    <row r="1432" spans="38:43">
      <c r="AL1432" s="414" t="str">
        <f t="shared" si="133"/>
        <v/>
      </c>
      <c r="AM1432" s="395" t="str">
        <f t="shared" si="134"/>
        <v/>
      </c>
      <c r="AN1432" s="396">
        <f t="shared" si="135"/>
        <v>0</v>
      </c>
      <c r="AO1432" s="109" t="str">
        <f t="shared" si="136"/>
        <v/>
      </c>
      <c r="AP1432" s="109" t="e">
        <f t="shared" si="137"/>
        <v>#VALUE!</v>
      </c>
      <c r="AQ1432" s="397" t="e">
        <f t="shared" si="132"/>
        <v>#VALUE!</v>
      </c>
    </row>
    <row r="1433" spans="38:43">
      <c r="AL1433" s="414" t="str">
        <f t="shared" si="133"/>
        <v/>
      </c>
      <c r="AM1433" s="395" t="str">
        <f t="shared" si="134"/>
        <v/>
      </c>
      <c r="AN1433" s="396">
        <f t="shared" si="135"/>
        <v>0</v>
      </c>
      <c r="AO1433" s="109" t="str">
        <f t="shared" si="136"/>
        <v/>
      </c>
      <c r="AP1433" s="109" t="e">
        <f t="shared" si="137"/>
        <v>#VALUE!</v>
      </c>
      <c r="AQ1433" s="397" t="e">
        <f t="shared" si="132"/>
        <v>#VALUE!</v>
      </c>
    </row>
    <row r="1434" spans="38:43">
      <c r="AL1434" s="414" t="str">
        <f t="shared" si="133"/>
        <v/>
      </c>
      <c r="AM1434" s="395" t="str">
        <f t="shared" si="134"/>
        <v/>
      </c>
      <c r="AN1434" s="396">
        <f t="shared" si="135"/>
        <v>0</v>
      </c>
      <c r="AO1434" s="109" t="str">
        <f t="shared" si="136"/>
        <v/>
      </c>
      <c r="AP1434" s="109" t="e">
        <f t="shared" si="137"/>
        <v>#VALUE!</v>
      </c>
      <c r="AQ1434" s="397" t="e">
        <f t="shared" si="132"/>
        <v>#VALUE!</v>
      </c>
    </row>
    <row r="1435" spans="38:43">
      <c r="AL1435" s="414" t="str">
        <f t="shared" si="133"/>
        <v/>
      </c>
      <c r="AM1435" s="395" t="str">
        <f t="shared" si="134"/>
        <v/>
      </c>
      <c r="AN1435" s="396">
        <f t="shared" si="135"/>
        <v>0</v>
      </c>
      <c r="AO1435" s="109" t="str">
        <f t="shared" si="136"/>
        <v/>
      </c>
      <c r="AP1435" s="109" t="e">
        <f t="shared" si="137"/>
        <v>#VALUE!</v>
      </c>
      <c r="AQ1435" s="397" t="e">
        <f t="shared" si="132"/>
        <v>#VALUE!</v>
      </c>
    </row>
    <row r="1436" spans="38:43">
      <c r="AL1436" s="414" t="str">
        <f t="shared" si="133"/>
        <v/>
      </c>
      <c r="AM1436" s="395" t="str">
        <f t="shared" si="134"/>
        <v/>
      </c>
      <c r="AN1436" s="396">
        <f t="shared" si="135"/>
        <v>0</v>
      </c>
      <c r="AO1436" s="109" t="str">
        <f t="shared" si="136"/>
        <v/>
      </c>
      <c r="AP1436" s="109" t="e">
        <f t="shared" si="137"/>
        <v>#VALUE!</v>
      </c>
      <c r="AQ1436" s="397" t="e">
        <f t="shared" si="132"/>
        <v>#VALUE!</v>
      </c>
    </row>
    <row r="1437" spans="38:43">
      <c r="AL1437" s="414" t="str">
        <f t="shared" si="133"/>
        <v/>
      </c>
      <c r="AM1437" s="395" t="str">
        <f t="shared" si="134"/>
        <v/>
      </c>
      <c r="AN1437" s="396">
        <f t="shared" si="135"/>
        <v>0</v>
      </c>
      <c r="AO1437" s="109" t="str">
        <f t="shared" si="136"/>
        <v/>
      </c>
      <c r="AP1437" s="109" t="e">
        <f t="shared" si="137"/>
        <v>#VALUE!</v>
      </c>
      <c r="AQ1437" s="397" t="e">
        <f t="shared" ref="AQ1437:AQ1500" si="138">AN1437*AP1437</f>
        <v>#VALUE!</v>
      </c>
    </row>
    <row r="1438" spans="38:43">
      <c r="AL1438" s="414" t="str">
        <f t="shared" si="133"/>
        <v/>
      </c>
      <c r="AM1438" s="395" t="str">
        <f t="shared" si="134"/>
        <v/>
      </c>
      <c r="AN1438" s="396">
        <f t="shared" si="135"/>
        <v>0</v>
      </c>
      <c r="AO1438" s="109" t="str">
        <f t="shared" si="136"/>
        <v/>
      </c>
      <c r="AP1438" s="109" t="e">
        <f t="shared" si="137"/>
        <v>#VALUE!</v>
      </c>
      <c r="AQ1438" s="397" t="e">
        <f t="shared" si="138"/>
        <v>#VALUE!</v>
      </c>
    </row>
    <row r="1439" spans="38:43">
      <c r="AL1439" s="414" t="str">
        <f t="shared" si="133"/>
        <v/>
      </c>
      <c r="AM1439" s="395" t="str">
        <f t="shared" si="134"/>
        <v/>
      </c>
      <c r="AN1439" s="396">
        <f t="shared" si="135"/>
        <v>0</v>
      </c>
      <c r="AO1439" s="109" t="str">
        <f t="shared" si="136"/>
        <v/>
      </c>
      <c r="AP1439" s="109" t="e">
        <f t="shared" si="137"/>
        <v>#VALUE!</v>
      </c>
      <c r="AQ1439" s="397" t="e">
        <f t="shared" si="138"/>
        <v>#VALUE!</v>
      </c>
    </row>
    <row r="1440" spans="38:43">
      <c r="AL1440" s="414" t="str">
        <f t="shared" si="133"/>
        <v/>
      </c>
      <c r="AM1440" s="395" t="str">
        <f t="shared" si="134"/>
        <v/>
      </c>
      <c r="AN1440" s="396">
        <f t="shared" si="135"/>
        <v>0</v>
      </c>
      <c r="AO1440" s="109" t="str">
        <f t="shared" si="136"/>
        <v/>
      </c>
      <c r="AP1440" s="109" t="e">
        <f t="shared" si="137"/>
        <v>#VALUE!</v>
      </c>
      <c r="AQ1440" s="397" t="e">
        <f t="shared" si="138"/>
        <v>#VALUE!</v>
      </c>
    </row>
    <row r="1441" spans="38:43">
      <c r="AL1441" s="414" t="str">
        <f t="shared" si="133"/>
        <v/>
      </c>
      <c r="AM1441" s="395" t="str">
        <f t="shared" si="134"/>
        <v/>
      </c>
      <c r="AN1441" s="396">
        <f t="shared" si="135"/>
        <v>0</v>
      </c>
      <c r="AO1441" s="109" t="str">
        <f t="shared" si="136"/>
        <v/>
      </c>
      <c r="AP1441" s="109" t="e">
        <f t="shared" si="137"/>
        <v>#VALUE!</v>
      </c>
      <c r="AQ1441" s="397" t="e">
        <f t="shared" si="138"/>
        <v>#VALUE!</v>
      </c>
    </row>
    <row r="1442" spans="38:43">
      <c r="AL1442" s="414" t="str">
        <f t="shared" si="133"/>
        <v/>
      </c>
      <c r="AM1442" s="395" t="str">
        <f t="shared" si="134"/>
        <v/>
      </c>
      <c r="AN1442" s="396">
        <f t="shared" si="135"/>
        <v>0</v>
      </c>
      <c r="AO1442" s="109" t="str">
        <f t="shared" si="136"/>
        <v/>
      </c>
      <c r="AP1442" s="109" t="e">
        <f t="shared" si="137"/>
        <v>#VALUE!</v>
      </c>
      <c r="AQ1442" s="397" t="e">
        <f t="shared" si="138"/>
        <v>#VALUE!</v>
      </c>
    </row>
    <row r="1443" spans="38:43">
      <c r="AL1443" s="414" t="str">
        <f t="shared" si="133"/>
        <v/>
      </c>
      <c r="AM1443" s="395" t="str">
        <f t="shared" si="134"/>
        <v/>
      </c>
      <c r="AN1443" s="396">
        <f t="shared" si="135"/>
        <v>0</v>
      </c>
      <c r="AO1443" s="109" t="str">
        <f t="shared" si="136"/>
        <v/>
      </c>
      <c r="AP1443" s="109" t="e">
        <f t="shared" si="137"/>
        <v>#VALUE!</v>
      </c>
      <c r="AQ1443" s="397" t="e">
        <f t="shared" si="138"/>
        <v>#VALUE!</v>
      </c>
    </row>
    <row r="1444" spans="38:43">
      <c r="AL1444" s="414" t="str">
        <f t="shared" si="133"/>
        <v/>
      </c>
      <c r="AM1444" s="395" t="str">
        <f t="shared" si="134"/>
        <v/>
      </c>
      <c r="AN1444" s="396">
        <f t="shared" si="135"/>
        <v>0</v>
      </c>
      <c r="AO1444" s="109" t="str">
        <f t="shared" si="136"/>
        <v/>
      </c>
      <c r="AP1444" s="109" t="e">
        <f t="shared" si="137"/>
        <v>#VALUE!</v>
      </c>
      <c r="AQ1444" s="397" t="e">
        <f t="shared" si="138"/>
        <v>#VALUE!</v>
      </c>
    </row>
    <row r="1445" spans="38:43">
      <c r="AL1445" s="414" t="str">
        <f t="shared" si="133"/>
        <v/>
      </c>
      <c r="AM1445" s="395" t="str">
        <f t="shared" si="134"/>
        <v/>
      </c>
      <c r="AN1445" s="396">
        <f t="shared" si="135"/>
        <v>0</v>
      </c>
      <c r="AO1445" s="109" t="str">
        <f t="shared" si="136"/>
        <v/>
      </c>
      <c r="AP1445" s="109" t="e">
        <f t="shared" si="137"/>
        <v>#VALUE!</v>
      </c>
      <c r="AQ1445" s="397" t="e">
        <f t="shared" si="138"/>
        <v>#VALUE!</v>
      </c>
    </row>
    <row r="1446" spans="38:43">
      <c r="AL1446" s="414" t="str">
        <f t="shared" si="133"/>
        <v/>
      </c>
      <c r="AM1446" s="395" t="str">
        <f t="shared" si="134"/>
        <v/>
      </c>
      <c r="AN1446" s="396">
        <f t="shared" si="135"/>
        <v>0</v>
      </c>
      <c r="AO1446" s="109" t="str">
        <f t="shared" si="136"/>
        <v/>
      </c>
      <c r="AP1446" s="109" t="e">
        <f t="shared" si="137"/>
        <v>#VALUE!</v>
      </c>
      <c r="AQ1446" s="397" t="e">
        <f t="shared" si="138"/>
        <v>#VALUE!</v>
      </c>
    </row>
    <row r="1447" spans="38:43">
      <c r="AL1447" s="414" t="str">
        <f t="shared" si="133"/>
        <v/>
      </c>
      <c r="AM1447" s="395" t="str">
        <f t="shared" si="134"/>
        <v/>
      </c>
      <c r="AN1447" s="396">
        <f t="shared" si="135"/>
        <v>0</v>
      </c>
      <c r="AO1447" s="109" t="str">
        <f t="shared" si="136"/>
        <v/>
      </c>
      <c r="AP1447" s="109" t="e">
        <f t="shared" si="137"/>
        <v>#VALUE!</v>
      </c>
      <c r="AQ1447" s="397" t="e">
        <f t="shared" si="138"/>
        <v>#VALUE!</v>
      </c>
    </row>
    <row r="1448" spans="38:43">
      <c r="AL1448" s="414" t="str">
        <f t="shared" si="133"/>
        <v/>
      </c>
      <c r="AM1448" s="395" t="str">
        <f t="shared" si="134"/>
        <v/>
      </c>
      <c r="AN1448" s="396">
        <f t="shared" si="135"/>
        <v>0</v>
      </c>
      <c r="AO1448" s="109" t="str">
        <f t="shared" si="136"/>
        <v/>
      </c>
      <c r="AP1448" s="109" t="e">
        <f t="shared" si="137"/>
        <v>#VALUE!</v>
      </c>
      <c r="AQ1448" s="397" t="e">
        <f t="shared" si="138"/>
        <v>#VALUE!</v>
      </c>
    </row>
    <row r="1449" spans="38:43">
      <c r="AL1449" s="414" t="str">
        <f t="shared" si="133"/>
        <v/>
      </c>
      <c r="AM1449" s="395" t="str">
        <f t="shared" si="134"/>
        <v/>
      </c>
      <c r="AN1449" s="396">
        <f t="shared" si="135"/>
        <v>0</v>
      </c>
      <c r="AO1449" s="109" t="str">
        <f t="shared" si="136"/>
        <v/>
      </c>
      <c r="AP1449" s="109" t="e">
        <f t="shared" si="137"/>
        <v>#VALUE!</v>
      </c>
      <c r="AQ1449" s="397" t="e">
        <f t="shared" si="138"/>
        <v>#VALUE!</v>
      </c>
    </row>
    <row r="1450" spans="38:43">
      <c r="AL1450" s="414" t="str">
        <f t="shared" si="133"/>
        <v/>
      </c>
      <c r="AM1450" s="395" t="str">
        <f t="shared" si="134"/>
        <v/>
      </c>
      <c r="AN1450" s="396">
        <f t="shared" si="135"/>
        <v>0</v>
      </c>
      <c r="AO1450" s="109" t="str">
        <f t="shared" si="136"/>
        <v/>
      </c>
      <c r="AP1450" s="109" t="e">
        <f t="shared" si="137"/>
        <v>#VALUE!</v>
      </c>
      <c r="AQ1450" s="397" t="e">
        <f t="shared" si="138"/>
        <v>#VALUE!</v>
      </c>
    </row>
    <row r="1451" spans="38:43">
      <c r="AL1451" s="414" t="str">
        <f t="shared" si="133"/>
        <v/>
      </c>
      <c r="AM1451" s="395" t="str">
        <f t="shared" si="134"/>
        <v/>
      </c>
      <c r="AN1451" s="396">
        <f t="shared" si="135"/>
        <v>0</v>
      </c>
      <c r="AO1451" s="109" t="str">
        <f t="shared" si="136"/>
        <v/>
      </c>
      <c r="AP1451" s="109" t="e">
        <f t="shared" si="137"/>
        <v>#VALUE!</v>
      </c>
      <c r="AQ1451" s="397" t="e">
        <f t="shared" si="138"/>
        <v>#VALUE!</v>
      </c>
    </row>
    <row r="1452" spans="38:43">
      <c r="AL1452" s="414" t="str">
        <f t="shared" si="133"/>
        <v/>
      </c>
      <c r="AM1452" s="395" t="str">
        <f t="shared" si="134"/>
        <v/>
      </c>
      <c r="AN1452" s="396">
        <f t="shared" si="135"/>
        <v>0</v>
      </c>
      <c r="AO1452" s="109" t="str">
        <f t="shared" si="136"/>
        <v/>
      </c>
      <c r="AP1452" s="109" t="e">
        <f t="shared" si="137"/>
        <v>#VALUE!</v>
      </c>
      <c r="AQ1452" s="397" t="e">
        <f t="shared" si="138"/>
        <v>#VALUE!</v>
      </c>
    </row>
    <row r="1453" spans="38:43">
      <c r="AL1453" s="414" t="str">
        <f t="shared" si="133"/>
        <v/>
      </c>
      <c r="AM1453" s="395" t="str">
        <f t="shared" si="134"/>
        <v/>
      </c>
      <c r="AN1453" s="396">
        <f t="shared" si="135"/>
        <v>0</v>
      </c>
      <c r="AO1453" s="109" t="str">
        <f t="shared" si="136"/>
        <v/>
      </c>
      <c r="AP1453" s="109" t="e">
        <f t="shared" si="137"/>
        <v>#VALUE!</v>
      </c>
      <c r="AQ1453" s="397" t="e">
        <f t="shared" si="138"/>
        <v>#VALUE!</v>
      </c>
    </row>
    <row r="1454" spans="38:43">
      <c r="AL1454" s="414" t="str">
        <f t="shared" si="133"/>
        <v/>
      </c>
      <c r="AM1454" s="395" t="str">
        <f t="shared" si="134"/>
        <v/>
      </c>
      <c r="AN1454" s="396">
        <f t="shared" si="135"/>
        <v>0</v>
      </c>
      <c r="AO1454" s="109" t="str">
        <f t="shared" si="136"/>
        <v/>
      </c>
      <c r="AP1454" s="109" t="e">
        <f t="shared" si="137"/>
        <v>#VALUE!</v>
      </c>
      <c r="AQ1454" s="397" t="e">
        <f t="shared" si="138"/>
        <v>#VALUE!</v>
      </c>
    </row>
    <row r="1455" spans="38:43">
      <c r="AL1455" s="414" t="str">
        <f t="shared" si="133"/>
        <v/>
      </c>
      <c r="AM1455" s="395" t="str">
        <f t="shared" si="134"/>
        <v/>
      </c>
      <c r="AN1455" s="396">
        <f t="shared" si="135"/>
        <v>0</v>
      </c>
      <c r="AO1455" s="109" t="str">
        <f t="shared" si="136"/>
        <v/>
      </c>
      <c r="AP1455" s="109" t="e">
        <f t="shared" si="137"/>
        <v>#VALUE!</v>
      </c>
      <c r="AQ1455" s="397" t="e">
        <f t="shared" si="138"/>
        <v>#VALUE!</v>
      </c>
    </row>
    <row r="1456" spans="38:43">
      <c r="AL1456" s="414" t="str">
        <f t="shared" si="133"/>
        <v/>
      </c>
      <c r="AM1456" s="395" t="str">
        <f t="shared" si="134"/>
        <v/>
      </c>
      <c r="AN1456" s="396">
        <f t="shared" si="135"/>
        <v>0</v>
      </c>
      <c r="AO1456" s="109" t="str">
        <f t="shared" si="136"/>
        <v/>
      </c>
      <c r="AP1456" s="109" t="e">
        <f t="shared" si="137"/>
        <v>#VALUE!</v>
      </c>
      <c r="AQ1456" s="397" t="e">
        <f t="shared" si="138"/>
        <v>#VALUE!</v>
      </c>
    </row>
    <row r="1457" spans="38:43">
      <c r="AL1457" s="414" t="str">
        <f t="shared" si="133"/>
        <v/>
      </c>
      <c r="AM1457" s="395" t="str">
        <f t="shared" si="134"/>
        <v/>
      </c>
      <c r="AN1457" s="396">
        <f t="shared" si="135"/>
        <v>0</v>
      </c>
      <c r="AO1457" s="109" t="str">
        <f t="shared" si="136"/>
        <v/>
      </c>
      <c r="AP1457" s="109" t="e">
        <f t="shared" si="137"/>
        <v>#VALUE!</v>
      </c>
      <c r="AQ1457" s="397" t="e">
        <f t="shared" si="138"/>
        <v>#VALUE!</v>
      </c>
    </row>
    <row r="1458" spans="38:43">
      <c r="AL1458" s="414" t="str">
        <f t="shared" si="133"/>
        <v/>
      </c>
      <c r="AM1458" s="395" t="str">
        <f t="shared" si="134"/>
        <v/>
      </c>
      <c r="AN1458" s="396">
        <f t="shared" si="135"/>
        <v>0</v>
      </c>
      <c r="AO1458" s="109" t="str">
        <f t="shared" si="136"/>
        <v/>
      </c>
      <c r="AP1458" s="109" t="e">
        <f t="shared" si="137"/>
        <v>#VALUE!</v>
      </c>
      <c r="AQ1458" s="397" t="e">
        <f t="shared" si="138"/>
        <v>#VALUE!</v>
      </c>
    </row>
    <row r="1459" spans="38:43">
      <c r="AL1459" s="414" t="str">
        <f t="shared" si="133"/>
        <v/>
      </c>
      <c r="AM1459" s="395" t="str">
        <f t="shared" si="134"/>
        <v/>
      </c>
      <c r="AN1459" s="396">
        <f t="shared" si="135"/>
        <v>0</v>
      </c>
      <c r="AO1459" s="109" t="str">
        <f t="shared" si="136"/>
        <v/>
      </c>
      <c r="AP1459" s="109" t="e">
        <f t="shared" si="137"/>
        <v>#VALUE!</v>
      </c>
      <c r="AQ1459" s="397" t="e">
        <f t="shared" si="138"/>
        <v>#VALUE!</v>
      </c>
    </row>
    <row r="1460" spans="38:43">
      <c r="AL1460" s="414" t="str">
        <f t="shared" si="133"/>
        <v/>
      </c>
      <c r="AM1460" s="395" t="str">
        <f t="shared" si="134"/>
        <v/>
      </c>
      <c r="AN1460" s="396">
        <f t="shared" si="135"/>
        <v>0</v>
      </c>
      <c r="AO1460" s="109" t="str">
        <f t="shared" si="136"/>
        <v/>
      </c>
      <c r="AP1460" s="109" t="e">
        <f t="shared" si="137"/>
        <v>#VALUE!</v>
      </c>
      <c r="AQ1460" s="397" t="e">
        <f t="shared" si="138"/>
        <v>#VALUE!</v>
      </c>
    </row>
    <row r="1461" spans="38:43">
      <c r="AL1461" s="414" t="str">
        <f t="shared" si="133"/>
        <v/>
      </c>
      <c r="AM1461" s="395" t="str">
        <f t="shared" si="134"/>
        <v/>
      </c>
      <c r="AN1461" s="396">
        <f t="shared" si="135"/>
        <v>0</v>
      </c>
      <c r="AO1461" s="109" t="str">
        <f t="shared" si="136"/>
        <v/>
      </c>
      <c r="AP1461" s="109" t="e">
        <f t="shared" si="137"/>
        <v>#VALUE!</v>
      </c>
      <c r="AQ1461" s="397" t="e">
        <f t="shared" si="138"/>
        <v>#VALUE!</v>
      </c>
    </row>
    <row r="1462" spans="38:43">
      <c r="AL1462" s="414" t="str">
        <f t="shared" si="133"/>
        <v/>
      </c>
      <c r="AM1462" s="395" t="str">
        <f t="shared" si="134"/>
        <v/>
      </c>
      <c r="AN1462" s="396">
        <f t="shared" si="135"/>
        <v>0</v>
      </c>
      <c r="AO1462" s="109" t="str">
        <f t="shared" si="136"/>
        <v/>
      </c>
      <c r="AP1462" s="109" t="e">
        <f t="shared" si="137"/>
        <v>#VALUE!</v>
      </c>
      <c r="AQ1462" s="397" t="e">
        <f t="shared" si="138"/>
        <v>#VALUE!</v>
      </c>
    </row>
    <row r="1463" spans="38:43">
      <c r="AL1463" s="414" t="str">
        <f t="shared" si="133"/>
        <v/>
      </c>
      <c r="AM1463" s="395" t="str">
        <f t="shared" si="134"/>
        <v/>
      </c>
      <c r="AN1463" s="396">
        <f t="shared" si="135"/>
        <v>0</v>
      </c>
      <c r="AO1463" s="109" t="str">
        <f t="shared" si="136"/>
        <v/>
      </c>
      <c r="AP1463" s="109" t="e">
        <f t="shared" si="137"/>
        <v>#VALUE!</v>
      </c>
      <c r="AQ1463" s="397" t="e">
        <f t="shared" si="138"/>
        <v>#VALUE!</v>
      </c>
    </row>
    <row r="1464" spans="38:43">
      <c r="AL1464" s="414" t="str">
        <f t="shared" si="133"/>
        <v/>
      </c>
      <c r="AM1464" s="395" t="str">
        <f t="shared" si="134"/>
        <v/>
      </c>
      <c r="AN1464" s="396">
        <f t="shared" si="135"/>
        <v>0</v>
      </c>
      <c r="AO1464" s="109" t="str">
        <f t="shared" si="136"/>
        <v/>
      </c>
      <c r="AP1464" s="109" t="e">
        <f t="shared" si="137"/>
        <v>#VALUE!</v>
      </c>
      <c r="AQ1464" s="397" t="e">
        <f t="shared" si="138"/>
        <v>#VALUE!</v>
      </c>
    </row>
    <row r="1465" spans="38:43">
      <c r="AL1465" s="414" t="str">
        <f t="shared" si="133"/>
        <v/>
      </c>
      <c r="AM1465" s="395" t="str">
        <f t="shared" si="134"/>
        <v/>
      </c>
      <c r="AN1465" s="396">
        <f t="shared" si="135"/>
        <v>0</v>
      </c>
      <c r="AO1465" s="109" t="str">
        <f t="shared" si="136"/>
        <v/>
      </c>
      <c r="AP1465" s="109" t="e">
        <f t="shared" si="137"/>
        <v>#VALUE!</v>
      </c>
      <c r="AQ1465" s="397" t="e">
        <f t="shared" si="138"/>
        <v>#VALUE!</v>
      </c>
    </row>
    <row r="1466" spans="38:43">
      <c r="AL1466" s="414" t="str">
        <f t="shared" si="133"/>
        <v/>
      </c>
      <c r="AM1466" s="395" t="str">
        <f t="shared" si="134"/>
        <v/>
      </c>
      <c r="AN1466" s="396">
        <f t="shared" si="135"/>
        <v>0</v>
      </c>
      <c r="AO1466" s="109" t="str">
        <f t="shared" si="136"/>
        <v/>
      </c>
      <c r="AP1466" s="109" t="e">
        <f t="shared" si="137"/>
        <v>#VALUE!</v>
      </c>
      <c r="AQ1466" s="397" t="e">
        <f t="shared" si="138"/>
        <v>#VALUE!</v>
      </c>
    </row>
    <row r="1467" spans="38:43">
      <c r="AL1467" s="414" t="str">
        <f t="shared" si="133"/>
        <v/>
      </c>
      <c r="AM1467" s="395" t="str">
        <f t="shared" si="134"/>
        <v/>
      </c>
      <c r="AN1467" s="396">
        <f t="shared" si="135"/>
        <v>0</v>
      </c>
      <c r="AO1467" s="109" t="str">
        <f t="shared" si="136"/>
        <v/>
      </c>
      <c r="AP1467" s="109" t="e">
        <f t="shared" si="137"/>
        <v>#VALUE!</v>
      </c>
      <c r="AQ1467" s="397" t="e">
        <f t="shared" si="138"/>
        <v>#VALUE!</v>
      </c>
    </row>
    <row r="1468" spans="38:43">
      <c r="AL1468" s="414" t="str">
        <f t="shared" si="133"/>
        <v/>
      </c>
      <c r="AM1468" s="395" t="str">
        <f t="shared" si="134"/>
        <v/>
      </c>
      <c r="AN1468" s="396">
        <f t="shared" si="135"/>
        <v>0</v>
      </c>
      <c r="AO1468" s="109" t="str">
        <f t="shared" si="136"/>
        <v/>
      </c>
      <c r="AP1468" s="109" t="e">
        <f t="shared" si="137"/>
        <v>#VALUE!</v>
      </c>
      <c r="AQ1468" s="397" t="e">
        <f t="shared" si="138"/>
        <v>#VALUE!</v>
      </c>
    </row>
    <row r="1469" spans="38:43">
      <c r="AL1469" s="414" t="str">
        <f t="shared" si="133"/>
        <v/>
      </c>
      <c r="AM1469" s="395" t="str">
        <f t="shared" si="134"/>
        <v/>
      </c>
      <c r="AN1469" s="396">
        <f t="shared" si="135"/>
        <v>0</v>
      </c>
      <c r="AO1469" s="109" t="str">
        <f t="shared" si="136"/>
        <v/>
      </c>
      <c r="AP1469" s="109" t="e">
        <f t="shared" si="137"/>
        <v>#VALUE!</v>
      </c>
      <c r="AQ1469" s="397" t="e">
        <f t="shared" si="138"/>
        <v>#VALUE!</v>
      </c>
    </row>
    <row r="1470" spans="38:43">
      <c r="AL1470" s="414" t="str">
        <f t="shared" si="133"/>
        <v/>
      </c>
      <c r="AM1470" s="395" t="str">
        <f t="shared" si="134"/>
        <v/>
      </c>
      <c r="AN1470" s="396">
        <f t="shared" si="135"/>
        <v>0</v>
      </c>
      <c r="AO1470" s="109" t="str">
        <f t="shared" si="136"/>
        <v/>
      </c>
      <c r="AP1470" s="109" t="e">
        <f t="shared" si="137"/>
        <v>#VALUE!</v>
      </c>
      <c r="AQ1470" s="397" t="e">
        <f t="shared" si="138"/>
        <v>#VALUE!</v>
      </c>
    </row>
    <row r="1471" spans="38:43">
      <c r="AL1471" s="414" t="str">
        <f t="shared" si="133"/>
        <v/>
      </c>
      <c r="AM1471" s="395" t="str">
        <f t="shared" si="134"/>
        <v/>
      </c>
      <c r="AN1471" s="396">
        <f t="shared" si="135"/>
        <v>0</v>
      </c>
      <c r="AO1471" s="109" t="str">
        <f t="shared" si="136"/>
        <v/>
      </c>
      <c r="AP1471" s="109" t="e">
        <f t="shared" si="137"/>
        <v>#VALUE!</v>
      </c>
      <c r="AQ1471" s="397" t="e">
        <f t="shared" si="138"/>
        <v>#VALUE!</v>
      </c>
    </row>
    <row r="1472" spans="38:43">
      <c r="AL1472" s="414" t="str">
        <f t="shared" si="133"/>
        <v/>
      </c>
      <c r="AM1472" s="395" t="str">
        <f t="shared" si="134"/>
        <v/>
      </c>
      <c r="AN1472" s="396">
        <f t="shared" si="135"/>
        <v>0</v>
      </c>
      <c r="AO1472" s="109" t="str">
        <f t="shared" si="136"/>
        <v/>
      </c>
      <c r="AP1472" s="109" t="e">
        <f t="shared" si="137"/>
        <v>#VALUE!</v>
      </c>
      <c r="AQ1472" s="397" t="e">
        <f t="shared" si="138"/>
        <v>#VALUE!</v>
      </c>
    </row>
    <row r="1473" spans="38:43">
      <c r="AL1473" s="414" t="str">
        <f t="shared" si="133"/>
        <v/>
      </c>
      <c r="AM1473" s="395" t="str">
        <f t="shared" si="134"/>
        <v/>
      </c>
      <c r="AN1473" s="396">
        <f t="shared" si="135"/>
        <v>0</v>
      </c>
      <c r="AO1473" s="109" t="str">
        <f t="shared" si="136"/>
        <v/>
      </c>
      <c r="AP1473" s="109" t="e">
        <f t="shared" si="137"/>
        <v>#VALUE!</v>
      </c>
      <c r="AQ1473" s="397" t="e">
        <f t="shared" si="138"/>
        <v>#VALUE!</v>
      </c>
    </row>
    <row r="1474" spans="38:43">
      <c r="AL1474" s="414" t="str">
        <f t="shared" si="133"/>
        <v/>
      </c>
      <c r="AM1474" s="395" t="str">
        <f t="shared" si="134"/>
        <v/>
      </c>
      <c r="AN1474" s="396">
        <f t="shared" si="135"/>
        <v>0</v>
      </c>
      <c r="AO1474" s="109" t="str">
        <f t="shared" si="136"/>
        <v/>
      </c>
      <c r="AP1474" s="109" t="e">
        <f t="shared" si="137"/>
        <v>#VALUE!</v>
      </c>
      <c r="AQ1474" s="397" t="e">
        <f t="shared" si="138"/>
        <v>#VALUE!</v>
      </c>
    </row>
    <row r="1475" spans="38:43">
      <c r="AL1475" s="414" t="str">
        <f t="shared" ref="AL1475:AL1538" si="139">SUBSTITUTE(SUBSTITUTE(H1475,"[워커힐]워커힐 고메 시그니처 양념 본갈비 8팩","워커힐 시그니처 양념 본갈비 300g, 8개"),"[워커힐]워커힐 시그니처 양념 본갈비 4팩","워커힐 시그니처 양념 본갈비 300g, 4개")</f>
        <v/>
      </c>
      <c r="AM1475" s="395" t="str">
        <f t="shared" ref="AM1475:AM1538" si="140">IF(N1475="배송완료", DATE(LEFT(M1475,4), MID(M1475,6,2), MID(M1475,9,2)), "")</f>
        <v/>
      </c>
      <c r="AN1475" s="396">
        <f t="shared" ref="AN1475:AN1538" si="141">IF(OR(N1475="배송완료", Q1475&lt;0), Q1475, 0)</f>
        <v>0</v>
      </c>
      <c r="AO1475" s="109" t="str">
        <f t="shared" ref="AO1475:AO1538" si="142">IF(AL1475="워커힐 시그니처 양념 본갈비 300g, 8개",119000,IF(AL1475="워커힐 시그니처 양념 본갈비 300g, 4개",78000,""))</f>
        <v/>
      </c>
      <c r="AP1475" s="109" t="e">
        <f t="shared" ref="AP1475:AP1538" si="143">AO1475/1.1</f>
        <v>#VALUE!</v>
      </c>
      <c r="AQ1475" s="397" t="e">
        <f t="shared" si="138"/>
        <v>#VALUE!</v>
      </c>
    </row>
    <row r="1476" spans="38:43">
      <c r="AL1476" s="414" t="str">
        <f t="shared" si="139"/>
        <v/>
      </c>
      <c r="AM1476" s="395" t="str">
        <f t="shared" si="140"/>
        <v/>
      </c>
      <c r="AN1476" s="396">
        <f t="shared" si="141"/>
        <v>0</v>
      </c>
      <c r="AO1476" s="109" t="str">
        <f t="shared" si="142"/>
        <v/>
      </c>
      <c r="AP1476" s="109" t="e">
        <f t="shared" si="143"/>
        <v>#VALUE!</v>
      </c>
      <c r="AQ1476" s="397" t="e">
        <f t="shared" si="138"/>
        <v>#VALUE!</v>
      </c>
    </row>
    <row r="1477" spans="38:43">
      <c r="AL1477" s="414" t="str">
        <f t="shared" si="139"/>
        <v/>
      </c>
      <c r="AM1477" s="395" t="str">
        <f t="shared" si="140"/>
        <v/>
      </c>
      <c r="AN1477" s="396">
        <f t="shared" si="141"/>
        <v>0</v>
      </c>
      <c r="AO1477" s="109" t="str">
        <f t="shared" si="142"/>
        <v/>
      </c>
      <c r="AP1477" s="109" t="e">
        <f t="shared" si="143"/>
        <v>#VALUE!</v>
      </c>
      <c r="AQ1477" s="397" t="e">
        <f t="shared" si="138"/>
        <v>#VALUE!</v>
      </c>
    </row>
    <row r="1478" spans="38:43">
      <c r="AL1478" s="414" t="str">
        <f t="shared" si="139"/>
        <v/>
      </c>
      <c r="AM1478" s="395" t="str">
        <f t="shared" si="140"/>
        <v/>
      </c>
      <c r="AN1478" s="396">
        <f t="shared" si="141"/>
        <v>0</v>
      </c>
      <c r="AO1478" s="109" t="str">
        <f t="shared" si="142"/>
        <v/>
      </c>
      <c r="AP1478" s="109" t="e">
        <f t="shared" si="143"/>
        <v>#VALUE!</v>
      </c>
      <c r="AQ1478" s="397" t="e">
        <f t="shared" si="138"/>
        <v>#VALUE!</v>
      </c>
    </row>
    <row r="1479" spans="38:43">
      <c r="AL1479" s="414" t="str">
        <f t="shared" si="139"/>
        <v/>
      </c>
      <c r="AM1479" s="395" t="str">
        <f t="shared" si="140"/>
        <v/>
      </c>
      <c r="AN1479" s="396">
        <f t="shared" si="141"/>
        <v>0</v>
      </c>
      <c r="AO1479" s="109" t="str">
        <f t="shared" si="142"/>
        <v/>
      </c>
      <c r="AP1479" s="109" t="e">
        <f t="shared" si="143"/>
        <v>#VALUE!</v>
      </c>
      <c r="AQ1479" s="397" t="e">
        <f t="shared" si="138"/>
        <v>#VALUE!</v>
      </c>
    </row>
    <row r="1480" spans="38:43">
      <c r="AL1480" s="414" t="str">
        <f t="shared" si="139"/>
        <v/>
      </c>
      <c r="AM1480" s="395" t="str">
        <f t="shared" si="140"/>
        <v/>
      </c>
      <c r="AN1480" s="396">
        <f t="shared" si="141"/>
        <v>0</v>
      </c>
      <c r="AO1480" s="109" t="str">
        <f t="shared" si="142"/>
        <v/>
      </c>
      <c r="AP1480" s="109" t="e">
        <f t="shared" si="143"/>
        <v>#VALUE!</v>
      </c>
      <c r="AQ1480" s="397" t="e">
        <f t="shared" si="138"/>
        <v>#VALUE!</v>
      </c>
    </row>
    <row r="1481" spans="38:43">
      <c r="AL1481" s="414" t="str">
        <f t="shared" si="139"/>
        <v/>
      </c>
      <c r="AM1481" s="395" t="str">
        <f t="shared" si="140"/>
        <v/>
      </c>
      <c r="AN1481" s="396">
        <f t="shared" si="141"/>
        <v>0</v>
      </c>
      <c r="AO1481" s="109" t="str">
        <f t="shared" si="142"/>
        <v/>
      </c>
      <c r="AP1481" s="109" t="e">
        <f t="shared" si="143"/>
        <v>#VALUE!</v>
      </c>
      <c r="AQ1481" s="397" t="e">
        <f t="shared" si="138"/>
        <v>#VALUE!</v>
      </c>
    </row>
    <row r="1482" spans="38:43">
      <c r="AL1482" s="414" t="str">
        <f t="shared" si="139"/>
        <v/>
      </c>
      <c r="AM1482" s="395" t="str">
        <f t="shared" si="140"/>
        <v/>
      </c>
      <c r="AN1482" s="396">
        <f t="shared" si="141"/>
        <v>0</v>
      </c>
      <c r="AO1482" s="109" t="str">
        <f t="shared" si="142"/>
        <v/>
      </c>
      <c r="AP1482" s="109" t="e">
        <f t="shared" si="143"/>
        <v>#VALUE!</v>
      </c>
      <c r="AQ1482" s="397" t="e">
        <f t="shared" si="138"/>
        <v>#VALUE!</v>
      </c>
    </row>
    <row r="1483" spans="38:43">
      <c r="AL1483" s="414" t="str">
        <f t="shared" si="139"/>
        <v/>
      </c>
      <c r="AM1483" s="395" t="str">
        <f t="shared" si="140"/>
        <v/>
      </c>
      <c r="AN1483" s="396">
        <f t="shared" si="141"/>
        <v>0</v>
      </c>
      <c r="AO1483" s="109" t="str">
        <f t="shared" si="142"/>
        <v/>
      </c>
      <c r="AP1483" s="109" t="e">
        <f t="shared" si="143"/>
        <v>#VALUE!</v>
      </c>
      <c r="AQ1483" s="397" t="e">
        <f t="shared" si="138"/>
        <v>#VALUE!</v>
      </c>
    </row>
    <row r="1484" spans="38:43">
      <c r="AL1484" s="414" t="str">
        <f t="shared" si="139"/>
        <v/>
      </c>
      <c r="AM1484" s="395" t="str">
        <f t="shared" si="140"/>
        <v/>
      </c>
      <c r="AN1484" s="396">
        <f t="shared" si="141"/>
        <v>0</v>
      </c>
      <c r="AO1484" s="109" t="str">
        <f t="shared" si="142"/>
        <v/>
      </c>
      <c r="AP1484" s="109" t="e">
        <f t="shared" si="143"/>
        <v>#VALUE!</v>
      </c>
      <c r="AQ1484" s="397" t="e">
        <f t="shared" si="138"/>
        <v>#VALUE!</v>
      </c>
    </row>
    <row r="1485" spans="38:43">
      <c r="AL1485" s="414" t="str">
        <f t="shared" si="139"/>
        <v/>
      </c>
      <c r="AM1485" s="395" t="str">
        <f t="shared" si="140"/>
        <v/>
      </c>
      <c r="AN1485" s="396">
        <f t="shared" si="141"/>
        <v>0</v>
      </c>
      <c r="AO1485" s="109" t="str">
        <f t="shared" si="142"/>
        <v/>
      </c>
      <c r="AP1485" s="109" t="e">
        <f t="shared" si="143"/>
        <v>#VALUE!</v>
      </c>
      <c r="AQ1485" s="397" t="e">
        <f t="shared" si="138"/>
        <v>#VALUE!</v>
      </c>
    </row>
    <row r="1486" spans="38:43">
      <c r="AL1486" s="414" t="str">
        <f t="shared" si="139"/>
        <v/>
      </c>
      <c r="AM1486" s="395" t="str">
        <f t="shared" si="140"/>
        <v/>
      </c>
      <c r="AN1486" s="396">
        <f t="shared" si="141"/>
        <v>0</v>
      </c>
      <c r="AO1486" s="109" t="str">
        <f t="shared" si="142"/>
        <v/>
      </c>
      <c r="AP1486" s="109" t="e">
        <f t="shared" si="143"/>
        <v>#VALUE!</v>
      </c>
      <c r="AQ1486" s="397" t="e">
        <f t="shared" si="138"/>
        <v>#VALUE!</v>
      </c>
    </row>
    <row r="1487" spans="38:43">
      <c r="AL1487" s="414" t="str">
        <f t="shared" si="139"/>
        <v/>
      </c>
      <c r="AM1487" s="395" t="str">
        <f t="shared" si="140"/>
        <v/>
      </c>
      <c r="AN1487" s="396">
        <f t="shared" si="141"/>
        <v>0</v>
      </c>
      <c r="AO1487" s="109" t="str">
        <f t="shared" si="142"/>
        <v/>
      </c>
      <c r="AP1487" s="109" t="e">
        <f t="shared" si="143"/>
        <v>#VALUE!</v>
      </c>
      <c r="AQ1487" s="397" t="e">
        <f t="shared" si="138"/>
        <v>#VALUE!</v>
      </c>
    </row>
    <row r="1488" spans="38:43">
      <c r="AL1488" s="414" t="str">
        <f t="shared" si="139"/>
        <v/>
      </c>
      <c r="AM1488" s="395" t="str">
        <f t="shared" si="140"/>
        <v/>
      </c>
      <c r="AN1488" s="396">
        <f t="shared" si="141"/>
        <v>0</v>
      </c>
      <c r="AO1488" s="109" t="str">
        <f t="shared" si="142"/>
        <v/>
      </c>
      <c r="AP1488" s="109" t="e">
        <f t="shared" si="143"/>
        <v>#VALUE!</v>
      </c>
      <c r="AQ1488" s="397" t="e">
        <f t="shared" si="138"/>
        <v>#VALUE!</v>
      </c>
    </row>
    <row r="1489" spans="38:43">
      <c r="AL1489" s="414" t="str">
        <f t="shared" si="139"/>
        <v/>
      </c>
      <c r="AM1489" s="395" t="str">
        <f t="shared" si="140"/>
        <v/>
      </c>
      <c r="AN1489" s="396">
        <f t="shared" si="141"/>
        <v>0</v>
      </c>
      <c r="AO1489" s="109" t="str">
        <f t="shared" si="142"/>
        <v/>
      </c>
      <c r="AP1489" s="109" t="e">
        <f t="shared" si="143"/>
        <v>#VALUE!</v>
      </c>
      <c r="AQ1489" s="397" t="e">
        <f t="shared" si="138"/>
        <v>#VALUE!</v>
      </c>
    </row>
    <row r="1490" spans="38:43">
      <c r="AL1490" s="414" t="str">
        <f t="shared" si="139"/>
        <v/>
      </c>
      <c r="AM1490" s="395" t="str">
        <f t="shared" si="140"/>
        <v/>
      </c>
      <c r="AN1490" s="396">
        <f t="shared" si="141"/>
        <v>0</v>
      </c>
      <c r="AO1490" s="109" t="str">
        <f t="shared" si="142"/>
        <v/>
      </c>
      <c r="AP1490" s="109" t="e">
        <f t="shared" si="143"/>
        <v>#VALUE!</v>
      </c>
      <c r="AQ1490" s="397" t="e">
        <f t="shared" si="138"/>
        <v>#VALUE!</v>
      </c>
    </row>
    <row r="1491" spans="38:43">
      <c r="AL1491" s="414" t="str">
        <f t="shared" si="139"/>
        <v/>
      </c>
      <c r="AM1491" s="395" t="str">
        <f t="shared" si="140"/>
        <v/>
      </c>
      <c r="AN1491" s="396">
        <f t="shared" si="141"/>
        <v>0</v>
      </c>
      <c r="AO1491" s="109" t="str">
        <f t="shared" si="142"/>
        <v/>
      </c>
      <c r="AP1491" s="109" t="e">
        <f t="shared" si="143"/>
        <v>#VALUE!</v>
      </c>
      <c r="AQ1491" s="397" t="e">
        <f t="shared" si="138"/>
        <v>#VALUE!</v>
      </c>
    </row>
    <row r="1492" spans="38:43">
      <c r="AL1492" s="414" t="str">
        <f t="shared" si="139"/>
        <v/>
      </c>
      <c r="AM1492" s="395" t="str">
        <f t="shared" si="140"/>
        <v/>
      </c>
      <c r="AN1492" s="396">
        <f t="shared" si="141"/>
        <v>0</v>
      </c>
      <c r="AO1492" s="109" t="str">
        <f t="shared" si="142"/>
        <v/>
      </c>
      <c r="AP1492" s="109" t="e">
        <f t="shared" si="143"/>
        <v>#VALUE!</v>
      </c>
      <c r="AQ1492" s="397" t="e">
        <f t="shared" si="138"/>
        <v>#VALUE!</v>
      </c>
    </row>
    <row r="1493" spans="38:43">
      <c r="AL1493" s="414" t="str">
        <f t="shared" si="139"/>
        <v/>
      </c>
      <c r="AM1493" s="395" t="str">
        <f t="shared" si="140"/>
        <v/>
      </c>
      <c r="AN1493" s="396">
        <f t="shared" si="141"/>
        <v>0</v>
      </c>
      <c r="AO1493" s="109" t="str">
        <f t="shared" si="142"/>
        <v/>
      </c>
      <c r="AP1493" s="109" t="e">
        <f t="shared" si="143"/>
        <v>#VALUE!</v>
      </c>
      <c r="AQ1493" s="397" t="e">
        <f t="shared" si="138"/>
        <v>#VALUE!</v>
      </c>
    </row>
    <row r="1494" spans="38:43">
      <c r="AL1494" s="414" t="str">
        <f t="shared" si="139"/>
        <v/>
      </c>
      <c r="AM1494" s="395" t="str">
        <f t="shared" si="140"/>
        <v/>
      </c>
      <c r="AN1494" s="396">
        <f t="shared" si="141"/>
        <v>0</v>
      </c>
      <c r="AO1494" s="109" t="str">
        <f t="shared" si="142"/>
        <v/>
      </c>
      <c r="AP1494" s="109" t="e">
        <f t="shared" si="143"/>
        <v>#VALUE!</v>
      </c>
      <c r="AQ1494" s="397" t="e">
        <f t="shared" si="138"/>
        <v>#VALUE!</v>
      </c>
    </row>
    <row r="1495" spans="38:43">
      <c r="AL1495" s="414" t="str">
        <f t="shared" si="139"/>
        <v/>
      </c>
      <c r="AM1495" s="395" t="str">
        <f t="shared" si="140"/>
        <v/>
      </c>
      <c r="AN1495" s="396">
        <f t="shared" si="141"/>
        <v>0</v>
      </c>
      <c r="AO1495" s="109" t="str">
        <f t="shared" si="142"/>
        <v/>
      </c>
      <c r="AP1495" s="109" t="e">
        <f t="shared" si="143"/>
        <v>#VALUE!</v>
      </c>
      <c r="AQ1495" s="397" t="e">
        <f t="shared" si="138"/>
        <v>#VALUE!</v>
      </c>
    </row>
    <row r="1496" spans="38:43">
      <c r="AL1496" s="414" t="str">
        <f t="shared" si="139"/>
        <v/>
      </c>
      <c r="AM1496" s="395" t="str">
        <f t="shared" si="140"/>
        <v/>
      </c>
      <c r="AN1496" s="396">
        <f t="shared" si="141"/>
        <v>0</v>
      </c>
      <c r="AO1496" s="109" t="str">
        <f t="shared" si="142"/>
        <v/>
      </c>
      <c r="AP1496" s="109" t="e">
        <f t="shared" si="143"/>
        <v>#VALUE!</v>
      </c>
      <c r="AQ1496" s="397" t="e">
        <f t="shared" si="138"/>
        <v>#VALUE!</v>
      </c>
    </row>
    <row r="1497" spans="38:43">
      <c r="AL1497" s="414" t="str">
        <f t="shared" si="139"/>
        <v/>
      </c>
      <c r="AM1497" s="395" t="str">
        <f t="shared" si="140"/>
        <v/>
      </c>
      <c r="AN1497" s="396">
        <f t="shared" si="141"/>
        <v>0</v>
      </c>
      <c r="AO1497" s="109" t="str">
        <f t="shared" si="142"/>
        <v/>
      </c>
      <c r="AP1497" s="109" t="e">
        <f t="shared" si="143"/>
        <v>#VALUE!</v>
      </c>
      <c r="AQ1497" s="397" t="e">
        <f t="shared" si="138"/>
        <v>#VALUE!</v>
      </c>
    </row>
    <row r="1498" spans="38:43">
      <c r="AL1498" s="414" t="str">
        <f t="shared" si="139"/>
        <v/>
      </c>
      <c r="AM1498" s="395" t="str">
        <f t="shared" si="140"/>
        <v/>
      </c>
      <c r="AN1498" s="396">
        <f t="shared" si="141"/>
        <v>0</v>
      </c>
      <c r="AO1498" s="109" t="str">
        <f t="shared" si="142"/>
        <v/>
      </c>
      <c r="AP1498" s="109" t="e">
        <f t="shared" si="143"/>
        <v>#VALUE!</v>
      </c>
      <c r="AQ1498" s="397" t="e">
        <f t="shared" si="138"/>
        <v>#VALUE!</v>
      </c>
    </row>
    <row r="1499" spans="38:43">
      <c r="AL1499" s="414" t="str">
        <f t="shared" si="139"/>
        <v/>
      </c>
      <c r="AM1499" s="395" t="str">
        <f t="shared" si="140"/>
        <v/>
      </c>
      <c r="AN1499" s="396">
        <f t="shared" si="141"/>
        <v>0</v>
      </c>
      <c r="AO1499" s="109" t="str">
        <f t="shared" si="142"/>
        <v/>
      </c>
      <c r="AP1499" s="109" t="e">
        <f t="shared" si="143"/>
        <v>#VALUE!</v>
      </c>
      <c r="AQ1499" s="397" t="e">
        <f t="shared" si="138"/>
        <v>#VALUE!</v>
      </c>
    </row>
    <row r="1500" spans="38:43">
      <c r="AL1500" s="414" t="str">
        <f t="shared" si="139"/>
        <v/>
      </c>
      <c r="AM1500" s="395" t="str">
        <f t="shared" si="140"/>
        <v/>
      </c>
      <c r="AN1500" s="396">
        <f t="shared" si="141"/>
        <v>0</v>
      </c>
      <c r="AO1500" s="109" t="str">
        <f t="shared" si="142"/>
        <v/>
      </c>
      <c r="AP1500" s="109" t="e">
        <f t="shared" si="143"/>
        <v>#VALUE!</v>
      </c>
      <c r="AQ1500" s="397" t="e">
        <f t="shared" si="138"/>
        <v>#VALUE!</v>
      </c>
    </row>
    <row r="1501" spans="38:43">
      <c r="AL1501" s="414" t="str">
        <f t="shared" si="139"/>
        <v/>
      </c>
      <c r="AM1501" s="395" t="str">
        <f t="shared" si="140"/>
        <v/>
      </c>
      <c r="AN1501" s="396">
        <f t="shared" si="141"/>
        <v>0</v>
      </c>
      <c r="AO1501" s="109" t="str">
        <f t="shared" si="142"/>
        <v/>
      </c>
      <c r="AP1501" s="109" t="e">
        <f t="shared" si="143"/>
        <v>#VALUE!</v>
      </c>
      <c r="AQ1501" s="397" t="e">
        <f t="shared" ref="AQ1501:AQ1564" si="144">AN1501*AP1501</f>
        <v>#VALUE!</v>
      </c>
    </row>
    <row r="1502" spans="38:43">
      <c r="AL1502" s="414" t="str">
        <f t="shared" si="139"/>
        <v/>
      </c>
      <c r="AM1502" s="395" t="str">
        <f t="shared" si="140"/>
        <v/>
      </c>
      <c r="AN1502" s="396">
        <f t="shared" si="141"/>
        <v>0</v>
      </c>
      <c r="AO1502" s="109" t="str">
        <f t="shared" si="142"/>
        <v/>
      </c>
      <c r="AP1502" s="109" t="e">
        <f t="shared" si="143"/>
        <v>#VALUE!</v>
      </c>
      <c r="AQ1502" s="397" t="e">
        <f t="shared" si="144"/>
        <v>#VALUE!</v>
      </c>
    </row>
    <row r="1503" spans="38:43">
      <c r="AL1503" s="414" t="str">
        <f t="shared" si="139"/>
        <v/>
      </c>
      <c r="AM1503" s="395" t="str">
        <f t="shared" si="140"/>
        <v/>
      </c>
      <c r="AN1503" s="396">
        <f t="shared" si="141"/>
        <v>0</v>
      </c>
      <c r="AO1503" s="109" t="str">
        <f t="shared" si="142"/>
        <v/>
      </c>
      <c r="AP1503" s="109" t="e">
        <f t="shared" si="143"/>
        <v>#VALUE!</v>
      </c>
      <c r="AQ1503" s="397" t="e">
        <f t="shared" si="144"/>
        <v>#VALUE!</v>
      </c>
    </row>
    <row r="1504" spans="38:43">
      <c r="AL1504" s="414" t="str">
        <f t="shared" si="139"/>
        <v/>
      </c>
      <c r="AM1504" s="395" t="str">
        <f t="shared" si="140"/>
        <v/>
      </c>
      <c r="AN1504" s="396">
        <f t="shared" si="141"/>
        <v>0</v>
      </c>
      <c r="AO1504" s="109" t="str">
        <f t="shared" si="142"/>
        <v/>
      </c>
      <c r="AP1504" s="109" t="e">
        <f t="shared" si="143"/>
        <v>#VALUE!</v>
      </c>
      <c r="AQ1504" s="397" t="e">
        <f t="shared" si="144"/>
        <v>#VALUE!</v>
      </c>
    </row>
    <row r="1505" spans="38:43">
      <c r="AL1505" s="414" t="str">
        <f t="shared" si="139"/>
        <v/>
      </c>
      <c r="AM1505" s="395" t="str">
        <f t="shared" si="140"/>
        <v/>
      </c>
      <c r="AN1505" s="396">
        <f t="shared" si="141"/>
        <v>0</v>
      </c>
      <c r="AO1505" s="109" t="str">
        <f t="shared" si="142"/>
        <v/>
      </c>
      <c r="AP1505" s="109" t="e">
        <f t="shared" si="143"/>
        <v>#VALUE!</v>
      </c>
      <c r="AQ1505" s="397" t="e">
        <f t="shared" si="144"/>
        <v>#VALUE!</v>
      </c>
    </row>
    <row r="1506" spans="38:43">
      <c r="AL1506" s="414" t="str">
        <f t="shared" si="139"/>
        <v/>
      </c>
      <c r="AM1506" s="395" t="str">
        <f t="shared" si="140"/>
        <v/>
      </c>
      <c r="AN1506" s="396">
        <f t="shared" si="141"/>
        <v>0</v>
      </c>
      <c r="AO1506" s="109" t="str">
        <f t="shared" si="142"/>
        <v/>
      </c>
      <c r="AP1506" s="109" t="e">
        <f t="shared" si="143"/>
        <v>#VALUE!</v>
      </c>
      <c r="AQ1506" s="397" t="e">
        <f t="shared" si="144"/>
        <v>#VALUE!</v>
      </c>
    </row>
    <row r="1507" spans="38:43">
      <c r="AL1507" s="414" t="str">
        <f t="shared" si="139"/>
        <v/>
      </c>
      <c r="AM1507" s="395" t="str">
        <f t="shared" si="140"/>
        <v/>
      </c>
      <c r="AN1507" s="396">
        <f t="shared" si="141"/>
        <v>0</v>
      </c>
      <c r="AO1507" s="109" t="str">
        <f t="shared" si="142"/>
        <v/>
      </c>
      <c r="AP1507" s="109" t="e">
        <f t="shared" si="143"/>
        <v>#VALUE!</v>
      </c>
      <c r="AQ1507" s="397" t="e">
        <f t="shared" si="144"/>
        <v>#VALUE!</v>
      </c>
    </row>
    <row r="1508" spans="38:43">
      <c r="AL1508" s="414" t="str">
        <f t="shared" si="139"/>
        <v/>
      </c>
      <c r="AM1508" s="395" t="str">
        <f t="shared" si="140"/>
        <v/>
      </c>
      <c r="AN1508" s="396">
        <f t="shared" si="141"/>
        <v>0</v>
      </c>
      <c r="AO1508" s="109" t="str">
        <f t="shared" si="142"/>
        <v/>
      </c>
      <c r="AP1508" s="109" t="e">
        <f t="shared" si="143"/>
        <v>#VALUE!</v>
      </c>
      <c r="AQ1508" s="397" t="e">
        <f t="shared" si="144"/>
        <v>#VALUE!</v>
      </c>
    </row>
    <row r="1509" spans="38:43">
      <c r="AL1509" s="414" t="str">
        <f t="shared" si="139"/>
        <v/>
      </c>
      <c r="AM1509" s="395" t="str">
        <f t="shared" si="140"/>
        <v/>
      </c>
      <c r="AN1509" s="396">
        <f t="shared" si="141"/>
        <v>0</v>
      </c>
      <c r="AO1509" s="109" t="str">
        <f t="shared" si="142"/>
        <v/>
      </c>
      <c r="AP1509" s="109" t="e">
        <f t="shared" si="143"/>
        <v>#VALUE!</v>
      </c>
      <c r="AQ1509" s="397" t="e">
        <f t="shared" si="144"/>
        <v>#VALUE!</v>
      </c>
    </row>
    <row r="1510" spans="38:43">
      <c r="AL1510" s="414" t="str">
        <f t="shared" si="139"/>
        <v/>
      </c>
      <c r="AM1510" s="395" t="str">
        <f t="shared" si="140"/>
        <v/>
      </c>
      <c r="AN1510" s="396">
        <f t="shared" si="141"/>
        <v>0</v>
      </c>
      <c r="AO1510" s="109" t="str">
        <f t="shared" si="142"/>
        <v/>
      </c>
      <c r="AP1510" s="109" t="e">
        <f t="shared" si="143"/>
        <v>#VALUE!</v>
      </c>
      <c r="AQ1510" s="397" t="e">
        <f t="shared" si="144"/>
        <v>#VALUE!</v>
      </c>
    </row>
    <row r="1511" spans="38:43">
      <c r="AL1511" s="414" t="str">
        <f t="shared" si="139"/>
        <v/>
      </c>
      <c r="AM1511" s="395" t="str">
        <f t="shared" si="140"/>
        <v/>
      </c>
      <c r="AN1511" s="396">
        <f t="shared" si="141"/>
        <v>0</v>
      </c>
      <c r="AO1511" s="109" t="str">
        <f t="shared" si="142"/>
        <v/>
      </c>
      <c r="AP1511" s="109" t="e">
        <f t="shared" si="143"/>
        <v>#VALUE!</v>
      </c>
      <c r="AQ1511" s="397" t="e">
        <f t="shared" si="144"/>
        <v>#VALUE!</v>
      </c>
    </row>
    <row r="1512" spans="38:43">
      <c r="AL1512" s="414" t="str">
        <f t="shared" si="139"/>
        <v/>
      </c>
      <c r="AM1512" s="395" t="str">
        <f t="shared" si="140"/>
        <v/>
      </c>
      <c r="AN1512" s="396">
        <f t="shared" si="141"/>
        <v>0</v>
      </c>
      <c r="AO1512" s="109" t="str">
        <f t="shared" si="142"/>
        <v/>
      </c>
      <c r="AP1512" s="109" t="e">
        <f t="shared" si="143"/>
        <v>#VALUE!</v>
      </c>
      <c r="AQ1512" s="397" t="e">
        <f t="shared" si="144"/>
        <v>#VALUE!</v>
      </c>
    </row>
    <row r="1513" spans="38:43">
      <c r="AL1513" s="414" t="str">
        <f t="shared" si="139"/>
        <v/>
      </c>
      <c r="AM1513" s="395" t="str">
        <f t="shared" si="140"/>
        <v/>
      </c>
      <c r="AN1513" s="396">
        <f t="shared" si="141"/>
        <v>0</v>
      </c>
      <c r="AO1513" s="109" t="str">
        <f t="shared" si="142"/>
        <v/>
      </c>
      <c r="AP1513" s="109" t="e">
        <f t="shared" si="143"/>
        <v>#VALUE!</v>
      </c>
      <c r="AQ1513" s="397" t="e">
        <f t="shared" si="144"/>
        <v>#VALUE!</v>
      </c>
    </row>
    <row r="1514" spans="38:43">
      <c r="AL1514" s="414" t="str">
        <f t="shared" si="139"/>
        <v/>
      </c>
      <c r="AM1514" s="395" t="str">
        <f t="shared" si="140"/>
        <v/>
      </c>
      <c r="AN1514" s="396">
        <f t="shared" si="141"/>
        <v>0</v>
      </c>
      <c r="AO1514" s="109" t="str">
        <f t="shared" si="142"/>
        <v/>
      </c>
      <c r="AP1514" s="109" t="e">
        <f t="shared" si="143"/>
        <v>#VALUE!</v>
      </c>
      <c r="AQ1514" s="397" t="e">
        <f t="shared" si="144"/>
        <v>#VALUE!</v>
      </c>
    </row>
    <row r="1515" spans="38:43">
      <c r="AL1515" s="414" t="str">
        <f t="shared" si="139"/>
        <v/>
      </c>
      <c r="AM1515" s="395" t="str">
        <f t="shared" si="140"/>
        <v/>
      </c>
      <c r="AN1515" s="396">
        <f t="shared" si="141"/>
        <v>0</v>
      </c>
      <c r="AO1515" s="109" t="str">
        <f t="shared" si="142"/>
        <v/>
      </c>
      <c r="AP1515" s="109" t="e">
        <f t="shared" si="143"/>
        <v>#VALUE!</v>
      </c>
      <c r="AQ1515" s="397" t="e">
        <f t="shared" si="144"/>
        <v>#VALUE!</v>
      </c>
    </row>
    <row r="1516" spans="38:43">
      <c r="AL1516" s="414" t="str">
        <f t="shared" si="139"/>
        <v/>
      </c>
      <c r="AM1516" s="395" t="str">
        <f t="shared" si="140"/>
        <v/>
      </c>
      <c r="AN1516" s="396">
        <f t="shared" si="141"/>
        <v>0</v>
      </c>
      <c r="AO1516" s="109" t="str">
        <f t="shared" si="142"/>
        <v/>
      </c>
      <c r="AP1516" s="109" t="e">
        <f t="shared" si="143"/>
        <v>#VALUE!</v>
      </c>
      <c r="AQ1516" s="397" t="e">
        <f t="shared" si="144"/>
        <v>#VALUE!</v>
      </c>
    </row>
    <row r="1517" spans="38:43">
      <c r="AL1517" s="414" t="str">
        <f t="shared" si="139"/>
        <v/>
      </c>
      <c r="AM1517" s="395" t="str">
        <f t="shared" si="140"/>
        <v/>
      </c>
      <c r="AN1517" s="396">
        <f t="shared" si="141"/>
        <v>0</v>
      </c>
      <c r="AO1517" s="109" t="str">
        <f t="shared" si="142"/>
        <v/>
      </c>
      <c r="AP1517" s="109" t="e">
        <f t="shared" si="143"/>
        <v>#VALUE!</v>
      </c>
      <c r="AQ1517" s="397" t="e">
        <f t="shared" si="144"/>
        <v>#VALUE!</v>
      </c>
    </row>
    <row r="1518" spans="38:43">
      <c r="AL1518" s="414" t="str">
        <f t="shared" si="139"/>
        <v/>
      </c>
      <c r="AM1518" s="395" t="str">
        <f t="shared" si="140"/>
        <v/>
      </c>
      <c r="AN1518" s="396">
        <f t="shared" si="141"/>
        <v>0</v>
      </c>
      <c r="AO1518" s="109" t="str">
        <f t="shared" si="142"/>
        <v/>
      </c>
      <c r="AP1518" s="109" t="e">
        <f t="shared" si="143"/>
        <v>#VALUE!</v>
      </c>
      <c r="AQ1518" s="397" t="e">
        <f t="shared" si="144"/>
        <v>#VALUE!</v>
      </c>
    </row>
    <row r="1519" spans="38:43">
      <c r="AL1519" s="414" t="str">
        <f t="shared" si="139"/>
        <v/>
      </c>
      <c r="AM1519" s="395" t="str">
        <f t="shared" si="140"/>
        <v/>
      </c>
      <c r="AN1519" s="396">
        <f t="shared" si="141"/>
        <v>0</v>
      </c>
      <c r="AO1519" s="109" t="str">
        <f t="shared" si="142"/>
        <v/>
      </c>
      <c r="AP1519" s="109" t="e">
        <f t="shared" si="143"/>
        <v>#VALUE!</v>
      </c>
      <c r="AQ1519" s="397" t="e">
        <f t="shared" si="144"/>
        <v>#VALUE!</v>
      </c>
    </row>
    <row r="1520" spans="38:43">
      <c r="AL1520" s="414" t="str">
        <f t="shared" si="139"/>
        <v/>
      </c>
      <c r="AM1520" s="395" t="str">
        <f t="shared" si="140"/>
        <v/>
      </c>
      <c r="AN1520" s="396">
        <f t="shared" si="141"/>
        <v>0</v>
      </c>
      <c r="AO1520" s="109" t="str">
        <f t="shared" si="142"/>
        <v/>
      </c>
      <c r="AP1520" s="109" t="e">
        <f t="shared" si="143"/>
        <v>#VALUE!</v>
      </c>
      <c r="AQ1520" s="397" t="e">
        <f t="shared" si="144"/>
        <v>#VALUE!</v>
      </c>
    </row>
    <row r="1521" spans="38:43">
      <c r="AL1521" s="414" t="str">
        <f t="shared" si="139"/>
        <v/>
      </c>
      <c r="AM1521" s="395" t="str">
        <f t="shared" si="140"/>
        <v/>
      </c>
      <c r="AN1521" s="396">
        <f t="shared" si="141"/>
        <v>0</v>
      </c>
      <c r="AO1521" s="109" t="str">
        <f t="shared" si="142"/>
        <v/>
      </c>
      <c r="AP1521" s="109" t="e">
        <f t="shared" si="143"/>
        <v>#VALUE!</v>
      </c>
      <c r="AQ1521" s="397" t="e">
        <f t="shared" si="144"/>
        <v>#VALUE!</v>
      </c>
    </row>
    <row r="1522" spans="38:43">
      <c r="AL1522" s="414" t="str">
        <f t="shared" si="139"/>
        <v/>
      </c>
      <c r="AM1522" s="395" t="str">
        <f t="shared" si="140"/>
        <v/>
      </c>
      <c r="AN1522" s="396">
        <f t="shared" si="141"/>
        <v>0</v>
      </c>
      <c r="AO1522" s="109" t="str">
        <f t="shared" si="142"/>
        <v/>
      </c>
      <c r="AP1522" s="109" t="e">
        <f t="shared" si="143"/>
        <v>#VALUE!</v>
      </c>
      <c r="AQ1522" s="397" t="e">
        <f t="shared" si="144"/>
        <v>#VALUE!</v>
      </c>
    </row>
    <row r="1523" spans="38:43">
      <c r="AL1523" s="414" t="str">
        <f t="shared" si="139"/>
        <v/>
      </c>
      <c r="AM1523" s="395" t="str">
        <f t="shared" si="140"/>
        <v/>
      </c>
      <c r="AN1523" s="396">
        <f t="shared" si="141"/>
        <v>0</v>
      </c>
      <c r="AO1523" s="109" t="str">
        <f t="shared" si="142"/>
        <v/>
      </c>
      <c r="AP1523" s="109" t="e">
        <f t="shared" si="143"/>
        <v>#VALUE!</v>
      </c>
      <c r="AQ1523" s="397" t="e">
        <f t="shared" si="144"/>
        <v>#VALUE!</v>
      </c>
    </row>
    <row r="1524" spans="38:43">
      <c r="AL1524" s="414" t="str">
        <f t="shared" si="139"/>
        <v/>
      </c>
      <c r="AM1524" s="395" t="str">
        <f t="shared" si="140"/>
        <v/>
      </c>
      <c r="AN1524" s="396">
        <f t="shared" si="141"/>
        <v>0</v>
      </c>
      <c r="AO1524" s="109" t="str">
        <f t="shared" si="142"/>
        <v/>
      </c>
      <c r="AP1524" s="109" t="e">
        <f t="shared" si="143"/>
        <v>#VALUE!</v>
      </c>
      <c r="AQ1524" s="397" t="e">
        <f t="shared" si="144"/>
        <v>#VALUE!</v>
      </c>
    </row>
    <row r="1525" spans="38:43">
      <c r="AL1525" s="414" t="str">
        <f t="shared" si="139"/>
        <v/>
      </c>
      <c r="AM1525" s="395" t="str">
        <f t="shared" si="140"/>
        <v/>
      </c>
      <c r="AN1525" s="396">
        <f t="shared" si="141"/>
        <v>0</v>
      </c>
      <c r="AO1525" s="109" t="str">
        <f t="shared" si="142"/>
        <v/>
      </c>
      <c r="AP1525" s="109" t="e">
        <f t="shared" si="143"/>
        <v>#VALUE!</v>
      </c>
      <c r="AQ1525" s="397" t="e">
        <f t="shared" si="144"/>
        <v>#VALUE!</v>
      </c>
    </row>
    <row r="1526" spans="38:43">
      <c r="AL1526" s="414" t="str">
        <f t="shared" si="139"/>
        <v/>
      </c>
      <c r="AM1526" s="395" t="str">
        <f t="shared" si="140"/>
        <v/>
      </c>
      <c r="AN1526" s="396">
        <f t="shared" si="141"/>
        <v>0</v>
      </c>
      <c r="AO1526" s="109" t="str">
        <f t="shared" si="142"/>
        <v/>
      </c>
      <c r="AP1526" s="109" t="e">
        <f t="shared" si="143"/>
        <v>#VALUE!</v>
      </c>
      <c r="AQ1526" s="397" t="e">
        <f t="shared" si="144"/>
        <v>#VALUE!</v>
      </c>
    </row>
    <row r="1527" spans="38:43">
      <c r="AL1527" s="414" t="str">
        <f t="shared" si="139"/>
        <v/>
      </c>
      <c r="AM1527" s="395" t="str">
        <f t="shared" si="140"/>
        <v/>
      </c>
      <c r="AN1527" s="396">
        <f t="shared" si="141"/>
        <v>0</v>
      </c>
      <c r="AO1527" s="109" t="str">
        <f t="shared" si="142"/>
        <v/>
      </c>
      <c r="AP1527" s="109" t="e">
        <f t="shared" si="143"/>
        <v>#VALUE!</v>
      </c>
      <c r="AQ1527" s="397" t="e">
        <f t="shared" si="144"/>
        <v>#VALUE!</v>
      </c>
    </row>
    <row r="1528" spans="38:43">
      <c r="AL1528" s="414" t="str">
        <f t="shared" si="139"/>
        <v/>
      </c>
      <c r="AM1528" s="395" t="str">
        <f t="shared" si="140"/>
        <v/>
      </c>
      <c r="AN1528" s="396">
        <f t="shared" si="141"/>
        <v>0</v>
      </c>
      <c r="AO1528" s="109" t="str">
        <f t="shared" si="142"/>
        <v/>
      </c>
      <c r="AP1528" s="109" t="e">
        <f t="shared" si="143"/>
        <v>#VALUE!</v>
      </c>
      <c r="AQ1528" s="397" t="e">
        <f t="shared" si="144"/>
        <v>#VALUE!</v>
      </c>
    </row>
    <row r="1529" spans="38:43">
      <c r="AL1529" s="414" t="str">
        <f t="shared" si="139"/>
        <v/>
      </c>
      <c r="AM1529" s="395" t="str">
        <f t="shared" si="140"/>
        <v/>
      </c>
      <c r="AN1529" s="396">
        <f t="shared" si="141"/>
        <v>0</v>
      </c>
      <c r="AO1529" s="109" t="str">
        <f t="shared" si="142"/>
        <v/>
      </c>
      <c r="AP1529" s="109" t="e">
        <f t="shared" si="143"/>
        <v>#VALUE!</v>
      </c>
      <c r="AQ1529" s="397" t="e">
        <f t="shared" si="144"/>
        <v>#VALUE!</v>
      </c>
    </row>
    <row r="1530" spans="38:43">
      <c r="AL1530" s="414" t="str">
        <f t="shared" si="139"/>
        <v/>
      </c>
      <c r="AM1530" s="395" t="str">
        <f t="shared" si="140"/>
        <v/>
      </c>
      <c r="AN1530" s="396">
        <f t="shared" si="141"/>
        <v>0</v>
      </c>
      <c r="AO1530" s="109" t="str">
        <f t="shared" si="142"/>
        <v/>
      </c>
      <c r="AP1530" s="109" t="e">
        <f t="shared" si="143"/>
        <v>#VALUE!</v>
      </c>
      <c r="AQ1530" s="397" t="e">
        <f t="shared" si="144"/>
        <v>#VALUE!</v>
      </c>
    </row>
    <row r="1531" spans="38:43">
      <c r="AL1531" s="414" t="str">
        <f t="shared" si="139"/>
        <v/>
      </c>
      <c r="AM1531" s="395" t="str">
        <f t="shared" si="140"/>
        <v/>
      </c>
      <c r="AN1531" s="396">
        <f t="shared" si="141"/>
        <v>0</v>
      </c>
      <c r="AO1531" s="109" t="str">
        <f t="shared" si="142"/>
        <v/>
      </c>
      <c r="AP1531" s="109" t="e">
        <f t="shared" si="143"/>
        <v>#VALUE!</v>
      </c>
      <c r="AQ1531" s="397" t="e">
        <f t="shared" si="144"/>
        <v>#VALUE!</v>
      </c>
    </row>
    <row r="1532" spans="38:43">
      <c r="AL1532" s="414" t="str">
        <f t="shared" si="139"/>
        <v/>
      </c>
      <c r="AM1532" s="395" t="str">
        <f t="shared" si="140"/>
        <v/>
      </c>
      <c r="AN1532" s="396">
        <f t="shared" si="141"/>
        <v>0</v>
      </c>
      <c r="AO1532" s="109" t="str">
        <f t="shared" si="142"/>
        <v/>
      </c>
      <c r="AP1532" s="109" t="e">
        <f t="shared" si="143"/>
        <v>#VALUE!</v>
      </c>
      <c r="AQ1532" s="397" t="e">
        <f t="shared" si="144"/>
        <v>#VALUE!</v>
      </c>
    </row>
    <row r="1533" spans="38:43">
      <c r="AL1533" s="414" t="str">
        <f t="shared" si="139"/>
        <v/>
      </c>
      <c r="AM1533" s="395" t="str">
        <f t="shared" si="140"/>
        <v/>
      </c>
      <c r="AN1533" s="396">
        <f t="shared" si="141"/>
        <v>0</v>
      </c>
      <c r="AO1533" s="109" t="str">
        <f t="shared" si="142"/>
        <v/>
      </c>
      <c r="AP1533" s="109" t="e">
        <f t="shared" si="143"/>
        <v>#VALUE!</v>
      </c>
      <c r="AQ1533" s="397" t="e">
        <f t="shared" si="144"/>
        <v>#VALUE!</v>
      </c>
    </row>
    <row r="1534" spans="38:43">
      <c r="AL1534" s="414" t="str">
        <f t="shared" si="139"/>
        <v/>
      </c>
      <c r="AM1534" s="395" t="str">
        <f t="shared" si="140"/>
        <v/>
      </c>
      <c r="AN1534" s="396">
        <f t="shared" si="141"/>
        <v>0</v>
      </c>
      <c r="AO1534" s="109" t="str">
        <f t="shared" si="142"/>
        <v/>
      </c>
      <c r="AP1534" s="109" t="e">
        <f t="shared" si="143"/>
        <v>#VALUE!</v>
      </c>
      <c r="AQ1534" s="397" t="e">
        <f t="shared" si="144"/>
        <v>#VALUE!</v>
      </c>
    </row>
    <row r="1535" spans="38:43">
      <c r="AL1535" s="414" t="str">
        <f t="shared" si="139"/>
        <v/>
      </c>
      <c r="AM1535" s="395" t="str">
        <f t="shared" si="140"/>
        <v/>
      </c>
      <c r="AN1535" s="396">
        <f t="shared" si="141"/>
        <v>0</v>
      </c>
      <c r="AO1535" s="109" t="str">
        <f t="shared" si="142"/>
        <v/>
      </c>
      <c r="AP1535" s="109" t="e">
        <f t="shared" si="143"/>
        <v>#VALUE!</v>
      </c>
      <c r="AQ1535" s="397" t="e">
        <f t="shared" si="144"/>
        <v>#VALUE!</v>
      </c>
    </row>
    <row r="1536" spans="38:43">
      <c r="AL1536" s="414" t="str">
        <f t="shared" si="139"/>
        <v/>
      </c>
      <c r="AM1536" s="395" t="str">
        <f t="shared" si="140"/>
        <v/>
      </c>
      <c r="AN1536" s="396">
        <f t="shared" si="141"/>
        <v>0</v>
      </c>
      <c r="AO1536" s="109" t="str">
        <f t="shared" si="142"/>
        <v/>
      </c>
      <c r="AP1536" s="109" t="e">
        <f t="shared" si="143"/>
        <v>#VALUE!</v>
      </c>
      <c r="AQ1536" s="397" t="e">
        <f t="shared" si="144"/>
        <v>#VALUE!</v>
      </c>
    </row>
    <row r="1537" spans="38:43">
      <c r="AL1537" s="414" t="str">
        <f t="shared" si="139"/>
        <v/>
      </c>
      <c r="AM1537" s="395" t="str">
        <f t="shared" si="140"/>
        <v/>
      </c>
      <c r="AN1537" s="396">
        <f t="shared" si="141"/>
        <v>0</v>
      </c>
      <c r="AO1537" s="109" t="str">
        <f t="shared" si="142"/>
        <v/>
      </c>
      <c r="AP1537" s="109" t="e">
        <f t="shared" si="143"/>
        <v>#VALUE!</v>
      </c>
      <c r="AQ1537" s="397" t="e">
        <f t="shared" si="144"/>
        <v>#VALUE!</v>
      </c>
    </row>
    <row r="1538" spans="38:43">
      <c r="AL1538" s="414" t="str">
        <f t="shared" si="139"/>
        <v/>
      </c>
      <c r="AM1538" s="395" t="str">
        <f t="shared" si="140"/>
        <v/>
      </c>
      <c r="AN1538" s="396">
        <f t="shared" si="141"/>
        <v>0</v>
      </c>
      <c r="AO1538" s="109" t="str">
        <f t="shared" si="142"/>
        <v/>
      </c>
      <c r="AP1538" s="109" t="e">
        <f t="shared" si="143"/>
        <v>#VALUE!</v>
      </c>
      <c r="AQ1538" s="397" t="e">
        <f t="shared" si="144"/>
        <v>#VALUE!</v>
      </c>
    </row>
    <row r="1539" spans="38:43">
      <c r="AL1539" s="414" t="str">
        <f t="shared" ref="AL1539:AL1602" si="145">SUBSTITUTE(SUBSTITUTE(H1539,"[워커힐]워커힐 고메 시그니처 양념 본갈비 8팩","워커힐 시그니처 양념 본갈비 300g, 8개"),"[워커힐]워커힐 시그니처 양념 본갈비 4팩","워커힐 시그니처 양념 본갈비 300g, 4개")</f>
        <v/>
      </c>
      <c r="AM1539" s="395" t="str">
        <f t="shared" ref="AM1539:AM1602" si="146">IF(N1539="배송완료", DATE(LEFT(M1539,4), MID(M1539,6,2), MID(M1539,9,2)), "")</f>
        <v/>
      </c>
      <c r="AN1539" s="396">
        <f t="shared" ref="AN1539:AN1602" si="147">IF(OR(N1539="배송완료", Q1539&lt;0), Q1539, 0)</f>
        <v>0</v>
      </c>
      <c r="AO1539" s="109" t="str">
        <f t="shared" ref="AO1539:AO1602" si="148">IF(AL1539="워커힐 시그니처 양념 본갈비 300g, 8개",119000,IF(AL1539="워커힐 시그니처 양념 본갈비 300g, 4개",78000,""))</f>
        <v/>
      </c>
      <c r="AP1539" s="109" t="e">
        <f t="shared" ref="AP1539:AP1602" si="149">AO1539/1.1</f>
        <v>#VALUE!</v>
      </c>
      <c r="AQ1539" s="397" t="e">
        <f t="shared" si="144"/>
        <v>#VALUE!</v>
      </c>
    </row>
    <row r="1540" spans="38:43">
      <c r="AL1540" s="414" t="str">
        <f t="shared" si="145"/>
        <v/>
      </c>
      <c r="AM1540" s="395" t="str">
        <f t="shared" si="146"/>
        <v/>
      </c>
      <c r="AN1540" s="396">
        <f t="shared" si="147"/>
        <v>0</v>
      </c>
      <c r="AO1540" s="109" t="str">
        <f t="shared" si="148"/>
        <v/>
      </c>
      <c r="AP1540" s="109" t="e">
        <f t="shared" si="149"/>
        <v>#VALUE!</v>
      </c>
      <c r="AQ1540" s="397" t="e">
        <f t="shared" si="144"/>
        <v>#VALUE!</v>
      </c>
    </row>
    <row r="1541" spans="38:43">
      <c r="AL1541" s="414" t="str">
        <f t="shared" si="145"/>
        <v/>
      </c>
      <c r="AM1541" s="395" t="str">
        <f t="shared" si="146"/>
        <v/>
      </c>
      <c r="AN1541" s="396">
        <f t="shared" si="147"/>
        <v>0</v>
      </c>
      <c r="AO1541" s="109" t="str">
        <f t="shared" si="148"/>
        <v/>
      </c>
      <c r="AP1541" s="109" t="e">
        <f t="shared" si="149"/>
        <v>#VALUE!</v>
      </c>
      <c r="AQ1541" s="397" t="e">
        <f t="shared" si="144"/>
        <v>#VALUE!</v>
      </c>
    </row>
    <row r="1542" spans="38:43">
      <c r="AL1542" s="414" t="str">
        <f t="shared" si="145"/>
        <v/>
      </c>
      <c r="AM1542" s="395" t="str">
        <f t="shared" si="146"/>
        <v/>
      </c>
      <c r="AN1542" s="396">
        <f t="shared" si="147"/>
        <v>0</v>
      </c>
      <c r="AO1542" s="109" t="str">
        <f t="shared" si="148"/>
        <v/>
      </c>
      <c r="AP1542" s="109" t="e">
        <f t="shared" si="149"/>
        <v>#VALUE!</v>
      </c>
      <c r="AQ1542" s="397" t="e">
        <f t="shared" si="144"/>
        <v>#VALUE!</v>
      </c>
    </row>
    <row r="1543" spans="38:43">
      <c r="AL1543" s="414" t="str">
        <f t="shared" si="145"/>
        <v/>
      </c>
      <c r="AM1543" s="395" t="str">
        <f t="shared" si="146"/>
        <v/>
      </c>
      <c r="AN1543" s="396">
        <f t="shared" si="147"/>
        <v>0</v>
      </c>
      <c r="AO1543" s="109" t="str">
        <f t="shared" si="148"/>
        <v/>
      </c>
      <c r="AP1543" s="109" t="e">
        <f t="shared" si="149"/>
        <v>#VALUE!</v>
      </c>
      <c r="AQ1543" s="397" t="e">
        <f t="shared" si="144"/>
        <v>#VALUE!</v>
      </c>
    </row>
    <row r="1544" spans="38:43">
      <c r="AL1544" s="414" t="str">
        <f t="shared" si="145"/>
        <v/>
      </c>
      <c r="AM1544" s="395" t="str">
        <f t="shared" si="146"/>
        <v/>
      </c>
      <c r="AN1544" s="396">
        <f t="shared" si="147"/>
        <v>0</v>
      </c>
      <c r="AO1544" s="109" t="str">
        <f t="shared" si="148"/>
        <v/>
      </c>
      <c r="AP1544" s="109" t="e">
        <f t="shared" si="149"/>
        <v>#VALUE!</v>
      </c>
      <c r="AQ1544" s="397" t="e">
        <f t="shared" si="144"/>
        <v>#VALUE!</v>
      </c>
    </row>
    <row r="1545" spans="38:43">
      <c r="AL1545" s="414" t="str">
        <f t="shared" si="145"/>
        <v/>
      </c>
      <c r="AM1545" s="395" t="str">
        <f t="shared" si="146"/>
        <v/>
      </c>
      <c r="AN1545" s="396">
        <f t="shared" si="147"/>
        <v>0</v>
      </c>
      <c r="AO1545" s="109" t="str">
        <f t="shared" si="148"/>
        <v/>
      </c>
      <c r="AP1545" s="109" t="e">
        <f t="shared" si="149"/>
        <v>#VALUE!</v>
      </c>
      <c r="AQ1545" s="397" t="e">
        <f t="shared" si="144"/>
        <v>#VALUE!</v>
      </c>
    </row>
    <row r="1546" spans="38:43">
      <c r="AL1546" s="414" t="str">
        <f t="shared" si="145"/>
        <v/>
      </c>
      <c r="AM1546" s="395" t="str">
        <f t="shared" si="146"/>
        <v/>
      </c>
      <c r="AN1546" s="396">
        <f t="shared" si="147"/>
        <v>0</v>
      </c>
      <c r="AO1546" s="109" t="str">
        <f t="shared" si="148"/>
        <v/>
      </c>
      <c r="AP1546" s="109" t="e">
        <f t="shared" si="149"/>
        <v>#VALUE!</v>
      </c>
      <c r="AQ1546" s="397" t="e">
        <f t="shared" si="144"/>
        <v>#VALUE!</v>
      </c>
    </row>
    <row r="1547" spans="38:43">
      <c r="AL1547" s="414" t="str">
        <f t="shared" si="145"/>
        <v/>
      </c>
      <c r="AM1547" s="395" t="str">
        <f t="shared" si="146"/>
        <v/>
      </c>
      <c r="AN1547" s="396">
        <f t="shared" si="147"/>
        <v>0</v>
      </c>
      <c r="AO1547" s="109" t="str">
        <f t="shared" si="148"/>
        <v/>
      </c>
      <c r="AP1547" s="109" t="e">
        <f t="shared" si="149"/>
        <v>#VALUE!</v>
      </c>
      <c r="AQ1547" s="397" t="e">
        <f t="shared" si="144"/>
        <v>#VALUE!</v>
      </c>
    </row>
    <row r="1548" spans="38:43">
      <c r="AL1548" s="414" t="str">
        <f t="shared" si="145"/>
        <v/>
      </c>
      <c r="AM1548" s="395" t="str">
        <f t="shared" si="146"/>
        <v/>
      </c>
      <c r="AN1548" s="396">
        <f t="shared" si="147"/>
        <v>0</v>
      </c>
      <c r="AO1548" s="109" t="str">
        <f t="shared" si="148"/>
        <v/>
      </c>
      <c r="AP1548" s="109" t="e">
        <f t="shared" si="149"/>
        <v>#VALUE!</v>
      </c>
      <c r="AQ1548" s="397" t="e">
        <f t="shared" si="144"/>
        <v>#VALUE!</v>
      </c>
    </row>
    <row r="1549" spans="38:43">
      <c r="AL1549" s="414" t="str">
        <f t="shared" si="145"/>
        <v/>
      </c>
      <c r="AM1549" s="395" t="str">
        <f t="shared" si="146"/>
        <v/>
      </c>
      <c r="AN1549" s="396">
        <f t="shared" si="147"/>
        <v>0</v>
      </c>
      <c r="AO1549" s="109" t="str">
        <f t="shared" si="148"/>
        <v/>
      </c>
      <c r="AP1549" s="109" t="e">
        <f t="shared" si="149"/>
        <v>#VALUE!</v>
      </c>
      <c r="AQ1549" s="397" t="e">
        <f t="shared" si="144"/>
        <v>#VALUE!</v>
      </c>
    </row>
    <row r="1550" spans="38:43">
      <c r="AL1550" s="414" t="str">
        <f t="shared" si="145"/>
        <v/>
      </c>
      <c r="AM1550" s="395" t="str">
        <f t="shared" si="146"/>
        <v/>
      </c>
      <c r="AN1550" s="396">
        <f t="shared" si="147"/>
        <v>0</v>
      </c>
      <c r="AO1550" s="109" t="str">
        <f t="shared" si="148"/>
        <v/>
      </c>
      <c r="AP1550" s="109" t="e">
        <f t="shared" si="149"/>
        <v>#VALUE!</v>
      </c>
      <c r="AQ1550" s="397" t="e">
        <f t="shared" si="144"/>
        <v>#VALUE!</v>
      </c>
    </row>
    <row r="1551" spans="38:43">
      <c r="AL1551" s="414" t="str">
        <f t="shared" si="145"/>
        <v/>
      </c>
      <c r="AM1551" s="395" t="str">
        <f t="shared" si="146"/>
        <v/>
      </c>
      <c r="AN1551" s="396">
        <f t="shared" si="147"/>
        <v>0</v>
      </c>
      <c r="AO1551" s="109" t="str">
        <f t="shared" si="148"/>
        <v/>
      </c>
      <c r="AP1551" s="109" t="e">
        <f t="shared" si="149"/>
        <v>#VALUE!</v>
      </c>
      <c r="AQ1551" s="397" t="e">
        <f t="shared" si="144"/>
        <v>#VALUE!</v>
      </c>
    </row>
    <row r="1552" spans="38:43">
      <c r="AL1552" s="414" t="str">
        <f t="shared" si="145"/>
        <v/>
      </c>
      <c r="AM1552" s="395" t="str">
        <f t="shared" si="146"/>
        <v/>
      </c>
      <c r="AN1552" s="396">
        <f t="shared" si="147"/>
        <v>0</v>
      </c>
      <c r="AO1552" s="109" t="str">
        <f t="shared" si="148"/>
        <v/>
      </c>
      <c r="AP1552" s="109" t="e">
        <f t="shared" si="149"/>
        <v>#VALUE!</v>
      </c>
      <c r="AQ1552" s="397" t="e">
        <f t="shared" si="144"/>
        <v>#VALUE!</v>
      </c>
    </row>
    <row r="1553" spans="38:43">
      <c r="AL1553" s="414" t="str">
        <f t="shared" si="145"/>
        <v/>
      </c>
      <c r="AM1553" s="395" t="str">
        <f t="shared" si="146"/>
        <v/>
      </c>
      <c r="AN1553" s="396">
        <f t="shared" si="147"/>
        <v>0</v>
      </c>
      <c r="AO1553" s="109" t="str">
        <f t="shared" si="148"/>
        <v/>
      </c>
      <c r="AP1553" s="109" t="e">
        <f t="shared" si="149"/>
        <v>#VALUE!</v>
      </c>
      <c r="AQ1553" s="397" t="e">
        <f t="shared" si="144"/>
        <v>#VALUE!</v>
      </c>
    </row>
    <row r="1554" spans="38:43">
      <c r="AL1554" s="414" t="str">
        <f t="shared" si="145"/>
        <v/>
      </c>
      <c r="AM1554" s="395" t="str">
        <f t="shared" si="146"/>
        <v/>
      </c>
      <c r="AN1554" s="396">
        <f t="shared" si="147"/>
        <v>0</v>
      </c>
      <c r="AO1554" s="109" t="str">
        <f t="shared" si="148"/>
        <v/>
      </c>
      <c r="AP1554" s="109" t="e">
        <f t="shared" si="149"/>
        <v>#VALUE!</v>
      </c>
      <c r="AQ1554" s="397" t="e">
        <f t="shared" si="144"/>
        <v>#VALUE!</v>
      </c>
    </row>
    <row r="1555" spans="38:43">
      <c r="AL1555" s="414" t="str">
        <f t="shared" si="145"/>
        <v/>
      </c>
      <c r="AM1555" s="395" t="str">
        <f t="shared" si="146"/>
        <v/>
      </c>
      <c r="AN1555" s="396">
        <f t="shared" si="147"/>
        <v>0</v>
      </c>
      <c r="AO1555" s="109" t="str">
        <f t="shared" si="148"/>
        <v/>
      </c>
      <c r="AP1555" s="109" t="e">
        <f t="shared" si="149"/>
        <v>#VALUE!</v>
      </c>
      <c r="AQ1555" s="397" t="e">
        <f t="shared" si="144"/>
        <v>#VALUE!</v>
      </c>
    </row>
    <row r="1556" spans="38:43">
      <c r="AL1556" s="414" t="str">
        <f t="shared" si="145"/>
        <v/>
      </c>
      <c r="AM1556" s="395" t="str">
        <f t="shared" si="146"/>
        <v/>
      </c>
      <c r="AN1556" s="396">
        <f t="shared" si="147"/>
        <v>0</v>
      </c>
      <c r="AO1556" s="109" t="str">
        <f t="shared" si="148"/>
        <v/>
      </c>
      <c r="AP1556" s="109" t="e">
        <f t="shared" si="149"/>
        <v>#VALUE!</v>
      </c>
      <c r="AQ1556" s="397" t="e">
        <f t="shared" si="144"/>
        <v>#VALUE!</v>
      </c>
    </row>
    <row r="1557" spans="38:43">
      <c r="AL1557" s="414" t="str">
        <f t="shared" si="145"/>
        <v/>
      </c>
      <c r="AM1557" s="395" t="str">
        <f t="shared" si="146"/>
        <v/>
      </c>
      <c r="AN1557" s="396">
        <f t="shared" si="147"/>
        <v>0</v>
      </c>
      <c r="AO1557" s="109" t="str">
        <f t="shared" si="148"/>
        <v/>
      </c>
      <c r="AP1557" s="109" t="e">
        <f t="shared" si="149"/>
        <v>#VALUE!</v>
      </c>
      <c r="AQ1557" s="397" t="e">
        <f t="shared" si="144"/>
        <v>#VALUE!</v>
      </c>
    </row>
    <row r="1558" spans="38:43">
      <c r="AL1558" s="414" t="str">
        <f t="shared" si="145"/>
        <v/>
      </c>
      <c r="AM1558" s="395" t="str">
        <f t="shared" si="146"/>
        <v/>
      </c>
      <c r="AN1558" s="396">
        <f t="shared" si="147"/>
        <v>0</v>
      </c>
      <c r="AO1558" s="109" t="str">
        <f t="shared" si="148"/>
        <v/>
      </c>
      <c r="AP1558" s="109" t="e">
        <f t="shared" si="149"/>
        <v>#VALUE!</v>
      </c>
      <c r="AQ1558" s="397" t="e">
        <f t="shared" si="144"/>
        <v>#VALUE!</v>
      </c>
    </row>
    <row r="1559" spans="38:43">
      <c r="AL1559" s="414" t="str">
        <f t="shared" si="145"/>
        <v/>
      </c>
      <c r="AM1559" s="395" t="str">
        <f t="shared" si="146"/>
        <v/>
      </c>
      <c r="AN1559" s="396">
        <f t="shared" si="147"/>
        <v>0</v>
      </c>
      <c r="AO1559" s="109" t="str">
        <f t="shared" si="148"/>
        <v/>
      </c>
      <c r="AP1559" s="109" t="e">
        <f t="shared" si="149"/>
        <v>#VALUE!</v>
      </c>
      <c r="AQ1559" s="397" t="e">
        <f t="shared" si="144"/>
        <v>#VALUE!</v>
      </c>
    </row>
    <row r="1560" spans="38:43">
      <c r="AL1560" s="414" t="str">
        <f t="shared" si="145"/>
        <v/>
      </c>
      <c r="AM1560" s="395" t="str">
        <f t="shared" si="146"/>
        <v/>
      </c>
      <c r="AN1560" s="396">
        <f t="shared" si="147"/>
        <v>0</v>
      </c>
      <c r="AO1560" s="109" t="str">
        <f t="shared" si="148"/>
        <v/>
      </c>
      <c r="AP1560" s="109" t="e">
        <f t="shared" si="149"/>
        <v>#VALUE!</v>
      </c>
      <c r="AQ1560" s="397" t="e">
        <f t="shared" si="144"/>
        <v>#VALUE!</v>
      </c>
    </row>
    <row r="1561" spans="38:43">
      <c r="AL1561" s="414" t="str">
        <f t="shared" si="145"/>
        <v/>
      </c>
      <c r="AM1561" s="395" t="str">
        <f t="shared" si="146"/>
        <v/>
      </c>
      <c r="AN1561" s="396">
        <f t="shared" si="147"/>
        <v>0</v>
      </c>
      <c r="AO1561" s="109" t="str">
        <f t="shared" si="148"/>
        <v/>
      </c>
      <c r="AP1561" s="109" t="e">
        <f t="shared" si="149"/>
        <v>#VALUE!</v>
      </c>
      <c r="AQ1561" s="397" t="e">
        <f t="shared" si="144"/>
        <v>#VALUE!</v>
      </c>
    </row>
    <row r="1562" spans="38:43">
      <c r="AL1562" s="414" t="str">
        <f t="shared" si="145"/>
        <v/>
      </c>
      <c r="AM1562" s="395" t="str">
        <f t="shared" si="146"/>
        <v/>
      </c>
      <c r="AN1562" s="396">
        <f t="shared" si="147"/>
        <v>0</v>
      </c>
      <c r="AO1562" s="109" t="str">
        <f t="shared" si="148"/>
        <v/>
      </c>
      <c r="AP1562" s="109" t="e">
        <f t="shared" si="149"/>
        <v>#VALUE!</v>
      </c>
      <c r="AQ1562" s="397" t="e">
        <f t="shared" si="144"/>
        <v>#VALUE!</v>
      </c>
    </row>
    <row r="1563" spans="38:43">
      <c r="AL1563" s="414" t="str">
        <f t="shared" si="145"/>
        <v/>
      </c>
      <c r="AM1563" s="395" t="str">
        <f t="shared" si="146"/>
        <v/>
      </c>
      <c r="AN1563" s="396">
        <f t="shared" si="147"/>
        <v>0</v>
      </c>
      <c r="AO1563" s="109" t="str">
        <f t="shared" si="148"/>
        <v/>
      </c>
      <c r="AP1563" s="109" t="e">
        <f t="shared" si="149"/>
        <v>#VALUE!</v>
      </c>
      <c r="AQ1563" s="397" t="e">
        <f t="shared" si="144"/>
        <v>#VALUE!</v>
      </c>
    </row>
    <row r="1564" spans="38:43">
      <c r="AL1564" s="414" t="str">
        <f t="shared" si="145"/>
        <v/>
      </c>
      <c r="AM1564" s="395" t="str">
        <f t="shared" si="146"/>
        <v/>
      </c>
      <c r="AN1564" s="396">
        <f t="shared" si="147"/>
        <v>0</v>
      </c>
      <c r="AO1564" s="109" t="str">
        <f t="shared" si="148"/>
        <v/>
      </c>
      <c r="AP1564" s="109" t="e">
        <f t="shared" si="149"/>
        <v>#VALUE!</v>
      </c>
      <c r="AQ1564" s="397" t="e">
        <f t="shared" si="144"/>
        <v>#VALUE!</v>
      </c>
    </row>
    <row r="1565" spans="38:43">
      <c r="AL1565" s="414" t="str">
        <f t="shared" si="145"/>
        <v/>
      </c>
      <c r="AM1565" s="395" t="str">
        <f t="shared" si="146"/>
        <v/>
      </c>
      <c r="AN1565" s="396">
        <f t="shared" si="147"/>
        <v>0</v>
      </c>
      <c r="AO1565" s="109" t="str">
        <f t="shared" si="148"/>
        <v/>
      </c>
      <c r="AP1565" s="109" t="e">
        <f t="shared" si="149"/>
        <v>#VALUE!</v>
      </c>
      <c r="AQ1565" s="397" t="e">
        <f t="shared" ref="AQ1565:AQ1628" si="150">AN1565*AP1565</f>
        <v>#VALUE!</v>
      </c>
    </row>
    <row r="1566" spans="38:43">
      <c r="AL1566" s="414" t="str">
        <f t="shared" si="145"/>
        <v/>
      </c>
      <c r="AM1566" s="395" t="str">
        <f t="shared" si="146"/>
        <v/>
      </c>
      <c r="AN1566" s="396">
        <f t="shared" si="147"/>
        <v>0</v>
      </c>
      <c r="AO1566" s="109" t="str">
        <f t="shared" si="148"/>
        <v/>
      </c>
      <c r="AP1566" s="109" t="e">
        <f t="shared" si="149"/>
        <v>#VALUE!</v>
      </c>
      <c r="AQ1566" s="397" t="e">
        <f t="shared" si="150"/>
        <v>#VALUE!</v>
      </c>
    </row>
    <row r="1567" spans="38:43">
      <c r="AL1567" s="414" t="str">
        <f t="shared" si="145"/>
        <v/>
      </c>
      <c r="AM1567" s="395" t="str">
        <f t="shared" si="146"/>
        <v/>
      </c>
      <c r="AN1567" s="396">
        <f t="shared" si="147"/>
        <v>0</v>
      </c>
      <c r="AO1567" s="109" t="str">
        <f t="shared" si="148"/>
        <v/>
      </c>
      <c r="AP1567" s="109" t="e">
        <f t="shared" si="149"/>
        <v>#VALUE!</v>
      </c>
      <c r="AQ1567" s="397" t="e">
        <f t="shared" si="150"/>
        <v>#VALUE!</v>
      </c>
    </row>
    <row r="1568" spans="38:43">
      <c r="AL1568" s="414" t="str">
        <f t="shared" si="145"/>
        <v/>
      </c>
      <c r="AM1568" s="395" t="str">
        <f t="shared" si="146"/>
        <v/>
      </c>
      <c r="AN1568" s="396">
        <f t="shared" si="147"/>
        <v>0</v>
      </c>
      <c r="AO1568" s="109" t="str">
        <f t="shared" si="148"/>
        <v/>
      </c>
      <c r="AP1568" s="109" t="e">
        <f t="shared" si="149"/>
        <v>#VALUE!</v>
      </c>
      <c r="AQ1568" s="397" t="e">
        <f t="shared" si="150"/>
        <v>#VALUE!</v>
      </c>
    </row>
    <row r="1569" spans="38:43">
      <c r="AL1569" s="414" t="str">
        <f t="shared" si="145"/>
        <v/>
      </c>
      <c r="AM1569" s="395" t="str">
        <f t="shared" si="146"/>
        <v/>
      </c>
      <c r="AN1569" s="396">
        <f t="shared" si="147"/>
        <v>0</v>
      </c>
      <c r="AO1569" s="109" t="str">
        <f t="shared" si="148"/>
        <v/>
      </c>
      <c r="AP1569" s="109" t="e">
        <f t="shared" si="149"/>
        <v>#VALUE!</v>
      </c>
      <c r="AQ1569" s="397" t="e">
        <f t="shared" si="150"/>
        <v>#VALUE!</v>
      </c>
    </row>
    <row r="1570" spans="38:43">
      <c r="AL1570" s="414" t="str">
        <f t="shared" si="145"/>
        <v/>
      </c>
      <c r="AM1570" s="395" t="str">
        <f t="shared" si="146"/>
        <v/>
      </c>
      <c r="AN1570" s="396">
        <f t="shared" si="147"/>
        <v>0</v>
      </c>
      <c r="AO1570" s="109" t="str">
        <f t="shared" si="148"/>
        <v/>
      </c>
      <c r="AP1570" s="109" t="e">
        <f t="shared" si="149"/>
        <v>#VALUE!</v>
      </c>
      <c r="AQ1570" s="397" t="e">
        <f t="shared" si="150"/>
        <v>#VALUE!</v>
      </c>
    </row>
    <row r="1571" spans="38:43">
      <c r="AL1571" s="414" t="str">
        <f t="shared" si="145"/>
        <v/>
      </c>
      <c r="AM1571" s="395" t="str">
        <f t="shared" si="146"/>
        <v/>
      </c>
      <c r="AN1571" s="396">
        <f t="shared" si="147"/>
        <v>0</v>
      </c>
      <c r="AO1571" s="109" t="str">
        <f t="shared" si="148"/>
        <v/>
      </c>
      <c r="AP1571" s="109" t="e">
        <f t="shared" si="149"/>
        <v>#VALUE!</v>
      </c>
      <c r="AQ1571" s="397" t="e">
        <f t="shared" si="150"/>
        <v>#VALUE!</v>
      </c>
    </row>
    <row r="1572" spans="38:43">
      <c r="AL1572" s="414" t="str">
        <f t="shared" si="145"/>
        <v/>
      </c>
      <c r="AM1572" s="395" t="str">
        <f t="shared" si="146"/>
        <v/>
      </c>
      <c r="AN1572" s="396">
        <f t="shared" si="147"/>
        <v>0</v>
      </c>
      <c r="AO1572" s="109" t="str">
        <f t="shared" si="148"/>
        <v/>
      </c>
      <c r="AP1572" s="109" t="e">
        <f t="shared" si="149"/>
        <v>#VALUE!</v>
      </c>
      <c r="AQ1572" s="397" t="e">
        <f t="shared" si="150"/>
        <v>#VALUE!</v>
      </c>
    </row>
    <row r="1573" spans="38:43">
      <c r="AL1573" s="414" t="str">
        <f t="shared" si="145"/>
        <v/>
      </c>
      <c r="AM1573" s="395" t="str">
        <f t="shared" si="146"/>
        <v/>
      </c>
      <c r="AN1573" s="396">
        <f t="shared" si="147"/>
        <v>0</v>
      </c>
      <c r="AO1573" s="109" t="str">
        <f t="shared" si="148"/>
        <v/>
      </c>
      <c r="AP1573" s="109" t="e">
        <f t="shared" si="149"/>
        <v>#VALUE!</v>
      </c>
      <c r="AQ1573" s="397" t="e">
        <f t="shared" si="150"/>
        <v>#VALUE!</v>
      </c>
    </row>
    <row r="1574" spans="38:43">
      <c r="AL1574" s="414" t="str">
        <f t="shared" si="145"/>
        <v/>
      </c>
      <c r="AM1574" s="395" t="str">
        <f t="shared" si="146"/>
        <v/>
      </c>
      <c r="AN1574" s="396">
        <f t="shared" si="147"/>
        <v>0</v>
      </c>
      <c r="AO1574" s="109" t="str">
        <f t="shared" si="148"/>
        <v/>
      </c>
      <c r="AP1574" s="109" t="e">
        <f t="shared" si="149"/>
        <v>#VALUE!</v>
      </c>
      <c r="AQ1574" s="397" t="e">
        <f t="shared" si="150"/>
        <v>#VALUE!</v>
      </c>
    </row>
    <row r="1575" spans="38:43">
      <c r="AL1575" s="414" t="str">
        <f t="shared" si="145"/>
        <v/>
      </c>
      <c r="AM1575" s="395" t="str">
        <f t="shared" si="146"/>
        <v/>
      </c>
      <c r="AN1575" s="396">
        <f t="shared" si="147"/>
        <v>0</v>
      </c>
      <c r="AO1575" s="109" t="str">
        <f t="shared" si="148"/>
        <v/>
      </c>
      <c r="AP1575" s="109" t="e">
        <f t="shared" si="149"/>
        <v>#VALUE!</v>
      </c>
      <c r="AQ1575" s="397" t="e">
        <f t="shared" si="150"/>
        <v>#VALUE!</v>
      </c>
    </row>
    <row r="1576" spans="38:43">
      <c r="AL1576" s="414" t="str">
        <f t="shared" si="145"/>
        <v/>
      </c>
      <c r="AM1576" s="395" t="str">
        <f t="shared" si="146"/>
        <v/>
      </c>
      <c r="AN1576" s="396">
        <f t="shared" si="147"/>
        <v>0</v>
      </c>
      <c r="AO1576" s="109" t="str">
        <f t="shared" si="148"/>
        <v/>
      </c>
      <c r="AP1576" s="109" t="e">
        <f t="shared" si="149"/>
        <v>#VALUE!</v>
      </c>
      <c r="AQ1576" s="397" t="e">
        <f t="shared" si="150"/>
        <v>#VALUE!</v>
      </c>
    </row>
    <row r="1577" spans="38:43">
      <c r="AL1577" s="414" t="str">
        <f t="shared" si="145"/>
        <v/>
      </c>
      <c r="AM1577" s="395" t="str">
        <f t="shared" si="146"/>
        <v/>
      </c>
      <c r="AN1577" s="396">
        <f t="shared" si="147"/>
        <v>0</v>
      </c>
      <c r="AO1577" s="109" t="str">
        <f t="shared" si="148"/>
        <v/>
      </c>
      <c r="AP1577" s="109" t="e">
        <f t="shared" si="149"/>
        <v>#VALUE!</v>
      </c>
      <c r="AQ1577" s="397" t="e">
        <f t="shared" si="150"/>
        <v>#VALUE!</v>
      </c>
    </row>
    <row r="1578" spans="38:43">
      <c r="AL1578" s="414" t="str">
        <f t="shared" si="145"/>
        <v/>
      </c>
      <c r="AM1578" s="395" t="str">
        <f t="shared" si="146"/>
        <v/>
      </c>
      <c r="AN1578" s="396">
        <f t="shared" si="147"/>
        <v>0</v>
      </c>
      <c r="AO1578" s="109" t="str">
        <f t="shared" si="148"/>
        <v/>
      </c>
      <c r="AP1578" s="109" t="e">
        <f t="shared" si="149"/>
        <v>#VALUE!</v>
      </c>
      <c r="AQ1578" s="397" t="e">
        <f t="shared" si="150"/>
        <v>#VALUE!</v>
      </c>
    </row>
    <row r="1579" spans="38:43">
      <c r="AL1579" s="414" t="str">
        <f t="shared" si="145"/>
        <v/>
      </c>
      <c r="AM1579" s="395" t="str">
        <f t="shared" si="146"/>
        <v/>
      </c>
      <c r="AN1579" s="396">
        <f t="shared" si="147"/>
        <v>0</v>
      </c>
      <c r="AO1579" s="109" t="str">
        <f t="shared" si="148"/>
        <v/>
      </c>
      <c r="AP1579" s="109" t="e">
        <f t="shared" si="149"/>
        <v>#VALUE!</v>
      </c>
      <c r="AQ1579" s="397" t="e">
        <f t="shared" si="150"/>
        <v>#VALUE!</v>
      </c>
    </row>
    <row r="1580" spans="38:43">
      <c r="AL1580" s="414" t="str">
        <f t="shared" si="145"/>
        <v/>
      </c>
      <c r="AM1580" s="395" t="str">
        <f t="shared" si="146"/>
        <v/>
      </c>
      <c r="AN1580" s="396">
        <f t="shared" si="147"/>
        <v>0</v>
      </c>
      <c r="AO1580" s="109" t="str">
        <f t="shared" si="148"/>
        <v/>
      </c>
      <c r="AP1580" s="109" t="e">
        <f t="shared" si="149"/>
        <v>#VALUE!</v>
      </c>
      <c r="AQ1580" s="397" t="e">
        <f t="shared" si="150"/>
        <v>#VALUE!</v>
      </c>
    </row>
    <row r="1581" spans="38:43">
      <c r="AL1581" s="414" t="str">
        <f t="shared" si="145"/>
        <v/>
      </c>
      <c r="AM1581" s="395" t="str">
        <f t="shared" si="146"/>
        <v/>
      </c>
      <c r="AN1581" s="396">
        <f t="shared" si="147"/>
        <v>0</v>
      </c>
      <c r="AO1581" s="109" t="str">
        <f t="shared" si="148"/>
        <v/>
      </c>
      <c r="AP1581" s="109" t="e">
        <f t="shared" si="149"/>
        <v>#VALUE!</v>
      </c>
      <c r="AQ1581" s="397" t="e">
        <f t="shared" si="150"/>
        <v>#VALUE!</v>
      </c>
    </row>
    <row r="1582" spans="38:43">
      <c r="AL1582" s="414" t="str">
        <f t="shared" si="145"/>
        <v/>
      </c>
      <c r="AM1582" s="395" t="str">
        <f t="shared" si="146"/>
        <v/>
      </c>
      <c r="AN1582" s="396">
        <f t="shared" si="147"/>
        <v>0</v>
      </c>
      <c r="AO1582" s="109" t="str">
        <f t="shared" si="148"/>
        <v/>
      </c>
      <c r="AP1582" s="109" t="e">
        <f t="shared" si="149"/>
        <v>#VALUE!</v>
      </c>
      <c r="AQ1582" s="397" t="e">
        <f t="shared" si="150"/>
        <v>#VALUE!</v>
      </c>
    </row>
    <row r="1583" spans="38:43">
      <c r="AL1583" s="414" t="str">
        <f t="shared" si="145"/>
        <v/>
      </c>
      <c r="AM1583" s="395" t="str">
        <f t="shared" si="146"/>
        <v/>
      </c>
      <c r="AN1583" s="396">
        <f t="shared" si="147"/>
        <v>0</v>
      </c>
      <c r="AO1583" s="109" t="str">
        <f t="shared" si="148"/>
        <v/>
      </c>
      <c r="AP1583" s="109" t="e">
        <f t="shared" si="149"/>
        <v>#VALUE!</v>
      </c>
      <c r="AQ1583" s="397" t="e">
        <f t="shared" si="150"/>
        <v>#VALUE!</v>
      </c>
    </row>
    <row r="1584" spans="38:43">
      <c r="AL1584" s="414" t="str">
        <f t="shared" si="145"/>
        <v/>
      </c>
      <c r="AM1584" s="395" t="str">
        <f t="shared" si="146"/>
        <v/>
      </c>
      <c r="AN1584" s="396">
        <f t="shared" si="147"/>
        <v>0</v>
      </c>
      <c r="AO1584" s="109" t="str">
        <f t="shared" si="148"/>
        <v/>
      </c>
      <c r="AP1584" s="109" t="e">
        <f t="shared" si="149"/>
        <v>#VALUE!</v>
      </c>
      <c r="AQ1584" s="397" t="e">
        <f t="shared" si="150"/>
        <v>#VALUE!</v>
      </c>
    </row>
    <row r="1585" spans="38:43">
      <c r="AL1585" s="414" t="str">
        <f t="shared" si="145"/>
        <v/>
      </c>
      <c r="AM1585" s="395" t="str">
        <f t="shared" si="146"/>
        <v/>
      </c>
      <c r="AN1585" s="396">
        <f t="shared" si="147"/>
        <v>0</v>
      </c>
      <c r="AO1585" s="109" t="str">
        <f t="shared" si="148"/>
        <v/>
      </c>
      <c r="AP1585" s="109" t="e">
        <f t="shared" si="149"/>
        <v>#VALUE!</v>
      </c>
      <c r="AQ1585" s="397" t="e">
        <f t="shared" si="150"/>
        <v>#VALUE!</v>
      </c>
    </row>
    <row r="1586" spans="38:43">
      <c r="AL1586" s="414" t="str">
        <f t="shared" si="145"/>
        <v/>
      </c>
      <c r="AM1586" s="395" t="str">
        <f t="shared" si="146"/>
        <v/>
      </c>
      <c r="AN1586" s="396">
        <f t="shared" si="147"/>
        <v>0</v>
      </c>
      <c r="AO1586" s="109" t="str">
        <f t="shared" si="148"/>
        <v/>
      </c>
      <c r="AP1586" s="109" t="e">
        <f t="shared" si="149"/>
        <v>#VALUE!</v>
      </c>
      <c r="AQ1586" s="397" t="e">
        <f t="shared" si="150"/>
        <v>#VALUE!</v>
      </c>
    </row>
    <row r="1587" spans="38:43">
      <c r="AL1587" s="414" t="str">
        <f t="shared" si="145"/>
        <v/>
      </c>
      <c r="AM1587" s="395" t="str">
        <f t="shared" si="146"/>
        <v/>
      </c>
      <c r="AN1587" s="396">
        <f t="shared" si="147"/>
        <v>0</v>
      </c>
      <c r="AO1587" s="109" t="str">
        <f t="shared" si="148"/>
        <v/>
      </c>
      <c r="AP1587" s="109" t="e">
        <f t="shared" si="149"/>
        <v>#VALUE!</v>
      </c>
      <c r="AQ1587" s="397" t="e">
        <f t="shared" si="150"/>
        <v>#VALUE!</v>
      </c>
    </row>
    <row r="1588" spans="38:43">
      <c r="AL1588" s="414" t="str">
        <f t="shared" si="145"/>
        <v/>
      </c>
      <c r="AM1588" s="395" t="str">
        <f t="shared" si="146"/>
        <v/>
      </c>
      <c r="AN1588" s="396">
        <f t="shared" si="147"/>
        <v>0</v>
      </c>
      <c r="AO1588" s="109" t="str">
        <f t="shared" si="148"/>
        <v/>
      </c>
      <c r="AP1588" s="109" t="e">
        <f t="shared" si="149"/>
        <v>#VALUE!</v>
      </c>
      <c r="AQ1588" s="397" t="e">
        <f t="shared" si="150"/>
        <v>#VALUE!</v>
      </c>
    </row>
    <row r="1589" spans="38:43">
      <c r="AL1589" s="414" t="str">
        <f t="shared" si="145"/>
        <v/>
      </c>
      <c r="AM1589" s="395" t="str">
        <f t="shared" si="146"/>
        <v/>
      </c>
      <c r="AN1589" s="396">
        <f t="shared" si="147"/>
        <v>0</v>
      </c>
      <c r="AO1589" s="109" t="str">
        <f t="shared" si="148"/>
        <v/>
      </c>
      <c r="AP1589" s="109" t="e">
        <f t="shared" si="149"/>
        <v>#VALUE!</v>
      </c>
      <c r="AQ1589" s="397" t="e">
        <f t="shared" si="150"/>
        <v>#VALUE!</v>
      </c>
    </row>
    <row r="1590" spans="38:43">
      <c r="AL1590" s="414" t="str">
        <f t="shared" si="145"/>
        <v/>
      </c>
      <c r="AM1590" s="395" t="str">
        <f t="shared" si="146"/>
        <v/>
      </c>
      <c r="AN1590" s="396">
        <f t="shared" si="147"/>
        <v>0</v>
      </c>
      <c r="AO1590" s="109" t="str">
        <f t="shared" si="148"/>
        <v/>
      </c>
      <c r="AP1590" s="109" t="e">
        <f t="shared" si="149"/>
        <v>#VALUE!</v>
      </c>
      <c r="AQ1590" s="397" t="e">
        <f t="shared" si="150"/>
        <v>#VALUE!</v>
      </c>
    </row>
    <row r="1591" spans="38:43">
      <c r="AL1591" s="414" t="str">
        <f t="shared" si="145"/>
        <v/>
      </c>
      <c r="AM1591" s="395" t="str">
        <f t="shared" si="146"/>
        <v/>
      </c>
      <c r="AN1591" s="396">
        <f t="shared" si="147"/>
        <v>0</v>
      </c>
      <c r="AO1591" s="109" t="str">
        <f t="shared" si="148"/>
        <v/>
      </c>
      <c r="AP1591" s="109" t="e">
        <f t="shared" si="149"/>
        <v>#VALUE!</v>
      </c>
      <c r="AQ1591" s="397" t="e">
        <f t="shared" si="150"/>
        <v>#VALUE!</v>
      </c>
    </row>
    <row r="1592" spans="38:43">
      <c r="AL1592" s="414" t="str">
        <f t="shared" si="145"/>
        <v/>
      </c>
      <c r="AM1592" s="395" t="str">
        <f t="shared" si="146"/>
        <v/>
      </c>
      <c r="AN1592" s="396">
        <f t="shared" si="147"/>
        <v>0</v>
      </c>
      <c r="AO1592" s="109" t="str">
        <f t="shared" si="148"/>
        <v/>
      </c>
      <c r="AP1592" s="109" t="e">
        <f t="shared" si="149"/>
        <v>#VALUE!</v>
      </c>
      <c r="AQ1592" s="397" t="e">
        <f t="shared" si="150"/>
        <v>#VALUE!</v>
      </c>
    </row>
    <row r="1593" spans="38:43">
      <c r="AL1593" s="414" t="str">
        <f t="shared" si="145"/>
        <v/>
      </c>
      <c r="AM1593" s="395" t="str">
        <f t="shared" si="146"/>
        <v/>
      </c>
      <c r="AN1593" s="396">
        <f t="shared" si="147"/>
        <v>0</v>
      </c>
      <c r="AO1593" s="109" t="str">
        <f t="shared" si="148"/>
        <v/>
      </c>
      <c r="AP1593" s="109" t="e">
        <f t="shared" si="149"/>
        <v>#VALUE!</v>
      </c>
      <c r="AQ1593" s="397" t="e">
        <f t="shared" si="150"/>
        <v>#VALUE!</v>
      </c>
    </row>
    <row r="1594" spans="38:43">
      <c r="AL1594" s="414" t="str">
        <f t="shared" si="145"/>
        <v/>
      </c>
      <c r="AM1594" s="395" t="str">
        <f t="shared" si="146"/>
        <v/>
      </c>
      <c r="AN1594" s="396">
        <f t="shared" si="147"/>
        <v>0</v>
      </c>
      <c r="AO1594" s="109" t="str">
        <f t="shared" si="148"/>
        <v/>
      </c>
      <c r="AP1594" s="109" t="e">
        <f t="shared" si="149"/>
        <v>#VALUE!</v>
      </c>
      <c r="AQ1594" s="397" t="e">
        <f t="shared" si="150"/>
        <v>#VALUE!</v>
      </c>
    </row>
    <row r="1595" spans="38:43">
      <c r="AL1595" s="414" t="str">
        <f t="shared" si="145"/>
        <v/>
      </c>
      <c r="AM1595" s="395" t="str">
        <f t="shared" si="146"/>
        <v/>
      </c>
      <c r="AN1595" s="396">
        <f t="shared" si="147"/>
        <v>0</v>
      </c>
      <c r="AO1595" s="109" t="str">
        <f t="shared" si="148"/>
        <v/>
      </c>
      <c r="AP1595" s="109" t="e">
        <f t="shared" si="149"/>
        <v>#VALUE!</v>
      </c>
      <c r="AQ1595" s="397" t="e">
        <f t="shared" si="150"/>
        <v>#VALUE!</v>
      </c>
    </row>
    <row r="1596" spans="38:43">
      <c r="AL1596" s="414" t="str">
        <f t="shared" si="145"/>
        <v/>
      </c>
      <c r="AM1596" s="395" t="str">
        <f t="shared" si="146"/>
        <v/>
      </c>
      <c r="AN1596" s="396">
        <f t="shared" si="147"/>
        <v>0</v>
      </c>
      <c r="AO1596" s="109" t="str">
        <f t="shared" si="148"/>
        <v/>
      </c>
      <c r="AP1596" s="109" t="e">
        <f t="shared" si="149"/>
        <v>#VALUE!</v>
      </c>
      <c r="AQ1596" s="397" t="e">
        <f t="shared" si="150"/>
        <v>#VALUE!</v>
      </c>
    </row>
    <row r="1597" spans="38:43">
      <c r="AL1597" s="414" t="str">
        <f t="shared" si="145"/>
        <v/>
      </c>
      <c r="AM1597" s="395" t="str">
        <f t="shared" si="146"/>
        <v/>
      </c>
      <c r="AN1597" s="396">
        <f t="shared" si="147"/>
        <v>0</v>
      </c>
      <c r="AO1597" s="109" t="str">
        <f t="shared" si="148"/>
        <v/>
      </c>
      <c r="AP1597" s="109" t="e">
        <f t="shared" si="149"/>
        <v>#VALUE!</v>
      </c>
      <c r="AQ1597" s="397" t="e">
        <f t="shared" si="150"/>
        <v>#VALUE!</v>
      </c>
    </row>
    <row r="1598" spans="38:43">
      <c r="AL1598" s="414" t="str">
        <f t="shared" si="145"/>
        <v/>
      </c>
      <c r="AM1598" s="395" t="str">
        <f t="shared" si="146"/>
        <v/>
      </c>
      <c r="AN1598" s="396">
        <f t="shared" si="147"/>
        <v>0</v>
      </c>
      <c r="AO1598" s="109" t="str">
        <f t="shared" si="148"/>
        <v/>
      </c>
      <c r="AP1598" s="109" t="e">
        <f t="shared" si="149"/>
        <v>#VALUE!</v>
      </c>
      <c r="AQ1598" s="397" t="e">
        <f t="shared" si="150"/>
        <v>#VALUE!</v>
      </c>
    </row>
    <row r="1599" spans="38:43">
      <c r="AL1599" s="414" t="str">
        <f t="shared" si="145"/>
        <v/>
      </c>
      <c r="AM1599" s="395" t="str">
        <f t="shared" si="146"/>
        <v/>
      </c>
      <c r="AN1599" s="396">
        <f t="shared" si="147"/>
        <v>0</v>
      </c>
      <c r="AO1599" s="109" t="str">
        <f t="shared" si="148"/>
        <v/>
      </c>
      <c r="AP1599" s="109" t="e">
        <f t="shared" si="149"/>
        <v>#VALUE!</v>
      </c>
      <c r="AQ1599" s="397" t="e">
        <f t="shared" si="150"/>
        <v>#VALUE!</v>
      </c>
    </row>
    <row r="1600" spans="38:43">
      <c r="AL1600" s="414" t="str">
        <f t="shared" si="145"/>
        <v/>
      </c>
      <c r="AM1600" s="395" t="str">
        <f t="shared" si="146"/>
        <v/>
      </c>
      <c r="AN1600" s="396">
        <f t="shared" si="147"/>
        <v>0</v>
      </c>
      <c r="AO1600" s="109" t="str">
        <f t="shared" si="148"/>
        <v/>
      </c>
      <c r="AP1600" s="109" t="e">
        <f t="shared" si="149"/>
        <v>#VALUE!</v>
      </c>
      <c r="AQ1600" s="397" t="e">
        <f t="shared" si="150"/>
        <v>#VALUE!</v>
      </c>
    </row>
    <row r="1601" spans="38:43">
      <c r="AL1601" s="414" t="str">
        <f t="shared" si="145"/>
        <v/>
      </c>
      <c r="AM1601" s="395" t="str">
        <f t="shared" si="146"/>
        <v/>
      </c>
      <c r="AN1601" s="396">
        <f t="shared" si="147"/>
        <v>0</v>
      </c>
      <c r="AO1601" s="109" t="str">
        <f t="shared" si="148"/>
        <v/>
      </c>
      <c r="AP1601" s="109" t="e">
        <f t="shared" si="149"/>
        <v>#VALUE!</v>
      </c>
      <c r="AQ1601" s="397" t="e">
        <f t="shared" si="150"/>
        <v>#VALUE!</v>
      </c>
    </row>
    <row r="1602" spans="38:43">
      <c r="AL1602" s="414" t="str">
        <f t="shared" si="145"/>
        <v/>
      </c>
      <c r="AM1602" s="395" t="str">
        <f t="shared" si="146"/>
        <v/>
      </c>
      <c r="AN1602" s="396">
        <f t="shared" si="147"/>
        <v>0</v>
      </c>
      <c r="AO1602" s="109" t="str">
        <f t="shared" si="148"/>
        <v/>
      </c>
      <c r="AP1602" s="109" t="e">
        <f t="shared" si="149"/>
        <v>#VALUE!</v>
      </c>
      <c r="AQ1602" s="397" t="e">
        <f t="shared" si="150"/>
        <v>#VALUE!</v>
      </c>
    </row>
    <row r="1603" spans="38:43">
      <c r="AL1603" s="414" t="str">
        <f t="shared" ref="AL1603:AL1666" si="151">SUBSTITUTE(SUBSTITUTE(H1603,"[워커힐]워커힐 고메 시그니처 양념 본갈비 8팩","워커힐 시그니처 양념 본갈비 300g, 8개"),"[워커힐]워커힐 시그니처 양념 본갈비 4팩","워커힐 시그니처 양념 본갈비 300g, 4개")</f>
        <v/>
      </c>
      <c r="AM1603" s="395" t="str">
        <f t="shared" ref="AM1603:AM1666" si="152">IF(N1603="배송완료", DATE(LEFT(M1603,4), MID(M1603,6,2), MID(M1603,9,2)), "")</f>
        <v/>
      </c>
      <c r="AN1603" s="396">
        <f t="shared" ref="AN1603:AN1666" si="153">IF(OR(N1603="배송완료", Q1603&lt;0), Q1603, 0)</f>
        <v>0</v>
      </c>
      <c r="AO1603" s="109" t="str">
        <f t="shared" ref="AO1603:AO1666" si="154">IF(AL1603="워커힐 시그니처 양념 본갈비 300g, 8개",119000,IF(AL1603="워커힐 시그니처 양념 본갈비 300g, 4개",78000,""))</f>
        <v/>
      </c>
      <c r="AP1603" s="109" t="e">
        <f t="shared" ref="AP1603:AP1666" si="155">AO1603/1.1</f>
        <v>#VALUE!</v>
      </c>
      <c r="AQ1603" s="397" t="e">
        <f t="shared" si="150"/>
        <v>#VALUE!</v>
      </c>
    </row>
    <row r="1604" spans="38:43">
      <c r="AL1604" s="414" t="str">
        <f t="shared" si="151"/>
        <v/>
      </c>
      <c r="AM1604" s="395" t="str">
        <f t="shared" si="152"/>
        <v/>
      </c>
      <c r="AN1604" s="396">
        <f t="shared" si="153"/>
        <v>0</v>
      </c>
      <c r="AO1604" s="109" t="str">
        <f t="shared" si="154"/>
        <v/>
      </c>
      <c r="AP1604" s="109" t="e">
        <f t="shared" si="155"/>
        <v>#VALUE!</v>
      </c>
      <c r="AQ1604" s="397" t="e">
        <f t="shared" si="150"/>
        <v>#VALUE!</v>
      </c>
    </row>
    <row r="1605" spans="38:43">
      <c r="AL1605" s="414" t="str">
        <f t="shared" si="151"/>
        <v/>
      </c>
      <c r="AM1605" s="395" t="str">
        <f t="shared" si="152"/>
        <v/>
      </c>
      <c r="AN1605" s="396">
        <f t="shared" si="153"/>
        <v>0</v>
      </c>
      <c r="AO1605" s="109" t="str">
        <f t="shared" si="154"/>
        <v/>
      </c>
      <c r="AP1605" s="109" t="e">
        <f t="shared" si="155"/>
        <v>#VALUE!</v>
      </c>
      <c r="AQ1605" s="397" t="e">
        <f t="shared" si="150"/>
        <v>#VALUE!</v>
      </c>
    </row>
    <row r="1606" spans="38:43">
      <c r="AL1606" s="414" t="str">
        <f t="shared" si="151"/>
        <v/>
      </c>
      <c r="AM1606" s="395" t="str">
        <f t="shared" si="152"/>
        <v/>
      </c>
      <c r="AN1606" s="396">
        <f t="shared" si="153"/>
        <v>0</v>
      </c>
      <c r="AO1606" s="109" t="str">
        <f t="shared" si="154"/>
        <v/>
      </c>
      <c r="AP1606" s="109" t="e">
        <f t="shared" si="155"/>
        <v>#VALUE!</v>
      </c>
      <c r="AQ1606" s="397" t="e">
        <f t="shared" si="150"/>
        <v>#VALUE!</v>
      </c>
    </row>
    <row r="1607" spans="38:43">
      <c r="AL1607" s="414" t="str">
        <f t="shared" si="151"/>
        <v/>
      </c>
      <c r="AM1607" s="395" t="str">
        <f t="shared" si="152"/>
        <v/>
      </c>
      <c r="AN1607" s="396">
        <f t="shared" si="153"/>
        <v>0</v>
      </c>
      <c r="AO1607" s="109" t="str">
        <f t="shared" si="154"/>
        <v/>
      </c>
      <c r="AP1607" s="109" t="e">
        <f t="shared" si="155"/>
        <v>#VALUE!</v>
      </c>
      <c r="AQ1607" s="397" t="e">
        <f t="shared" si="150"/>
        <v>#VALUE!</v>
      </c>
    </row>
    <row r="1608" spans="38:43">
      <c r="AL1608" s="414" t="str">
        <f t="shared" si="151"/>
        <v/>
      </c>
      <c r="AM1608" s="395" t="str">
        <f t="shared" si="152"/>
        <v/>
      </c>
      <c r="AN1608" s="396">
        <f t="shared" si="153"/>
        <v>0</v>
      </c>
      <c r="AO1608" s="109" t="str">
        <f t="shared" si="154"/>
        <v/>
      </c>
      <c r="AP1608" s="109" t="e">
        <f t="shared" si="155"/>
        <v>#VALUE!</v>
      </c>
      <c r="AQ1608" s="397" t="e">
        <f t="shared" si="150"/>
        <v>#VALUE!</v>
      </c>
    </row>
    <row r="1609" spans="38:43">
      <c r="AL1609" s="414" t="str">
        <f t="shared" si="151"/>
        <v/>
      </c>
      <c r="AM1609" s="395" t="str">
        <f t="shared" si="152"/>
        <v/>
      </c>
      <c r="AN1609" s="396">
        <f t="shared" si="153"/>
        <v>0</v>
      </c>
      <c r="AO1609" s="109" t="str">
        <f t="shared" si="154"/>
        <v/>
      </c>
      <c r="AP1609" s="109" t="e">
        <f t="shared" si="155"/>
        <v>#VALUE!</v>
      </c>
      <c r="AQ1609" s="397" t="e">
        <f t="shared" si="150"/>
        <v>#VALUE!</v>
      </c>
    </row>
    <row r="1610" spans="38:43">
      <c r="AL1610" s="414" t="str">
        <f t="shared" si="151"/>
        <v/>
      </c>
      <c r="AM1610" s="395" t="str">
        <f t="shared" si="152"/>
        <v/>
      </c>
      <c r="AN1610" s="396">
        <f t="shared" si="153"/>
        <v>0</v>
      </c>
      <c r="AO1610" s="109" t="str">
        <f t="shared" si="154"/>
        <v/>
      </c>
      <c r="AP1610" s="109" t="e">
        <f t="shared" si="155"/>
        <v>#VALUE!</v>
      </c>
      <c r="AQ1610" s="397" t="e">
        <f t="shared" si="150"/>
        <v>#VALUE!</v>
      </c>
    </row>
    <row r="1611" spans="38:43">
      <c r="AL1611" s="414" t="str">
        <f t="shared" si="151"/>
        <v/>
      </c>
      <c r="AM1611" s="395" t="str">
        <f t="shared" si="152"/>
        <v/>
      </c>
      <c r="AN1611" s="396">
        <f t="shared" si="153"/>
        <v>0</v>
      </c>
      <c r="AO1611" s="109" t="str">
        <f t="shared" si="154"/>
        <v/>
      </c>
      <c r="AP1611" s="109" t="e">
        <f t="shared" si="155"/>
        <v>#VALUE!</v>
      </c>
      <c r="AQ1611" s="397" t="e">
        <f t="shared" si="150"/>
        <v>#VALUE!</v>
      </c>
    </row>
    <row r="1612" spans="38:43">
      <c r="AL1612" s="414" t="str">
        <f t="shared" si="151"/>
        <v/>
      </c>
      <c r="AM1612" s="395" t="str">
        <f t="shared" si="152"/>
        <v/>
      </c>
      <c r="AN1612" s="396">
        <f t="shared" si="153"/>
        <v>0</v>
      </c>
      <c r="AO1612" s="109" t="str">
        <f t="shared" si="154"/>
        <v/>
      </c>
      <c r="AP1612" s="109" t="e">
        <f t="shared" si="155"/>
        <v>#VALUE!</v>
      </c>
      <c r="AQ1612" s="397" t="e">
        <f t="shared" si="150"/>
        <v>#VALUE!</v>
      </c>
    </row>
    <row r="1613" spans="38:43">
      <c r="AL1613" s="414" t="str">
        <f t="shared" si="151"/>
        <v/>
      </c>
      <c r="AM1613" s="395" t="str">
        <f t="shared" si="152"/>
        <v/>
      </c>
      <c r="AN1613" s="396">
        <f t="shared" si="153"/>
        <v>0</v>
      </c>
      <c r="AO1613" s="109" t="str">
        <f t="shared" si="154"/>
        <v/>
      </c>
      <c r="AP1613" s="109" t="e">
        <f t="shared" si="155"/>
        <v>#VALUE!</v>
      </c>
      <c r="AQ1613" s="397" t="e">
        <f t="shared" si="150"/>
        <v>#VALUE!</v>
      </c>
    </row>
    <row r="1614" spans="38:43">
      <c r="AL1614" s="414" t="str">
        <f t="shared" si="151"/>
        <v/>
      </c>
      <c r="AM1614" s="395" t="str">
        <f t="shared" si="152"/>
        <v/>
      </c>
      <c r="AN1614" s="396">
        <f t="shared" si="153"/>
        <v>0</v>
      </c>
      <c r="AO1614" s="109" t="str">
        <f t="shared" si="154"/>
        <v/>
      </c>
      <c r="AP1614" s="109" t="e">
        <f t="shared" si="155"/>
        <v>#VALUE!</v>
      </c>
      <c r="AQ1614" s="397" t="e">
        <f t="shared" si="150"/>
        <v>#VALUE!</v>
      </c>
    </row>
    <row r="1615" spans="38:43">
      <c r="AL1615" s="414" t="str">
        <f t="shared" si="151"/>
        <v/>
      </c>
      <c r="AM1615" s="395" t="str">
        <f t="shared" si="152"/>
        <v/>
      </c>
      <c r="AN1615" s="396">
        <f t="shared" si="153"/>
        <v>0</v>
      </c>
      <c r="AO1615" s="109" t="str">
        <f t="shared" si="154"/>
        <v/>
      </c>
      <c r="AP1615" s="109" t="e">
        <f t="shared" si="155"/>
        <v>#VALUE!</v>
      </c>
      <c r="AQ1615" s="397" t="e">
        <f t="shared" si="150"/>
        <v>#VALUE!</v>
      </c>
    </row>
    <row r="1616" spans="38:43">
      <c r="AL1616" s="414" t="str">
        <f t="shared" si="151"/>
        <v/>
      </c>
      <c r="AM1616" s="395" t="str">
        <f t="shared" si="152"/>
        <v/>
      </c>
      <c r="AN1616" s="396">
        <f t="shared" si="153"/>
        <v>0</v>
      </c>
      <c r="AO1616" s="109" t="str">
        <f t="shared" si="154"/>
        <v/>
      </c>
      <c r="AP1616" s="109" t="e">
        <f t="shared" si="155"/>
        <v>#VALUE!</v>
      </c>
      <c r="AQ1616" s="397" t="e">
        <f t="shared" si="150"/>
        <v>#VALUE!</v>
      </c>
    </row>
    <row r="1617" spans="38:43">
      <c r="AL1617" s="414" t="str">
        <f t="shared" si="151"/>
        <v/>
      </c>
      <c r="AM1617" s="395" t="str">
        <f t="shared" si="152"/>
        <v/>
      </c>
      <c r="AN1617" s="396">
        <f t="shared" si="153"/>
        <v>0</v>
      </c>
      <c r="AO1617" s="109" t="str">
        <f t="shared" si="154"/>
        <v/>
      </c>
      <c r="AP1617" s="109" t="e">
        <f t="shared" si="155"/>
        <v>#VALUE!</v>
      </c>
      <c r="AQ1617" s="397" t="e">
        <f t="shared" si="150"/>
        <v>#VALUE!</v>
      </c>
    </row>
    <row r="1618" spans="38:43">
      <c r="AL1618" s="414" t="str">
        <f t="shared" si="151"/>
        <v/>
      </c>
      <c r="AM1618" s="395" t="str">
        <f t="shared" si="152"/>
        <v/>
      </c>
      <c r="AN1618" s="396">
        <f t="shared" si="153"/>
        <v>0</v>
      </c>
      <c r="AO1618" s="109" t="str">
        <f t="shared" si="154"/>
        <v/>
      </c>
      <c r="AP1618" s="109" t="e">
        <f t="shared" si="155"/>
        <v>#VALUE!</v>
      </c>
      <c r="AQ1618" s="397" t="e">
        <f t="shared" si="150"/>
        <v>#VALUE!</v>
      </c>
    </row>
    <row r="1619" spans="38:43">
      <c r="AL1619" s="414" t="str">
        <f t="shared" si="151"/>
        <v/>
      </c>
      <c r="AM1619" s="395" t="str">
        <f t="shared" si="152"/>
        <v/>
      </c>
      <c r="AN1619" s="396">
        <f t="shared" si="153"/>
        <v>0</v>
      </c>
      <c r="AO1619" s="109" t="str">
        <f t="shared" si="154"/>
        <v/>
      </c>
      <c r="AP1619" s="109" t="e">
        <f t="shared" si="155"/>
        <v>#VALUE!</v>
      </c>
      <c r="AQ1619" s="397" t="e">
        <f t="shared" si="150"/>
        <v>#VALUE!</v>
      </c>
    </row>
    <row r="1620" spans="38:43">
      <c r="AL1620" s="414" t="str">
        <f t="shared" si="151"/>
        <v/>
      </c>
      <c r="AM1620" s="395" t="str">
        <f t="shared" si="152"/>
        <v/>
      </c>
      <c r="AN1620" s="396">
        <f t="shared" si="153"/>
        <v>0</v>
      </c>
      <c r="AO1620" s="109" t="str">
        <f t="shared" si="154"/>
        <v/>
      </c>
      <c r="AP1620" s="109" t="e">
        <f t="shared" si="155"/>
        <v>#VALUE!</v>
      </c>
      <c r="AQ1620" s="397" t="e">
        <f t="shared" si="150"/>
        <v>#VALUE!</v>
      </c>
    </row>
    <row r="1621" spans="38:43">
      <c r="AL1621" s="414" t="str">
        <f t="shared" si="151"/>
        <v/>
      </c>
      <c r="AM1621" s="395" t="str">
        <f t="shared" si="152"/>
        <v/>
      </c>
      <c r="AN1621" s="396">
        <f t="shared" si="153"/>
        <v>0</v>
      </c>
      <c r="AO1621" s="109" t="str">
        <f t="shared" si="154"/>
        <v/>
      </c>
      <c r="AP1621" s="109" t="e">
        <f t="shared" si="155"/>
        <v>#VALUE!</v>
      </c>
      <c r="AQ1621" s="397" t="e">
        <f t="shared" si="150"/>
        <v>#VALUE!</v>
      </c>
    </row>
    <row r="1622" spans="38:43">
      <c r="AL1622" s="414" t="str">
        <f t="shared" si="151"/>
        <v/>
      </c>
      <c r="AM1622" s="395" t="str">
        <f t="shared" si="152"/>
        <v/>
      </c>
      <c r="AN1622" s="396">
        <f t="shared" si="153"/>
        <v>0</v>
      </c>
      <c r="AO1622" s="109" t="str">
        <f t="shared" si="154"/>
        <v/>
      </c>
      <c r="AP1622" s="109" t="e">
        <f t="shared" si="155"/>
        <v>#VALUE!</v>
      </c>
      <c r="AQ1622" s="397" t="e">
        <f t="shared" si="150"/>
        <v>#VALUE!</v>
      </c>
    </row>
    <row r="1623" spans="38:43">
      <c r="AL1623" s="414" t="str">
        <f t="shared" si="151"/>
        <v/>
      </c>
      <c r="AM1623" s="395" t="str">
        <f t="shared" si="152"/>
        <v/>
      </c>
      <c r="AN1623" s="396">
        <f t="shared" si="153"/>
        <v>0</v>
      </c>
      <c r="AO1623" s="109" t="str">
        <f t="shared" si="154"/>
        <v/>
      </c>
      <c r="AP1623" s="109" t="e">
        <f t="shared" si="155"/>
        <v>#VALUE!</v>
      </c>
      <c r="AQ1623" s="397" t="e">
        <f t="shared" si="150"/>
        <v>#VALUE!</v>
      </c>
    </row>
    <row r="1624" spans="38:43">
      <c r="AL1624" s="414" t="str">
        <f t="shared" si="151"/>
        <v/>
      </c>
      <c r="AM1624" s="395" t="str">
        <f t="shared" si="152"/>
        <v/>
      </c>
      <c r="AN1624" s="396">
        <f t="shared" si="153"/>
        <v>0</v>
      </c>
      <c r="AO1624" s="109" t="str">
        <f t="shared" si="154"/>
        <v/>
      </c>
      <c r="AP1624" s="109" t="e">
        <f t="shared" si="155"/>
        <v>#VALUE!</v>
      </c>
      <c r="AQ1624" s="397" t="e">
        <f t="shared" si="150"/>
        <v>#VALUE!</v>
      </c>
    </row>
    <row r="1625" spans="38:43">
      <c r="AL1625" s="414" t="str">
        <f t="shared" si="151"/>
        <v/>
      </c>
      <c r="AM1625" s="395" t="str">
        <f t="shared" si="152"/>
        <v/>
      </c>
      <c r="AN1625" s="396">
        <f t="shared" si="153"/>
        <v>0</v>
      </c>
      <c r="AO1625" s="109" t="str">
        <f t="shared" si="154"/>
        <v/>
      </c>
      <c r="AP1625" s="109" t="e">
        <f t="shared" si="155"/>
        <v>#VALUE!</v>
      </c>
      <c r="AQ1625" s="397" t="e">
        <f t="shared" si="150"/>
        <v>#VALUE!</v>
      </c>
    </row>
    <row r="1626" spans="38:43">
      <c r="AL1626" s="414" t="str">
        <f t="shared" si="151"/>
        <v/>
      </c>
      <c r="AM1626" s="395" t="str">
        <f t="shared" si="152"/>
        <v/>
      </c>
      <c r="AN1626" s="396">
        <f t="shared" si="153"/>
        <v>0</v>
      </c>
      <c r="AO1626" s="109" t="str">
        <f t="shared" si="154"/>
        <v/>
      </c>
      <c r="AP1626" s="109" t="e">
        <f t="shared" si="155"/>
        <v>#VALUE!</v>
      </c>
      <c r="AQ1626" s="397" t="e">
        <f t="shared" si="150"/>
        <v>#VALUE!</v>
      </c>
    </row>
    <row r="1627" spans="38:43">
      <c r="AL1627" s="414" t="str">
        <f t="shared" si="151"/>
        <v/>
      </c>
      <c r="AM1627" s="395" t="str">
        <f t="shared" si="152"/>
        <v/>
      </c>
      <c r="AN1627" s="396">
        <f t="shared" si="153"/>
        <v>0</v>
      </c>
      <c r="AO1627" s="109" t="str">
        <f t="shared" si="154"/>
        <v/>
      </c>
      <c r="AP1627" s="109" t="e">
        <f t="shared" si="155"/>
        <v>#VALUE!</v>
      </c>
      <c r="AQ1627" s="397" t="e">
        <f t="shared" si="150"/>
        <v>#VALUE!</v>
      </c>
    </row>
    <row r="1628" spans="38:43">
      <c r="AL1628" s="414" t="str">
        <f t="shared" si="151"/>
        <v/>
      </c>
      <c r="AM1628" s="395" t="str">
        <f t="shared" si="152"/>
        <v/>
      </c>
      <c r="AN1628" s="396">
        <f t="shared" si="153"/>
        <v>0</v>
      </c>
      <c r="AO1628" s="109" t="str">
        <f t="shared" si="154"/>
        <v/>
      </c>
      <c r="AP1628" s="109" t="e">
        <f t="shared" si="155"/>
        <v>#VALUE!</v>
      </c>
      <c r="AQ1628" s="397" t="e">
        <f t="shared" si="150"/>
        <v>#VALUE!</v>
      </c>
    </row>
    <row r="1629" spans="38:43">
      <c r="AL1629" s="414" t="str">
        <f t="shared" si="151"/>
        <v/>
      </c>
      <c r="AM1629" s="395" t="str">
        <f t="shared" si="152"/>
        <v/>
      </c>
      <c r="AN1629" s="396">
        <f t="shared" si="153"/>
        <v>0</v>
      </c>
      <c r="AO1629" s="109" t="str">
        <f t="shared" si="154"/>
        <v/>
      </c>
      <c r="AP1629" s="109" t="e">
        <f t="shared" si="155"/>
        <v>#VALUE!</v>
      </c>
      <c r="AQ1629" s="397" t="e">
        <f t="shared" ref="AQ1629:AQ1692" si="156">AN1629*AP1629</f>
        <v>#VALUE!</v>
      </c>
    </row>
    <row r="1630" spans="38:43">
      <c r="AL1630" s="414" t="str">
        <f t="shared" si="151"/>
        <v/>
      </c>
      <c r="AM1630" s="395" t="str">
        <f t="shared" si="152"/>
        <v/>
      </c>
      <c r="AN1630" s="396">
        <f t="shared" si="153"/>
        <v>0</v>
      </c>
      <c r="AO1630" s="109" t="str">
        <f t="shared" si="154"/>
        <v/>
      </c>
      <c r="AP1630" s="109" t="e">
        <f t="shared" si="155"/>
        <v>#VALUE!</v>
      </c>
      <c r="AQ1630" s="397" t="e">
        <f t="shared" si="156"/>
        <v>#VALUE!</v>
      </c>
    </row>
    <row r="1631" spans="38:43">
      <c r="AL1631" s="414" t="str">
        <f t="shared" si="151"/>
        <v/>
      </c>
      <c r="AM1631" s="395" t="str">
        <f t="shared" si="152"/>
        <v/>
      </c>
      <c r="AN1631" s="396">
        <f t="shared" si="153"/>
        <v>0</v>
      </c>
      <c r="AO1631" s="109" t="str">
        <f t="shared" si="154"/>
        <v/>
      </c>
      <c r="AP1631" s="109" t="e">
        <f t="shared" si="155"/>
        <v>#VALUE!</v>
      </c>
      <c r="AQ1631" s="397" t="e">
        <f t="shared" si="156"/>
        <v>#VALUE!</v>
      </c>
    </row>
    <row r="1632" spans="38:43">
      <c r="AL1632" s="414" t="str">
        <f t="shared" si="151"/>
        <v/>
      </c>
      <c r="AM1632" s="395" t="str">
        <f t="shared" si="152"/>
        <v/>
      </c>
      <c r="AN1632" s="396">
        <f t="shared" si="153"/>
        <v>0</v>
      </c>
      <c r="AO1632" s="109" t="str">
        <f t="shared" si="154"/>
        <v/>
      </c>
      <c r="AP1632" s="109" t="e">
        <f t="shared" si="155"/>
        <v>#VALUE!</v>
      </c>
      <c r="AQ1632" s="397" t="e">
        <f t="shared" si="156"/>
        <v>#VALUE!</v>
      </c>
    </row>
    <row r="1633" spans="38:43">
      <c r="AL1633" s="414" t="str">
        <f t="shared" si="151"/>
        <v/>
      </c>
      <c r="AM1633" s="395" t="str">
        <f t="shared" si="152"/>
        <v/>
      </c>
      <c r="AN1633" s="396">
        <f t="shared" si="153"/>
        <v>0</v>
      </c>
      <c r="AO1633" s="109" t="str">
        <f t="shared" si="154"/>
        <v/>
      </c>
      <c r="AP1633" s="109" t="e">
        <f t="shared" si="155"/>
        <v>#VALUE!</v>
      </c>
      <c r="AQ1633" s="397" t="e">
        <f t="shared" si="156"/>
        <v>#VALUE!</v>
      </c>
    </row>
    <row r="1634" spans="38:43">
      <c r="AL1634" s="414" t="str">
        <f t="shared" si="151"/>
        <v/>
      </c>
      <c r="AM1634" s="395" t="str">
        <f t="shared" si="152"/>
        <v/>
      </c>
      <c r="AN1634" s="396">
        <f t="shared" si="153"/>
        <v>0</v>
      </c>
      <c r="AO1634" s="109" t="str">
        <f t="shared" si="154"/>
        <v/>
      </c>
      <c r="AP1634" s="109" t="e">
        <f t="shared" si="155"/>
        <v>#VALUE!</v>
      </c>
      <c r="AQ1634" s="397" t="e">
        <f t="shared" si="156"/>
        <v>#VALUE!</v>
      </c>
    </row>
    <row r="1635" spans="38:43">
      <c r="AL1635" s="414" t="str">
        <f t="shared" si="151"/>
        <v/>
      </c>
      <c r="AM1635" s="395" t="str">
        <f t="shared" si="152"/>
        <v/>
      </c>
      <c r="AN1635" s="396">
        <f t="shared" si="153"/>
        <v>0</v>
      </c>
      <c r="AO1635" s="109" t="str">
        <f t="shared" si="154"/>
        <v/>
      </c>
      <c r="AP1635" s="109" t="e">
        <f t="shared" si="155"/>
        <v>#VALUE!</v>
      </c>
      <c r="AQ1635" s="397" t="e">
        <f t="shared" si="156"/>
        <v>#VALUE!</v>
      </c>
    </row>
    <row r="1636" spans="38:43">
      <c r="AL1636" s="414" t="str">
        <f t="shared" si="151"/>
        <v/>
      </c>
      <c r="AM1636" s="395" t="str">
        <f t="shared" si="152"/>
        <v/>
      </c>
      <c r="AN1636" s="396">
        <f t="shared" si="153"/>
        <v>0</v>
      </c>
      <c r="AO1636" s="109" t="str">
        <f t="shared" si="154"/>
        <v/>
      </c>
      <c r="AP1636" s="109" t="e">
        <f t="shared" si="155"/>
        <v>#VALUE!</v>
      </c>
      <c r="AQ1636" s="397" t="e">
        <f t="shared" si="156"/>
        <v>#VALUE!</v>
      </c>
    </row>
    <row r="1637" spans="38:43">
      <c r="AL1637" s="414" t="str">
        <f t="shared" si="151"/>
        <v/>
      </c>
      <c r="AM1637" s="395" t="str">
        <f t="shared" si="152"/>
        <v/>
      </c>
      <c r="AN1637" s="396">
        <f t="shared" si="153"/>
        <v>0</v>
      </c>
      <c r="AO1637" s="109" t="str">
        <f t="shared" si="154"/>
        <v/>
      </c>
      <c r="AP1637" s="109" t="e">
        <f t="shared" si="155"/>
        <v>#VALUE!</v>
      </c>
      <c r="AQ1637" s="397" t="e">
        <f t="shared" si="156"/>
        <v>#VALUE!</v>
      </c>
    </row>
    <row r="1638" spans="38:43">
      <c r="AL1638" s="414" t="str">
        <f t="shared" si="151"/>
        <v/>
      </c>
      <c r="AM1638" s="395" t="str">
        <f t="shared" si="152"/>
        <v/>
      </c>
      <c r="AN1638" s="396">
        <f t="shared" si="153"/>
        <v>0</v>
      </c>
      <c r="AO1638" s="109" t="str">
        <f t="shared" si="154"/>
        <v/>
      </c>
      <c r="AP1638" s="109" t="e">
        <f t="shared" si="155"/>
        <v>#VALUE!</v>
      </c>
      <c r="AQ1638" s="397" t="e">
        <f t="shared" si="156"/>
        <v>#VALUE!</v>
      </c>
    </row>
    <row r="1639" spans="38:43">
      <c r="AL1639" s="414" t="str">
        <f t="shared" si="151"/>
        <v/>
      </c>
      <c r="AM1639" s="395" t="str">
        <f t="shared" si="152"/>
        <v/>
      </c>
      <c r="AN1639" s="396">
        <f t="shared" si="153"/>
        <v>0</v>
      </c>
      <c r="AO1639" s="109" t="str">
        <f t="shared" si="154"/>
        <v/>
      </c>
      <c r="AP1639" s="109" t="e">
        <f t="shared" si="155"/>
        <v>#VALUE!</v>
      </c>
      <c r="AQ1639" s="397" t="e">
        <f t="shared" si="156"/>
        <v>#VALUE!</v>
      </c>
    </row>
    <row r="1640" spans="38:43">
      <c r="AL1640" s="414" t="str">
        <f t="shared" si="151"/>
        <v/>
      </c>
      <c r="AM1640" s="395" t="str">
        <f t="shared" si="152"/>
        <v/>
      </c>
      <c r="AN1640" s="396">
        <f t="shared" si="153"/>
        <v>0</v>
      </c>
      <c r="AO1640" s="109" t="str">
        <f t="shared" si="154"/>
        <v/>
      </c>
      <c r="AP1640" s="109" t="e">
        <f t="shared" si="155"/>
        <v>#VALUE!</v>
      </c>
      <c r="AQ1640" s="397" t="e">
        <f t="shared" si="156"/>
        <v>#VALUE!</v>
      </c>
    </row>
    <row r="1641" spans="38:43">
      <c r="AL1641" s="414" t="str">
        <f t="shared" si="151"/>
        <v/>
      </c>
      <c r="AM1641" s="395" t="str">
        <f t="shared" si="152"/>
        <v/>
      </c>
      <c r="AN1641" s="396">
        <f t="shared" si="153"/>
        <v>0</v>
      </c>
      <c r="AO1641" s="109" t="str">
        <f t="shared" si="154"/>
        <v/>
      </c>
      <c r="AP1641" s="109" t="e">
        <f t="shared" si="155"/>
        <v>#VALUE!</v>
      </c>
      <c r="AQ1641" s="397" t="e">
        <f t="shared" si="156"/>
        <v>#VALUE!</v>
      </c>
    </row>
    <row r="1642" spans="38:43">
      <c r="AL1642" s="414" t="str">
        <f t="shared" si="151"/>
        <v/>
      </c>
      <c r="AM1642" s="395" t="str">
        <f t="shared" si="152"/>
        <v/>
      </c>
      <c r="AN1642" s="396">
        <f t="shared" si="153"/>
        <v>0</v>
      </c>
      <c r="AO1642" s="109" t="str">
        <f t="shared" si="154"/>
        <v/>
      </c>
      <c r="AP1642" s="109" t="e">
        <f t="shared" si="155"/>
        <v>#VALUE!</v>
      </c>
      <c r="AQ1642" s="397" t="e">
        <f t="shared" si="156"/>
        <v>#VALUE!</v>
      </c>
    </row>
    <row r="1643" spans="38:43">
      <c r="AL1643" s="414" t="str">
        <f t="shared" si="151"/>
        <v/>
      </c>
      <c r="AM1643" s="395" t="str">
        <f t="shared" si="152"/>
        <v/>
      </c>
      <c r="AN1643" s="396">
        <f t="shared" si="153"/>
        <v>0</v>
      </c>
      <c r="AO1643" s="109" t="str">
        <f t="shared" si="154"/>
        <v/>
      </c>
      <c r="AP1643" s="109" t="e">
        <f t="shared" si="155"/>
        <v>#VALUE!</v>
      </c>
      <c r="AQ1643" s="397" t="e">
        <f t="shared" si="156"/>
        <v>#VALUE!</v>
      </c>
    </row>
    <row r="1644" spans="38:43">
      <c r="AL1644" s="414" t="str">
        <f t="shared" si="151"/>
        <v/>
      </c>
      <c r="AM1644" s="395" t="str">
        <f t="shared" si="152"/>
        <v/>
      </c>
      <c r="AN1644" s="396">
        <f t="shared" si="153"/>
        <v>0</v>
      </c>
      <c r="AO1644" s="109" t="str">
        <f t="shared" si="154"/>
        <v/>
      </c>
      <c r="AP1644" s="109" t="e">
        <f t="shared" si="155"/>
        <v>#VALUE!</v>
      </c>
      <c r="AQ1644" s="397" t="e">
        <f t="shared" si="156"/>
        <v>#VALUE!</v>
      </c>
    </row>
    <row r="1645" spans="38:43">
      <c r="AL1645" s="414" t="str">
        <f t="shared" si="151"/>
        <v/>
      </c>
      <c r="AM1645" s="395" t="str">
        <f t="shared" si="152"/>
        <v/>
      </c>
      <c r="AN1645" s="396">
        <f t="shared" si="153"/>
        <v>0</v>
      </c>
      <c r="AO1645" s="109" t="str">
        <f t="shared" si="154"/>
        <v/>
      </c>
      <c r="AP1645" s="109" t="e">
        <f t="shared" si="155"/>
        <v>#VALUE!</v>
      </c>
      <c r="AQ1645" s="397" t="e">
        <f t="shared" si="156"/>
        <v>#VALUE!</v>
      </c>
    </row>
    <row r="1646" spans="38:43">
      <c r="AL1646" s="414" t="str">
        <f t="shared" si="151"/>
        <v/>
      </c>
      <c r="AM1646" s="395" t="str">
        <f t="shared" si="152"/>
        <v/>
      </c>
      <c r="AN1646" s="396">
        <f t="shared" si="153"/>
        <v>0</v>
      </c>
      <c r="AO1646" s="109" t="str">
        <f t="shared" si="154"/>
        <v/>
      </c>
      <c r="AP1646" s="109" t="e">
        <f t="shared" si="155"/>
        <v>#VALUE!</v>
      </c>
      <c r="AQ1646" s="397" t="e">
        <f t="shared" si="156"/>
        <v>#VALUE!</v>
      </c>
    </row>
    <row r="1647" spans="38:43">
      <c r="AL1647" s="414" t="str">
        <f t="shared" si="151"/>
        <v/>
      </c>
      <c r="AM1647" s="395" t="str">
        <f t="shared" si="152"/>
        <v/>
      </c>
      <c r="AN1647" s="396">
        <f t="shared" si="153"/>
        <v>0</v>
      </c>
      <c r="AO1647" s="109" t="str">
        <f t="shared" si="154"/>
        <v/>
      </c>
      <c r="AP1647" s="109" t="e">
        <f t="shared" si="155"/>
        <v>#VALUE!</v>
      </c>
      <c r="AQ1647" s="397" t="e">
        <f t="shared" si="156"/>
        <v>#VALUE!</v>
      </c>
    </row>
    <row r="1648" spans="38:43">
      <c r="AL1648" s="414" t="str">
        <f t="shared" si="151"/>
        <v/>
      </c>
      <c r="AM1648" s="395" t="str">
        <f t="shared" si="152"/>
        <v/>
      </c>
      <c r="AN1648" s="396">
        <f t="shared" si="153"/>
        <v>0</v>
      </c>
      <c r="AO1648" s="109" t="str">
        <f t="shared" si="154"/>
        <v/>
      </c>
      <c r="AP1648" s="109" t="e">
        <f t="shared" si="155"/>
        <v>#VALUE!</v>
      </c>
      <c r="AQ1648" s="397" t="e">
        <f t="shared" si="156"/>
        <v>#VALUE!</v>
      </c>
    </row>
    <row r="1649" spans="38:43">
      <c r="AL1649" s="414" t="str">
        <f t="shared" si="151"/>
        <v/>
      </c>
      <c r="AM1649" s="395" t="str">
        <f t="shared" si="152"/>
        <v/>
      </c>
      <c r="AN1649" s="396">
        <f t="shared" si="153"/>
        <v>0</v>
      </c>
      <c r="AO1649" s="109" t="str">
        <f t="shared" si="154"/>
        <v/>
      </c>
      <c r="AP1649" s="109" t="e">
        <f t="shared" si="155"/>
        <v>#VALUE!</v>
      </c>
      <c r="AQ1649" s="397" t="e">
        <f t="shared" si="156"/>
        <v>#VALUE!</v>
      </c>
    </row>
    <row r="1650" spans="38:43">
      <c r="AL1650" s="414" t="str">
        <f t="shared" si="151"/>
        <v/>
      </c>
      <c r="AM1650" s="395" t="str">
        <f t="shared" si="152"/>
        <v/>
      </c>
      <c r="AN1650" s="396">
        <f t="shared" si="153"/>
        <v>0</v>
      </c>
      <c r="AO1650" s="109" t="str">
        <f t="shared" si="154"/>
        <v/>
      </c>
      <c r="AP1650" s="109" t="e">
        <f t="shared" si="155"/>
        <v>#VALUE!</v>
      </c>
      <c r="AQ1650" s="397" t="e">
        <f t="shared" si="156"/>
        <v>#VALUE!</v>
      </c>
    </row>
    <row r="1651" spans="38:43">
      <c r="AL1651" s="414" t="str">
        <f t="shared" si="151"/>
        <v/>
      </c>
      <c r="AM1651" s="395" t="str">
        <f t="shared" si="152"/>
        <v/>
      </c>
      <c r="AN1651" s="396">
        <f t="shared" si="153"/>
        <v>0</v>
      </c>
      <c r="AO1651" s="109" t="str">
        <f t="shared" si="154"/>
        <v/>
      </c>
      <c r="AP1651" s="109" t="e">
        <f t="shared" si="155"/>
        <v>#VALUE!</v>
      </c>
      <c r="AQ1651" s="397" t="e">
        <f t="shared" si="156"/>
        <v>#VALUE!</v>
      </c>
    </row>
    <row r="1652" spans="38:43">
      <c r="AL1652" s="414" t="str">
        <f t="shared" si="151"/>
        <v/>
      </c>
      <c r="AM1652" s="395" t="str">
        <f t="shared" si="152"/>
        <v/>
      </c>
      <c r="AN1652" s="396">
        <f t="shared" si="153"/>
        <v>0</v>
      </c>
      <c r="AO1652" s="109" t="str">
        <f t="shared" si="154"/>
        <v/>
      </c>
      <c r="AP1652" s="109" t="e">
        <f t="shared" si="155"/>
        <v>#VALUE!</v>
      </c>
      <c r="AQ1652" s="397" t="e">
        <f t="shared" si="156"/>
        <v>#VALUE!</v>
      </c>
    </row>
    <row r="1653" spans="38:43">
      <c r="AL1653" s="414" t="str">
        <f t="shared" si="151"/>
        <v/>
      </c>
      <c r="AM1653" s="395" t="str">
        <f t="shared" si="152"/>
        <v/>
      </c>
      <c r="AN1653" s="396">
        <f t="shared" si="153"/>
        <v>0</v>
      </c>
      <c r="AO1653" s="109" t="str">
        <f t="shared" si="154"/>
        <v/>
      </c>
      <c r="AP1653" s="109" t="e">
        <f t="shared" si="155"/>
        <v>#VALUE!</v>
      </c>
      <c r="AQ1653" s="397" t="e">
        <f t="shared" si="156"/>
        <v>#VALUE!</v>
      </c>
    </row>
    <row r="1654" spans="38:43">
      <c r="AL1654" s="414" t="str">
        <f t="shared" si="151"/>
        <v/>
      </c>
      <c r="AM1654" s="395" t="str">
        <f t="shared" si="152"/>
        <v/>
      </c>
      <c r="AN1654" s="396">
        <f t="shared" si="153"/>
        <v>0</v>
      </c>
      <c r="AO1654" s="109" t="str">
        <f t="shared" si="154"/>
        <v/>
      </c>
      <c r="AP1654" s="109" t="e">
        <f t="shared" si="155"/>
        <v>#VALUE!</v>
      </c>
      <c r="AQ1654" s="397" t="e">
        <f t="shared" si="156"/>
        <v>#VALUE!</v>
      </c>
    </row>
    <row r="1655" spans="38:43">
      <c r="AL1655" s="414" t="str">
        <f t="shared" si="151"/>
        <v/>
      </c>
      <c r="AM1655" s="395" t="str">
        <f t="shared" si="152"/>
        <v/>
      </c>
      <c r="AN1655" s="396">
        <f t="shared" si="153"/>
        <v>0</v>
      </c>
      <c r="AO1655" s="109" t="str">
        <f t="shared" si="154"/>
        <v/>
      </c>
      <c r="AP1655" s="109" t="e">
        <f t="shared" si="155"/>
        <v>#VALUE!</v>
      </c>
      <c r="AQ1655" s="397" t="e">
        <f t="shared" si="156"/>
        <v>#VALUE!</v>
      </c>
    </row>
    <row r="1656" spans="38:43">
      <c r="AL1656" s="414" t="str">
        <f t="shared" si="151"/>
        <v/>
      </c>
      <c r="AM1656" s="395" t="str">
        <f t="shared" si="152"/>
        <v/>
      </c>
      <c r="AN1656" s="396">
        <f t="shared" si="153"/>
        <v>0</v>
      </c>
      <c r="AO1656" s="109" t="str">
        <f t="shared" si="154"/>
        <v/>
      </c>
      <c r="AP1656" s="109" t="e">
        <f t="shared" si="155"/>
        <v>#VALUE!</v>
      </c>
      <c r="AQ1656" s="397" t="e">
        <f t="shared" si="156"/>
        <v>#VALUE!</v>
      </c>
    </row>
    <row r="1657" spans="38:43">
      <c r="AL1657" s="414" t="str">
        <f t="shared" si="151"/>
        <v/>
      </c>
      <c r="AM1657" s="395" t="str">
        <f t="shared" si="152"/>
        <v/>
      </c>
      <c r="AN1657" s="396">
        <f t="shared" si="153"/>
        <v>0</v>
      </c>
      <c r="AO1657" s="109" t="str">
        <f t="shared" si="154"/>
        <v/>
      </c>
      <c r="AP1657" s="109" t="e">
        <f t="shared" si="155"/>
        <v>#VALUE!</v>
      </c>
      <c r="AQ1657" s="397" t="e">
        <f t="shared" si="156"/>
        <v>#VALUE!</v>
      </c>
    </row>
    <row r="1658" spans="38:43">
      <c r="AL1658" s="414" t="str">
        <f t="shared" si="151"/>
        <v/>
      </c>
      <c r="AM1658" s="395" t="str">
        <f t="shared" si="152"/>
        <v/>
      </c>
      <c r="AN1658" s="396">
        <f t="shared" si="153"/>
        <v>0</v>
      </c>
      <c r="AO1658" s="109" t="str">
        <f t="shared" si="154"/>
        <v/>
      </c>
      <c r="AP1658" s="109" t="e">
        <f t="shared" si="155"/>
        <v>#VALUE!</v>
      </c>
      <c r="AQ1658" s="397" t="e">
        <f t="shared" si="156"/>
        <v>#VALUE!</v>
      </c>
    </row>
    <row r="1659" spans="38:43">
      <c r="AL1659" s="414" t="str">
        <f t="shared" si="151"/>
        <v/>
      </c>
      <c r="AM1659" s="395" t="str">
        <f t="shared" si="152"/>
        <v/>
      </c>
      <c r="AN1659" s="396">
        <f t="shared" si="153"/>
        <v>0</v>
      </c>
      <c r="AO1659" s="109" t="str">
        <f t="shared" si="154"/>
        <v/>
      </c>
      <c r="AP1659" s="109" t="e">
        <f t="shared" si="155"/>
        <v>#VALUE!</v>
      </c>
      <c r="AQ1659" s="397" t="e">
        <f t="shared" si="156"/>
        <v>#VALUE!</v>
      </c>
    </row>
    <row r="1660" spans="38:43">
      <c r="AL1660" s="414" t="str">
        <f t="shared" si="151"/>
        <v/>
      </c>
      <c r="AM1660" s="395" t="str">
        <f t="shared" si="152"/>
        <v/>
      </c>
      <c r="AN1660" s="396">
        <f t="shared" si="153"/>
        <v>0</v>
      </c>
      <c r="AO1660" s="109" t="str">
        <f t="shared" si="154"/>
        <v/>
      </c>
      <c r="AP1660" s="109" t="e">
        <f t="shared" si="155"/>
        <v>#VALUE!</v>
      </c>
      <c r="AQ1660" s="397" t="e">
        <f t="shared" si="156"/>
        <v>#VALUE!</v>
      </c>
    </row>
    <row r="1661" spans="38:43">
      <c r="AL1661" s="414" t="str">
        <f t="shared" si="151"/>
        <v/>
      </c>
      <c r="AM1661" s="395" t="str">
        <f t="shared" si="152"/>
        <v/>
      </c>
      <c r="AN1661" s="396">
        <f t="shared" si="153"/>
        <v>0</v>
      </c>
      <c r="AO1661" s="109" t="str">
        <f t="shared" si="154"/>
        <v/>
      </c>
      <c r="AP1661" s="109" t="e">
        <f t="shared" si="155"/>
        <v>#VALUE!</v>
      </c>
      <c r="AQ1661" s="397" t="e">
        <f t="shared" si="156"/>
        <v>#VALUE!</v>
      </c>
    </row>
    <row r="1662" spans="38:43">
      <c r="AL1662" s="414" t="str">
        <f t="shared" si="151"/>
        <v/>
      </c>
      <c r="AM1662" s="395" t="str">
        <f t="shared" si="152"/>
        <v/>
      </c>
      <c r="AN1662" s="396">
        <f t="shared" si="153"/>
        <v>0</v>
      </c>
      <c r="AO1662" s="109" t="str">
        <f t="shared" si="154"/>
        <v/>
      </c>
      <c r="AP1662" s="109" t="e">
        <f t="shared" si="155"/>
        <v>#VALUE!</v>
      </c>
      <c r="AQ1662" s="397" t="e">
        <f t="shared" si="156"/>
        <v>#VALUE!</v>
      </c>
    </row>
    <row r="1663" spans="38:43">
      <c r="AL1663" s="414" t="str">
        <f t="shared" si="151"/>
        <v/>
      </c>
      <c r="AM1663" s="395" t="str">
        <f t="shared" si="152"/>
        <v/>
      </c>
      <c r="AN1663" s="396">
        <f t="shared" si="153"/>
        <v>0</v>
      </c>
      <c r="AO1663" s="109" t="str">
        <f t="shared" si="154"/>
        <v/>
      </c>
      <c r="AP1663" s="109" t="e">
        <f t="shared" si="155"/>
        <v>#VALUE!</v>
      </c>
      <c r="AQ1663" s="397" t="e">
        <f t="shared" si="156"/>
        <v>#VALUE!</v>
      </c>
    </row>
    <row r="1664" spans="38:43">
      <c r="AL1664" s="414" t="str">
        <f t="shared" si="151"/>
        <v/>
      </c>
      <c r="AM1664" s="395" t="str">
        <f t="shared" si="152"/>
        <v/>
      </c>
      <c r="AN1664" s="396">
        <f t="shared" si="153"/>
        <v>0</v>
      </c>
      <c r="AO1664" s="109" t="str">
        <f t="shared" si="154"/>
        <v/>
      </c>
      <c r="AP1664" s="109" t="e">
        <f t="shared" si="155"/>
        <v>#VALUE!</v>
      </c>
      <c r="AQ1664" s="397" t="e">
        <f t="shared" si="156"/>
        <v>#VALUE!</v>
      </c>
    </row>
    <row r="1665" spans="38:43">
      <c r="AL1665" s="414" t="str">
        <f t="shared" si="151"/>
        <v/>
      </c>
      <c r="AM1665" s="395" t="str">
        <f t="shared" si="152"/>
        <v/>
      </c>
      <c r="AN1665" s="396">
        <f t="shared" si="153"/>
        <v>0</v>
      </c>
      <c r="AO1665" s="109" t="str">
        <f t="shared" si="154"/>
        <v/>
      </c>
      <c r="AP1665" s="109" t="e">
        <f t="shared" si="155"/>
        <v>#VALUE!</v>
      </c>
      <c r="AQ1665" s="397" t="e">
        <f t="shared" si="156"/>
        <v>#VALUE!</v>
      </c>
    </row>
    <row r="1666" spans="38:43">
      <c r="AL1666" s="414" t="str">
        <f t="shared" si="151"/>
        <v/>
      </c>
      <c r="AM1666" s="395" t="str">
        <f t="shared" si="152"/>
        <v/>
      </c>
      <c r="AN1666" s="396">
        <f t="shared" si="153"/>
        <v>0</v>
      </c>
      <c r="AO1666" s="109" t="str">
        <f t="shared" si="154"/>
        <v/>
      </c>
      <c r="AP1666" s="109" t="e">
        <f t="shared" si="155"/>
        <v>#VALUE!</v>
      </c>
      <c r="AQ1666" s="397" t="e">
        <f t="shared" si="156"/>
        <v>#VALUE!</v>
      </c>
    </row>
    <row r="1667" spans="38:43">
      <c r="AL1667" s="414" t="str">
        <f t="shared" ref="AL1667:AL1730" si="157">SUBSTITUTE(SUBSTITUTE(H1667,"[워커힐]워커힐 고메 시그니처 양념 본갈비 8팩","워커힐 시그니처 양념 본갈비 300g, 8개"),"[워커힐]워커힐 시그니처 양념 본갈비 4팩","워커힐 시그니처 양념 본갈비 300g, 4개")</f>
        <v/>
      </c>
      <c r="AM1667" s="395" t="str">
        <f t="shared" ref="AM1667:AM1730" si="158">IF(N1667="배송완료", DATE(LEFT(M1667,4), MID(M1667,6,2), MID(M1667,9,2)), "")</f>
        <v/>
      </c>
      <c r="AN1667" s="396">
        <f t="shared" ref="AN1667:AN1730" si="159">IF(OR(N1667="배송완료", Q1667&lt;0), Q1667, 0)</f>
        <v>0</v>
      </c>
      <c r="AO1667" s="109" t="str">
        <f t="shared" ref="AO1667:AO1730" si="160">IF(AL1667="워커힐 시그니처 양념 본갈비 300g, 8개",119000,IF(AL1667="워커힐 시그니처 양념 본갈비 300g, 4개",78000,""))</f>
        <v/>
      </c>
      <c r="AP1667" s="109" t="e">
        <f t="shared" ref="AP1667:AP1730" si="161">AO1667/1.1</f>
        <v>#VALUE!</v>
      </c>
      <c r="AQ1667" s="397" t="e">
        <f t="shared" si="156"/>
        <v>#VALUE!</v>
      </c>
    </row>
    <row r="1668" spans="38:43">
      <c r="AL1668" s="414" t="str">
        <f t="shared" si="157"/>
        <v/>
      </c>
      <c r="AM1668" s="395" t="str">
        <f t="shared" si="158"/>
        <v/>
      </c>
      <c r="AN1668" s="396">
        <f t="shared" si="159"/>
        <v>0</v>
      </c>
      <c r="AO1668" s="109" t="str">
        <f t="shared" si="160"/>
        <v/>
      </c>
      <c r="AP1668" s="109" t="e">
        <f t="shared" si="161"/>
        <v>#VALUE!</v>
      </c>
      <c r="AQ1668" s="397" t="e">
        <f t="shared" si="156"/>
        <v>#VALUE!</v>
      </c>
    </row>
    <row r="1669" spans="38:43">
      <c r="AL1669" s="414" t="str">
        <f t="shared" si="157"/>
        <v/>
      </c>
      <c r="AM1669" s="395" t="str">
        <f t="shared" si="158"/>
        <v/>
      </c>
      <c r="AN1669" s="396">
        <f t="shared" si="159"/>
        <v>0</v>
      </c>
      <c r="AO1669" s="109" t="str">
        <f t="shared" si="160"/>
        <v/>
      </c>
      <c r="AP1669" s="109" t="e">
        <f t="shared" si="161"/>
        <v>#VALUE!</v>
      </c>
      <c r="AQ1669" s="397" t="e">
        <f t="shared" si="156"/>
        <v>#VALUE!</v>
      </c>
    </row>
    <row r="1670" spans="38:43">
      <c r="AL1670" s="414" t="str">
        <f t="shared" si="157"/>
        <v/>
      </c>
      <c r="AM1670" s="395" t="str">
        <f t="shared" si="158"/>
        <v/>
      </c>
      <c r="AN1670" s="396">
        <f t="shared" si="159"/>
        <v>0</v>
      </c>
      <c r="AO1670" s="109" t="str">
        <f t="shared" si="160"/>
        <v/>
      </c>
      <c r="AP1670" s="109" t="e">
        <f t="shared" si="161"/>
        <v>#VALUE!</v>
      </c>
      <c r="AQ1670" s="397" t="e">
        <f t="shared" si="156"/>
        <v>#VALUE!</v>
      </c>
    </row>
    <row r="1671" spans="38:43">
      <c r="AL1671" s="414" t="str">
        <f t="shared" si="157"/>
        <v/>
      </c>
      <c r="AM1671" s="395" t="str">
        <f t="shared" si="158"/>
        <v/>
      </c>
      <c r="AN1671" s="396">
        <f t="shared" si="159"/>
        <v>0</v>
      </c>
      <c r="AO1671" s="109" t="str">
        <f t="shared" si="160"/>
        <v/>
      </c>
      <c r="AP1671" s="109" t="e">
        <f t="shared" si="161"/>
        <v>#VALUE!</v>
      </c>
      <c r="AQ1671" s="397" t="e">
        <f t="shared" si="156"/>
        <v>#VALUE!</v>
      </c>
    </row>
    <row r="1672" spans="38:43">
      <c r="AL1672" s="414" t="str">
        <f t="shared" si="157"/>
        <v/>
      </c>
      <c r="AM1672" s="395" t="str">
        <f t="shared" si="158"/>
        <v/>
      </c>
      <c r="AN1672" s="396">
        <f t="shared" si="159"/>
        <v>0</v>
      </c>
      <c r="AO1672" s="109" t="str">
        <f t="shared" si="160"/>
        <v/>
      </c>
      <c r="AP1672" s="109" t="e">
        <f t="shared" si="161"/>
        <v>#VALUE!</v>
      </c>
      <c r="AQ1672" s="397" t="e">
        <f t="shared" si="156"/>
        <v>#VALUE!</v>
      </c>
    </row>
    <row r="1673" spans="38:43">
      <c r="AL1673" s="414" t="str">
        <f t="shared" si="157"/>
        <v/>
      </c>
      <c r="AM1673" s="395" t="str">
        <f t="shared" si="158"/>
        <v/>
      </c>
      <c r="AN1673" s="396">
        <f t="shared" si="159"/>
        <v>0</v>
      </c>
      <c r="AO1673" s="109" t="str">
        <f t="shared" si="160"/>
        <v/>
      </c>
      <c r="AP1673" s="109" t="e">
        <f t="shared" si="161"/>
        <v>#VALUE!</v>
      </c>
      <c r="AQ1673" s="397" t="e">
        <f t="shared" si="156"/>
        <v>#VALUE!</v>
      </c>
    </row>
    <row r="1674" spans="38:43">
      <c r="AL1674" s="414" t="str">
        <f t="shared" si="157"/>
        <v/>
      </c>
      <c r="AM1674" s="395" t="str">
        <f t="shared" si="158"/>
        <v/>
      </c>
      <c r="AN1674" s="396">
        <f t="shared" si="159"/>
        <v>0</v>
      </c>
      <c r="AO1674" s="109" t="str">
        <f t="shared" si="160"/>
        <v/>
      </c>
      <c r="AP1674" s="109" t="e">
        <f t="shared" si="161"/>
        <v>#VALUE!</v>
      </c>
      <c r="AQ1674" s="397" t="e">
        <f t="shared" si="156"/>
        <v>#VALUE!</v>
      </c>
    </row>
    <row r="1675" spans="38:43">
      <c r="AL1675" s="414" t="str">
        <f t="shared" si="157"/>
        <v/>
      </c>
      <c r="AM1675" s="395" t="str">
        <f t="shared" si="158"/>
        <v/>
      </c>
      <c r="AN1675" s="396">
        <f t="shared" si="159"/>
        <v>0</v>
      </c>
      <c r="AO1675" s="109" t="str">
        <f t="shared" si="160"/>
        <v/>
      </c>
      <c r="AP1675" s="109" t="e">
        <f t="shared" si="161"/>
        <v>#VALUE!</v>
      </c>
      <c r="AQ1675" s="397" t="e">
        <f t="shared" si="156"/>
        <v>#VALUE!</v>
      </c>
    </row>
    <row r="1676" spans="38:43">
      <c r="AL1676" s="414" t="str">
        <f t="shared" si="157"/>
        <v/>
      </c>
      <c r="AM1676" s="395" t="str">
        <f t="shared" si="158"/>
        <v/>
      </c>
      <c r="AN1676" s="396">
        <f t="shared" si="159"/>
        <v>0</v>
      </c>
      <c r="AO1676" s="109" t="str">
        <f t="shared" si="160"/>
        <v/>
      </c>
      <c r="AP1676" s="109" t="e">
        <f t="shared" si="161"/>
        <v>#VALUE!</v>
      </c>
      <c r="AQ1676" s="397" t="e">
        <f t="shared" si="156"/>
        <v>#VALUE!</v>
      </c>
    </row>
    <row r="1677" spans="38:43">
      <c r="AL1677" s="414" t="str">
        <f t="shared" si="157"/>
        <v/>
      </c>
      <c r="AM1677" s="395" t="str">
        <f t="shared" si="158"/>
        <v/>
      </c>
      <c r="AN1677" s="396">
        <f t="shared" si="159"/>
        <v>0</v>
      </c>
      <c r="AO1677" s="109" t="str">
        <f t="shared" si="160"/>
        <v/>
      </c>
      <c r="AP1677" s="109" t="e">
        <f t="shared" si="161"/>
        <v>#VALUE!</v>
      </c>
      <c r="AQ1677" s="397" t="e">
        <f t="shared" si="156"/>
        <v>#VALUE!</v>
      </c>
    </row>
    <row r="1678" spans="38:43">
      <c r="AL1678" s="414" t="str">
        <f t="shared" si="157"/>
        <v/>
      </c>
      <c r="AM1678" s="395" t="str">
        <f t="shared" si="158"/>
        <v/>
      </c>
      <c r="AN1678" s="396">
        <f t="shared" si="159"/>
        <v>0</v>
      </c>
      <c r="AO1678" s="109" t="str">
        <f t="shared" si="160"/>
        <v/>
      </c>
      <c r="AP1678" s="109" t="e">
        <f t="shared" si="161"/>
        <v>#VALUE!</v>
      </c>
      <c r="AQ1678" s="397" t="e">
        <f t="shared" si="156"/>
        <v>#VALUE!</v>
      </c>
    </row>
    <row r="1679" spans="38:43">
      <c r="AL1679" s="414" t="str">
        <f t="shared" si="157"/>
        <v/>
      </c>
      <c r="AM1679" s="395" t="str">
        <f t="shared" si="158"/>
        <v/>
      </c>
      <c r="AN1679" s="396">
        <f t="shared" si="159"/>
        <v>0</v>
      </c>
      <c r="AO1679" s="109" t="str">
        <f t="shared" si="160"/>
        <v/>
      </c>
      <c r="AP1679" s="109" t="e">
        <f t="shared" si="161"/>
        <v>#VALUE!</v>
      </c>
      <c r="AQ1679" s="397" t="e">
        <f t="shared" si="156"/>
        <v>#VALUE!</v>
      </c>
    </row>
    <row r="1680" spans="38:43">
      <c r="AL1680" s="414" t="str">
        <f t="shared" si="157"/>
        <v/>
      </c>
      <c r="AM1680" s="395" t="str">
        <f t="shared" si="158"/>
        <v/>
      </c>
      <c r="AN1680" s="396">
        <f t="shared" si="159"/>
        <v>0</v>
      </c>
      <c r="AO1680" s="109" t="str">
        <f t="shared" si="160"/>
        <v/>
      </c>
      <c r="AP1680" s="109" t="e">
        <f t="shared" si="161"/>
        <v>#VALUE!</v>
      </c>
      <c r="AQ1680" s="397" t="e">
        <f t="shared" si="156"/>
        <v>#VALUE!</v>
      </c>
    </row>
    <row r="1681" spans="38:43">
      <c r="AL1681" s="414" t="str">
        <f t="shared" si="157"/>
        <v/>
      </c>
      <c r="AM1681" s="395" t="str">
        <f t="shared" si="158"/>
        <v/>
      </c>
      <c r="AN1681" s="396">
        <f t="shared" si="159"/>
        <v>0</v>
      </c>
      <c r="AO1681" s="109" t="str">
        <f t="shared" si="160"/>
        <v/>
      </c>
      <c r="AP1681" s="109" t="e">
        <f t="shared" si="161"/>
        <v>#VALUE!</v>
      </c>
      <c r="AQ1681" s="397" t="e">
        <f t="shared" si="156"/>
        <v>#VALUE!</v>
      </c>
    </row>
    <row r="1682" spans="38:43">
      <c r="AL1682" s="414" t="str">
        <f t="shared" si="157"/>
        <v/>
      </c>
      <c r="AM1682" s="395" t="str">
        <f t="shared" si="158"/>
        <v/>
      </c>
      <c r="AN1682" s="396">
        <f t="shared" si="159"/>
        <v>0</v>
      </c>
      <c r="AO1682" s="109" t="str">
        <f t="shared" si="160"/>
        <v/>
      </c>
      <c r="AP1682" s="109" t="e">
        <f t="shared" si="161"/>
        <v>#VALUE!</v>
      </c>
      <c r="AQ1682" s="397" t="e">
        <f t="shared" si="156"/>
        <v>#VALUE!</v>
      </c>
    </row>
    <row r="1683" spans="38:43">
      <c r="AL1683" s="414" t="str">
        <f t="shared" si="157"/>
        <v/>
      </c>
      <c r="AM1683" s="395" t="str">
        <f t="shared" si="158"/>
        <v/>
      </c>
      <c r="AN1683" s="396">
        <f t="shared" si="159"/>
        <v>0</v>
      </c>
      <c r="AO1683" s="109" t="str">
        <f t="shared" si="160"/>
        <v/>
      </c>
      <c r="AP1683" s="109" t="e">
        <f t="shared" si="161"/>
        <v>#VALUE!</v>
      </c>
      <c r="AQ1683" s="397" t="e">
        <f t="shared" si="156"/>
        <v>#VALUE!</v>
      </c>
    </row>
    <row r="1684" spans="38:43">
      <c r="AL1684" s="414" t="str">
        <f t="shared" si="157"/>
        <v/>
      </c>
      <c r="AM1684" s="395" t="str">
        <f t="shared" si="158"/>
        <v/>
      </c>
      <c r="AN1684" s="396">
        <f t="shared" si="159"/>
        <v>0</v>
      </c>
      <c r="AO1684" s="109" t="str">
        <f t="shared" si="160"/>
        <v/>
      </c>
      <c r="AP1684" s="109" t="e">
        <f t="shared" si="161"/>
        <v>#VALUE!</v>
      </c>
      <c r="AQ1684" s="397" t="e">
        <f t="shared" si="156"/>
        <v>#VALUE!</v>
      </c>
    </row>
    <row r="1685" spans="38:43">
      <c r="AL1685" s="414" t="str">
        <f t="shared" si="157"/>
        <v/>
      </c>
      <c r="AM1685" s="395" t="str">
        <f t="shared" si="158"/>
        <v/>
      </c>
      <c r="AN1685" s="396">
        <f t="shared" si="159"/>
        <v>0</v>
      </c>
      <c r="AO1685" s="109" t="str">
        <f t="shared" si="160"/>
        <v/>
      </c>
      <c r="AP1685" s="109" t="e">
        <f t="shared" si="161"/>
        <v>#VALUE!</v>
      </c>
      <c r="AQ1685" s="397" t="e">
        <f t="shared" si="156"/>
        <v>#VALUE!</v>
      </c>
    </row>
    <row r="1686" spans="38:43">
      <c r="AL1686" s="414" t="str">
        <f t="shared" si="157"/>
        <v/>
      </c>
      <c r="AM1686" s="395" t="str">
        <f t="shared" si="158"/>
        <v/>
      </c>
      <c r="AN1686" s="396">
        <f t="shared" si="159"/>
        <v>0</v>
      </c>
      <c r="AO1686" s="109" t="str">
        <f t="shared" si="160"/>
        <v/>
      </c>
      <c r="AP1686" s="109" t="e">
        <f t="shared" si="161"/>
        <v>#VALUE!</v>
      </c>
      <c r="AQ1686" s="397" t="e">
        <f t="shared" si="156"/>
        <v>#VALUE!</v>
      </c>
    </row>
    <row r="1687" spans="38:43">
      <c r="AL1687" s="414" t="str">
        <f t="shared" si="157"/>
        <v/>
      </c>
      <c r="AM1687" s="395" t="str">
        <f t="shared" si="158"/>
        <v/>
      </c>
      <c r="AN1687" s="396">
        <f t="shared" si="159"/>
        <v>0</v>
      </c>
      <c r="AO1687" s="109" t="str">
        <f t="shared" si="160"/>
        <v/>
      </c>
      <c r="AP1687" s="109" t="e">
        <f t="shared" si="161"/>
        <v>#VALUE!</v>
      </c>
      <c r="AQ1687" s="397" t="e">
        <f t="shared" si="156"/>
        <v>#VALUE!</v>
      </c>
    </row>
    <row r="1688" spans="38:43">
      <c r="AL1688" s="414" t="str">
        <f t="shared" si="157"/>
        <v/>
      </c>
      <c r="AM1688" s="395" t="str">
        <f t="shared" si="158"/>
        <v/>
      </c>
      <c r="AN1688" s="396">
        <f t="shared" si="159"/>
        <v>0</v>
      </c>
      <c r="AO1688" s="109" t="str">
        <f t="shared" si="160"/>
        <v/>
      </c>
      <c r="AP1688" s="109" t="e">
        <f t="shared" si="161"/>
        <v>#VALUE!</v>
      </c>
      <c r="AQ1688" s="397" t="e">
        <f t="shared" si="156"/>
        <v>#VALUE!</v>
      </c>
    </row>
    <row r="1689" spans="38:43">
      <c r="AL1689" s="414" t="str">
        <f t="shared" si="157"/>
        <v/>
      </c>
      <c r="AM1689" s="395" t="str">
        <f t="shared" si="158"/>
        <v/>
      </c>
      <c r="AN1689" s="396">
        <f t="shared" si="159"/>
        <v>0</v>
      </c>
      <c r="AO1689" s="109" t="str">
        <f t="shared" si="160"/>
        <v/>
      </c>
      <c r="AP1689" s="109" t="e">
        <f t="shared" si="161"/>
        <v>#VALUE!</v>
      </c>
      <c r="AQ1689" s="397" t="e">
        <f t="shared" si="156"/>
        <v>#VALUE!</v>
      </c>
    </row>
    <row r="1690" spans="38:43">
      <c r="AL1690" s="414" t="str">
        <f t="shared" si="157"/>
        <v/>
      </c>
      <c r="AM1690" s="395" t="str">
        <f t="shared" si="158"/>
        <v/>
      </c>
      <c r="AN1690" s="396">
        <f t="shared" si="159"/>
        <v>0</v>
      </c>
      <c r="AO1690" s="109" t="str">
        <f t="shared" si="160"/>
        <v/>
      </c>
      <c r="AP1690" s="109" t="e">
        <f t="shared" si="161"/>
        <v>#VALUE!</v>
      </c>
      <c r="AQ1690" s="397" t="e">
        <f t="shared" si="156"/>
        <v>#VALUE!</v>
      </c>
    </row>
    <row r="1691" spans="38:43">
      <c r="AL1691" s="414" t="str">
        <f t="shared" si="157"/>
        <v/>
      </c>
      <c r="AM1691" s="395" t="str">
        <f t="shared" si="158"/>
        <v/>
      </c>
      <c r="AN1691" s="396">
        <f t="shared" si="159"/>
        <v>0</v>
      </c>
      <c r="AO1691" s="109" t="str">
        <f t="shared" si="160"/>
        <v/>
      </c>
      <c r="AP1691" s="109" t="e">
        <f t="shared" si="161"/>
        <v>#VALUE!</v>
      </c>
      <c r="AQ1691" s="397" t="e">
        <f t="shared" si="156"/>
        <v>#VALUE!</v>
      </c>
    </row>
    <row r="1692" spans="38:43">
      <c r="AL1692" s="414" t="str">
        <f t="shared" si="157"/>
        <v/>
      </c>
      <c r="AM1692" s="395" t="str">
        <f t="shared" si="158"/>
        <v/>
      </c>
      <c r="AN1692" s="396">
        <f t="shared" si="159"/>
        <v>0</v>
      </c>
      <c r="AO1692" s="109" t="str">
        <f t="shared" si="160"/>
        <v/>
      </c>
      <c r="AP1692" s="109" t="e">
        <f t="shared" si="161"/>
        <v>#VALUE!</v>
      </c>
      <c r="AQ1692" s="397" t="e">
        <f t="shared" si="156"/>
        <v>#VALUE!</v>
      </c>
    </row>
    <row r="1693" spans="38:43">
      <c r="AL1693" s="414" t="str">
        <f t="shared" si="157"/>
        <v/>
      </c>
      <c r="AM1693" s="395" t="str">
        <f t="shared" si="158"/>
        <v/>
      </c>
      <c r="AN1693" s="396">
        <f t="shared" si="159"/>
        <v>0</v>
      </c>
      <c r="AO1693" s="109" t="str">
        <f t="shared" si="160"/>
        <v/>
      </c>
      <c r="AP1693" s="109" t="e">
        <f t="shared" si="161"/>
        <v>#VALUE!</v>
      </c>
      <c r="AQ1693" s="397" t="e">
        <f t="shared" ref="AQ1693:AQ1756" si="162">AN1693*AP1693</f>
        <v>#VALUE!</v>
      </c>
    </row>
    <row r="1694" spans="38:43">
      <c r="AL1694" s="414" t="str">
        <f t="shared" si="157"/>
        <v/>
      </c>
      <c r="AM1694" s="395" t="str">
        <f t="shared" si="158"/>
        <v/>
      </c>
      <c r="AN1694" s="396">
        <f t="shared" si="159"/>
        <v>0</v>
      </c>
      <c r="AO1694" s="109" t="str">
        <f t="shared" si="160"/>
        <v/>
      </c>
      <c r="AP1694" s="109" t="e">
        <f t="shared" si="161"/>
        <v>#VALUE!</v>
      </c>
      <c r="AQ1694" s="397" t="e">
        <f t="shared" si="162"/>
        <v>#VALUE!</v>
      </c>
    </row>
    <row r="1695" spans="38:43">
      <c r="AL1695" s="414" t="str">
        <f t="shared" si="157"/>
        <v/>
      </c>
      <c r="AM1695" s="395" t="str">
        <f t="shared" si="158"/>
        <v/>
      </c>
      <c r="AN1695" s="396">
        <f t="shared" si="159"/>
        <v>0</v>
      </c>
      <c r="AO1695" s="109" t="str">
        <f t="shared" si="160"/>
        <v/>
      </c>
      <c r="AP1695" s="109" t="e">
        <f t="shared" si="161"/>
        <v>#VALUE!</v>
      </c>
      <c r="AQ1695" s="397" t="e">
        <f t="shared" si="162"/>
        <v>#VALUE!</v>
      </c>
    </row>
    <row r="1696" spans="38:43">
      <c r="AL1696" s="414" t="str">
        <f t="shared" si="157"/>
        <v/>
      </c>
      <c r="AM1696" s="395" t="str">
        <f t="shared" si="158"/>
        <v/>
      </c>
      <c r="AN1696" s="396">
        <f t="shared" si="159"/>
        <v>0</v>
      </c>
      <c r="AO1696" s="109" t="str">
        <f t="shared" si="160"/>
        <v/>
      </c>
      <c r="AP1696" s="109" t="e">
        <f t="shared" si="161"/>
        <v>#VALUE!</v>
      </c>
      <c r="AQ1696" s="397" t="e">
        <f t="shared" si="162"/>
        <v>#VALUE!</v>
      </c>
    </row>
    <row r="1697" spans="38:43">
      <c r="AL1697" s="414" t="str">
        <f t="shared" si="157"/>
        <v/>
      </c>
      <c r="AM1697" s="395" t="str">
        <f t="shared" si="158"/>
        <v/>
      </c>
      <c r="AN1697" s="396">
        <f t="shared" si="159"/>
        <v>0</v>
      </c>
      <c r="AO1697" s="109" t="str">
        <f t="shared" si="160"/>
        <v/>
      </c>
      <c r="AP1697" s="109" t="e">
        <f t="shared" si="161"/>
        <v>#VALUE!</v>
      </c>
      <c r="AQ1697" s="397" t="e">
        <f t="shared" si="162"/>
        <v>#VALUE!</v>
      </c>
    </row>
    <row r="1698" spans="38:43">
      <c r="AL1698" s="414" t="str">
        <f t="shared" si="157"/>
        <v/>
      </c>
      <c r="AM1698" s="395" t="str">
        <f t="shared" si="158"/>
        <v/>
      </c>
      <c r="AN1698" s="396">
        <f t="shared" si="159"/>
        <v>0</v>
      </c>
      <c r="AO1698" s="109" t="str">
        <f t="shared" si="160"/>
        <v/>
      </c>
      <c r="AP1698" s="109" t="e">
        <f t="shared" si="161"/>
        <v>#VALUE!</v>
      </c>
      <c r="AQ1698" s="397" t="e">
        <f t="shared" si="162"/>
        <v>#VALUE!</v>
      </c>
    </row>
    <row r="1699" spans="38:43">
      <c r="AL1699" s="414" t="str">
        <f t="shared" si="157"/>
        <v/>
      </c>
      <c r="AM1699" s="395" t="str">
        <f t="shared" si="158"/>
        <v/>
      </c>
      <c r="AN1699" s="396">
        <f t="shared" si="159"/>
        <v>0</v>
      </c>
      <c r="AO1699" s="109" t="str">
        <f t="shared" si="160"/>
        <v/>
      </c>
      <c r="AP1699" s="109" t="e">
        <f t="shared" si="161"/>
        <v>#VALUE!</v>
      </c>
      <c r="AQ1699" s="397" t="e">
        <f t="shared" si="162"/>
        <v>#VALUE!</v>
      </c>
    </row>
    <row r="1700" spans="38:43">
      <c r="AL1700" s="414" t="str">
        <f t="shared" si="157"/>
        <v/>
      </c>
      <c r="AM1700" s="395" t="str">
        <f t="shared" si="158"/>
        <v/>
      </c>
      <c r="AN1700" s="396">
        <f t="shared" si="159"/>
        <v>0</v>
      </c>
      <c r="AO1700" s="109" t="str">
        <f t="shared" si="160"/>
        <v/>
      </c>
      <c r="AP1700" s="109" t="e">
        <f t="shared" si="161"/>
        <v>#VALUE!</v>
      </c>
      <c r="AQ1700" s="397" t="e">
        <f t="shared" si="162"/>
        <v>#VALUE!</v>
      </c>
    </row>
    <row r="1701" spans="38:43">
      <c r="AL1701" s="414" t="str">
        <f t="shared" si="157"/>
        <v/>
      </c>
      <c r="AM1701" s="395" t="str">
        <f t="shared" si="158"/>
        <v/>
      </c>
      <c r="AN1701" s="396">
        <f t="shared" si="159"/>
        <v>0</v>
      </c>
      <c r="AO1701" s="109" t="str">
        <f t="shared" si="160"/>
        <v/>
      </c>
      <c r="AP1701" s="109" t="e">
        <f t="shared" si="161"/>
        <v>#VALUE!</v>
      </c>
      <c r="AQ1701" s="397" t="e">
        <f t="shared" si="162"/>
        <v>#VALUE!</v>
      </c>
    </row>
    <row r="1702" spans="38:43">
      <c r="AL1702" s="414" t="str">
        <f t="shared" si="157"/>
        <v/>
      </c>
      <c r="AM1702" s="395" t="str">
        <f t="shared" si="158"/>
        <v/>
      </c>
      <c r="AN1702" s="396">
        <f t="shared" si="159"/>
        <v>0</v>
      </c>
      <c r="AO1702" s="109" t="str">
        <f t="shared" si="160"/>
        <v/>
      </c>
      <c r="AP1702" s="109" t="e">
        <f t="shared" si="161"/>
        <v>#VALUE!</v>
      </c>
      <c r="AQ1702" s="397" t="e">
        <f t="shared" si="162"/>
        <v>#VALUE!</v>
      </c>
    </row>
    <row r="1703" spans="38:43">
      <c r="AL1703" s="414" t="str">
        <f t="shared" si="157"/>
        <v/>
      </c>
      <c r="AM1703" s="395" t="str">
        <f t="shared" si="158"/>
        <v/>
      </c>
      <c r="AN1703" s="396">
        <f t="shared" si="159"/>
        <v>0</v>
      </c>
      <c r="AO1703" s="109" t="str">
        <f t="shared" si="160"/>
        <v/>
      </c>
      <c r="AP1703" s="109" t="e">
        <f t="shared" si="161"/>
        <v>#VALUE!</v>
      </c>
      <c r="AQ1703" s="397" t="e">
        <f t="shared" si="162"/>
        <v>#VALUE!</v>
      </c>
    </row>
    <row r="1704" spans="38:43">
      <c r="AL1704" s="414" t="str">
        <f t="shared" si="157"/>
        <v/>
      </c>
      <c r="AM1704" s="395" t="str">
        <f t="shared" si="158"/>
        <v/>
      </c>
      <c r="AN1704" s="396">
        <f t="shared" si="159"/>
        <v>0</v>
      </c>
      <c r="AO1704" s="109" t="str">
        <f t="shared" si="160"/>
        <v/>
      </c>
      <c r="AP1704" s="109" t="e">
        <f t="shared" si="161"/>
        <v>#VALUE!</v>
      </c>
      <c r="AQ1704" s="397" t="e">
        <f t="shared" si="162"/>
        <v>#VALUE!</v>
      </c>
    </row>
    <row r="1705" spans="38:43">
      <c r="AL1705" s="414" t="str">
        <f t="shared" si="157"/>
        <v/>
      </c>
      <c r="AM1705" s="395" t="str">
        <f t="shared" si="158"/>
        <v/>
      </c>
      <c r="AN1705" s="396">
        <f t="shared" si="159"/>
        <v>0</v>
      </c>
      <c r="AO1705" s="109" t="str">
        <f t="shared" si="160"/>
        <v/>
      </c>
      <c r="AP1705" s="109" t="e">
        <f t="shared" si="161"/>
        <v>#VALUE!</v>
      </c>
      <c r="AQ1705" s="397" t="e">
        <f t="shared" si="162"/>
        <v>#VALUE!</v>
      </c>
    </row>
    <row r="1706" spans="38:43">
      <c r="AL1706" s="414" t="str">
        <f t="shared" si="157"/>
        <v/>
      </c>
      <c r="AM1706" s="395" t="str">
        <f t="shared" si="158"/>
        <v/>
      </c>
      <c r="AN1706" s="396">
        <f t="shared" si="159"/>
        <v>0</v>
      </c>
      <c r="AO1706" s="109" t="str">
        <f t="shared" si="160"/>
        <v/>
      </c>
      <c r="AP1706" s="109" t="e">
        <f t="shared" si="161"/>
        <v>#VALUE!</v>
      </c>
      <c r="AQ1706" s="397" t="e">
        <f t="shared" si="162"/>
        <v>#VALUE!</v>
      </c>
    </row>
    <row r="1707" spans="38:43">
      <c r="AL1707" s="414" t="str">
        <f t="shared" si="157"/>
        <v/>
      </c>
      <c r="AM1707" s="395" t="str">
        <f t="shared" si="158"/>
        <v/>
      </c>
      <c r="AN1707" s="396">
        <f t="shared" si="159"/>
        <v>0</v>
      </c>
      <c r="AO1707" s="109" t="str">
        <f t="shared" si="160"/>
        <v/>
      </c>
      <c r="AP1707" s="109" t="e">
        <f t="shared" si="161"/>
        <v>#VALUE!</v>
      </c>
      <c r="AQ1707" s="397" t="e">
        <f t="shared" si="162"/>
        <v>#VALUE!</v>
      </c>
    </row>
    <row r="1708" spans="38:43">
      <c r="AL1708" s="414" t="str">
        <f t="shared" si="157"/>
        <v/>
      </c>
      <c r="AM1708" s="395" t="str">
        <f t="shared" si="158"/>
        <v/>
      </c>
      <c r="AN1708" s="396">
        <f t="shared" si="159"/>
        <v>0</v>
      </c>
      <c r="AO1708" s="109" t="str">
        <f t="shared" si="160"/>
        <v/>
      </c>
      <c r="AP1708" s="109" t="e">
        <f t="shared" si="161"/>
        <v>#VALUE!</v>
      </c>
      <c r="AQ1708" s="397" t="e">
        <f t="shared" si="162"/>
        <v>#VALUE!</v>
      </c>
    </row>
    <row r="1709" spans="38:43">
      <c r="AL1709" s="414" t="str">
        <f t="shared" si="157"/>
        <v/>
      </c>
      <c r="AM1709" s="395" t="str">
        <f t="shared" si="158"/>
        <v/>
      </c>
      <c r="AN1709" s="396">
        <f t="shared" si="159"/>
        <v>0</v>
      </c>
      <c r="AO1709" s="109" t="str">
        <f t="shared" si="160"/>
        <v/>
      </c>
      <c r="AP1709" s="109" t="e">
        <f t="shared" si="161"/>
        <v>#VALUE!</v>
      </c>
      <c r="AQ1709" s="397" t="e">
        <f t="shared" si="162"/>
        <v>#VALUE!</v>
      </c>
    </row>
    <row r="1710" spans="38:43">
      <c r="AL1710" s="414" t="str">
        <f t="shared" si="157"/>
        <v/>
      </c>
      <c r="AM1710" s="395" t="str">
        <f t="shared" si="158"/>
        <v/>
      </c>
      <c r="AN1710" s="396">
        <f t="shared" si="159"/>
        <v>0</v>
      </c>
      <c r="AO1710" s="109" t="str">
        <f t="shared" si="160"/>
        <v/>
      </c>
      <c r="AP1710" s="109" t="e">
        <f t="shared" si="161"/>
        <v>#VALUE!</v>
      </c>
      <c r="AQ1710" s="397" t="e">
        <f t="shared" si="162"/>
        <v>#VALUE!</v>
      </c>
    </row>
    <row r="1711" spans="38:43">
      <c r="AL1711" s="414" t="str">
        <f t="shared" si="157"/>
        <v/>
      </c>
      <c r="AM1711" s="395" t="str">
        <f t="shared" si="158"/>
        <v/>
      </c>
      <c r="AN1711" s="396">
        <f t="shared" si="159"/>
        <v>0</v>
      </c>
      <c r="AO1711" s="109" t="str">
        <f t="shared" si="160"/>
        <v/>
      </c>
      <c r="AP1711" s="109" t="e">
        <f t="shared" si="161"/>
        <v>#VALUE!</v>
      </c>
      <c r="AQ1711" s="397" t="e">
        <f t="shared" si="162"/>
        <v>#VALUE!</v>
      </c>
    </row>
    <row r="1712" spans="38:43">
      <c r="AL1712" s="414" t="str">
        <f t="shared" si="157"/>
        <v/>
      </c>
      <c r="AM1712" s="395" t="str">
        <f t="shared" si="158"/>
        <v/>
      </c>
      <c r="AN1712" s="396">
        <f t="shared" si="159"/>
        <v>0</v>
      </c>
      <c r="AO1712" s="109" t="str">
        <f t="shared" si="160"/>
        <v/>
      </c>
      <c r="AP1712" s="109" t="e">
        <f t="shared" si="161"/>
        <v>#VALUE!</v>
      </c>
      <c r="AQ1712" s="397" t="e">
        <f t="shared" si="162"/>
        <v>#VALUE!</v>
      </c>
    </row>
    <row r="1713" spans="38:43">
      <c r="AL1713" s="414" t="str">
        <f t="shared" si="157"/>
        <v/>
      </c>
      <c r="AM1713" s="395" t="str">
        <f t="shared" si="158"/>
        <v/>
      </c>
      <c r="AN1713" s="396">
        <f t="shared" si="159"/>
        <v>0</v>
      </c>
      <c r="AO1713" s="109" t="str">
        <f t="shared" si="160"/>
        <v/>
      </c>
      <c r="AP1713" s="109" t="e">
        <f t="shared" si="161"/>
        <v>#VALUE!</v>
      </c>
      <c r="AQ1713" s="397" t="e">
        <f t="shared" si="162"/>
        <v>#VALUE!</v>
      </c>
    </row>
    <row r="1714" spans="38:43">
      <c r="AL1714" s="414" t="str">
        <f t="shared" si="157"/>
        <v/>
      </c>
      <c r="AM1714" s="395" t="str">
        <f t="shared" si="158"/>
        <v/>
      </c>
      <c r="AN1714" s="396">
        <f t="shared" si="159"/>
        <v>0</v>
      </c>
      <c r="AO1714" s="109" t="str">
        <f t="shared" si="160"/>
        <v/>
      </c>
      <c r="AP1714" s="109" t="e">
        <f t="shared" si="161"/>
        <v>#VALUE!</v>
      </c>
      <c r="AQ1714" s="397" t="e">
        <f t="shared" si="162"/>
        <v>#VALUE!</v>
      </c>
    </row>
    <row r="1715" spans="38:43">
      <c r="AL1715" s="414" t="str">
        <f t="shared" si="157"/>
        <v/>
      </c>
      <c r="AM1715" s="395" t="str">
        <f t="shared" si="158"/>
        <v/>
      </c>
      <c r="AN1715" s="396">
        <f t="shared" si="159"/>
        <v>0</v>
      </c>
      <c r="AO1715" s="109" t="str">
        <f t="shared" si="160"/>
        <v/>
      </c>
      <c r="AP1715" s="109" t="e">
        <f t="shared" si="161"/>
        <v>#VALUE!</v>
      </c>
      <c r="AQ1715" s="397" t="e">
        <f t="shared" si="162"/>
        <v>#VALUE!</v>
      </c>
    </row>
    <row r="1716" spans="38:43">
      <c r="AL1716" s="414" t="str">
        <f t="shared" si="157"/>
        <v/>
      </c>
      <c r="AM1716" s="395" t="str">
        <f t="shared" si="158"/>
        <v/>
      </c>
      <c r="AN1716" s="396">
        <f t="shared" si="159"/>
        <v>0</v>
      </c>
      <c r="AO1716" s="109" t="str">
        <f t="shared" si="160"/>
        <v/>
      </c>
      <c r="AP1716" s="109" t="e">
        <f t="shared" si="161"/>
        <v>#VALUE!</v>
      </c>
      <c r="AQ1716" s="397" t="e">
        <f t="shared" si="162"/>
        <v>#VALUE!</v>
      </c>
    </row>
    <row r="1717" spans="38:43">
      <c r="AL1717" s="414" t="str">
        <f t="shared" si="157"/>
        <v/>
      </c>
      <c r="AM1717" s="395" t="str">
        <f t="shared" si="158"/>
        <v/>
      </c>
      <c r="AN1717" s="396">
        <f t="shared" si="159"/>
        <v>0</v>
      </c>
      <c r="AO1717" s="109" t="str">
        <f t="shared" si="160"/>
        <v/>
      </c>
      <c r="AP1717" s="109" t="e">
        <f t="shared" si="161"/>
        <v>#VALUE!</v>
      </c>
      <c r="AQ1717" s="397" t="e">
        <f t="shared" si="162"/>
        <v>#VALUE!</v>
      </c>
    </row>
    <row r="1718" spans="38:43">
      <c r="AL1718" s="414" t="str">
        <f t="shared" si="157"/>
        <v/>
      </c>
      <c r="AM1718" s="395" t="str">
        <f t="shared" si="158"/>
        <v/>
      </c>
      <c r="AN1718" s="396">
        <f t="shared" si="159"/>
        <v>0</v>
      </c>
      <c r="AO1718" s="109" t="str">
        <f t="shared" si="160"/>
        <v/>
      </c>
      <c r="AP1718" s="109" t="e">
        <f t="shared" si="161"/>
        <v>#VALUE!</v>
      </c>
      <c r="AQ1718" s="397" t="e">
        <f t="shared" si="162"/>
        <v>#VALUE!</v>
      </c>
    </row>
    <row r="1719" spans="38:43">
      <c r="AL1719" s="414" t="str">
        <f t="shared" si="157"/>
        <v/>
      </c>
      <c r="AM1719" s="395" t="str">
        <f t="shared" si="158"/>
        <v/>
      </c>
      <c r="AN1719" s="396">
        <f t="shared" si="159"/>
        <v>0</v>
      </c>
      <c r="AO1719" s="109" t="str">
        <f t="shared" si="160"/>
        <v/>
      </c>
      <c r="AP1719" s="109" t="e">
        <f t="shared" si="161"/>
        <v>#VALUE!</v>
      </c>
      <c r="AQ1719" s="397" t="e">
        <f t="shared" si="162"/>
        <v>#VALUE!</v>
      </c>
    </row>
    <row r="1720" spans="38:43">
      <c r="AL1720" s="414" t="str">
        <f t="shared" si="157"/>
        <v/>
      </c>
      <c r="AM1720" s="395" t="str">
        <f t="shared" si="158"/>
        <v/>
      </c>
      <c r="AN1720" s="396">
        <f t="shared" si="159"/>
        <v>0</v>
      </c>
      <c r="AO1720" s="109" t="str">
        <f t="shared" si="160"/>
        <v/>
      </c>
      <c r="AP1720" s="109" t="e">
        <f t="shared" si="161"/>
        <v>#VALUE!</v>
      </c>
      <c r="AQ1720" s="397" t="e">
        <f t="shared" si="162"/>
        <v>#VALUE!</v>
      </c>
    </row>
    <row r="1721" spans="38:43">
      <c r="AL1721" s="414" t="str">
        <f t="shared" si="157"/>
        <v/>
      </c>
      <c r="AM1721" s="395" t="str">
        <f t="shared" si="158"/>
        <v/>
      </c>
      <c r="AN1721" s="396">
        <f t="shared" si="159"/>
        <v>0</v>
      </c>
      <c r="AO1721" s="109" t="str">
        <f t="shared" si="160"/>
        <v/>
      </c>
      <c r="AP1721" s="109" t="e">
        <f t="shared" si="161"/>
        <v>#VALUE!</v>
      </c>
      <c r="AQ1721" s="397" t="e">
        <f t="shared" si="162"/>
        <v>#VALUE!</v>
      </c>
    </row>
    <row r="1722" spans="38:43">
      <c r="AL1722" s="414" t="str">
        <f t="shared" si="157"/>
        <v/>
      </c>
      <c r="AM1722" s="395" t="str">
        <f t="shared" si="158"/>
        <v/>
      </c>
      <c r="AN1722" s="396">
        <f t="shared" si="159"/>
        <v>0</v>
      </c>
      <c r="AO1722" s="109" t="str">
        <f t="shared" si="160"/>
        <v/>
      </c>
      <c r="AP1722" s="109" t="e">
        <f t="shared" si="161"/>
        <v>#VALUE!</v>
      </c>
      <c r="AQ1722" s="397" t="e">
        <f t="shared" si="162"/>
        <v>#VALUE!</v>
      </c>
    </row>
    <row r="1723" spans="38:43">
      <c r="AL1723" s="414" t="str">
        <f t="shared" si="157"/>
        <v/>
      </c>
      <c r="AM1723" s="395" t="str">
        <f t="shared" si="158"/>
        <v/>
      </c>
      <c r="AN1723" s="396">
        <f t="shared" si="159"/>
        <v>0</v>
      </c>
      <c r="AO1723" s="109" t="str">
        <f t="shared" si="160"/>
        <v/>
      </c>
      <c r="AP1723" s="109" t="e">
        <f t="shared" si="161"/>
        <v>#VALUE!</v>
      </c>
      <c r="AQ1723" s="397" t="e">
        <f t="shared" si="162"/>
        <v>#VALUE!</v>
      </c>
    </row>
    <row r="1724" spans="38:43">
      <c r="AL1724" s="414" t="str">
        <f t="shared" si="157"/>
        <v/>
      </c>
      <c r="AM1724" s="395" t="str">
        <f t="shared" si="158"/>
        <v/>
      </c>
      <c r="AN1724" s="396">
        <f t="shared" si="159"/>
        <v>0</v>
      </c>
      <c r="AO1724" s="109" t="str">
        <f t="shared" si="160"/>
        <v/>
      </c>
      <c r="AP1724" s="109" t="e">
        <f t="shared" si="161"/>
        <v>#VALUE!</v>
      </c>
      <c r="AQ1724" s="397" t="e">
        <f t="shared" si="162"/>
        <v>#VALUE!</v>
      </c>
    </row>
    <row r="1725" spans="38:43">
      <c r="AL1725" s="414" t="str">
        <f t="shared" si="157"/>
        <v/>
      </c>
      <c r="AM1725" s="395" t="str">
        <f t="shared" si="158"/>
        <v/>
      </c>
      <c r="AN1725" s="396">
        <f t="shared" si="159"/>
        <v>0</v>
      </c>
      <c r="AO1725" s="109" t="str">
        <f t="shared" si="160"/>
        <v/>
      </c>
      <c r="AP1725" s="109" t="e">
        <f t="shared" si="161"/>
        <v>#VALUE!</v>
      </c>
      <c r="AQ1725" s="397" t="e">
        <f t="shared" si="162"/>
        <v>#VALUE!</v>
      </c>
    </row>
    <row r="1726" spans="38:43">
      <c r="AL1726" s="414" t="str">
        <f t="shared" si="157"/>
        <v/>
      </c>
      <c r="AM1726" s="395" t="str">
        <f t="shared" si="158"/>
        <v/>
      </c>
      <c r="AN1726" s="396">
        <f t="shared" si="159"/>
        <v>0</v>
      </c>
      <c r="AO1726" s="109" t="str">
        <f t="shared" si="160"/>
        <v/>
      </c>
      <c r="AP1726" s="109" t="e">
        <f t="shared" si="161"/>
        <v>#VALUE!</v>
      </c>
      <c r="AQ1726" s="397" t="e">
        <f t="shared" si="162"/>
        <v>#VALUE!</v>
      </c>
    </row>
    <row r="1727" spans="38:43">
      <c r="AL1727" s="414" t="str">
        <f t="shared" si="157"/>
        <v/>
      </c>
      <c r="AM1727" s="395" t="str">
        <f t="shared" si="158"/>
        <v/>
      </c>
      <c r="AN1727" s="396">
        <f t="shared" si="159"/>
        <v>0</v>
      </c>
      <c r="AO1727" s="109" t="str">
        <f t="shared" si="160"/>
        <v/>
      </c>
      <c r="AP1727" s="109" t="e">
        <f t="shared" si="161"/>
        <v>#VALUE!</v>
      </c>
      <c r="AQ1727" s="397" t="e">
        <f t="shared" si="162"/>
        <v>#VALUE!</v>
      </c>
    </row>
    <row r="1728" spans="38:43">
      <c r="AL1728" s="414" t="str">
        <f t="shared" si="157"/>
        <v/>
      </c>
      <c r="AM1728" s="395" t="str">
        <f t="shared" si="158"/>
        <v/>
      </c>
      <c r="AN1728" s="396">
        <f t="shared" si="159"/>
        <v>0</v>
      </c>
      <c r="AO1728" s="109" t="str">
        <f t="shared" si="160"/>
        <v/>
      </c>
      <c r="AP1728" s="109" t="e">
        <f t="shared" si="161"/>
        <v>#VALUE!</v>
      </c>
      <c r="AQ1728" s="397" t="e">
        <f t="shared" si="162"/>
        <v>#VALUE!</v>
      </c>
    </row>
    <row r="1729" spans="38:43">
      <c r="AL1729" s="414" t="str">
        <f t="shared" si="157"/>
        <v/>
      </c>
      <c r="AM1729" s="395" t="str">
        <f t="shared" si="158"/>
        <v/>
      </c>
      <c r="AN1729" s="396">
        <f t="shared" si="159"/>
        <v>0</v>
      </c>
      <c r="AO1729" s="109" t="str">
        <f t="shared" si="160"/>
        <v/>
      </c>
      <c r="AP1729" s="109" t="e">
        <f t="shared" si="161"/>
        <v>#VALUE!</v>
      </c>
      <c r="AQ1729" s="397" t="e">
        <f t="shared" si="162"/>
        <v>#VALUE!</v>
      </c>
    </row>
    <row r="1730" spans="38:43">
      <c r="AL1730" s="414" t="str">
        <f t="shared" si="157"/>
        <v/>
      </c>
      <c r="AM1730" s="395" t="str">
        <f t="shared" si="158"/>
        <v/>
      </c>
      <c r="AN1730" s="396">
        <f t="shared" si="159"/>
        <v>0</v>
      </c>
      <c r="AO1730" s="109" t="str">
        <f t="shared" si="160"/>
        <v/>
      </c>
      <c r="AP1730" s="109" t="e">
        <f t="shared" si="161"/>
        <v>#VALUE!</v>
      </c>
      <c r="AQ1730" s="397" t="e">
        <f t="shared" si="162"/>
        <v>#VALUE!</v>
      </c>
    </row>
    <row r="1731" spans="38:43">
      <c r="AL1731" s="414" t="str">
        <f t="shared" ref="AL1731:AL1794" si="163">SUBSTITUTE(SUBSTITUTE(H1731,"[워커힐]워커힐 고메 시그니처 양념 본갈비 8팩","워커힐 시그니처 양념 본갈비 300g, 8개"),"[워커힐]워커힐 시그니처 양념 본갈비 4팩","워커힐 시그니처 양념 본갈비 300g, 4개")</f>
        <v/>
      </c>
      <c r="AM1731" s="395" t="str">
        <f t="shared" ref="AM1731:AM1794" si="164">IF(N1731="배송완료", DATE(LEFT(M1731,4), MID(M1731,6,2), MID(M1731,9,2)), "")</f>
        <v/>
      </c>
      <c r="AN1731" s="396">
        <f t="shared" ref="AN1731:AN1794" si="165">IF(OR(N1731="배송완료", Q1731&lt;0), Q1731, 0)</f>
        <v>0</v>
      </c>
      <c r="AO1731" s="109" t="str">
        <f t="shared" ref="AO1731:AO1794" si="166">IF(AL1731="워커힐 시그니처 양념 본갈비 300g, 8개",119000,IF(AL1731="워커힐 시그니처 양념 본갈비 300g, 4개",78000,""))</f>
        <v/>
      </c>
      <c r="AP1731" s="109" t="e">
        <f t="shared" ref="AP1731:AP1794" si="167">AO1731/1.1</f>
        <v>#VALUE!</v>
      </c>
      <c r="AQ1731" s="397" t="e">
        <f t="shared" si="162"/>
        <v>#VALUE!</v>
      </c>
    </row>
    <row r="1732" spans="38:43">
      <c r="AL1732" s="414" t="str">
        <f t="shared" si="163"/>
        <v/>
      </c>
      <c r="AM1732" s="395" t="str">
        <f t="shared" si="164"/>
        <v/>
      </c>
      <c r="AN1732" s="396">
        <f t="shared" si="165"/>
        <v>0</v>
      </c>
      <c r="AO1732" s="109" t="str">
        <f t="shared" si="166"/>
        <v/>
      </c>
      <c r="AP1732" s="109" t="e">
        <f t="shared" si="167"/>
        <v>#VALUE!</v>
      </c>
      <c r="AQ1732" s="397" t="e">
        <f t="shared" si="162"/>
        <v>#VALUE!</v>
      </c>
    </row>
    <row r="1733" spans="38:43">
      <c r="AL1733" s="414" t="str">
        <f t="shared" si="163"/>
        <v/>
      </c>
      <c r="AM1733" s="395" t="str">
        <f t="shared" si="164"/>
        <v/>
      </c>
      <c r="AN1733" s="396">
        <f t="shared" si="165"/>
        <v>0</v>
      </c>
      <c r="AO1733" s="109" t="str">
        <f t="shared" si="166"/>
        <v/>
      </c>
      <c r="AP1733" s="109" t="e">
        <f t="shared" si="167"/>
        <v>#VALUE!</v>
      </c>
      <c r="AQ1733" s="397" t="e">
        <f t="shared" si="162"/>
        <v>#VALUE!</v>
      </c>
    </row>
    <row r="1734" spans="38:43">
      <c r="AL1734" s="414" t="str">
        <f t="shared" si="163"/>
        <v/>
      </c>
      <c r="AM1734" s="395" t="str">
        <f t="shared" si="164"/>
        <v/>
      </c>
      <c r="AN1734" s="396">
        <f t="shared" si="165"/>
        <v>0</v>
      </c>
      <c r="AO1734" s="109" t="str">
        <f t="shared" si="166"/>
        <v/>
      </c>
      <c r="AP1734" s="109" t="e">
        <f t="shared" si="167"/>
        <v>#VALUE!</v>
      </c>
      <c r="AQ1734" s="397" t="e">
        <f t="shared" si="162"/>
        <v>#VALUE!</v>
      </c>
    </row>
    <row r="1735" spans="38:43">
      <c r="AL1735" s="414" t="str">
        <f t="shared" si="163"/>
        <v/>
      </c>
      <c r="AM1735" s="395" t="str">
        <f t="shared" si="164"/>
        <v/>
      </c>
      <c r="AN1735" s="396">
        <f t="shared" si="165"/>
        <v>0</v>
      </c>
      <c r="AO1735" s="109" t="str">
        <f t="shared" si="166"/>
        <v/>
      </c>
      <c r="AP1735" s="109" t="e">
        <f t="shared" si="167"/>
        <v>#VALUE!</v>
      </c>
      <c r="AQ1735" s="397" t="e">
        <f t="shared" si="162"/>
        <v>#VALUE!</v>
      </c>
    </row>
    <row r="1736" spans="38:43">
      <c r="AL1736" s="414" t="str">
        <f t="shared" si="163"/>
        <v/>
      </c>
      <c r="AM1736" s="395" t="str">
        <f t="shared" si="164"/>
        <v/>
      </c>
      <c r="AN1736" s="396">
        <f t="shared" si="165"/>
        <v>0</v>
      </c>
      <c r="AO1736" s="109" t="str">
        <f t="shared" si="166"/>
        <v/>
      </c>
      <c r="AP1736" s="109" t="e">
        <f t="shared" si="167"/>
        <v>#VALUE!</v>
      </c>
      <c r="AQ1736" s="397" t="e">
        <f t="shared" si="162"/>
        <v>#VALUE!</v>
      </c>
    </row>
    <row r="1737" spans="38:43">
      <c r="AL1737" s="414" t="str">
        <f t="shared" si="163"/>
        <v/>
      </c>
      <c r="AM1737" s="395" t="str">
        <f t="shared" si="164"/>
        <v/>
      </c>
      <c r="AN1737" s="396">
        <f t="shared" si="165"/>
        <v>0</v>
      </c>
      <c r="AO1737" s="109" t="str">
        <f t="shared" si="166"/>
        <v/>
      </c>
      <c r="AP1737" s="109" t="e">
        <f t="shared" si="167"/>
        <v>#VALUE!</v>
      </c>
      <c r="AQ1737" s="397" t="e">
        <f t="shared" si="162"/>
        <v>#VALUE!</v>
      </c>
    </row>
    <row r="1738" spans="38:43">
      <c r="AL1738" s="414" t="str">
        <f t="shared" si="163"/>
        <v/>
      </c>
      <c r="AM1738" s="395" t="str">
        <f t="shared" si="164"/>
        <v/>
      </c>
      <c r="AN1738" s="396">
        <f t="shared" si="165"/>
        <v>0</v>
      </c>
      <c r="AO1738" s="109" t="str">
        <f t="shared" si="166"/>
        <v/>
      </c>
      <c r="AP1738" s="109" t="e">
        <f t="shared" si="167"/>
        <v>#VALUE!</v>
      </c>
      <c r="AQ1738" s="397" t="e">
        <f t="shared" si="162"/>
        <v>#VALUE!</v>
      </c>
    </row>
    <row r="1739" spans="38:43">
      <c r="AL1739" s="414" t="str">
        <f t="shared" si="163"/>
        <v/>
      </c>
      <c r="AM1739" s="395" t="str">
        <f t="shared" si="164"/>
        <v/>
      </c>
      <c r="AN1739" s="396">
        <f t="shared" si="165"/>
        <v>0</v>
      </c>
      <c r="AO1739" s="109" t="str">
        <f t="shared" si="166"/>
        <v/>
      </c>
      <c r="AP1739" s="109" t="e">
        <f t="shared" si="167"/>
        <v>#VALUE!</v>
      </c>
      <c r="AQ1739" s="397" t="e">
        <f t="shared" si="162"/>
        <v>#VALUE!</v>
      </c>
    </row>
    <row r="1740" spans="38:43">
      <c r="AL1740" s="414" t="str">
        <f t="shared" si="163"/>
        <v/>
      </c>
      <c r="AM1740" s="395" t="str">
        <f t="shared" si="164"/>
        <v/>
      </c>
      <c r="AN1740" s="396">
        <f t="shared" si="165"/>
        <v>0</v>
      </c>
      <c r="AO1740" s="109" t="str">
        <f t="shared" si="166"/>
        <v/>
      </c>
      <c r="AP1740" s="109" t="e">
        <f t="shared" si="167"/>
        <v>#VALUE!</v>
      </c>
      <c r="AQ1740" s="397" t="e">
        <f t="shared" si="162"/>
        <v>#VALUE!</v>
      </c>
    </row>
    <row r="1741" spans="38:43">
      <c r="AL1741" s="414" t="str">
        <f t="shared" si="163"/>
        <v/>
      </c>
      <c r="AM1741" s="395" t="str">
        <f t="shared" si="164"/>
        <v/>
      </c>
      <c r="AN1741" s="396">
        <f t="shared" si="165"/>
        <v>0</v>
      </c>
      <c r="AO1741" s="109" t="str">
        <f t="shared" si="166"/>
        <v/>
      </c>
      <c r="AP1741" s="109" t="e">
        <f t="shared" si="167"/>
        <v>#VALUE!</v>
      </c>
      <c r="AQ1741" s="397" t="e">
        <f t="shared" si="162"/>
        <v>#VALUE!</v>
      </c>
    </row>
    <row r="1742" spans="38:43">
      <c r="AL1742" s="414" t="str">
        <f t="shared" si="163"/>
        <v/>
      </c>
      <c r="AM1742" s="395" t="str">
        <f t="shared" si="164"/>
        <v/>
      </c>
      <c r="AN1742" s="396">
        <f t="shared" si="165"/>
        <v>0</v>
      </c>
      <c r="AO1742" s="109" t="str">
        <f t="shared" si="166"/>
        <v/>
      </c>
      <c r="AP1742" s="109" t="e">
        <f t="shared" si="167"/>
        <v>#VALUE!</v>
      </c>
      <c r="AQ1742" s="397" t="e">
        <f t="shared" si="162"/>
        <v>#VALUE!</v>
      </c>
    </row>
    <row r="1743" spans="38:43">
      <c r="AL1743" s="414" t="str">
        <f t="shared" si="163"/>
        <v/>
      </c>
      <c r="AM1743" s="395" t="str">
        <f t="shared" si="164"/>
        <v/>
      </c>
      <c r="AN1743" s="396">
        <f t="shared" si="165"/>
        <v>0</v>
      </c>
      <c r="AO1743" s="109" t="str">
        <f t="shared" si="166"/>
        <v/>
      </c>
      <c r="AP1743" s="109" t="e">
        <f t="shared" si="167"/>
        <v>#VALUE!</v>
      </c>
      <c r="AQ1743" s="397" t="e">
        <f t="shared" si="162"/>
        <v>#VALUE!</v>
      </c>
    </row>
    <row r="1744" spans="38:43">
      <c r="AL1744" s="414" t="str">
        <f t="shared" si="163"/>
        <v/>
      </c>
      <c r="AM1744" s="395" t="str">
        <f t="shared" si="164"/>
        <v/>
      </c>
      <c r="AN1744" s="396">
        <f t="shared" si="165"/>
        <v>0</v>
      </c>
      <c r="AO1744" s="109" t="str">
        <f t="shared" si="166"/>
        <v/>
      </c>
      <c r="AP1744" s="109" t="e">
        <f t="shared" si="167"/>
        <v>#VALUE!</v>
      </c>
      <c r="AQ1744" s="397" t="e">
        <f t="shared" si="162"/>
        <v>#VALUE!</v>
      </c>
    </row>
    <row r="1745" spans="38:43">
      <c r="AL1745" s="414" t="str">
        <f t="shared" si="163"/>
        <v/>
      </c>
      <c r="AM1745" s="395" t="str">
        <f t="shared" si="164"/>
        <v/>
      </c>
      <c r="AN1745" s="396">
        <f t="shared" si="165"/>
        <v>0</v>
      </c>
      <c r="AO1745" s="109" t="str">
        <f t="shared" si="166"/>
        <v/>
      </c>
      <c r="AP1745" s="109" t="e">
        <f t="shared" si="167"/>
        <v>#VALUE!</v>
      </c>
      <c r="AQ1745" s="397" t="e">
        <f t="shared" si="162"/>
        <v>#VALUE!</v>
      </c>
    </row>
    <row r="1746" spans="38:43">
      <c r="AL1746" s="414" t="str">
        <f t="shared" si="163"/>
        <v/>
      </c>
      <c r="AM1746" s="395" t="str">
        <f t="shared" si="164"/>
        <v/>
      </c>
      <c r="AN1746" s="396">
        <f t="shared" si="165"/>
        <v>0</v>
      </c>
      <c r="AO1746" s="109" t="str">
        <f t="shared" si="166"/>
        <v/>
      </c>
      <c r="AP1746" s="109" t="e">
        <f t="shared" si="167"/>
        <v>#VALUE!</v>
      </c>
      <c r="AQ1746" s="397" t="e">
        <f t="shared" si="162"/>
        <v>#VALUE!</v>
      </c>
    </row>
    <row r="1747" spans="38:43">
      <c r="AL1747" s="414" t="str">
        <f t="shared" si="163"/>
        <v/>
      </c>
      <c r="AM1747" s="395" t="str">
        <f t="shared" si="164"/>
        <v/>
      </c>
      <c r="AN1747" s="396">
        <f t="shared" si="165"/>
        <v>0</v>
      </c>
      <c r="AO1747" s="109" t="str">
        <f t="shared" si="166"/>
        <v/>
      </c>
      <c r="AP1747" s="109" t="e">
        <f t="shared" si="167"/>
        <v>#VALUE!</v>
      </c>
      <c r="AQ1747" s="397" t="e">
        <f t="shared" si="162"/>
        <v>#VALUE!</v>
      </c>
    </row>
    <row r="1748" spans="38:43">
      <c r="AL1748" s="414" t="str">
        <f t="shared" si="163"/>
        <v/>
      </c>
      <c r="AM1748" s="395" t="str">
        <f t="shared" si="164"/>
        <v/>
      </c>
      <c r="AN1748" s="396">
        <f t="shared" si="165"/>
        <v>0</v>
      </c>
      <c r="AO1748" s="109" t="str">
        <f t="shared" si="166"/>
        <v/>
      </c>
      <c r="AP1748" s="109" t="e">
        <f t="shared" si="167"/>
        <v>#VALUE!</v>
      </c>
      <c r="AQ1748" s="397" t="e">
        <f t="shared" si="162"/>
        <v>#VALUE!</v>
      </c>
    </row>
    <row r="1749" spans="38:43">
      <c r="AL1749" s="414" t="str">
        <f t="shared" si="163"/>
        <v/>
      </c>
      <c r="AM1749" s="395" t="str">
        <f t="shared" si="164"/>
        <v/>
      </c>
      <c r="AN1749" s="396">
        <f t="shared" si="165"/>
        <v>0</v>
      </c>
      <c r="AO1749" s="109" t="str">
        <f t="shared" si="166"/>
        <v/>
      </c>
      <c r="AP1749" s="109" t="e">
        <f t="shared" si="167"/>
        <v>#VALUE!</v>
      </c>
      <c r="AQ1749" s="397" t="e">
        <f t="shared" si="162"/>
        <v>#VALUE!</v>
      </c>
    </row>
    <row r="1750" spans="38:43">
      <c r="AL1750" s="414" t="str">
        <f t="shared" si="163"/>
        <v/>
      </c>
      <c r="AM1750" s="395" t="str">
        <f t="shared" si="164"/>
        <v/>
      </c>
      <c r="AN1750" s="396">
        <f t="shared" si="165"/>
        <v>0</v>
      </c>
      <c r="AO1750" s="109" t="str">
        <f t="shared" si="166"/>
        <v/>
      </c>
      <c r="AP1750" s="109" t="e">
        <f t="shared" si="167"/>
        <v>#VALUE!</v>
      </c>
      <c r="AQ1750" s="397" t="e">
        <f t="shared" si="162"/>
        <v>#VALUE!</v>
      </c>
    </row>
    <row r="1751" spans="38:43">
      <c r="AL1751" s="414" t="str">
        <f t="shared" si="163"/>
        <v/>
      </c>
      <c r="AM1751" s="395" t="str">
        <f t="shared" si="164"/>
        <v/>
      </c>
      <c r="AN1751" s="396">
        <f t="shared" si="165"/>
        <v>0</v>
      </c>
      <c r="AO1751" s="109" t="str">
        <f t="shared" si="166"/>
        <v/>
      </c>
      <c r="AP1751" s="109" t="e">
        <f t="shared" si="167"/>
        <v>#VALUE!</v>
      </c>
      <c r="AQ1751" s="397" t="e">
        <f t="shared" si="162"/>
        <v>#VALUE!</v>
      </c>
    </row>
    <row r="1752" spans="38:43">
      <c r="AL1752" s="414" t="str">
        <f t="shared" si="163"/>
        <v/>
      </c>
      <c r="AM1752" s="395" t="str">
        <f t="shared" si="164"/>
        <v/>
      </c>
      <c r="AN1752" s="396">
        <f t="shared" si="165"/>
        <v>0</v>
      </c>
      <c r="AO1752" s="109" t="str">
        <f t="shared" si="166"/>
        <v/>
      </c>
      <c r="AP1752" s="109" t="e">
        <f t="shared" si="167"/>
        <v>#VALUE!</v>
      </c>
      <c r="AQ1752" s="397" t="e">
        <f t="shared" si="162"/>
        <v>#VALUE!</v>
      </c>
    </row>
    <row r="1753" spans="38:43">
      <c r="AL1753" s="414" t="str">
        <f t="shared" si="163"/>
        <v/>
      </c>
      <c r="AM1753" s="395" t="str">
        <f t="shared" si="164"/>
        <v/>
      </c>
      <c r="AN1753" s="396">
        <f t="shared" si="165"/>
        <v>0</v>
      </c>
      <c r="AO1753" s="109" t="str">
        <f t="shared" si="166"/>
        <v/>
      </c>
      <c r="AP1753" s="109" t="e">
        <f t="shared" si="167"/>
        <v>#VALUE!</v>
      </c>
      <c r="AQ1753" s="397" t="e">
        <f t="shared" si="162"/>
        <v>#VALUE!</v>
      </c>
    </row>
    <row r="1754" spans="38:43">
      <c r="AL1754" s="414" t="str">
        <f t="shared" si="163"/>
        <v/>
      </c>
      <c r="AM1754" s="395" t="str">
        <f t="shared" si="164"/>
        <v/>
      </c>
      <c r="AN1754" s="396">
        <f t="shared" si="165"/>
        <v>0</v>
      </c>
      <c r="AO1754" s="109" t="str">
        <f t="shared" si="166"/>
        <v/>
      </c>
      <c r="AP1754" s="109" t="e">
        <f t="shared" si="167"/>
        <v>#VALUE!</v>
      </c>
      <c r="AQ1754" s="397" t="e">
        <f t="shared" si="162"/>
        <v>#VALUE!</v>
      </c>
    </row>
    <row r="1755" spans="38:43">
      <c r="AL1755" s="414" t="str">
        <f t="shared" si="163"/>
        <v/>
      </c>
      <c r="AM1755" s="395" t="str">
        <f t="shared" si="164"/>
        <v/>
      </c>
      <c r="AN1755" s="396">
        <f t="shared" si="165"/>
        <v>0</v>
      </c>
      <c r="AO1755" s="109" t="str">
        <f t="shared" si="166"/>
        <v/>
      </c>
      <c r="AP1755" s="109" t="e">
        <f t="shared" si="167"/>
        <v>#VALUE!</v>
      </c>
      <c r="AQ1755" s="397" t="e">
        <f t="shared" si="162"/>
        <v>#VALUE!</v>
      </c>
    </row>
    <row r="1756" spans="38:43">
      <c r="AL1756" s="414" t="str">
        <f t="shared" si="163"/>
        <v/>
      </c>
      <c r="AM1756" s="395" t="str">
        <f t="shared" si="164"/>
        <v/>
      </c>
      <c r="AN1756" s="396">
        <f t="shared" si="165"/>
        <v>0</v>
      </c>
      <c r="AO1756" s="109" t="str">
        <f t="shared" si="166"/>
        <v/>
      </c>
      <c r="AP1756" s="109" t="e">
        <f t="shared" si="167"/>
        <v>#VALUE!</v>
      </c>
      <c r="AQ1756" s="397" t="e">
        <f t="shared" si="162"/>
        <v>#VALUE!</v>
      </c>
    </row>
    <row r="1757" spans="38:43">
      <c r="AL1757" s="414" t="str">
        <f t="shared" si="163"/>
        <v/>
      </c>
      <c r="AM1757" s="395" t="str">
        <f t="shared" si="164"/>
        <v/>
      </c>
      <c r="AN1757" s="396">
        <f t="shared" si="165"/>
        <v>0</v>
      </c>
      <c r="AO1757" s="109" t="str">
        <f t="shared" si="166"/>
        <v/>
      </c>
      <c r="AP1757" s="109" t="e">
        <f t="shared" si="167"/>
        <v>#VALUE!</v>
      </c>
      <c r="AQ1757" s="397" t="e">
        <f t="shared" ref="AQ1757:AQ1820" si="168">AN1757*AP1757</f>
        <v>#VALUE!</v>
      </c>
    </row>
    <row r="1758" spans="38:43">
      <c r="AL1758" s="414" t="str">
        <f t="shared" si="163"/>
        <v/>
      </c>
      <c r="AM1758" s="395" t="str">
        <f t="shared" si="164"/>
        <v/>
      </c>
      <c r="AN1758" s="396">
        <f t="shared" si="165"/>
        <v>0</v>
      </c>
      <c r="AO1758" s="109" t="str">
        <f t="shared" si="166"/>
        <v/>
      </c>
      <c r="AP1758" s="109" t="e">
        <f t="shared" si="167"/>
        <v>#VALUE!</v>
      </c>
      <c r="AQ1758" s="397" t="e">
        <f t="shared" si="168"/>
        <v>#VALUE!</v>
      </c>
    </row>
    <row r="1759" spans="38:43">
      <c r="AL1759" s="414" t="str">
        <f t="shared" si="163"/>
        <v/>
      </c>
      <c r="AM1759" s="395" t="str">
        <f t="shared" si="164"/>
        <v/>
      </c>
      <c r="AN1759" s="396">
        <f t="shared" si="165"/>
        <v>0</v>
      </c>
      <c r="AO1759" s="109" t="str">
        <f t="shared" si="166"/>
        <v/>
      </c>
      <c r="AP1759" s="109" t="e">
        <f t="shared" si="167"/>
        <v>#VALUE!</v>
      </c>
      <c r="AQ1759" s="397" t="e">
        <f t="shared" si="168"/>
        <v>#VALUE!</v>
      </c>
    </row>
    <row r="1760" spans="38:43">
      <c r="AL1760" s="414" t="str">
        <f t="shared" si="163"/>
        <v/>
      </c>
      <c r="AM1760" s="395" t="str">
        <f t="shared" si="164"/>
        <v/>
      </c>
      <c r="AN1760" s="396">
        <f t="shared" si="165"/>
        <v>0</v>
      </c>
      <c r="AO1760" s="109" t="str">
        <f t="shared" si="166"/>
        <v/>
      </c>
      <c r="AP1760" s="109" t="e">
        <f t="shared" si="167"/>
        <v>#VALUE!</v>
      </c>
      <c r="AQ1760" s="397" t="e">
        <f t="shared" si="168"/>
        <v>#VALUE!</v>
      </c>
    </row>
    <row r="1761" spans="38:43">
      <c r="AL1761" s="414" t="str">
        <f t="shared" si="163"/>
        <v/>
      </c>
      <c r="AM1761" s="395" t="str">
        <f t="shared" si="164"/>
        <v/>
      </c>
      <c r="AN1761" s="396">
        <f t="shared" si="165"/>
        <v>0</v>
      </c>
      <c r="AO1761" s="109" t="str">
        <f t="shared" si="166"/>
        <v/>
      </c>
      <c r="AP1761" s="109" t="e">
        <f t="shared" si="167"/>
        <v>#VALUE!</v>
      </c>
      <c r="AQ1761" s="397" t="e">
        <f t="shared" si="168"/>
        <v>#VALUE!</v>
      </c>
    </row>
    <row r="1762" spans="38:43">
      <c r="AL1762" s="414" t="str">
        <f t="shared" si="163"/>
        <v/>
      </c>
      <c r="AM1762" s="395" t="str">
        <f t="shared" si="164"/>
        <v/>
      </c>
      <c r="AN1762" s="396">
        <f t="shared" si="165"/>
        <v>0</v>
      </c>
      <c r="AO1762" s="109" t="str">
        <f t="shared" si="166"/>
        <v/>
      </c>
      <c r="AP1762" s="109" t="e">
        <f t="shared" si="167"/>
        <v>#VALUE!</v>
      </c>
      <c r="AQ1762" s="397" t="e">
        <f t="shared" si="168"/>
        <v>#VALUE!</v>
      </c>
    </row>
    <row r="1763" spans="38:43">
      <c r="AL1763" s="414" t="str">
        <f t="shared" si="163"/>
        <v/>
      </c>
      <c r="AM1763" s="395" t="str">
        <f t="shared" si="164"/>
        <v/>
      </c>
      <c r="AN1763" s="396">
        <f t="shared" si="165"/>
        <v>0</v>
      </c>
      <c r="AO1763" s="109" t="str">
        <f t="shared" si="166"/>
        <v/>
      </c>
      <c r="AP1763" s="109" t="e">
        <f t="shared" si="167"/>
        <v>#VALUE!</v>
      </c>
      <c r="AQ1763" s="397" t="e">
        <f t="shared" si="168"/>
        <v>#VALUE!</v>
      </c>
    </row>
    <row r="1764" spans="38:43">
      <c r="AL1764" s="414" t="str">
        <f t="shared" si="163"/>
        <v/>
      </c>
      <c r="AM1764" s="395" t="str">
        <f t="shared" si="164"/>
        <v/>
      </c>
      <c r="AN1764" s="396">
        <f t="shared" si="165"/>
        <v>0</v>
      </c>
      <c r="AO1764" s="109" t="str">
        <f t="shared" si="166"/>
        <v/>
      </c>
      <c r="AP1764" s="109" t="e">
        <f t="shared" si="167"/>
        <v>#VALUE!</v>
      </c>
      <c r="AQ1764" s="397" t="e">
        <f t="shared" si="168"/>
        <v>#VALUE!</v>
      </c>
    </row>
    <row r="1765" spans="38:43">
      <c r="AL1765" s="414" t="str">
        <f t="shared" si="163"/>
        <v/>
      </c>
      <c r="AM1765" s="395" t="str">
        <f t="shared" si="164"/>
        <v/>
      </c>
      <c r="AN1765" s="396">
        <f t="shared" si="165"/>
        <v>0</v>
      </c>
      <c r="AO1765" s="109" t="str">
        <f t="shared" si="166"/>
        <v/>
      </c>
      <c r="AP1765" s="109" t="e">
        <f t="shared" si="167"/>
        <v>#VALUE!</v>
      </c>
      <c r="AQ1765" s="397" t="e">
        <f t="shared" si="168"/>
        <v>#VALUE!</v>
      </c>
    </row>
    <row r="1766" spans="38:43">
      <c r="AL1766" s="414" t="str">
        <f t="shared" si="163"/>
        <v/>
      </c>
      <c r="AM1766" s="395" t="str">
        <f t="shared" si="164"/>
        <v/>
      </c>
      <c r="AN1766" s="396">
        <f t="shared" si="165"/>
        <v>0</v>
      </c>
      <c r="AO1766" s="109" t="str">
        <f t="shared" si="166"/>
        <v/>
      </c>
      <c r="AP1766" s="109" t="e">
        <f t="shared" si="167"/>
        <v>#VALUE!</v>
      </c>
      <c r="AQ1766" s="397" t="e">
        <f t="shared" si="168"/>
        <v>#VALUE!</v>
      </c>
    </row>
    <row r="1767" spans="38:43">
      <c r="AL1767" s="414" t="str">
        <f t="shared" si="163"/>
        <v/>
      </c>
      <c r="AM1767" s="395" t="str">
        <f t="shared" si="164"/>
        <v/>
      </c>
      <c r="AN1767" s="396">
        <f t="shared" si="165"/>
        <v>0</v>
      </c>
      <c r="AO1767" s="109" t="str">
        <f t="shared" si="166"/>
        <v/>
      </c>
      <c r="AP1767" s="109" t="e">
        <f t="shared" si="167"/>
        <v>#VALUE!</v>
      </c>
      <c r="AQ1767" s="397" t="e">
        <f t="shared" si="168"/>
        <v>#VALUE!</v>
      </c>
    </row>
    <row r="1768" spans="38:43">
      <c r="AL1768" s="414" t="str">
        <f t="shared" si="163"/>
        <v/>
      </c>
      <c r="AM1768" s="395" t="str">
        <f t="shared" si="164"/>
        <v/>
      </c>
      <c r="AN1768" s="396">
        <f t="shared" si="165"/>
        <v>0</v>
      </c>
      <c r="AO1768" s="109" t="str">
        <f t="shared" si="166"/>
        <v/>
      </c>
      <c r="AP1768" s="109" t="e">
        <f t="shared" si="167"/>
        <v>#VALUE!</v>
      </c>
      <c r="AQ1768" s="397" t="e">
        <f t="shared" si="168"/>
        <v>#VALUE!</v>
      </c>
    </row>
    <row r="1769" spans="38:43">
      <c r="AL1769" s="414" t="str">
        <f t="shared" si="163"/>
        <v/>
      </c>
      <c r="AM1769" s="395" t="str">
        <f t="shared" si="164"/>
        <v/>
      </c>
      <c r="AN1769" s="396">
        <f t="shared" si="165"/>
        <v>0</v>
      </c>
      <c r="AO1769" s="109" t="str">
        <f t="shared" si="166"/>
        <v/>
      </c>
      <c r="AP1769" s="109" t="e">
        <f t="shared" si="167"/>
        <v>#VALUE!</v>
      </c>
      <c r="AQ1769" s="397" t="e">
        <f t="shared" si="168"/>
        <v>#VALUE!</v>
      </c>
    </row>
    <row r="1770" spans="38:43">
      <c r="AL1770" s="414" t="str">
        <f t="shared" si="163"/>
        <v/>
      </c>
      <c r="AM1770" s="395" t="str">
        <f t="shared" si="164"/>
        <v/>
      </c>
      <c r="AN1770" s="396">
        <f t="shared" si="165"/>
        <v>0</v>
      </c>
      <c r="AO1770" s="109" t="str">
        <f t="shared" si="166"/>
        <v/>
      </c>
      <c r="AP1770" s="109" t="e">
        <f t="shared" si="167"/>
        <v>#VALUE!</v>
      </c>
      <c r="AQ1770" s="397" t="e">
        <f t="shared" si="168"/>
        <v>#VALUE!</v>
      </c>
    </row>
    <row r="1771" spans="38:43">
      <c r="AL1771" s="414" t="str">
        <f t="shared" si="163"/>
        <v/>
      </c>
      <c r="AM1771" s="395" t="str">
        <f t="shared" si="164"/>
        <v/>
      </c>
      <c r="AN1771" s="396">
        <f t="shared" si="165"/>
        <v>0</v>
      </c>
      <c r="AO1771" s="109" t="str">
        <f t="shared" si="166"/>
        <v/>
      </c>
      <c r="AP1771" s="109" t="e">
        <f t="shared" si="167"/>
        <v>#VALUE!</v>
      </c>
      <c r="AQ1771" s="397" t="e">
        <f t="shared" si="168"/>
        <v>#VALUE!</v>
      </c>
    </row>
    <row r="1772" spans="38:43">
      <c r="AL1772" s="414" t="str">
        <f t="shared" si="163"/>
        <v/>
      </c>
      <c r="AM1772" s="395" t="str">
        <f t="shared" si="164"/>
        <v/>
      </c>
      <c r="AN1772" s="396">
        <f t="shared" si="165"/>
        <v>0</v>
      </c>
      <c r="AO1772" s="109" t="str">
        <f t="shared" si="166"/>
        <v/>
      </c>
      <c r="AP1772" s="109" t="e">
        <f t="shared" si="167"/>
        <v>#VALUE!</v>
      </c>
      <c r="AQ1772" s="397" t="e">
        <f t="shared" si="168"/>
        <v>#VALUE!</v>
      </c>
    </row>
    <row r="1773" spans="38:43">
      <c r="AL1773" s="414" t="str">
        <f t="shared" si="163"/>
        <v/>
      </c>
      <c r="AM1773" s="395" t="str">
        <f t="shared" si="164"/>
        <v/>
      </c>
      <c r="AN1773" s="396">
        <f t="shared" si="165"/>
        <v>0</v>
      </c>
      <c r="AO1773" s="109" t="str">
        <f t="shared" si="166"/>
        <v/>
      </c>
      <c r="AP1773" s="109" t="e">
        <f t="shared" si="167"/>
        <v>#VALUE!</v>
      </c>
      <c r="AQ1773" s="397" t="e">
        <f t="shared" si="168"/>
        <v>#VALUE!</v>
      </c>
    </row>
    <row r="1774" spans="38:43">
      <c r="AL1774" s="414" t="str">
        <f t="shared" si="163"/>
        <v/>
      </c>
      <c r="AM1774" s="395" t="str">
        <f t="shared" si="164"/>
        <v/>
      </c>
      <c r="AN1774" s="396">
        <f t="shared" si="165"/>
        <v>0</v>
      </c>
      <c r="AO1774" s="109" t="str">
        <f t="shared" si="166"/>
        <v/>
      </c>
      <c r="AP1774" s="109" t="e">
        <f t="shared" si="167"/>
        <v>#VALUE!</v>
      </c>
      <c r="AQ1774" s="397" t="e">
        <f t="shared" si="168"/>
        <v>#VALUE!</v>
      </c>
    </row>
    <row r="1775" spans="38:43">
      <c r="AL1775" s="414" t="str">
        <f t="shared" si="163"/>
        <v/>
      </c>
      <c r="AM1775" s="395" t="str">
        <f t="shared" si="164"/>
        <v/>
      </c>
      <c r="AN1775" s="396">
        <f t="shared" si="165"/>
        <v>0</v>
      </c>
      <c r="AO1775" s="109" t="str">
        <f t="shared" si="166"/>
        <v/>
      </c>
      <c r="AP1775" s="109" t="e">
        <f t="shared" si="167"/>
        <v>#VALUE!</v>
      </c>
      <c r="AQ1775" s="397" t="e">
        <f t="shared" si="168"/>
        <v>#VALUE!</v>
      </c>
    </row>
    <row r="1776" spans="38:43">
      <c r="AL1776" s="414" t="str">
        <f t="shared" si="163"/>
        <v/>
      </c>
      <c r="AM1776" s="395" t="str">
        <f t="shared" si="164"/>
        <v/>
      </c>
      <c r="AN1776" s="396">
        <f t="shared" si="165"/>
        <v>0</v>
      </c>
      <c r="AO1776" s="109" t="str">
        <f t="shared" si="166"/>
        <v/>
      </c>
      <c r="AP1776" s="109" t="e">
        <f t="shared" si="167"/>
        <v>#VALUE!</v>
      </c>
      <c r="AQ1776" s="397" t="e">
        <f t="shared" si="168"/>
        <v>#VALUE!</v>
      </c>
    </row>
    <row r="1777" spans="38:43">
      <c r="AL1777" s="414" t="str">
        <f t="shared" si="163"/>
        <v/>
      </c>
      <c r="AM1777" s="395" t="str">
        <f t="shared" si="164"/>
        <v/>
      </c>
      <c r="AN1777" s="396">
        <f t="shared" si="165"/>
        <v>0</v>
      </c>
      <c r="AO1777" s="109" t="str">
        <f t="shared" si="166"/>
        <v/>
      </c>
      <c r="AP1777" s="109" t="e">
        <f t="shared" si="167"/>
        <v>#VALUE!</v>
      </c>
      <c r="AQ1777" s="397" t="e">
        <f t="shared" si="168"/>
        <v>#VALUE!</v>
      </c>
    </row>
    <row r="1778" spans="38:43">
      <c r="AL1778" s="414" t="str">
        <f t="shared" si="163"/>
        <v/>
      </c>
      <c r="AM1778" s="395" t="str">
        <f t="shared" si="164"/>
        <v/>
      </c>
      <c r="AN1778" s="396">
        <f t="shared" si="165"/>
        <v>0</v>
      </c>
      <c r="AO1778" s="109" t="str">
        <f t="shared" si="166"/>
        <v/>
      </c>
      <c r="AP1778" s="109" t="e">
        <f t="shared" si="167"/>
        <v>#VALUE!</v>
      </c>
      <c r="AQ1778" s="397" t="e">
        <f t="shared" si="168"/>
        <v>#VALUE!</v>
      </c>
    </row>
    <row r="1779" spans="38:43">
      <c r="AL1779" s="414" t="str">
        <f t="shared" si="163"/>
        <v/>
      </c>
      <c r="AM1779" s="395" t="str">
        <f t="shared" si="164"/>
        <v/>
      </c>
      <c r="AN1779" s="396">
        <f t="shared" si="165"/>
        <v>0</v>
      </c>
      <c r="AO1779" s="109" t="str">
        <f t="shared" si="166"/>
        <v/>
      </c>
      <c r="AP1779" s="109" t="e">
        <f t="shared" si="167"/>
        <v>#VALUE!</v>
      </c>
      <c r="AQ1779" s="397" t="e">
        <f t="shared" si="168"/>
        <v>#VALUE!</v>
      </c>
    </row>
    <row r="1780" spans="38:43">
      <c r="AL1780" s="414" t="str">
        <f t="shared" si="163"/>
        <v/>
      </c>
      <c r="AM1780" s="395" t="str">
        <f t="shared" si="164"/>
        <v/>
      </c>
      <c r="AN1780" s="396">
        <f t="shared" si="165"/>
        <v>0</v>
      </c>
      <c r="AO1780" s="109" t="str">
        <f t="shared" si="166"/>
        <v/>
      </c>
      <c r="AP1780" s="109" t="e">
        <f t="shared" si="167"/>
        <v>#VALUE!</v>
      </c>
      <c r="AQ1780" s="397" t="e">
        <f t="shared" si="168"/>
        <v>#VALUE!</v>
      </c>
    </row>
    <row r="1781" spans="38:43">
      <c r="AL1781" s="414" t="str">
        <f t="shared" si="163"/>
        <v/>
      </c>
      <c r="AM1781" s="395" t="str">
        <f t="shared" si="164"/>
        <v/>
      </c>
      <c r="AN1781" s="396">
        <f t="shared" si="165"/>
        <v>0</v>
      </c>
      <c r="AO1781" s="109" t="str">
        <f t="shared" si="166"/>
        <v/>
      </c>
      <c r="AP1781" s="109" t="e">
        <f t="shared" si="167"/>
        <v>#VALUE!</v>
      </c>
      <c r="AQ1781" s="397" t="e">
        <f t="shared" si="168"/>
        <v>#VALUE!</v>
      </c>
    </row>
    <row r="1782" spans="38:43">
      <c r="AL1782" s="414" t="str">
        <f t="shared" si="163"/>
        <v/>
      </c>
      <c r="AM1782" s="395" t="str">
        <f t="shared" si="164"/>
        <v/>
      </c>
      <c r="AN1782" s="396">
        <f t="shared" si="165"/>
        <v>0</v>
      </c>
      <c r="AO1782" s="109" t="str">
        <f t="shared" si="166"/>
        <v/>
      </c>
      <c r="AP1782" s="109" t="e">
        <f t="shared" si="167"/>
        <v>#VALUE!</v>
      </c>
      <c r="AQ1782" s="397" t="e">
        <f t="shared" si="168"/>
        <v>#VALUE!</v>
      </c>
    </row>
    <row r="1783" spans="38:43">
      <c r="AL1783" s="414" t="str">
        <f t="shared" si="163"/>
        <v/>
      </c>
      <c r="AM1783" s="395" t="str">
        <f t="shared" si="164"/>
        <v/>
      </c>
      <c r="AN1783" s="396">
        <f t="shared" si="165"/>
        <v>0</v>
      </c>
      <c r="AO1783" s="109" t="str">
        <f t="shared" si="166"/>
        <v/>
      </c>
      <c r="AP1783" s="109" t="e">
        <f t="shared" si="167"/>
        <v>#VALUE!</v>
      </c>
      <c r="AQ1783" s="397" t="e">
        <f t="shared" si="168"/>
        <v>#VALUE!</v>
      </c>
    </row>
    <row r="1784" spans="38:43">
      <c r="AL1784" s="414" t="str">
        <f t="shared" si="163"/>
        <v/>
      </c>
      <c r="AM1784" s="395" t="str">
        <f t="shared" si="164"/>
        <v/>
      </c>
      <c r="AN1784" s="396">
        <f t="shared" si="165"/>
        <v>0</v>
      </c>
      <c r="AO1784" s="109" t="str">
        <f t="shared" si="166"/>
        <v/>
      </c>
      <c r="AP1784" s="109" t="e">
        <f t="shared" si="167"/>
        <v>#VALUE!</v>
      </c>
      <c r="AQ1784" s="397" t="e">
        <f t="shared" si="168"/>
        <v>#VALUE!</v>
      </c>
    </row>
    <row r="1785" spans="38:43">
      <c r="AL1785" s="414" t="str">
        <f t="shared" si="163"/>
        <v/>
      </c>
      <c r="AM1785" s="395" t="str">
        <f t="shared" si="164"/>
        <v/>
      </c>
      <c r="AN1785" s="396">
        <f t="shared" si="165"/>
        <v>0</v>
      </c>
      <c r="AO1785" s="109" t="str">
        <f t="shared" si="166"/>
        <v/>
      </c>
      <c r="AP1785" s="109" t="e">
        <f t="shared" si="167"/>
        <v>#VALUE!</v>
      </c>
      <c r="AQ1785" s="397" t="e">
        <f t="shared" si="168"/>
        <v>#VALUE!</v>
      </c>
    </row>
    <row r="1786" spans="38:43">
      <c r="AL1786" s="414" t="str">
        <f t="shared" si="163"/>
        <v/>
      </c>
      <c r="AM1786" s="395" t="str">
        <f t="shared" si="164"/>
        <v/>
      </c>
      <c r="AN1786" s="396">
        <f t="shared" si="165"/>
        <v>0</v>
      </c>
      <c r="AO1786" s="109" t="str">
        <f t="shared" si="166"/>
        <v/>
      </c>
      <c r="AP1786" s="109" t="e">
        <f t="shared" si="167"/>
        <v>#VALUE!</v>
      </c>
      <c r="AQ1786" s="397" t="e">
        <f t="shared" si="168"/>
        <v>#VALUE!</v>
      </c>
    </row>
    <row r="1787" spans="38:43">
      <c r="AL1787" s="414" t="str">
        <f t="shared" si="163"/>
        <v/>
      </c>
      <c r="AM1787" s="395" t="str">
        <f t="shared" si="164"/>
        <v/>
      </c>
      <c r="AN1787" s="396">
        <f t="shared" si="165"/>
        <v>0</v>
      </c>
      <c r="AO1787" s="109" t="str">
        <f t="shared" si="166"/>
        <v/>
      </c>
      <c r="AP1787" s="109" t="e">
        <f t="shared" si="167"/>
        <v>#VALUE!</v>
      </c>
      <c r="AQ1787" s="397" t="e">
        <f t="shared" si="168"/>
        <v>#VALUE!</v>
      </c>
    </row>
    <row r="1788" spans="38:43">
      <c r="AL1788" s="414" t="str">
        <f t="shared" si="163"/>
        <v/>
      </c>
      <c r="AM1788" s="395" t="str">
        <f t="shared" si="164"/>
        <v/>
      </c>
      <c r="AN1788" s="396">
        <f t="shared" si="165"/>
        <v>0</v>
      </c>
      <c r="AO1788" s="109" t="str">
        <f t="shared" si="166"/>
        <v/>
      </c>
      <c r="AP1788" s="109" t="e">
        <f t="shared" si="167"/>
        <v>#VALUE!</v>
      </c>
      <c r="AQ1788" s="397" t="e">
        <f t="shared" si="168"/>
        <v>#VALUE!</v>
      </c>
    </row>
    <row r="1789" spans="38:43">
      <c r="AL1789" s="414" t="str">
        <f t="shared" si="163"/>
        <v/>
      </c>
      <c r="AM1789" s="395" t="str">
        <f t="shared" si="164"/>
        <v/>
      </c>
      <c r="AN1789" s="396">
        <f t="shared" si="165"/>
        <v>0</v>
      </c>
      <c r="AO1789" s="109" t="str">
        <f t="shared" si="166"/>
        <v/>
      </c>
      <c r="AP1789" s="109" t="e">
        <f t="shared" si="167"/>
        <v>#VALUE!</v>
      </c>
      <c r="AQ1789" s="397" t="e">
        <f t="shared" si="168"/>
        <v>#VALUE!</v>
      </c>
    </row>
    <row r="1790" spans="38:43">
      <c r="AL1790" s="414" t="str">
        <f t="shared" si="163"/>
        <v/>
      </c>
      <c r="AM1790" s="395" t="str">
        <f t="shared" si="164"/>
        <v/>
      </c>
      <c r="AN1790" s="396">
        <f t="shared" si="165"/>
        <v>0</v>
      </c>
      <c r="AO1790" s="109" t="str">
        <f t="shared" si="166"/>
        <v/>
      </c>
      <c r="AP1790" s="109" t="e">
        <f t="shared" si="167"/>
        <v>#VALUE!</v>
      </c>
      <c r="AQ1790" s="397" t="e">
        <f t="shared" si="168"/>
        <v>#VALUE!</v>
      </c>
    </row>
    <row r="1791" spans="38:43">
      <c r="AL1791" s="414" t="str">
        <f t="shared" si="163"/>
        <v/>
      </c>
      <c r="AM1791" s="395" t="str">
        <f t="shared" si="164"/>
        <v/>
      </c>
      <c r="AN1791" s="396">
        <f t="shared" si="165"/>
        <v>0</v>
      </c>
      <c r="AO1791" s="109" t="str">
        <f t="shared" si="166"/>
        <v/>
      </c>
      <c r="AP1791" s="109" t="e">
        <f t="shared" si="167"/>
        <v>#VALUE!</v>
      </c>
      <c r="AQ1791" s="397" t="e">
        <f t="shared" si="168"/>
        <v>#VALUE!</v>
      </c>
    </row>
    <row r="1792" spans="38:43">
      <c r="AL1792" s="414" t="str">
        <f t="shared" si="163"/>
        <v/>
      </c>
      <c r="AM1792" s="395" t="str">
        <f t="shared" si="164"/>
        <v/>
      </c>
      <c r="AN1792" s="396">
        <f t="shared" si="165"/>
        <v>0</v>
      </c>
      <c r="AO1792" s="109" t="str">
        <f t="shared" si="166"/>
        <v/>
      </c>
      <c r="AP1792" s="109" t="e">
        <f t="shared" si="167"/>
        <v>#VALUE!</v>
      </c>
      <c r="AQ1792" s="397" t="e">
        <f t="shared" si="168"/>
        <v>#VALUE!</v>
      </c>
    </row>
    <row r="1793" spans="38:43">
      <c r="AL1793" s="414" t="str">
        <f t="shared" si="163"/>
        <v/>
      </c>
      <c r="AM1793" s="395" t="str">
        <f t="shared" si="164"/>
        <v/>
      </c>
      <c r="AN1793" s="396">
        <f t="shared" si="165"/>
        <v>0</v>
      </c>
      <c r="AO1793" s="109" t="str">
        <f t="shared" si="166"/>
        <v/>
      </c>
      <c r="AP1793" s="109" t="e">
        <f t="shared" si="167"/>
        <v>#VALUE!</v>
      </c>
      <c r="AQ1793" s="397" t="e">
        <f t="shared" si="168"/>
        <v>#VALUE!</v>
      </c>
    </row>
    <row r="1794" spans="38:43">
      <c r="AL1794" s="414" t="str">
        <f t="shared" si="163"/>
        <v/>
      </c>
      <c r="AM1794" s="395" t="str">
        <f t="shared" si="164"/>
        <v/>
      </c>
      <c r="AN1794" s="396">
        <f t="shared" si="165"/>
        <v>0</v>
      </c>
      <c r="AO1794" s="109" t="str">
        <f t="shared" si="166"/>
        <v/>
      </c>
      <c r="AP1794" s="109" t="e">
        <f t="shared" si="167"/>
        <v>#VALUE!</v>
      </c>
      <c r="AQ1794" s="397" t="e">
        <f t="shared" si="168"/>
        <v>#VALUE!</v>
      </c>
    </row>
    <row r="1795" spans="38:43">
      <c r="AL1795" s="414" t="str">
        <f t="shared" ref="AL1795:AL1858" si="169">SUBSTITUTE(SUBSTITUTE(H1795,"[워커힐]워커힐 고메 시그니처 양념 본갈비 8팩","워커힐 시그니처 양념 본갈비 300g, 8개"),"[워커힐]워커힐 시그니처 양념 본갈비 4팩","워커힐 시그니처 양념 본갈비 300g, 4개")</f>
        <v/>
      </c>
      <c r="AM1795" s="395" t="str">
        <f t="shared" ref="AM1795:AM1858" si="170">IF(N1795="배송완료", DATE(LEFT(M1795,4), MID(M1795,6,2), MID(M1795,9,2)), "")</f>
        <v/>
      </c>
      <c r="AN1795" s="396">
        <f t="shared" ref="AN1795:AN1858" si="171">IF(OR(N1795="배송완료", Q1795&lt;0), Q1795, 0)</f>
        <v>0</v>
      </c>
      <c r="AO1795" s="109" t="str">
        <f t="shared" ref="AO1795:AO1858" si="172">IF(AL1795="워커힐 시그니처 양념 본갈비 300g, 8개",119000,IF(AL1795="워커힐 시그니처 양념 본갈비 300g, 4개",78000,""))</f>
        <v/>
      </c>
      <c r="AP1795" s="109" t="e">
        <f t="shared" ref="AP1795:AP1858" si="173">AO1795/1.1</f>
        <v>#VALUE!</v>
      </c>
      <c r="AQ1795" s="397" t="e">
        <f t="shared" si="168"/>
        <v>#VALUE!</v>
      </c>
    </row>
    <row r="1796" spans="38:43">
      <c r="AL1796" s="414" t="str">
        <f t="shared" si="169"/>
        <v/>
      </c>
      <c r="AM1796" s="395" t="str">
        <f t="shared" si="170"/>
        <v/>
      </c>
      <c r="AN1796" s="396">
        <f t="shared" si="171"/>
        <v>0</v>
      </c>
      <c r="AO1796" s="109" t="str">
        <f t="shared" si="172"/>
        <v/>
      </c>
      <c r="AP1796" s="109" t="e">
        <f t="shared" si="173"/>
        <v>#VALUE!</v>
      </c>
      <c r="AQ1796" s="397" t="e">
        <f t="shared" si="168"/>
        <v>#VALUE!</v>
      </c>
    </row>
    <row r="1797" spans="38:43">
      <c r="AL1797" s="414" t="str">
        <f t="shared" si="169"/>
        <v/>
      </c>
      <c r="AM1797" s="395" t="str">
        <f t="shared" si="170"/>
        <v/>
      </c>
      <c r="AN1797" s="396">
        <f t="shared" si="171"/>
        <v>0</v>
      </c>
      <c r="AO1797" s="109" t="str">
        <f t="shared" si="172"/>
        <v/>
      </c>
      <c r="AP1797" s="109" t="e">
        <f t="shared" si="173"/>
        <v>#VALUE!</v>
      </c>
      <c r="AQ1797" s="397" t="e">
        <f t="shared" si="168"/>
        <v>#VALUE!</v>
      </c>
    </row>
    <row r="1798" spans="38:43">
      <c r="AL1798" s="414" t="str">
        <f t="shared" si="169"/>
        <v/>
      </c>
      <c r="AM1798" s="395" t="str">
        <f t="shared" si="170"/>
        <v/>
      </c>
      <c r="AN1798" s="396">
        <f t="shared" si="171"/>
        <v>0</v>
      </c>
      <c r="AO1798" s="109" t="str">
        <f t="shared" si="172"/>
        <v/>
      </c>
      <c r="AP1798" s="109" t="e">
        <f t="shared" si="173"/>
        <v>#VALUE!</v>
      </c>
      <c r="AQ1798" s="397" t="e">
        <f t="shared" si="168"/>
        <v>#VALUE!</v>
      </c>
    </row>
    <row r="1799" spans="38:43">
      <c r="AL1799" s="414" t="str">
        <f t="shared" si="169"/>
        <v/>
      </c>
      <c r="AM1799" s="395" t="str">
        <f t="shared" si="170"/>
        <v/>
      </c>
      <c r="AN1799" s="396">
        <f t="shared" si="171"/>
        <v>0</v>
      </c>
      <c r="AO1799" s="109" t="str">
        <f t="shared" si="172"/>
        <v/>
      </c>
      <c r="AP1799" s="109" t="e">
        <f t="shared" si="173"/>
        <v>#VALUE!</v>
      </c>
      <c r="AQ1799" s="397" t="e">
        <f t="shared" si="168"/>
        <v>#VALUE!</v>
      </c>
    </row>
    <row r="1800" spans="38:43">
      <c r="AL1800" s="414" t="str">
        <f t="shared" si="169"/>
        <v/>
      </c>
      <c r="AM1800" s="395" t="str">
        <f t="shared" si="170"/>
        <v/>
      </c>
      <c r="AN1800" s="396">
        <f t="shared" si="171"/>
        <v>0</v>
      </c>
      <c r="AO1800" s="109" t="str">
        <f t="shared" si="172"/>
        <v/>
      </c>
      <c r="AP1800" s="109" t="e">
        <f t="shared" si="173"/>
        <v>#VALUE!</v>
      </c>
      <c r="AQ1800" s="397" t="e">
        <f t="shared" si="168"/>
        <v>#VALUE!</v>
      </c>
    </row>
    <row r="1801" spans="38:43">
      <c r="AL1801" s="414" t="str">
        <f t="shared" si="169"/>
        <v/>
      </c>
      <c r="AM1801" s="395" t="str">
        <f t="shared" si="170"/>
        <v/>
      </c>
      <c r="AN1801" s="396">
        <f t="shared" si="171"/>
        <v>0</v>
      </c>
      <c r="AO1801" s="109" t="str">
        <f t="shared" si="172"/>
        <v/>
      </c>
      <c r="AP1801" s="109" t="e">
        <f t="shared" si="173"/>
        <v>#VALUE!</v>
      </c>
      <c r="AQ1801" s="397" t="e">
        <f t="shared" si="168"/>
        <v>#VALUE!</v>
      </c>
    </row>
    <row r="1802" spans="38:43">
      <c r="AL1802" s="414" t="str">
        <f t="shared" si="169"/>
        <v/>
      </c>
      <c r="AM1802" s="395" t="str">
        <f t="shared" si="170"/>
        <v/>
      </c>
      <c r="AN1802" s="396">
        <f t="shared" si="171"/>
        <v>0</v>
      </c>
      <c r="AO1802" s="109" t="str">
        <f t="shared" si="172"/>
        <v/>
      </c>
      <c r="AP1802" s="109" t="e">
        <f t="shared" si="173"/>
        <v>#VALUE!</v>
      </c>
      <c r="AQ1802" s="397" t="e">
        <f t="shared" si="168"/>
        <v>#VALUE!</v>
      </c>
    </row>
    <row r="1803" spans="38:43">
      <c r="AL1803" s="414" t="str">
        <f t="shared" si="169"/>
        <v/>
      </c>
      <c r="AM1803" s="395" t="str">
        <f t="shared" si="170"/>
        <v/>
      </c>
      <c r="AN1803" s="396">
        <f t="shared" si="171"/>
        <v>0</v>
      </c>
      <c r="AO1803" s="109" t="str">
        <f t="shared" si="172"/>
        <v/>
      </c>
      <c r="AP1803" s="109" t="e">
        <f t="shared" si="173"/>
        <v>#VALUE!</v>
      </c>
      <c r="AQ1803" s="397" t="e">
        <f t="shared" si="168"/>
        <v>#VALUE!</v>
      </c>
    </row>
    <row r="1804" spans="38:43">
      <c r="AL1804" s="414" t="str">
        <f t="shared" si="169"/>
        <v/>
      </c>
      <c r="AM1804" s="395" t="str">
        <f t="shared" si="170"/>
        <v/>
      </c>
      <c r="AN1804" s="396">
        <f t="shared" si="171"/>
        <v>0</v>
      </c>
      <c r="AO1804" s="109" t="str">
        <f t="shared" si="172"/>
        <v/>
      </c>
      <c r="AP1804" s="109" t="e">
        <f t="shared" si="173"/>
        <v>#VALUE!</v>
      </c>
      <c r="AQ1804" s="397" t="e">
        <f t="shared" si="168"/>
        <v>#VALUE!</v>
      </c>
    </row>
    <row r="1805" spans="38:43">
      <c r="AL1805" s="414" t="str">
        <f t="shared" si="169"/>
        <v/>
      </c>
      <c r="AM1805" s="395" t="str">
        <f t="shared" si="170"/>
        <v/>
      </c>
      <c r="AN1805" s="396">
        <f t="shared" si="171"/>
        <v>0</v>
      </c>
      <c r="AO1805" s="109" t="str">
        <f t="shared" si="172"/>
        <v/>
      </c>
      <c r="AP1805" s="109" t="e">
        <f t="shared" si="173"/>
        <v>#VALUE!</v>
      </c>
      <c r="AQ1805" s="397" t="e">
        <f t="shared" si="168"/>
        <v>#VALUE!</v>
      </c>
    </row>
    <row r="1806" spans="38:43">
      <c r="AL1806" s="414" t="str">
        <f t="shared" si="169"/>
        <v/>
      </c>
      <c r="AM1806" s="395" t="str">
        <f t="shared" si="170"/>
        <v/>
      </c>
      <c r="AN1806" s="396">
        <f t="shared" si="171"/>
        <v>0</v>
      </c>
      <c r="AO1806" s="109" t="str">
        <f t="shared" si="172"/>
        <v/>
      </c>
      <c r="AP1806" s="109" t="e">
        <f t="shared" si="173"/>
        <v>#VALUE!</v>
      </c>
      <c r="AQ1806" s="397" t="e">
        <f t="shared" si="168"/>
        <v>#VALUE!</v>
      </c>
    </row>
    <row r="1807" spans="38:43">
      <c r="AL1807" s="414" t="str">
        <f t="shared" si="169"/>
        <v/>
      </c>
      <c r="AM1807" s="395" t="str">
        <f t="shared" si="170"/>
        <v/>
      </c>
      <c r="AN1807" s="396">
        <f t="shared" si="171"/>
        <v>0</v>
      </c>
      <c r="AO1807" s="109" t="str">
        <f t="shared" si="172"/>
        <v/>
      </c>
      <c r="AP1807" s="109" t="e">
        <f t="shared" si="173"/>
        <v>#VALUE!</v>
      </c>
      <c r="AQ1807" s="397" t="e">
        <f t="shared" si="168"/>
        <v>#VALUE!</v>
      </c>
    </row>
    <row r="1808" spans="38:43">
      <c r="AL1808" s="414" t="str">
        <f t="shared" si="169"/>
        <v/>
      </c>
      <c r="AM1808" s="395" t="str">
        <f t="shared" si="170"/>
        <v/>
      </c>
      <c r="AN1808" s="396">
        <f t="shared" si="171"/>
        <v>0</v>
      </c>
      <c r="AO1808" s="109" t="str">
        <f t="shared" si="172"/>
        <v/>
      </c>
      <c r="AP1808" s="109" t="e">
        <f t="shared" si="173"/>
        <v>#VALUE!</v>
      </c>
      <c r="AQ1808" s="397" t="e">
        <f t="shared" si="168"/>
        <v>#VALUE!</v>
      </c>
    </row>
    <row r="1809" spans="38:43">
      <c r="AL1809" s="414" t="str">
        <f t="shared" si="169"/>
        <v/>
      </c>
      <c r="AM1809" s="395" t="str">
        <f t="shared" si="170"/>
        <v/>
      </c>
      <c r="AN1809" s="396">
        <f t="shared" si="171"/>
        <v>0</v>
      </c>
      <c r="AO1809" s="109" t="str">
        <f t="shared" si="172"/>
        <v/>
      </c>
      <c r="AP1809" s="109" t="e">
        <f t="shared" si="173"/>
        <v>#VALUE!</v>
      </c>
      <c r="AQ1809" s="397" t="e">
        <f t="shared" si="168"/>
        <v>#VALUE!</v>
      </c>
    </row>
    <row r="1810" spans="38:43">
      <c r="AL1810" s="414" t="str">
        <f t="shared" si="169"/>
        <v/>
      </c>
      <c r="AM1810" s="395" t="str">
        <f t="shared" si="170"/>
        <v/>
      </c>
      <c r="AN1810" s="396">
        <f t="shared" si="171"/>
        <v>0</v>
      </c>
      <c r="AO1810" s="109" t="str">
        <f t="shared" si="172"/>
        <v/>
      </c>
      <c r="AP1810" s="109" t="e">
        <f t="shared" si="173"/>
        <v>#VALUE!</v>
      </c>
      <c r="AQ1810" s="397" t="e">
        <f t="shared" si="168"/>
        <v>#VALUE!</v>
      </c>
    </row>
    <row r="1811" spans="38:43">
      <c r="AL1811" s="414" t="str">
        <f t="shared" si="169"/>
        <v/>
      </c>
      <c r="AM1811" s="395" t="str">
        <f t="shared" si="170"/>
        <v/>
      </c>
      <c r="AN1811" s="396">
        <f t="shared" si="171"/>
        <v>0</v>
      </c>
      <c r="AO1811" s="109" t="str">
        <f t="shared" si="172"/>
        <v/>
      </c>
      <c r="AP1811" s="109" t="e">
        <f t="shared" si="173"/>
        <v>#VALUE!</v>
      </c>
      <c r="AQ1811" s="397" t="e">
        <f t="shared" si="168"/>
        <v>#VALUE!</v>
      </c>
    </row>
    <row r="1812" spans="38:43">
      <c r="AL1812" s="414" t="str">
        <f t="shared" si="169"/>
        <v/>
      </c>
      <c r="AM1812" s="395" t="str">
        <f t="shared" si="170"/>
        <v/>
      </c>
      <c r="AN1812" s="396">
        <f t="shared" si="171"/>
        <v>0</v>
      </c>
      <c r="AO1812" s="109" t="str">
        <f t="shared" si="172"/>
        <v/>
      </c>
      <c r="AP1812" s="109" t="e">
        <f t="shared" si="173"/>
        <v>#VALUE!</v>
      </c>
      <c r="AQ1812" s="397" t="e">
        <f t="shared" si="168"/>
        <v>#VALUE!</v>
      </c>
    </row>
    <row r="1813" spans="38:43">
      <c r="AL1813" s="414" t="str">
        <f t="shared" si="169"/>
        <v/>
      </c>
      <c r="AM1813" s="395" t="str">
        <f t="shared" si="170"/>
        <v/>
      </c>
      <c r="AN1813" s="396">
        <f t="shared" si="171"/>
        <v>0</v>
      </c>
      <c r="AO1813" s="109" t="str">
        <f t="shared" si="172"/>
        <v/>
      </c>
      <c r="AP1813" s="109" t="e">
        <f t="shared" si="173"/>
        <v>#VALUE!</v>
      </c>
      <c r="AQ1813" s="397" t="e">
        <f t="shared" si="168"/>
        <v>#VALUE!</v>
      </c>
    </row>
    <row r="1814" spans="38:43">
      <c r="AL1814" s="414" t="str">
        <f t="shared" si="169"/>
        <v/>
      </c>
      <c r="AM1814" s="395" t="str">
        <f t="shared" si="170"/>
        <v/>
      </c>
      <c r="AN1814" s="396">
        <f t="shared" si="171"/>
        <v>0</v>
      </c>
      <c r="AO1814" s="109" t="str">
        <f t="shared" si="172"/>
        <v/>
      </c>
      <c r="AP1814" s="109" t="e">
        <f t="shared" si="173"/>
        <v>#VALUE!</v>
      </c>
      <c r="AQ1814" s="397" t="e">
        <f t="shared" si="168"/>
        <v>#VALUE!</v>
      </c>
    </row>
    <row r="1815" spans="38:43">
      <c r="AL1815" s="414" t="str">
        <f t="shared" si="169"/>
        <v/>
      </c>
      <c r="AM1815" s="395" t="str">
        <f t="shared" si="170"/>
        <v/>
      </c>
      <c r="AN1815" s="396">
        <f t="shared" si="171"/>
        <v>0</v>
      </c>
      <c r="AO1815" s="109" t="str">
        <f t="shared" si="172"/>
        <v/>
      </c>
      <c r="AP1815" s="109" t="e">
        <f t="shared" si="173"/>
        <v>#VALUE!</v>
      </c>
      <c r="AQ1815" s="397" t="e">
        <f t="shared" si="168"/>
        <v>#VALUE!</v>
      </c>
    </row>
    <row r="1816" spans="38:43">
      <c r="AL1816" s="414" t="str">
        <f t="shared" si="169"/>
        <v/>
      </c>
      <c r="AM1816" s="395" t="str">
        <f t="shared" si="170"/>
        <v/>
      </c>
      <c r="AN1816" s="396">
        <f t="shared" si="171"/>
        <v>0</v>
      </c>
      <c r="AO1816" s="109" t="str">
        <f t="shared" si="172"/>
        <v/>
      </c>
      <c r="AP1816" s="109" t="e">
        <f t="shared" si="173"/>
        <v>#VALUE!</v>
      </c>
      <c r="AQ1816" s="397" t="e">
        <f t="shared" si="168"/>
        <v>#VALUE!</v>
      </c>
    </row>
    <row r="1817" spans="38:43">
      <c r="AL1817" s="414" t="str">
        <f t="shared" si="169"/>
        <v/>
      </c>
      <c r="AM1817" s="395" t="str">
        <f t="shared" si="170"/>
        <v/>
      </c>
      <c r="AN1817" s="396">
        <f t="shared" si="171"/>
        <v>0</v>
      </c>
      <c r="AO1817" s="109" t="str">
        <f t="shared" si="172"/>
        <v/>
      </c>
      <c r="AP1817" s="109" t="e">
        <f t="shared" si="173"/>
        <v>#VALUE!</v>
      </c>
      <c r="AQ1817" s="397" t="e">
        <f t="shared" si="168"/>
        <v>#VALUE!</v>
      </c>
    </row>
    <row r="1818" spans="38:43">
      <c r="AL1818" s="414" t="str">
        <f t="shared" si="169"/>
        <v/>
      </c>
      <c r="AM1818" s="395" t="str">
        <f t="shared" si="170"/>
        <v/>
      </c>
      <c r="AN1818" s="396">
        <f t="shared" si="171"/>
        <v>0</v>
      </c>
      <c r="AO1818" s="109" t="str">
        <f t="shared" si="172"/>
        <v/>
      </c>
      <c r="AP1818" s="109" t="e">
        <f t="shared" si="173"/>
        <v>#VALUE!</v>
      </c>
      <c r="AQ1818" s="397" t="e">
        <f t="shared" si="168"/>
        <v>#VALUE!</v>
      </c>
    </row>
    <row r="1819" spans="38:43">
      <c r="AL1819" s="414" t="str">
        <f t="shared" si="169"/>
        <v/>
      </c>
      <c r="AM1819" s="395" t="str">
        <f t="shared" si="170"/>
        <v/>
      </c>
      <c r="AN1819" s="396">
        <f t="shared" si="171"/>
        <v>0</v>
      </c>
      <c r="AO1819" s="109" t="str">
        <f t="shared" si="172"/>
        <v/>
      </c>
      <c r="AP1819" s="109" t="e">
        <f t="shared" si="173"/>
        <v>#VALUE!</v>
      </c>
      <c r="AQ1819" s="397" t="e">
        <f t="shared" si="168"/>
        <v>#VALUE!</v>
      </c>
    </row>
    <row r="1820" spans="38:43">
      <c r="AL1820" s="414" t="str">
        <f t="shared" si="169"/>
        <v/>
      </c>
      <c r="AM1820" s="395" t="str">
        <f t="shared" si="170"/>
        <v/>
      </c>
      <c r="AN1820" s="396">
        <f t="shared" si="171"/>
        <v>0</v>
      </c>
      <c r="AO1820" s="109" t="str">
        <f t="shared" si="172"/>
        <v/>
      </c>
      <c r="AP1820" s="109" t="e">
        <f t="shared" si="173"/>
        <v>#VALUE!</v>
      </c>
      <c r="AQ1820" s="397" t="e">
        <f t="shared" si="168"/>
        <v>#VALUE!</v>
      </c>
    </row>
    <row r="1821" spans="38:43">
      <c r="AL1821" s="414" t="str">
        <f t="shared" si="169"/>
        <v/>
      </c>
      <c r="AM1821" s="395" t="str">
        <f t="shared" si="170"/>
        <v/>
      </c>
      <c r="AN1821" s="396">
        <f t="shared" si="171"/>
        <v>0</v>
      </c>
      <c r="AO1821" s="109" t="str">
        <f t="shared" si="172"/>
        <v/>
      </c>
      <c r="AP1821" s="109" t="e">
        <f t="shared" si="173"/>
        <v>#VALUE!</v>
      </c>
      <c r="AQ1821" s="397" t="e">
        <f t="shared" ref="AQ1821:AQ1884" si="174">AN1821*AP1821</f>
        <v>#VALUE!</v>
      </c>
    </row>
    <row r="1822" spans="38:43">
      <c r="AL1822" s="414" t="str">
        <f t="shared" si="169"/>
        <v/>
      </c>
      <c r="AM1822" s="395" t="str">
        <f t="shared" si="170"/>
        <v/>
      </c>
      <c r="AN1822" s="396">
        <f t="shared" si="171"/>
        <v>0</v>
      </c>
      <c r="AO1822" s="109" t="str">
        <f t="shared" si="172"/>
        <v/>
      </c>
      <c r="AP1822" s="109" t="e">
        <f t="shared" si="173"/>
        <v>#VALUE!</v>
      </c>
      <c r="AQ1822" s="397" t="e">
        <f t="shared" si="174"/>
        <v>#VALUE!</v>
      </c>
    </row>
    <row r="1823" spans="38:43">
      <c r="AL1823" s="414" t="str">
        <f t="shared" si="169"/>
        <v/>
      </c>
      <c r="AM1823" s="395" t="str">
        <f t="shared" si="170"/>
        <v/>
      </c>
      <c r="AN1823" s="396">
        <f t="shared" si="171"/>
        <v>0</v>
      </c>
      <c r="AO1823" s="109" t="str">
        <f t="shared" si="172"/>
        <v/>
      </c>
      <c r="AP1823" s="109" t="e">
        <f t="shared" si="173"/>
        <v>#VALUE!</v>
      </c>
      <c r="AQ1823" s="397" t="e">
        <f t="shared" si="174"/>
        <v>#VALUE!</v>
      </c>
    </row>
    <row r="1824" spans="38:43">
      <c r="AL1824" s="414" t="str">
        <f t="shared" si="169"/>
        <v/>
      </c>
      <c r="AM1824" s="395" t="str">
        <f t="shared" si="170"/>
        <v/>
      </c>
      <c r="AN1824" s="396">
        <f t="shared" si="171"/>
        <v>0</v>
      </c>
      <c r="AO1824" s="109" t="str">
        <f t="shared" si="172"/>
        <v/>
      </c>
      <c r="AP1824" s="109" t="e">
        <f t="shared" si="173"/>
        <v>#VALUE!</v>
      </c>
      <c r="AQ1824" s="397" t="e">
        <f t="shared" si="174"/>
        <v>#VALUE!</v>
      </c>
    </row>
    <row r="1825" spans="38:43">
      <c r="AL1825" s="414" t="str">
        <f t="shared" si="169"/>
        <v/>
      </c>
      <c r="AM1825" s="395" t="str">
        <f t="shared" si="170"/>
        <v/>
      </c>
      <c r="AN1825" s="396">
        <f t="shared" si="171"/>
        <v>0</v>
      </c>
      <c r="AO1825" s="109" t="str">
        <f t="shared" si="172"/>
        <v/>
      </c>
      <c r="AP1825" s="109" t="e">
        <f t="shared" si="173"/>
        <v>#VALUE!</v>
      </c>
      <c r="AQ1825" s="397" t="e">
        <f t="shared" si="174"/>
        <v>#VALUE!</v>
      </c>
    </row>
    <row r="1826" spans="38:43">
      <c r="AL1826" s="414" t="str">
        <f t="shared" si="169"/>
        <v/>
      </c>
      <c r="AM1826" s="395" t="str">
        <f t="shared" si="170"/>
        <v/>
      </c>
      <c r="AN1826" s="396">
        <f t="shared" si="171"/>
        <v>0</v>
      </c>
      <c r="AO1826" s="109" t="str">
        <f t="shared" si="172"/>
        <v/>
      </c>
      <c r="AP1826" s="109" t="e">
        <f t="shared" si="173"/>
        <v>#VALUE!</v>
      </c>
      <c r="AQ1826" s="397" t="e">
        <f t="shared" si="174"/>
        <v>#VALUE!</v>
      </c>
    </row>
    <row r="1827" spans="38:43">
      <c r="AL1827" s="414" t="str">
        <f t="shared" si="169"/>
        <v/>
      </c>
      <c r="AM1827" s="395" t="str">
        <f t="shared" si="170"/>
        <v/>
      </c>
      <c r="AN1827" s="396">
        <f t="shared" si="171"/>
        <v>0</v>
      </c>
      <c r="AO1827" s="109" t="str">
        <f t="shared" si="172"/>
        <v/>
      </c>
      <c r="AP1827" s="109" t="e">
        <f t="shared" si="173"/>
        <v>#VALUE!</v>
      </c>
      <c r="AQ1827" s="397" t="e">
        <f t="shared" si="174"/>
        <v>#VALUE!</v>
      </c>
    </row>
    <row r="1828" spans="38:43">
      <c r="AL1828" s="414" t="str">
        <f t="shared" si="169"/>
        <v/>
      </c>
      <c r="AM1828" s="395" t="str">
        <f t="shared" si="170"/>
        <v/>
      </c>
      <c r="AN1828" s="396">
        <f t="shared" si="171"/>
        <v>0</v>
      </c>
      <c r="AO1828" s="109" t="str">
        <f t="shared" si="172"/>
        <v/>
      </c>
      <c r="AP1828" s="109" t="e">
        <f t="shared" si="173"/>
        <v>#VALUE!</v>
      </c>
      <c r="AQ1828" s="397" t="e">
        <f t="shared" si="174"/>
        <v>#VALUE!</v>
      </c>
    </row>
    <row r="1829" spans="38:43">
      <c r="AL1829" s="414" t="str">
        <f t="shared" si="169"/>
        <v/>
      </c>
      <c r="AM1829" s="395" t="str">
        <f t="shared" si="170"/>
        <v/>
      </c>
      <c r="AN1829" s="396">
        <f t="shared" si="171"/>
        <v>0</v>
      </c>
      <c r="AO1829" s="109" t="str">
        <f t="shared" si="172"/>
        <v/>
      </c>
      <c r="AP1829" s="109" t="e">
        <f t="shared" si="173"/>
        <v>#VALUE!</v>
      </c>
      <c r="AQ1829" s="397" t="e">
        <f t="shared" si="174"/>
        <v>#VALUE!</v>
      </c>
    </row>
    <row r="1830" spans="38:43">
      <c r="AL1830" s="414" t="str">
        <f t="shared" si="169"/>
        <v/>
      </c>
      <c r="AM1830" s="395" t="str">
        <f t="shared" si="170"/>
        <v/>
      </c>
      <c r="AN1830" s="396">
        <f t="shared" si="171"/>
        <v>0</v>
      </c>
      <c r="AO1830" s="109" t="str">
        <f t="shared" si="172"/>
        <v/>
      </c>
      <c r="AP1830" s="109" t="e">
        <f t="shared" si="173"/>
        <v>#VALUE!</v>
      </c>
      <c r="AQ1830" s="397" t="e">
        <f t="shared" si="174"/>
        <v>#VALUE!</v>
      </c>
    </row>
    <row r="1831" spans="38:43">
      <c r="AL1831" s="414" t="str">
        <f t="shared" si="169"/>
        <v/>
      </c>
      <c r="AM1831" s="395" t="str">
        <f t="shared" si="170"/>
        <v/>
      </c>
      <c r="AN1831" s="396">
        <f t="shared" si="171"/>
        <v>0</v>
      </c>
      <c r="AO1831" s="109" t="str">
        <f t="shared" si="172"/>
        <v/>
      </c>
      <c r="AP1831" s="109" t="e">
        <f t="shared" si="173"/>
        <v>#VALUE!</v>
      </c>
      <c r="AQ1831" s="397" t="e">
        <f t="shared" si="174"/>
        <v>#VALUE!</v>
      </c>
    </row>
    <row r="1832" spans="38:43">
      <c r="AL1832" s="414" t="str">
        <f t="shared" si="169"/>
        <v/>
      </c>
      <c r="AM1832" s="395" t="str">
        <f t="shared" si="170"/>
        <v/>
      </c>
      <c r="AN1832" s="396">
        <f t="shared" si="171"/>
        <v>0</v>
      </c>
      <c r="AO1832" s="109" t="str">
        <f t="shared" si="172"/>
        <v/>
      </c>
      <c r="AP1832" s="109" t="e">
        <f t="shared" si="173"/>
        <v>#VALUE!</v>
      </c>
      <c r="AQ1832" s="397" t="e">
        <f t="shared" si="174"/>
        <v>#VALUE!</v>
      </c>
    </row>
    <row r="1833" spans="38:43">
      <c r="AL1833" s="414" t="str">
        <f t="shared" si="169"/>
        <v/>
      </c>
      <c r="AM1833" s="395" t="str">
        <f t="shared" si="170"/>
        <v/>
      </c>
      <c r="AN1833" s="396">
        <f t="shared" si="171"/>
        <v>0</v>
      </c>
      <c r="AO1833" s="109" t="str">
        <f t="shared" si="172"/>
        <v/>
      </c>
      <c r="AP1833" s="109" t="e">
        <f t="shared" si="173"/>
        <v>#VALUE!</v>
      </c>
      <c r="AQ1833" s="397" t="e">
        <f t="shared" si="174"/>
        <v>#VALUE!</v>
      </c>
    </row>
    <row r="1834" spans="38:43">
      <c r="AL1834" s="414" t="str">
        <f t="shared" si="169"/>
        <v/>
      </c>
      <c r="AM1834" s="395" t="str">
        <f t="shared" si="170"/>
        <v/>
      </c>
      <c r="AN1834" s="396">
        <f t="shared" si="171"/>
        <v>0</v>
      </c>
      <c r="AO1834" s="109" t="str">
        <f t="shared" si="172"/>
        <v/>
      </c>
      <c r="AP1834" s="109" t="e">
        <f t="shared" si="173"/>
        <v>#VALUE!</v>
      </c>
      <c r="AQ1834" s="397" t="e">
        <f t="shared" si="174"/>
        <v>#VALUE!</v>
      </c>
    </row>
    <row r="1835" spans="38:43">
      <c r="AL1835" s="414" t="str">
        <f t="shared" si="169"/>
        <v/>
      </c>
      <c r="AM1835" s="395" t="str">
        <f t="shared" si="170"/>
        <v/>
      </c>
      <c r="AN1835" s="396">
        <f t="shared" si="171"/>
        <v>0</v>
      </c>
      <c r="AO1835" s="109" t="str">
        <f t="shared" si="172"/>
        <v/>
      </c>
      <c r="AP1835" s="109" t="e">
        <f t="shared" si="173"/>
        <v>#VALUE!</v>
      </c>
      <c r="AQ1835" s="397" t="e">
        <f t="shared" si="174"/>
        <v>#VALUE!</v>
      </c>
    </row>
    <row r="1836" spans="38:43">
      <c r="AL1836" s="414" t="str">
        <f t="shared" si="169"/>
        <v/>
      </c>
      <c r="AM1836" s="395" t="str">
        <f t="shared" si="170"/>
        <v/>
      </c>
      <c r="AN1836" s="396">
        <f t="shared" si="171"/>
        <v>0</v>
      </c>
      <c r="AO1836" s="109" t="str">
        <f t="shared" si="172"/>
        <v/>
      </c>
      <c r="AP1836" s="109" t="e">
        <f t="shared" si="173"/>
        <v>#VALUE!</v>
      </c>
      <c r="AQ1836" s="397" t="e">
        <f t="shared" si="174"/>
        <v>#VALUE!</v>
      </c>
    </row>
    <row r="1837" spans="38:43">
      <c r="AL1837" s="414" t="str">
        <f t="shared" si="169"/>
        <v/>
      </c>
      <c r="AM1837" s="395" t="str">
        <f t="shared" si="170"/>
        <v/>
      </c>
      <c r="AN1837" s="396">
        <f t="shared" si="171"/>
        <v>0</v>
      </c>
      <c r="AO1837" s="109" t="str">
        <f t="shared" si="172"/>
        <v/>
      </c>
      <c r="AP1837" s="109" t="e">
        <f t="shared" si="173"/>
        <v>#VALUE!</v>
      </c>
      <c r="AQ1837" s="397" t="e">
        <f t="shared" si="174"/>
        <v>#VALUE!</v>
      </c>
    </row>
    <row r="1838" spans="38:43">
      <c r="AL1838" s="414" t="str">
        <f t="shared" si="169"/>
        <v/>
      </c>
      <c r="AM1838" s="395" t="str">
        <f t="shared" si="170"/>
        <v/>
      </c>
      <c r="AN1838" s="396">
        <f t="shared" si="171"/>
        <v>0</v>
      </c>
      <c r="AO1838" s="109" t="str">
        <f t="shared" si="172"/>
        <v/>
      </c>
      <c r="AP1838" s="109" t="e">
        <f t="shared" si="173"/>
        <v>#VALUE!</v>
      </c>
      <c r="AQ1838" s="397" t="e">
        <f t="shared" si="174"/>
        <v>#VALUE!</v>
      </c>
    </row>
    <row r="1839" spans="38:43">
      <c r="AL1839" s="414" t="str">
        <f t="shared" si="169"/>
        <v/>
      </c>
      <c r="AM1839" s="395" t="str">
        <f t="shared" si="170"/>
        <v/>
      </c>
      <c r="AN1839" s="396">
        <f t="shared" si="171"/>
        <v>0</v>
      </c>
      <c r="AO1839" s="109" t="str">
        <f t="shared" si="172"/>
        <v/>
      </c>
      <c r="AP1839" s="109" t="e">
        <f t="shared" si="173"/>
        <v>#VALUE!</v>
      </c>
      <c r="AQ1839" s="397" t="e">
        <f t="shared" si="174"/>
        <v>#VALUE!</v>
      </c>
    </row>
    <row r="1840" spans="38:43">
      <c r="AL1840" s="414" t="str">
        <f t="shared" si="169"/>
        <v/>
      </c>
      <c r="AM1840" s="395" t="str">
        <f t="shared" si="170"/>
        <v/>
      </c>
      <c r="AN1840" s="396">
        <f t="shared" si="171"/>
        <v>0</v>
      </c>
      <c r="AO1840" s="109" t="str">
        <f t="shared" si="172"/>
        <v/>
      </c>
      <c r="AP1840" s="109" t="e">
        <f t="shared" si="173"/>
        <v>#VALUE!</v>
      </c>
      <c r="AQ1840" s="397" t="e">
        <f t="shared" si="174"/>
        <v>#VALUE!</v>
      </c>
    </row>
    <row r="1841" spans="38:43">
      <c r="AL1841" s="414" t="str">
        <f t="shared" si="169"/>
        <v/>
      </c>
      <c r="AM1841" s="395" t="str">
        <f t="shared" si="170"/>
        <v/>
      </c>
      <c r="AN1841" s="396">
        <f t="shared" si="171"/>
        <v>0</v>
      </c>
      <c r="AO1841" s="109" t="str">
        <f t="shared" si="172"/>
        <v/>
      </c>
      <c r="AP1841" s="109" t="e">
        <f t="shared" si="173"/>
        <v>#VALUE!</v>
      </c>
      <c r="AQ1841" s="397" t="e">
        <f t="shared" si="174"/>
        <v>#VALUE!</v>
      </c>
    </row>
    <row r="1842" spans="38:43">
      <c r="AL1842" s="414" t="str">
        <f t="shared" si="169"/>
        <v/>
      </c>
      <c r="AM1842" s="395" t="str">
        <f t="shared" si="170"/>
        <v/>
      </c>
      <c r="AN1842" s="396">
        <f t="shared" si="171"/>
        <v>0</v>
      </c>
      <c r="AO1842" s="109" t="str">
        <f t="shared" si="172"/>
        <v/>
      </c>
      <c r="AP1842" s="109" t="e">
        <f t="shared" si="173"/>
        <v>#VALUE!</v>
      </c>
      <c r="AQ1842" s="397" t="e">
        <f t="shared" si="174"/>
        <v>#VALUE!</v>
      </c>
    </row>
    <row r="1843" spans="38:43">
      <c r="AL1843" s="414" t="str">
        <f t="shared" si="169"/>
        <v/>
      </c>
      <c r="AM1843" s="395" t="str">
        <f t="shared" si="170"/>
        <v/>
      </c>
      <c r="AN1843" s="396">
        <f t="shared" si="171"/>
        <v>0</v>
      </c>
      <c r="AO1843" s="109" t="str">
        <f t="shared" si="172"/>
        <v/>
      </c>
      <c r="AP1843" s="109" t="e">
        <f t="shared" si="173"/>
        <v>#VALUE!</v>
      </c>
      <c r="AQ1843" s="397" t="e">
        <f t="shared" si="174"/>
        <v>#VALUE!</v>
      </c>
    </row>
    <row r="1844" spans="38:43">
      <c r="AL1844" s="414" t="str">
        <f t="shared" si="169"/>
        <v/>
      </c>
      <c r="AM1844" s="395" t="str">
        <f t="shared" si="170"/>
        <v/>
      </c>
      <c r="AN1844" s="396">
        <f t="shared" si="171"/>
        <v>0</v>
      </c>
      <c r="AO1844" s="109" t="str">
        <f t="shared" si="172"/>
        <v/>
      </c>
      <c r="AP1844" s="109" t="e">
        <f t="shared" si="173"/>
        <v>#VALUE!</v>
      </c>
      <c r="AQ1844" s="397" t="e">
        <f t="shared" si="174"/>
        <v>#VALUE!</v>
      </c>
    </row>
    <row r="1845" spans="38:43">
      <c r="AL1845" s="414" t="str">
        <f t="shared" si="169"/>
        <v/>
      </c>
      <c r="AM1845" s="395" t="str">
        <f t="shared" si="170"/>
        <v/>
      </c>
      <c r="AN1845" s="396">
        <f t="shared" si="171"/>
        <v>0</v>
      </c>
      <c r="AO1845" s="109" t="str">
        <f t="shared" si="172"/>
        <v/>
      </c>
      <c r="AP1845" s="109" t="e">
        <f t="shared" si="173"/>
        <v>#VALUE!</v>
      </c>
      <c r="AQ1845" s="397" t="e">
        <f t="shared" si="174"/>
        <v>#VALUE!</v>
      </c>
    </row>
    <row r="1846" spans="38:43">
      <c r="AL1846" s="414" t="str">
        <f t="shared" si="169"/>
        <v/>
      </c>
      <c r="AM1846" s="395" t="str">
        <f t="shared" si="170"/>
        <v/>
      </c>
      <c r="AN1846" s="396">
        <f t="shared" si="171"/>
        <v>0</v>
      </c>
      <c r="AO1846" s="109" t="str">
        <f t="shared" si="172"/>
        <v/>
      </c>
      <c r="AP1846" s="109" t="e">
        <f t="shared" si="173"/>
        <v>#VALUE!</v>
      </c>
      <c r="AQ1846" s="397" t="e">
        <f t="shared" si="174"/>
        <v>#VALUE!</v>
      </c>
    </row>
    <row r="1847" spans="38:43">
      <c r="AL1847" s="414" t="str">
        <f t="shared" si="169"/>
        <v/>
      </c>
      <c r="AM1847" s="395" t="str">
        <f t="shared" si="170"/>
        <v/>
      </c>
      <c r="AN1847" s="396">
        <f t="shared" si="171"/>
        <v>0</v>
      </c>
      <c r="AO1847" s="109" t="str">
        <f t="shared" si="172"/>
        <v/>
      </c>
      <c r="AP1847" s="109" t="e">
        <f t="shared" si="173"/>
        <v>#VALUE!</v>
      </c>
      <c r="AQ1847" s="397" t="e">
        <f t="shared" si="174"/>
        <v>#VALUE!</v>
      </c>
    </row>
    <row r="1848" spans="38:43">
      <c r="AL1848" s="414" t="str">
        <f t="shared" si="169"/>
        <v/>
      </c>
      <c r="AM1848" s="395" t="str">
        <f t="shared" si="170"/>
        <v/>
      </c>
      <c r="AN1848" s="396">
        <f t="shared" si="171"/>
        <v>0</v>
      </c>
      <c r="AO1848" s="109" t="str">
        <f t="shared" si="172"/>
        <v/>
      </c>
      <c r="AP1848" s="109" t="e">
        <f t="shared" si="173"/>
        <v>#VALUE!</v>
      </c>
      <c r="AQ1848" s="397" t="e">
        <f t="shared" si="174"/>
        <v>#VALUE!</v>
      </c>
    </row>
    <row r="1849" spans="38:43">
      <c r="AL1849" s="414" t="str">
        <f t="shared" si="169"/>
        <v/>
      </c>
      <c r="AM1849" s="395" t="str">
        <f t="shared" si="170"/>
        <v/>
      </c>
      <c r="AN1849" s="396">
        <f t="shared" si="171"/>
        <v>0</v>
      </c>
      <c r="AO1849" s="109" t="str">
        <f t="shared" si="172"/>
        <v/>
      </c>
      <c r="AP1849" s="109" t="e">
        <f t="shared" si="173"/>
        <v>#VALUE!</v>
      </c>
      <c r="AQ1849" s="397" t="e">
        <f t="shared" si="174"/>
        <v>#VALUE!</v>
      </c>
    </row>
    <row r="1850" spans="38:43">
      <c r="AL1850" s="414" t="str">
        <f t="shared" si="169"/>
        <v/>
      </c>
      <c r="AM1850" s="395" t="str">
        <f t="shared" si="170"/>
        <v/>
      </c>
      <c r="AN1850" s="396">
        <f t="shared" si="171"/>
        <v>0</v>
      </c>
      <c r="AO1850" s="109" t="str">
        <f t="shared" si="172"/>
        <v/>
      </c>
      <c r="AP1850" s="109" t="e">
        <f t="shared" si="173"/>
        <v>#VALUE!</v>
      </c>
      <c r="AQ1850" s="397" t="e">
        <f t="shared" si="174"/>
        <v>#VALUE!</v>
      </c>
    </row>
    <row r="1851" spans="38:43">
      <c r="AL1851" s="414" t="str">
        <f t="shared" si="169"/>
        <v/>
      </c>
      <c r="AM1851" s="395" t="str">
        <f t="shared" si="170"/>
        <v/>
      </c>
      <c r="AN1851" s="396">
        <f t="shared" si="171"/>
        <v>0</v>
      </c>
      <c r="AO1851" s="109" t="str">
        <f t="shared" si="172"/>
        <v/>
      </c>
      <c r="AP1851" s="109" t="e">
        <f t="shared" si="173"/>
        <v>#VALUE!</v>
      </c>
      <c r="AQ1851" s="397" t="e">
        <f t="shared" si="174"/>
        <v>#VALUE!</v>
      </c>
    </row>
    <row r="1852" spans="38:43">
      <c r="AL1852" s="414" t="str">
        <f t="shared" si="169"/>
        <v/>
      </c>
      <c r="AM1852" s="395" t="str">
        <f t="shared" si="170"/>
        <v/>
      </c>
      <c r="AN1852" s="396">
        <f t="shared" si="171"/>
        <v>0</v>
      </c>
      <c r="AO1852" s="109" t="str">
        <f t="shared" si="172"/>
        <v/>
      </c>
      <c r="AP1852" s="109" t="e">
        <f t="shared" si="173"/>
        <v>#VALUE!</v>
      </c>
      <c r="AQ1852" s="397" t="e">
        <f t="shared" si="174"/>
        <v>#VALUE!</v>
      </c>
    </row>
    <row r="1853" spans="38:43">
      <c r="AL1853" s="414" t="str">
        <f t="shared" si="169"/>
        <v/>
      </c>
      <c r="AM1853" s="395" t="str">
        <f t="shared" si="170"/>
        <v/>
      </c>
      <c r="AN1853" s="396">
        <f t="shared" si="171"/>
        <v>0</v>
      </c>
      <c r="AO1853" s="109" t="str">
        <f t="shared" si="172"/>
        <v/>
      </c>
      <c r="AP1853" s="109" t="e">
        <f t="shared" si="173"/>
        <v>#VALUE!</v>
      </c>
      <c r="AQ1853" s="397" t="e">
        <f t="shared" si="174"/>
        <v>#VALUE!</v>
      </c>
    </row>
    <row r="1854" spans="38:43">
      <c r="AL1854" s="414" t="str">
        <f t="shared" si="169"/>
        <v/>
      </c>
      <c r="AM1854" s="395" t="str">
        <f t="shared" si="170"/>
        <v/>
      </c>
      <c r="AN1854" s="396">
        <f t="shared" si="171"/>
        <v>0</v>
      </c>
      <c r="AO1854" s="109" t="str">
        <f t="shared" si="172"/>
        <v/>
      </c>
      <c r="AP1854" s="109" t="e">
        <f t="shared" si="173"/>
        <v>#VALUE!</v>
      </c>
      <c r="AQ1854" s="397" t="e">
        <f t="shared" si="174"/>
        <v>#VALUE!</v>
      </c>
    </row>
    <row r="1855" spans="38:43">
      <c r="AL1855" s="414" t="str">
        <f t="shared" si="169"/>
        <v/>
      </c>
      <c r="AM1855" s="395" t="str">
        <f t="shared" si="170"/>
        <v/>
      </c>
      <c r="AN1855" s="396">
        <f t="shared" si="171"/>
        <v>0</v>
      </c>
      <c r="AO1855" s="109" t="str">
        <f t="shared" si="172"/>
        <v/>
      </c>
      <c r="AP1855" s="109" t="e">
        <f t="shared" si="173"/>
        <v>#VALUE!</v>
      </c>
      <c r="AQ1855" s="397" t="e">
        <f t="shared" si="174"/>
        <v>#VALUE!</v>
      </c>
    </row>
    <row r="1856" spans="38:43">
      <c r="AL1856" s="414" t="str">
        <f t="shared" si="169"/>
        <v/>
      </c>
      <c r="AM1856" s="395" t="str">
        <f t="shared" si="170"/>
        <v/>
      </c>
      <c r="AN1856" s="396">
        <f t="shared" si="171"/>
        <v>0</v>
      </c>
      <c r="AO1856" s="109" t="str">
        <f t="shared" si="172"/>
        <v/>
      </c>
      <c r="AP1856" s="109" t="e">
        <f t="shared" si="173"/>
        <v>#VALUE!</v>
      </c>
      <c r="AQ1856" s="397" t="e">
        <f t="shared" si="174"/>
        <v>#VALUE!</v>
      </c>
    </row>
    <row r="1857" spans="38:43">
      <c r="AL1857" s="414" t="str">
        <f t="shared" si="169"/>
        <v/>
      </c>
      <c r="AM1857" s="395" t="str">
        <f t="shared" si="170"/>
        <v/>
      </c>
      <c r="AN1857" s="396">
        <f t="shared" si="171"/>
        <v>0</v>
      </c>
      <c r="AO1857" s="109" t="str">
        <f t="shared" si="172"/>
        <v/>
      </c>
      <c r="AP1857" s="109" t="e">
        <f t="shared" si="173"/>
        <v>#VALUE!</v>
      </c>
      <c r="AQ1857" s="397" t="e">
        <f t="shared" si="174"/>
        <v>#VALUE!</v>
      </c>
    </row>
    <row r="1858" spans="38:43">
      <c r="AL1858" s="414" t="str">
        <f t="shared" si="169"/>
        <v/>
      </c>
      <c r="AM1858" s="395" t="str">
        <f t="shared" si="170"/>
        <v/>
      </c>
      <c r="AN1858" s="396">
        <f t="shared" si="171"/>
        <v>0</v>
      </c>
      <c r="AO1858" s="109" t="str">
        <f t="shared" si="172"/>
        <v/>
      </c>
      <c r="AP1858" s="109" t="e">
        <f t="shared" si="173"/>
        <v>#VALUE!</v>
      </c>
      <c r="AQ1858" s="397" t="e">
        <f t="shared" si="174"/>
        <v>#VALUE!</v>
      </c>
    </row>
    <row r="1859" spans="38:43">
      <c r="AL1859" s="414" t="str">
        <f t="shared" ref="AL1859:AL1922" si="175">SUBSTITUTE(SUBSTITUTE(H1859,"[워커힐]워커힐 고메 시그니처 양념 본갈비 8팩","워커힐 시그니처 양념 본갈비 300g, 8개"),"[워커힐]워커힐 시그니처 양념 본갈비 4팩","워커힐 시그니처 양념 본갈비 300g, 4개")</f>
        <v/>
      </c>
      <c r="AM1859" s="395" t="str">
        <f t="shared" ref="AM1859:AM1922" si="176">IF(N1859="배송완료", DATE(LEFT(M1859,4), MID(M1859,6,2), MID(M1859,9,2)), "")</f>
        <v/>
      </c>
      <c r="AN1859" s="396">
        <f t="shared" ref="AN1859:AN1922" si="177">IF(OR(N1859="배송완료", Q1859&lt;0), Q1859, 0)</f>
        <v>0</v>
      </c>
      <c r="AO1859" s="109" t="str">
        <f t="shared" ref="AO1859:AO1922" si="178">IF(AL1859="워커힐 시그니처 양념 본갈비 300g, 8개",119000,IF(AL1859="워커힐 시그니처 양념 본갈비 300g, 4개",78000,""))</f>
        <v/>
      </c>
      <c r="AP1859" s="109" t="e">
        <f t="shared" ref="AP1859:AP1922" si="179">AO1859/1.1</f>
        <v>#VALUE!</v>
      </c>
      <c r="AQ1859" s="397" t="e">
        <f t="shared" si="174"/>
        <v>#VALUE!</v>
      </c>
    </row>
    <row r="1860" spans="38:43">
      <c r="AL1860" s="414" t="str">
        <f t="shared" si="175"/>
        <v/>
      </c>
      <c r="AM1860" s="395" t="str">
        <f t="shared" si="176"/>
        <v/>
      </c>
      <c r="AN1860" s="396">
        <f t="shared" si="177"/>
        <v>0</v>
      </c>
      <c r="AO1860" s="109" t="str">
        <f t="shared" si="178"/>
        <v/>
      </c>
      <c r="AP1860" s="109" t="e">
        <f t="shared" si="179"/>
        <v>#VALUE!</v>
      </c>
      <c r="AQ1860" s="397" t="e">
        <f t="shared" si="174"/>
        <v>#VALUE!</v>
      </c>
    </row>
    <row r="1861" spans="38:43">
      <c r="AL1861" s="414" t="str">
        <f t="shared" si="175"/>
        <v/>
      </c>
      <c r="AM1861" s="395" t="str">
        <f t="shared" si="176"/>
        <v/>
      </c>
      <c r="AN1861" s="396">
        <f t="shared" si="177"/>
        <v>0</v>
      </c>
      <c r="AO1861" s="109" t="str">
        <f t="shared" si="178"/>
        <v/>
      </c>
      <c r="AP1861" s="109" t="e">
        <f t="shared" si="179"/>
        <v>#VALUE!</v>
      </c>
      <c r="AQ1861" s="397" t="e">
        <f t="shared" si="174"/>
        <v>#VALUE!</v>
      </c>
    </row>
    <row r="1862" spans="38:43">
      <c r="AL1862" s="414" t="str">
        <f t="shared" si="175"/>
        <v/>
      </c>
      <c r="AM1862" s="395" t="str">
        <f t="shared" si="176"/>
        <v/>
      </c>
      <c r="AN1862" s="396">
        <f t="shared" si="177"/>
        <v>0</v>
      </c>
      <c r="AO1862" s="109" t="str">
        <f t="shared" si="178"/>
        <v/>
      </c>
      <c r="AP1862" s="109" t="e">
        <f t="shared" si="179"/>
        <v>#VALUE!</v>
      </c>
      <c r="AQ1862" s="397" t="e">
        <f t="shared" si="174"/>
        <v>#VALUE!</v>
      </c>
    </row>
    <row r="1863" spans="38:43">
      <c r="AL1863" s="414" t="str">
        <f t="shared" si="175"/>
        <v/>
      </c>
      <c r="AM1863" s="395" t="str">
        <f t="shared" si="176"/>
        <v/>
      </c>
      <c r="AN1863" s="396">
        <f t="shared" si="177"/>
        <v>0</v>
      </c>
      <c r="AO1863" s="109" t="str">
        <f t="shared" si="178"/>
        <v/>
      </c>
      <c r="AP1863" s="109" t="e">
        <f t="shared" si="179"/>
        <v>#VALUE!</v>
      </c>
      <c r="AQ1863" s="397" t="e">
        <f t="shared" si="174"/>
        <v>#VALUE!</v>
      </c>
    </row>
    <row r="1864" spans="38:43">
      <c r="AL1864" s="414" t="str">
        <f t="shared" si="175"/>
        <v/>
      </c>
      <c r="AM1864" s="395" t="str">
        <f t="shared" si="176"/>
        <v/>
      </c>
      <c r="AN1864" s="396">
        <f t="shared" si="177"/>
        <v>0</v>
      </c>
      <c r="AO1864" s="109" t="str">
        <f t="shared" si="178"/>
        <v/>
      </c>
      <c r="AP1864" s="109" t="e">
        <f t="shared" si="179"/>
        <v>#VALUE!</v>
      </c>
      <c r="AQ1864" s="397" t="e">
        <f t="shared" si="174"/>
        <v>#VALUE!</v>
      </c>
    </row>
    <row r="1865" spans="38:43">
      <c r="AL1865" s="414" t="str">
        <f t="shared" si="175"/>
        <v/>
      </c>
      <c r="AM1865" s="395" t="str">
        <f t="shared" si="176"/>
        <v/>
      </c>
      <c r="AN1865" s="396">
        <f t="shared" si="177"/>
        <v>0</v>
      </c>
      <c r="AO1865" s="109" t="str">
        <f t="shared" si="178"/>
        <v/>
      </c>
      <c r="AP1865" s="109" t="e">
        <f t="shared" si="179"/>
        <v>#VALUE!</v>
      </c>
      <c r="AQ1865" s="397" t="e">
        <f t="shared" si="174"/>
        <v>#VALUE!</v>
      </c>
    </row>
    <row r="1866" spans="38:43">
      <c r="AL1866" s="414" t="str">
        <f t="shared" si="175"/>
        <v/>
      </c>
      <c r="AM1866" s="395" t="str">
        <f t="shared" si="176"/>
        <v/>
      </c>
      <c r="AN1866" s="396">
        <f t="shared" si="177"/>
        <v>0</v>
      </c>
      <c r="AO1866" s="109" t="str">
        <f t="shared" si="178"/>
        <v/>
      </c>
      <c r="AP1866" s="109" t="e">
        <f t="shared" si="179"/>
        <v>#VALUE!</v>
      </c>
      <c r="AQ1866" s="397" t="e">
        <f t="shared" si="174"/>
        <v>#VALUE!</v>
      </c>
    </row>
    <row r="1867" spans="38:43">
      <c r="AL1867" s="414" t="str">
        <f t="shared" si="175"/>
        <v/>
      </c>
      <c r="AM1867" s="395" t="str">
        <f t="shared" si="176"/>
        <v/>
      </c>
      <c r="AN1867" s="396">
        <f t="shared" si="177"/>
        <v>0</v>
      </c>
      <c r="AO1867" s="109" t="str">
        <f t="shared" si="178"/>
        <v/>
      </c>
      <c r="AP1867" s="109" t="e">
        <f t="shared" si="179"/>
        <v>#VALUE!</v>
      </c>
      <c r="AQ1867" s="397" t="e">
        <f t="shared" si="174"/>
        <v>#VALUE!</v>
      </c>
    </row>
    <row r="1868" spans="38:43">
      <c r="AL1868" s="414" t="str">
        <f t="shared" si="175"/>
        <v/>
      </c>
      <c r="AM1868" s="395" t="str">
        <f t="shared" si="176"/>
        <v/>
      </c>
      <c r="AN1868" s="396">
        <f t="shared" si="177"/>
        <v>0</v>
      </c>
      <c r="AO1868" s="109" t="str">
        <f t="shared" si="178"/>
        <v/>
      </c>
      <c r="AP1868" s="109" t="e">
        <f t="shared" si="179"/>
        <v>#VALUE!</v>
      </c>
      <c r="AQ1868" s="397" t="e">
        <f t="shared" si="174"/>
        <v>#VALUE!</v>
      </c>
    </row>
    <row r="1869" spans="38:43">
      <c r="AL1869" s="414" t="str">
        <f t="shared" si="175"/>
        <v/>
      </c>
      <c r="AM1869" s="395" t="str">
        <f t="shared" si="176"/>
        <v/>
      </c>
      <c r="AN1869" s="396">
        <f t="shared" si="177"/>
        <v>0</v>
      </c>
      <c r="AO1869" s="109" t="str">
        <f t="shared" si="178"/>
        <v/>
      </c>
      <c r="AP1869" s="109" t="e">
        <f t="shared" si="179"/>
        <v>#VALUE!</v>
      </c>
      <c r="AQ1869" s="397" t="e">
        <f t="shared" si="174"/>
        <v>#VALUE!</v>
      </c>
    </row>
    <row r="1870" spans="38:43">
      <c r="AL1870" s="414" t="str">
        <f t="shared" si="175"/>
        <v/>
      </c>
      <c r="AM1870" s="395" t="str">
        <f t="shared" si="176"/>
        <v/>
      </c>
      <c r="AN1870" s="396">
        <f t="shared" si="177"/>
        <v>0</v>
      </c>
      <c r="AO1870" s="109" t="str">
        <f t="shared" si="178"/>
        <v/>
      </c>
      <c r="AP1870" s="109" t="e">
        <f t="shared" si="179"/>
        <v>#VALUE!</v>
      </c>
      <c r="AQ1870" s="397" t="e">
        <f t="shared" si="174"/>
        <v>#VALUE!</v>
      </c>
    </row>
    <row r="1871" spans="38:43">
      <c r="AL1871" s="414" t="str">
        <f t="shared" si="175"/>
        <v/>
      </c>
      <c r="AM1871" s="395" t="str">
        <f t="shared" si="176"/>
        <v/>
      </c>
      <c r="AN1871" s="396">
        <f t="shared" si="177"/>
        <v>0</v>
      </c>
      <c r="AO1871" s="109" t="str">
        <f t="shared" si="178"/>
        <v/>
      </c>
      <c r="AP1871" s="109" t="e">
        <f t="shared" si="179"/>
        <v>#VALUE!</v>
      </c>
      <c r="AQ1871" s="397" t="e">
        <f t="shared" si="174"/>
        <v>#VALUE!</v>
      </c>
    </row>
    <row r="1872" spans="38:43">
      <c r="AL1872" s="414" t="str">
        <f t="shared" si="175"/>
        <v/>
      </c>
      <c r="AM1872" s="395" t="str">
        <f t="shared" si="176"/>
        <v/>
      </c>
      <c r="AN1872" s="396">
        <f t="shared" si="177"/>
        <v>0</v>
      </c>
      <c r="AO1872" s="109" t="str">
        <f t="shared" si="178"/>
        <v/>
      </c>
      <c r="AP1872" s="109" t="e">
        <f t="shared" si="179"/>
        <v>#VALUE!</v>
      </c>
      <c r="AQ1872" s="397" t="e">
        <f t="shared" si="174"/>
        <v>#VALUE!</v>
      </c>
    </row>
    <row r="1873" spans="38:43">
      <c r="AL1873" s="414" t="str">
        <f t="shared" si="175"/>
        <v/>
      </c>
      <c r="AM1873" s="395" t="str">
        <f t="shared" si="176"/>
        <v/>
      </c>
      <c r="AN1873" s="396">
        <f t="shared" si="177"/>
        <v>0</v>
      </c>
      <c r="AO1873" s="109" t="str">
        <f t="shared" si="178"/>
        <v/>
      </c>
      <c r="AP1873" s="109" t="e">
        <f t="shared" si="179"/>
        <v>#VALUE!</v>
      </c>
      <c r="AQ1873" s="397" t="e">
        <f t="shared" si="174"/>
        <v>#VALUE!</v>
      </c>
    </row>
    <row r="1874" spans="38:43">
      <c r="AL1874" s="414" t="str">
        <f t="shared" si="175"/>
        <v/>
      </c>
      <c r="AM1874" s="395" t="str">
        <f t="shared" si="176"/>
        <v/>
      </c>
      <c r="AN1874" s="396">
        <f t="shared" si="177"/>
        <v>0</v>
      </c>
      <c r="AO1874" s="109" t="str">
        <f t="shared" si="178"/>
        <v/>
      </c>
      <c r="AP1874" s="109" t="e">
        <f t="shared" si="179"/>
        <v>#VALUE!</v>
      </c>
      <c r="AQ1874" s="397" t="e">
        <f t="shared" si="174"/>
        <v>#VALUE!</v>
      </c>
    </row>
    <row r="1875" spans="38:43">
      <c r="AL1875" s="414" t="str">
        <f t="shared" si="175"/>
        <v/>
      </c>
      <c r="AM1875" s="395" t="str">
        <f t="shared" si="176"/>
        <v/>
      </c>
      <c r="AN1875" s="396">
        <f t="shared" si="177"/>
        <v>0</v>
      </c>
      <c r="AO1875" s="109" t="str">
        <f t="shared" si="178"/>
        <v/>
      </c>
      <c r="AP1875" s="109" t="e">
        <f t="shared" si="179"/>
        <v>#VALUE!</v>
      </c>
      <c r="AQ1875" s="397" t="e">
        <f t="shared" si="174"/>
        <v>#VALUE!</v>
      </c>
    </row>
    <row r="1876" spans="38:43">
      <c r="AL1876" s="414" t="str">
        <f t="shared" si="175"/>
        <v/>
      </c>
      <c r="AM1876" s="395" t="str">
        <f t="shared" si="176"/>
        <v/>
      </c>
      <c r="AN1876" s="396">
        <f t="shared" si="177"/>
        <v>0</v>
      </c>
      <c r="AO1876" s="109" t="str">
        <f t="shared" si="178"/>
        <v/>
      </c>
      <c r="AP1876" s="109" t="e">
        <f t="shared" si="179"/>
        <v>#VALUE!</v>
      </c>
      <c r="AQ1876" s="397" t="e">
        <f t="shared" si="174"/>
        <v>#VALUE!</v>
      </c>
    </row>
    <row r="1877" spans="38:43">
      <c r="AL1877" s="414" t="str">
        <f t="shared" si="175"/>
        <v/>
      </c>
      <c r="AM1877" s="395" t="str">
        <f t="shared" si="176"/>
        <v/>
      </c>
      <c r="AN1877" s="396">
        <f t="shared" si="177"/>
        <v>0</v>
      </c>
      <c r="AO1877" s="109" t="str">
        <f t="shared" si="178"/>
        <v/>
      </c>
      <c r="AP1877" s="109" t="e">
        <f t="shared" si="179"/>
        <v>#VALUE!</v>
      </c>
      <c r="AQ1877" s="397" t="e">
        <f t="shared" si="174"/>
        <v>#VALUE!</v>
      </c>
    </row>
    <row r="1878" spans="38:43">
      <c r="AL1878" s="414" t="str">
        <f t="shared" si="175"/>
        <v/>
      </c>
      <c r="AM1878" s="395" t="str">
        <f t="shared" si="176"/>
        <v/>
      </c>
      <c r="AN1878" s="396">
        <f t="shared" si="177"/>
        <v>0</v>
      </c>
      <c r="AO1878" s="109" t="str">
        <f t="shared" si="178"/>
        <v/>
      </c>
      <c r="AP1878" s="109" t="e">
        <f t="shared" si="179"/>
        <v>#VALUE!</v>
      </c>
      <c r="AQ1878" s="397" t="e">
        <f t="shared" si="174"/>
        <v>#VALUE!</v>
      </c>
    </row>
    <row r="1879" spans="38:43">
      <c r="AL1879" s="414" t="str">
        <f t="shared" si="175"/>
        <v/>
      </c>
      <c r="AM1879" s="395" t="str">
        <f t="shared" si="176"/>
        <v/>
      </c>
      <c r="AN1879" s="396">
        <f t="shared" si="177"/>
        <v>0</v>
      </c>
      <c r="AO1879" s="109" t="str">
        <f t="shared" si="178"/>
        <v/>
      </c>
      <c r="AP1879" s="109" t="e">
        <f t="shared" si="179"/>
        <v>#VALUE!</v>
      </c>
      <c r="AQ1879" s="397" t="e">
        <f t="shared" si="174"/>
        <v>#VALUE!</v>
      </c>
    </row>
    <row r="1880" spans="38:43">
      <c r="AL1880" s="414" t="str">
        <f t="shared" si="175"/>
        <v/>
      </c>
      <c r="AM1880" s="395" t="str">
        <f t="shared" si="176"/>
        <v/>
      </c>
      <c r="AN1880" s="396">
        <f t="shared" si="177"/>
        <v>0</v>
      </c>
      <c r="AO1880" s="109" t="str">
        <f t="shared" si="178"/>
        <v/>
      </c>
      <c r="AP1880" s="109" t="e">
        <f t="shared" si="179"/>
        <v>#VALUE!</v>
      </c>
      <c r="AQ1880" s="397" t="e">
        <f t="shared" si="174"/>
        <v>#VALUE!</v>
      </c>
    </row>
    <row r="1881" spans="38:43">
      <c r="AL1881" s="414" t="str">
        <f t="shared" si="175"/>
        <v/>
      </c>
      <c r="AM1881" s="395" t="str">
        <f t="shared" si="176"/>
        <v/>
      </c>
      <c r="AN1881" s="396">
        <f t="shared" si="177"/>
        <v>0</v>
      </c>
      <c r="AO1881" s="109" t="str">
        <f t="shared" si="178"/>
        <v/>
      </c>
      <c r="AP1881" s="109" t="e">
        <f t="shared" si="179"/>
        <v>#VALUE!</v>
      </c>
      <c r="AQ1881" s="397" t="e">
        <f t="shared" si="174"/>
        <v>#VALUE!</v>
      </c>
    </row>
    <row r="1882" spans="38:43">
      <c r="AL1882" s="414" t="str">
        <f t="shared" si="175"/>
        <v/>
      </c>
      <c r="AM1882" s="395" t="str">
        <f t="shared" si="176"/>
        <v/>
      </c>
      <c r="AN1882" s="396">
        <f t="shared" si="177"/>
        <v>0</v>
      </c>
      <c r="AO1882" s="109" t="str">
        <f t="shared" si="178"/>
        <v/>
      </c>
      <c r="AP1882" s="109" t="e">
        <f t="shared" si="179"/>
        <v>#VALUE!</v>
      </c>
      <c r="AQ1882" s="397" t="e">
        <f t="shared" si="174"/>
        <v>#VALUE!</v>
      </c>
    </row>
    <row r="1883" spans="38:43">
      <c r="AL1883" s="414" t="str">
        <f t="shared" si="175"/>
        <v/>
      </c>
      <c r="AM1883" s="395" t="str">
        <f t="shared" si="176"/>
        <v/>
      </c>
      <c r="AN1883" s="396">
        <f t="shared" si="177"/>
        <v>0</v>
      </c>
      <c r="AO1883" s="109" t="str">
        <f t="shared" si="178"/>
        <v/>
      </c>
      <c r="AP1883" s="109" t="e">
        <f t="shared" si="179"/>
        <v>#VALUE!</v>
      </c>
      <c r="AQ1883" s="397" t="e">
        <f t="shared" si="174"/>
        <v>#VALUE!</v>
      </c>
    </row>
    <row r="1884" spans="38:43">
      <c r="AL1884" s="414" t="str">
        <f t="shared" si="175"/>
        <v/>
      </c>
      <c r="AM1884" s="395" t="str">
        <f t="shared" si="176"/>
        <v/>
      </c>
      <c r="AN1884" s="396">
        <f t="shared" si="177"/>
        <v>0</v>
      </c>
      <c r="AO1884" s="109" t="str">
        <f t="shared" si="178"/>
        <v/>
      </c>
      <c r="AP1884" s="109" t="e">
        <f t="shared" si="179"/>
        <v>#VALUE!</v>
      </c>
      <c r="AQ1884" s="397" t="e">
        <f t="shared" si="174"/>
        <v>#VALUE!</v>
      </c>
    </row>
    <row r="1885" spans="38:43">
      <c r="AL1885" s="414" t="str">
        <f t="shared" si="175"/>
        <v/>
      </c>
      <c r="AM1885" s="395" t="str">
        <f t="shared" si="176"/>
        <v/>
      </c>
      <c r="AN1885" s="396">
        <f t="shared" si="177"/>
        <v>0</v>
      </c>
      <c r="AO1885" s="109" t="str">
        <f t="shared" si="178"/>
        <v/>
      </c>
      <c r="AP1885" s="109" t="e">
        <f t="shared" si="179"/>
        <v>#VALUE!</v>
      </c>
      <c r="AQ1885" s="397" t="e">
        <f t="shared" ref="AQ1885:AQ1948" si="180">AN1885*AP1885</f>
        <v>#VALUE!</v>
      </c>
    </row>
    <row r="1886" spans="38:43">
      <c r="AL1886" s="414" t="str">
        <f t="shared" si="175"/>
        <v/>
      </c>
      <c r="AM1886" s="395" t="str">
        <f t="shared" si="176"/>
        <v/>
      </c>
      <c r="AN1886" s="396">
        <f t="shared" si="177"/>
        <v>0</v>
      </c>
      <c r="AO1886" s="109" t="str">
        <f t="shared" si="178"/>
        <v/>
      </c>
      <c r="AP1886" s="109" t="e">
        <f t="shared" si="179"/>
        <v>#VALUE!</v>
      </c>
      <c r="AQ1886" s="397" t="e">
        <f t="shared" si="180"/>
        <v>#VALUE!</v>
      </c>
    </row>
    <row r="1887" spans="38:43">
      <c r="AL1887" s="414" t="str">
        <f t="shared" si="175"/>
        <v/>
      </c>
      <c r="AM1887" s="395" t="str">
        <f t="shared" si="176"/>
        <v/>
      </c>
      <c r="AN1887" s="396">
        <f t="shared" si="177"/>
        <v>0</v>
      </c>
      <c r="AO1887" s="109" t="str">
        <f t="shared" si="178"/>
        <v/>
      </c>
      <c r="AP1887" s="109" t="e">
        <f t="shared" si="179"/>
        <v>#VALUE!</v>
      </c>
      <c r="AQ1887" s="397" t="e">
        <f t="shared" si="180"/>
        <v>#VALUE!</v>
      </c>
    </row>
    <row r="1888" spans="38:43">
      <c r="AL1888" s="414" t="str">
        <f t="shared" si="175"/>
        <v/>
      </c>
      <c r="AM1888" s="395" t="str">
        <f t="shared" si="176"/>
        <v/>
      </c>
      <c r="AN1888" s="396">
        <f t="shared" si="177"/>
        <v>0</v>
      </c>
      <c r="AO1888" s="109" t="str">
        <f t="shared" si="178"/>
        <v/>
      </c>
      <c r="AP1888" s="109" t="e">
        <f t="shared" si="179"/>
        <v>#VALUE!</v>
      </c>
      <c r="AQ1888" s="397" t="e">
        <f t="shared" si="180"/>
        <v>#VALUE!</v>
      </c>
    </row>
    <row r="1889" spans="38:43">
      <c r="AL1889" s="414" t="str">
        <f t="shared" si="175"/>
        <v/>
      </c>
      <c r="AM1889" s="395" t="str">
        <f t="shared" si="176"/>
        <v/>
      </c>
      <c r="AN1889" s="396">
        <f t="shared" si="177"/>
        <v>0</v>
      </c>
      <c r="AO1889" s="109" t="str">
        <f t="shared" si="178"/>
        <v/>
      </c>
      <c r="AP1889" s="109" t="e">
        <f t="shared" si="179"/>
        <v>#VALUE!</v>
      </c>
      <c r="AQ1889" s="397" t="e">
        <f t="shared" si="180"/>
        <v>#VALUE!</v>
      </c>
    </row>
    <row r="1890" spans="38:43">
      <c r="AL1890" s="414" t="str">
        <f t="shared" si="175"/>
        <v/>
      </c>
      <c r="AM1890" s="395" t="str">
        <f t="shared" si="176"/>
        <v/>
      </c>
      <c r="AN1890" s="396">
        <f t="shared" si="177"/>
        <v>0</v>
      </c>
      <c r="AO1890" s="109" t="str">
        <f t="shared" si="178"/>
        <v/>
      </c>
      <c r="AP1890" s="109" t="e">
        <f t="shared" si="179"/>
        <v>#VALUE!</v>
      </c>
      <c r="AQ1890" s="397" t="e">
        <f t="shared" si="180"/>
        <v>#VALUE!</v>
      </c>
    </row>
    <row r="1891" spans="38:43">
      <c r="AL1891" s="414" t="str">
        <f t="shared" si="175"/>
        <v/>
      </c>
      <c r="AM1891" s="395" t="str">
        <f t="shared" si="176"/>
        <v/>
      </c>
      <c r="AN1891" s="396">
        <f t="shared" si="177"/>
        <v>0</v>
      </c>
      <c r="AO1891" s="109" t="str">
        <f t="shared" si="178"/>
        <v/>
      </c>
      <c r="AP1891" s="109" t="e">
        <f t="shared" si="179"/>
        <v>#VALUE!</v>
      </c>
      <c r="AQ1891" s="397" t="e">
        <f t="shared" si="180"/>
        <v>#VALUE!</v>
      </c>
    </row>
    <row r="1892" spans="38:43">
      <c r="AL1892" s="414" t="str">
        <f t="shared" si="175"/>
        <v/>
      </c>
      <c r="AM1892" s="395" t="str">
        <f t="shared" si="176"/>
        <v/>
      </c>
      <c r="AN1892" s="396">
        <f t="shared" si="177"/>
        <v>0</v>
      </c>
      <c r="AO1892" s="109" t="str">
        <f t="shared" si="178"/>
        <v/>
      </c>
      <c r="AP1892" s="109" t="e">
        <f t="shared" si="179"/>
        <v>#VALUE!</v>
      </c>
      <c r="AQ1892" s="397" t="e">
        <f t="shared" si="180"/>
        <v>#VALUE!</v>
      </c>
    </row>
    <row r="1893" spans="38:43">
      <c r="AL1893" s="414" t="str">
        <f t="shared" si="175"/>
        <v/>
      </c>
      <c r="AM1893" s="395" t="str">
        <f t="shared" si="176"/>
        <v/>
      </c>
      <c r="AN1893" s="396">
        <f t="shared" si="177"/>
        <v>0</v>
      </c>
      <c r="AO1893" s="109" t="str">
        <f t="shared" si="178"/>
        <v/>
      </c>
      <c r="AP1893" s="109" t="e">
        <f t="shared" si="179"/>
        <v>#VALUE!</v>
      </c>
      <c r="AQ1893" s="397" t="e">
        <f t="shared" si="180"/>
        <v>#VALUE!</v>
      </c>
    </row>
    <row r="1894" spans="38:43">
      <c r="AL1894" s="414" t="str">
        <f t="shared" si="175"/>
        <v/>
      </c>
      <c r="AM1894" s="395" t="str">
        <f t="shared" si="176"/>
        <v/>
      </c>
      <c r="AN1894" s="396">
        <f t="shared" si="177"/>
        <v>0</v>
      </c>
      <c r="AO1894" s="109" t="str">
        <f t="shared" si="178"/>
        <v/>
      </c>
      <c r="AP1894" s="109" t="e">
        <f t="shared" si="179"/>
        <v>#VALUE!</v>
      </c>
      <c r="AQ1894" s="397" t="e">
        <f t="shared" si="180"/>
        <v>#VALUE!</v>
      </c>
    </row>
    <row r="1895" spans="38:43">
      <c r="AL1895" s="414" t="str">
        <f t="shared" si="175"/>
        <v/>
      </c>
      <c r="AM1895" s="395" t="str">
        <f t="shared" si="176"/>
        <v/>
      </c>
      <c r="AN1895" s="396">
        <f t="shared" si="177"/>
        <v>0</v>
      </c>
      <c r="AO1895" s="109" t="str">
        <f t="shared" si="178"/>
        <v/>
      </c>
      <c r="AP1895" s="109" t="e">
        <f t="shared" si="179"/>
        <v>#VALUE!</v>
      </c>
      <c r="AQ1895" s="397" t="e">
        <f t="shared" si="180"/>
        <v>#VALUE!</v>
      </c>
    </row>
    <row r="1896" spans="38:43">
      <c r="AL1896" s="414" t="str">
        <f t="shared" si="175"/>
        <v/>
      </c>
      <c r="AM1896" s="395" t="str">
        <f t="shared" si="176"/>
        <v/>
      </c>
      <c r="AN1896" s="396">
        <f t="shared" si="177"/>
        <v>0</v>
      </c>
      <c r="AO1896" s="109" t="str">
        <f t="shared" si="178"/>
        <v/>
      </c>
      <c r="AP1896" s="109" t="e">
        <f t="shared" si="179"/>
        <v>#VALUE!</v>
      </c>
      <c r="AQ1896" s="397" t="e">
        <f t="shared" si="180"/>
        <v>#VALUE!</v>
      </c>
    </row>
    <row r="1897" spans="38:43">
      <c r="AL1897" s="414" t="str">
        <f t="shared" si="175"/>
        <v/>
      </c>
      <c r="AM1897" s="395" t="str">
        <f t="shared" si="176"/>
        <v/>
      </c>
      <c r="AN1897" s="396">
        <f t="shared" si="177"/>
        <v>0</v>
      </c>
      <c r="AO1897" s="109" t="str">
        <f t="shared" si="178"/>
        <v/>
      </c>
      <c r="AP1897" s="109" t="e">
        <f t="shared" si="179"/>
        <v>#VALUE!</v>
      </c>
      <c r="AQ1897" s="397" t="e">
        <f t="shared" si="180"/>
        <v>#VALUE!</v>
      </c>
    </row>
    <row r="1898" spans="38:43">
      <c r="AL1898" s="414" t="str">
        <f t="shared" si="175"/>
        <v/>
      </c>
      <c r="AM1898" s="395" t="str">
        <f t="shared" si="176"/>
        <v/>
      </c>
      <c r="AN1898" s="396">
        <f t="shared" si="177"/>
        <v>0</v>
      </c>
      <c r="AO1898" s="109" t="str">
        <f t="shared" si="178"/>
        <v/>
      </c>
      <c r="AP1898" s="109" t="e">
        <f t="shared" si="179"/>
        <v>#VALUE!</v>
      </c>
      <c r="AQ1898" s="397" t="e">
        <f t="shared" si="180"/>
        <v>#VALUE!</v>
      </c>
    </row>
    <row r="1899" spans="38:43">
      <c r="AL1899" s="414" t="str">
        <f t="shared" si="175"/>
        <v/>
      </c>
      <c r="AM1899" s="395" t="str">
        <f t="shared" si="176"/>
        <v/>
      </c>
      <c r="AN1899" s="396">
        <f t="shared" si="177"/>
        <v>0</v>
      </c>
      <c r="AO1899" s="109" t="str">
        <f t="shared" si="178"/>
        <v/>
      </c>
      <c r="AP1899" s="109" t="e">
        <f t="shared" si="179"/>
        <v>#VALUE!</v>
      </c>
      <c r="AQ1899" s="397" t="e">
        <f t="shared" si="180"/>
        <v>#VALUE!</v>
      </c>
    </row>
    <row r="1900" spans="38:43">
      <c r="AL1900" s="414" t="str">
        <f t="shared" si="175"/>
        <v/>
      </c>
      <c r="AM1900" s="395" t="str">
        <f t="shared" si="176"/>
        <v/>
      </c>
      <c r="AN1900" s="396">
        <f t="shared" si="177"/>
        <v>0</v>
      </c>
      <c r="AO1900" s="109" t="str">
        <f t="shared" si="178"/>
        <v/>
      </c>
      <c r="AP1900" s="109" t="e">
        <f t="shared" si="179"/>
        <v>#VALUE!</v>
      </c>
      <c r="AQ1900" s="397" t="e">
        <f t="shared" si="180"/>
        <v>#VALUE!</v>
      </c>
    </row>
    <row r="1901" spans="38:43">
      <c r="AL1901" s="414" t="str">
        <f t="shared" si="175"/>
        <v/>
      </c>
      <c r="AM1901" s="395" t="str">
        <f t="shared" si="176"/>
        <v/>
      </c>
      <c r="AN1901" s="396">
        <f t="shared" si="177"/>
        <v>0</v>
      </c>
      <c r="AO1901" s="109" t="str">
        <f t="shared" si="178"/>
        <v/>
      </c>
      <c r="AP1901" s="109" t="e">
        <f t="shared" si="179"/>
        <v>#VALUE!</v>
      </c>
      <c r="AQ1901" s="397" t="e">
        <f t="shared" si="180"/>
        <v>#VALUE!</v>
      </c>
    </row>
    <row r="1902" spans="38:43">
      <c r="AL1902" s="414" t="str">
        <f t="shared" si="175"/>
        <v/>
      </c>
      <c r="AM1902" s="395" t="str">
        <f t="shared" si="176"/>
        <v/>
      </c>
      <c r="AN1902" s="396">
        <f t="shared" si="177"/>
        <v>0</v>
      </c>
      <c r="AO1902" s="109" t="str">
        <f t="shared" si="178"/>
        <v/>
      </c>
      <c r="AP1902" s="109" t="e">
        <f t="shared" si="179"/>
        <v>#VALUE!</v>
      </c>
      <c r="AQ1902" s="397" t="e">
        <f t="shared" si="180"/>
        <v>#VALUE!</v>
      </c>
    </row>
    <row r="1903" spans="38:43">
      <c r="AL1903" s="414" t="str">
        <f t="shared" si="175"/>
        <v/>
      </c>
      <c r="AM1903" s="395" t="str">
        <f t="shared" si="176"/>
        <v/>
      </c>
      <c r="AN1903" s="396">
        <f t="shared" si="177"/>
        <v>0</v>
      </c>
      <c r="AO1903" s="109" t="str">
        <f t="shared" si="178"/>
        <v/>
      </c>
      <c r="AP1903" s="109" t="e">
        <f t="shared" si="179"/>
        <v>#VALUE!</v>
      </c>
      <c r="AQ1903" s="397" t="e">
        <f t="shared" si="180"/>
        <v>#VALUE!</v>
      </c>
    </row>
    <row r="1904" spans="38:43">
      <c r="AL1904" s="414" t="str">
        <f t="shared" si="175"/>
        <v/>
      </c>
      <c r="AM1904" s="395" t="str">
        <f t="shared" si="176"/>
        <v/>
      </c>
      <c r="AN1904" s="396">
        <f t="shared" si="177"/>
        <v>0</v>
      </c>
      <c r="AO1904" s="109" t="str">
        <f t="shared" si="178"/>
        <v/>
      </c>
      <c r="AP1904" s="109" t="e">
        <f t="shared" si="179"/>
        <v>#VALUE!</v>
      </c>
      <c r="AQ1904" s="397" t="e">
        <f t="shared" si="180"/>
        <v>#VALUE!</v>
      </c>
    </row>
    <row r="1905" spans="38:43">
      <c r="AL1905" s="414" t="str">
        <f t="shared" si="175"/>
        <v/>
      </c>
      <c r="AM1905" s="395" t="str">
        <f t="shared" si="176"/>
        <v/>
      </c>
      <c r="AN1905" s="396">
        <f t="shared" si="177"/>
        <v>0</v>
      </c>
      <c r="AO1905" s="109" t="str">
        <f t="shared" si="178"/>
        <v/>
      </c>
      <c r="AP1905" s="109" t="e">
        <f t="shared" si="179"/>
        <v>#VALUE!</v>
      </c>
      <c r="AQ1905" s="397" t="e">
        <f t="shared" si="180"/>
        <v>#VALUE!</v>
      </c>
    </row>
    <row r="1906" spans="38:43">
      <c r="AL1906" s="414" t="str">
        <f t="shared" si="175"/>
        <v/>
      </c>
      <c r="AM1906" s="395" t="str">
        <f t="shared" si="176"/>
        <v/>
      </c>
      <c r="AN1906" s="396">
        <f t="shared" si="177"/>
        <v>0</v>
      </c>
      <c r="AO1906" s="109" t="str">
        <f t="shared" si="178"/>
        <v/>
      </c>
      <c r="AP1906" s="109" t="e">
        <f t="shared" si="179"/>
        <v>#VALUE!</v>
      </c>
      <c r="AQ1906" s="397" t="e">
        <f t="shared" si="180"/>
        <v>#VALUE!</v>
      </c>
    </row>
    <row r="1907" spans="38:43">
      <c r="AL1907" s="414" t="str">
        <f t="shared" si="175"/>
        <v/>
      </c>
      <c r="AM1907" s="395" t="str">
        <f t="shared" si="176"/>
        <v/>
      </c>
      <c r="AN1907" s="396">
        <f t="shared" si="177"/>
        <v>0</v>
      </c>
      <c r="AO1907" s="109" t="str">
        <f t="shared" si="178"/>
        <v/>
      </c>
      <c r="AP1907" s="109" t="e">
        <f t="shared" si="179"/>
        <v>#VALUE!</v>
      </c>
      <c r="AQ1907" s="397" t="e">
        <f t="shared" si="180"/>
        <v>#VALUE!</v>
      </c>
    </row>
    <row r="1908" spans="38:43">
      <c r="AL1908" s="414" t="str">
        <f t="shared" si="175"/>
        <v/>
      </c>
      <c r="AM1908" s="395" t="str">
        <f t="shared" si="176"/>
        <v/>
      </c>
      <c r="AN1908" s="396">
        <f t="shared" si="177"/>
        <v>0</v>
      </c>
      <c r="AO1908" s="109" t="str">
        <f t="shared" si="178"/>
        <v/>
      </c>
      <c r="AP1908" s="109" t="e">
        <f t="shared" si="179"/>
        <v>#VALUE!</v>
      </c>
      <c r="AQ1908" s="397" t="e">
        <f t="shared" si="180"/>
        <v>#VALUE!</v>
      </c>
    </row>
    <row r="1909" spans="38:43">
      <c r="AL1909" s="414" t="str">
        <f t="shared" si="175"/>
        <v/>
      </c>
      <c r="AM1909" s="395" t="str">
        <f t="shared" si="176"/>
        <v/>
      </c>
      <c r="AN1909" s="396">
        <f t="shared" si="177"/>
        <v>0</v>
      </c>
      <c r="AO1909" s="109" t="str">
        <f t="shared" si="178"/>
        <v/>
      </c>
      <c r="AP1909" s="109" t="e">
        <f t="shared" si="179"/>
        <v>#VALUE!</v>
      </c>
      <c r="AQ1909" s="397" t="e">
        <f t="shared" si="180"/>
        <v>#VALUE!</v>
      </c>
    </row>
    <row r="1910" spans="38:43">
      <c r="AL1910" s="414" t="str">
        <f t="shared" si="175"/>
        <v/>
      </c>
      <c r="AM1910" s="395" t="str">
        <f t="shared" si="176"/>
        <v/>
      </c>
      <c r="AN1910" s="396">
        <f t="shared" si="177"/>
        <v>0</v>
      </c>
      <c r="AO1910" s="109" t="str">
        <f t="shared" si="178"/>
        <v/>
      </c>
      <c r="AP1910" s="109" t="e">
        <f t="shared" si="179"/>
        <v>#VALUE!</v>
      </c>
      <c r="AQ1910" s="397" t="e">
        <f t="shared" si="180"/>
        <v>#VALUE!</v>
      </c>
    </row>
    <row r="1911" spans="38:43">
      <c r="AL1911" s="414" t="str">
        <f t="shared" si="175"/>
        <v/>
      </c>
      <c r="AM1911" s="395" t="str">
        <f t="shared" si="176"/>
        <v/>
      </c>
      <c r="AN1911" s="396">
        <f t="shared" si="177"/>
        <v>0</v>
      </c>
      <c r="AO1911" s="109" t="str">
        <f t="shared" si="178"/>
        <v/>
      </c>
      <c r="AP1911" s="109" t="e">
        <f t="shared" si="179"/>
        <v>#VALUE!</v>
      </c>
      <c r="AQ1911" s="397" t="e">
        <f t="shared" si="180"/>
        <v>#VALUE!</v>
      </c>
    </row>
    <row r="1912" spans="38:43">
      <c r="AL1912" s="414" t="str">
        <f t="shared" si="175"/>
        <v/>
      </c>
      <c r="AM1912" s="395" t="str">
        <f t="shared" si="176"/>
        <v/>
      </c>
      <c r="AN1912" s="396">
        <f t="shared" si="177"/>
        <v>0</v>
      </c>
      <c r="AO1912" s="109" t="str">
        <f t="shared" si="178"/>
        <v/>
      </c>
      <c r="AP1912" s="109" t="e">
        <f t="shared" si="179"/>
        <v>#VALUE!</v>
      </c>
      <c r="AQ1912" s="397" t="e">
        <f t="shared" si="180"/>
        <v>#VALUE!</v>
      </c>
    </row>
    <row r="1913" spans="38:43">
      <c r="AL1913" s="414" t="str">
        <f t="shared" si="175"/>
        <v/>
      </c>
      <c r="AM1913" s="395" t="str">
        <f t="shared" si="176"/>
        <v/>
      </c>
      <c r="AN1913" s="396">
        <f t="shared" si="177"/>
        <v>0</v>
      </c>
      <c r="AO1913" s="109" t="str">
        <f t="shared" si="178"/>
        <v/>
      </c>
      <c r="AP1913" s="109" t="e">
        <f t="shared" si="179"/>
        <v>#VALUE!</v>
      </c>
      <c r="AQ1913" s="397" t="e">
        <f t="shared" si="180"/>
        <v>#VALUE!</v>
      </c>
    </row>
    <row r="1914" spans="38:43">
      <c r="AL1914" s="414" t="str">
        <f t="shared" si="175"/>
        <v/>
      </c>
      <c r="AM1914" s="395" t="str">
        <f t="shared" si="176"/>
        <v/>
      </c>
      <c r="AN1914" s="396">
        <f t="shared" si="177"/>
        <v>0</v>
      </c>
      <c r="AO1914" s="109" t="str">
        <f t="shared" si="178"/>
        <v/>
      </c>
      <c r="AP1914" s="109" t="e">
        <f t="shared" si="179"/>
        <v>#VALUE!</v>
      </c>
      <c r="AQ1914" s="397" t="e">
        <f t="shared" si="180"/>
        <v>#VALUE!</v>
      </c>
    </row>
    <row r="1915" spans="38:43">
      <c r="AL1915" s="414" t="str">
        <f t="shared" si="175"/>
        <v/>
      </c>
      <c r="AM1915" s="395" t="str">
        <f t="shared" si="176"/>
        <v/>
      </c>
      <c r="AN1915" s="396">
        <f t="shared" si="177"/>
        <v>0</v>
      </c>
      <c r="AO1915" s="109" t="str">
        <f t="shared" si="178"/>
        <v/>
      </c>
      <c r="AP1915" s="109" t="e">
        <f t="shared" si="179"/>
        <v>#VALUE!</v>
      </c>
      <c r="AQ1915" s="397" t="e">
        <f t="shared" si="180"/>
        <v>#VALUE!</v>
      </c>
    </row>
    <row r="1916" spans="38:43">
      <c r="AL1916" s="414" t="str">
        <f t="shared" si="175"/>
        <v/>
      </c>
      <c r="AM1916" s="395" t="str">
        <f t="shared" si="176"/>
        <v/>
      </c>
      <c r="AN1916" s="396">
        <f t="shared" si="177"/>
        <v>0</v>
      </c>
      <c r="AO1916" s="109" t="str">
        <f t="shared" si="178"/>
        <v/>
      </c>
      <c r="AP1916" s="109" t="e">
        <f t="shared" si="179"/>
        <v>#VALUE!</v>
      </c>
      <c r="AQ1916" s="397" t="e">
        <f t="shared" si="180"/>
        <v>#VALUE!</v>
      </c>
    </row>
    <row r="1917" spans="38:43">
      <c r="AL1917" s="414" t="str">
        <f t="shared" si="175"/>
        <v/>
      </c>
      <c r="AM1917" s="395" t="str">
        <f t="shared" si="176"/>
        <v/>
      </c>
      <c r="AN1917" s="396">
        <f t="shared" si="177"/>
        <v>0</v>
      </c>
      <c r="AO1917" s="109" t="str">
        <f t="shared" si="178"/>
        <v/>
      </c>
      <c r="AP1917" s="109" t="e">
        <f t="shared" si="179"/>
        <v>#VALUE!</v>
      </c>
      <c r="AQ1917" s="397" t="e">
        <f t="shared" si="180"/>
        <v>#VALUE!</v>
      </c>
    </row>
    <row r="1918" spans="38:43">
      <c r="AL1918" s="414" t="str">
        <f t="shared" si="175"/>
        <v/>
      </c>
      <c r="AM1918" s="395" t="str">
        <f t="shared" si="176"/>
        <v/>
      </c>
      <c r="AN1918" s="396">
        <f t="shared" si="177"/>
        <v>0</v>
      </c>
      <c r="AO1918" s="109" t="str">
        <f t="shared" si="178"/>
        <v/>
      </c>
      <c r="AP1918" s="109" t="e">
        <f t="shared" si="179"/>
        <v>#VALUE!</v>
      </c>
      <c r="AQ1918" s="397" t="e">
        <f t="shared" si="180"/>
        <v>#VALUE!</v>
      </c>
    </row>
    <row r="1919" spans="38:43">
      <c r="AL1919" s="414" t="str">
        <f t="shared" si="175"/>
        <v/>
      </c>
      <c r="AM1919" s="395" t="str">
        <f t="shared" si="176"/>
        <v/>
      </c>
      <c r="AN1919" s="396">
        <f t="shared" si="177"/>
        <v>0</v>
      </c>
      <c r="AO1919" s="109" t="str">
        <f t="shared" si="178"/>
        <v/>
      </c>
      <c r="AP1919" s="109" t="e">
        <f t="shared" si="179"/>
        <v>#VALUE!</v>
      </c>
      <c r="AQ1919" s="397" t="e">
        <f t="shared" si="180"/>
        <v>#VALUE!</v>
      </c>
    </row>
    <row r="1920" spans="38:43">
      <c r="AL1920" s="414" t="str">
        <f t="shared" si="175"/>
        <v/>
      </c>
      <c r="AM1920" s="395" t="str">
        <f t="shared" si="176"/>
        <v/>
      </c>
      <c r="AN1920" s="396">
        <f t="shared" si="177"/>
        <v>0</v>
      </c>
      <c r="AO1920" s="109" t="str">
        <f t="shared" si="178"/>
        <v/>
      </c>
      <c r="AP1920" s="109" t="e">
        <f t="shared" si="179"/>
        <v>#VALUE!</v>
      </c>
      <c r="AQ1920" s="397" t="e">
        <f t="shared" si="180"/>
        <v>#VALUE!</v>
      </c>
    </row>
    <row r="1921" spans="38:43">
      <c r="AL1921" s="414" t="str">
        <f t="shared" si="175"/>
        <v/>
      </c>
      <c r="AM1921" s="395" t="str">
        <f t="shared" si="176"/>
        <v/>
      </c>
      <c r="AN1921" s="396">
        <f t="shared" si="177"/>
        <v>0</v>
      </c>
      <c r="AO1921" s="109" t="str">
        <f t="shared" si="178"/>
        <v/>
      </c>
      <c r="AP1921" s="109" t="e">
        <f t="shared" si="179"/>
        <v>#VALUE!</v>
      </c>
      <c r="AQ1921" s="397" t="e">
        <f t="shared" si="180"/>
        <v>#VALUE!</v>
      </c>
    </row>
    <row r="1922" spans="38:43">
      <c r="AL1922" s="414" t="str">
        <f t="shared" si="175"/>
        <v/>
      </c>
      <c r="AM1922" s="395" t="str">
        <f t="shared" si="176"/>
        <v/>
      </c>
      <c r="AN1922" s="396">
        <f t="shared" si="177"/>
        <v>0</v>
      </c>
      <c r="AO1922" s="109" t="str">
        <f t="shared" si="178"/>
        <v/>
      </c>
      <c r="AP1922" s="109" t="e">
        <f t="shared" si="179"/>
        <v>#VALUE!</v>
      </c>
      <c r="AQ1922" s="397" t="e">
        <f t="shared" si="180"/>
        <v>#VALUE!</v>
      </c>
    </row>
    <row r="1923" spans="38:43">
      <c r="AL1923" s="414" t="str">
        <f t="shared" ref="AL1923:AL1986" si="181">SUBSTITUTE(SUBSTITUTE(H1923,"[워커힐]워커힐 고메 시그니처 양념 본갈비 8팩","워커힐 시그니처 양념 본갈비 300g, 8개"),"[워커힐]워커힐 시그니처 양념 본갈비 4팩","워커힐 시그니처 양념 본갈비 300g, 4개")</f>
        <v/>
      </c>
      <c r="AM1923" s="395" t="str">
        <f t="shared" ref="AM1923:AM1986" si="182">IF(N1923="배송완료", DATE(LEFT(M1923,4), MID(M1923,6,2), MID(M1923,9,2)), "")</f>
        <v/>
      </c>
      <c r="AN1923" s="396">
        <f t="shared" ref="AN1923:AN1986" si="183">IF(OR(N1923="배송완료", Q1923&lt;0), Q1923, 0)</f>
        <v>0</v>
      </c>
      <c r="AO1923" s="109" t="str">
        <f t="shared" ref="AO1923:AO1986" si="184">IF(AL1923="워커힐 시그니처 양념 본갈비 300g, 8개",119000,IF(AL1923="워커힐 시그니처 양념 본갈비 300g, 4개",78000,""))</f>
        <v/>
      </c>
      <c r="AP1923" s="109" t="e">
        <f t="shared" ref="AP1923:AP1986" si="185">AO1923/1.1</f>
        <v>#VALUE!</v>
      </c>
      <c r="AQ1923" s="397" t="e">
        <f t="shared" si="180"/>
        <v>#VALUE!</v>
      </c>
    </row>
    <row r="1924" spans="38:43">
      <c r="AL1924" s="414" t="str">
        <f t="shared" si="181"/>
        <v/>
      </c>
      <c r="AM1924" s="395" t="str">
        <f t="shared" si="182"/>
        <v/>
      </c>
      <c r="AN1924" s="396">
        <f t="shared" si="183"/>
        <v>0</v>
      </c>
      <c r="AO1924" s="109" t="str">
        <f t="shared" si="184"/>
        <v/>
      </c>
      <c r="AP1924" s="109" t="e">
        <f t="shared" si="185"/>
        <v>#VALUE!</v>
      </c>
      <c r="AQ1924" s="397" t="e">
        <f t="shared" si="180"/>
        <v>#VALUE!</v>
      </c>
    </row>
    <row r="1925" spans="38:43">
      <c r="AL1925" s="414" t="str">
        <f t="shared" si="181"/>
        <v/>
      </c>
      <c r="AM1925" s="395" t="str">
        <f t="shared" si="182"/>
        <v/>
      </c>
      <c r="AN1925" s="396">
        <f t="shared" si="183"/>
        <v>0</v>
      </c>
      <c r="AO1925" s="109" t="str">
        <f t="shared" si="184"/>
        <v/>
      </c>
      <c r="AP1925" s="109" t="e">
        <f t="shared" si="185"/>
        <v>#VALUE!</v>
      </c>
      <c r="AQ1925" s="397" t="e">
        <f t="shared" si="180"/>
        <v>#VALUE!</v>
      </c>
    </row>
    <row r="1926" spans="38:43">
      <c r="AL1926" s="414" t="str">
        <f t="shared" si="181"/>
        <v/>
      </c>
      <c r="AM1926" s="395" t="str">
        <f t="shared" si="182"/>
        <v/>
      </c>
      <c r="AN1926" s="396">
        <f t="shared" si="183"/>
        <v>0</v>
      </c>
      <c r="AO1926" s="109" t="str">
        <f t="shared" si="184"/>
        <v/>
      </c>
      <c r="AP1926" s="109" t="e">
        <f t="shared" si="185"/>
        <v>#VALUE!</v>
      </c>
      <c r="AQ1926" s="397" t="e">
        <f t="shared" si="180"/>
        <v>#VALUE!</v>
      </c>
    </row>
    <row r="1927" spans="38:43">
      <c r="AL1927" s="414" t="str">
        <f t="shared" si="181"/>
        <v/>
      </c>
      <c r="AM1927" s="395" t="str">
        <f t="shared" si="182"/>
        <v/>
      </c>
      <c r="AN1927" s="396">
        <f t="shared" si="183"/>
        <v>0</v>
      </c>
      <c r="AO1927" s="109" t="str">
        <f t="shared" si="184"/>
        <v/>
      </c>
      <c r="AP1927" s="109" t="e">
        <f t="shared" si="185"/>
        <v>#VALUE!</v>
      </c>
      <c r="AQ1927" s="397" t="e">
        <f t="shared" si="180"/>
        <v>#VALUE!</v>
      </c>
    </row>
    <row r="1928" spans="38:43">
      <c r="AL1928" s="414" t="str">
        <f t="shared" si="181"/>
        <v/>
      </c>
      <c r="AM1928" s="395" t="str">
        <f t="shared" si="182"/>
        <v/>
      </c>
      <c r="AN1928" s="396">
        <f t="shared" si="183"/>
        <v>0</v>
      </c>
      <c r="AO1928" s="109" t="str">
        <f t="shared" si="184"/>
        <v/>
      </c>
      <c r="AP1928" s="109" t="e">
        <f t="shared" si="185"/>
        <v>#VALUE!</v>
      </c>
      <c r="AQ1928" s="397" t="e">
        <f t="shared" si="180"/>
        <v>#VALUE!</v>
      </c>
    </row>
    <row r="1929" spans="38:43">
      <c r="AL1929" s="414" t="str">
        <f t="shared" si="181"/>
        <v/>
      </c>
      <c r="AM1929" s="395" t="str">
        <f t="shared" si="182"/>
        <v/>
      </c>
      <c r="AN1929" s="396">
        <f t="shared" si="183"/>
        <v>0</v>
      </c>
      <c r="AO1929" s="109" t="str">
        <f t="shared" si="184"/>
        <v/>
      </c>
      <c r="AP1929" s="109" t="e">
        <f t="shared" si="185"/>
        <v>#VALUE!</v>
      </c>
      <c r="AQ1929" s="397" t="e">
        <f t="shared" si="180"/>
        <v>#VALUE!</v>
      </c>
    </row>
    <row r="1930" spans="38:43">
      <c r="AL1930" s="414" t="str">
        <f t="shared" si="181"/>
        <v/>
      </c>
      <c r="AM1930" s="395" t="str">
        <f t="shared" si="182"/>
        <v/>
      </c>
      <c r="AN1930" s="396">
        <f t="shared" si="183"/>
        <v>0</v>
      </c>
      <c r="AO1930" s="109" t="str">
        <f t="shared" si="184"/>
        <v/>
      </c>
      <c r="AP1930" s="109" t="e">
        <f t="shared" si="185"/>
        <v>#VALUE!</v>
      </c>
      <c r="AQ1930" s="397" t="e">
        <f t="shared" si="180"/>
        <v>#VALUE!</v>
      </c>
    </row>
    <row r="1931" spans="38:43">
      <c r="AL1931" s="414" t="str">
        <f t="shared" si="181"/>
        <v/>
      </c>
      <c r="AM1931" s="395" t="str">
        <f t="shared" si="182"/>
        <v/>
      </c>
      <c r="AN1931" s="396">
        <f t="shared" si="183"/>
        <v>0</v>
      </c>
      <c r="AO1931" s="109" t="str">
        <f t="shared" si="184"/>
        <v/>
      </c>
      <c r="AP1931" s="109" t="e">
        <f t="shared" si="185"/>
        <v>#VALUE!</v>
      </c>
      <c r="AQ1931" s="397" t="e">
        <f t="shared" si="180"/>
        <v>#VALUE!</v>
      </c>
    </row>
    <row r="1932" spans="38:43">
      <c r="AL1932" s="414" t="str">
        <f t="shared" si="181"/>
        <v/>
      </c>
      <c r="AM1932" s="395" t="str">
        <f t="shared" si="182"/>
        <v/>
      </c>
      <c r="AN1932" s="396">
        <f t="shared" si="183"/>
        <v>0</v>
      </c>
      <c r="AO1932" s="109" t="str">
        <f t="shared" si="184"/>
        <v/>
      </c>
      <c r="AP1932" s="109" t="e">
        <f t="shared" si="185"/>
        <v>#VALUE!</v>
      </c>
      <c r="AQ1932" s="397" t="e">
        <f t="shared" si="180"/>
        <v>#VALUE!</v>
      </c>
    </row>
    <row r="1933" spans="38:43">
      <c r="AL1933" s="414" t="str">
        <f t="shared" si="181"/>
        <v/>
      </c>
      <c r="AM1933" s="395" t="str">
        <f t="shared" si="182"/>
        <v/>
      </c>
      <c r="AN1933" s="396">
        <f t="shared" si="183"/>
        <v>0</v>
      </c>
      <c r="AO1933" s="109" t="str">
        <f t="shared" si="184"/>
        <v/>
      </c>
      <c r="AP1933" s="109" t="e">
        <f t="shared" si="185"/>
        <v>#VALUE!</v>
      </c>
      <c r="AQ1933" s="397" t="e">
        <f t="shared" si="180"/>
        <v>#VALUE!</v>
      </c>
    </row>
    <row r="1934" spans="38:43">
      <c r="AL1934" s="414" t="str">
        <f t="shared" si="181"/>
        <v/>
      </c>
      <c r="AM1934" s="395" t="str">
        <f t="shared" si="182"/>
        <v/>
      </c>
      <c r="AN1934" s="396">
        <f t="shared" si="183"/>
        <v>0</v>
      </c>
      <c r="AO1934" s="109" t="str">
        <f t="shared" si="184"/>
        <v/>
      </c>
      <c r="AP1934" s="109" t="e">
        <f t="shared" si="185"/>
        <v>#VALUE!</v>
      </c>
      <c r="AQ1934" s="397" t="e">
        <f t="shared" si="180"/>
        <v>#VALUE!</v>
      </c>
    </row>
    <row r="1935" spans="38:43">
      <c r="AL1935" s="414" t="str">
        <f t="shared" si="181"/>
        <v/>
      </c>
      <c r="AM1935" s="395" t="str">
        <f t="shared" si="182"/>
        <v/>
      </c>
      <c r="AN1935" s="396">
        <f t="shared" si="183"/>
        <v>0</v>
      </c>
      <c r="AO1935" s="109" t="str">
        <f t="shared" si="184"/>
        <v/>
      </c>
      <c r="AP1935" s="109" t="e">
        <f t="shared" si="185"/>
        <v>#VALUE!</v>
      </c>
      <c r="AQ1935" s="397" t="e">
        <f t="shared" si="180"/>
        <v>#VALUE!</v>
      </c>
    </row>
    <row r="1936" spans="38:43">
      <c r="AL1936" s="414" t="str">
        <f t="shared" si="181"/>
        <v/>
      </c>
      <c r="AM1936" s="395" t="str">
        <f t="shared" si="182"/>
        <v/>
      </c>
      <c r="AN1936" s="396">
        <f t="shared" si="183"/>
        <v>0</v>
      </c>
      <c r="AO1936" s="109" t="str">
        <f t="shared" si="184"/>
        <v/>
      </c>
      <c r="AP1936" s="109" t="e">
        <f t="shared" si="185"/>
        <v>#VALUE!</v>
      </c>
      <c r="AQ1936" s="397" t="e">
        <f t="shared" si="180"/>
        <v>#VALUE!</v>
      </c>
    </row>
    <row r="1937" spans="38:43">
      <c r="AL1937" s="414" t="str">
        <f t="shared" si="181"/>
        <v/>
      </c>
      <c r="AM1937" s="395" t="str">
        <f t="shared" si="182"/>
        <v/>
      </c>
      <c r="AN1937" s="396">
        <f t="shared" si="183"/>
        <v>0</v>
      </c>
      <c r="AO1937" s="109" t="str">
        <f t="shared" si="184"/>
        <v/>
      </c>
      <c r="AP1937" s="109" t="e">
        <f t="shared" si="185"/>
        <v>#VALUE!</v>
      </c>
      <c r="AQ1937" s="397" t="e">
        <f t="shared" si="180"/>
        <v>#VALUE!</v>
      </c>
    </row>
    <row r="1938" spans="38:43">
      <c r="AL1938" s="414" t="str">
        <f t="shared" si="181"/>
        <v/>
      </c>
      <c r="AM1938" s="395" t="str">
        <f t="shared" si="182"/>
        <v/>
      </c>
      <c r="AN1938" s="396">
        <f t="shared" si="183"/>
        <v>0</v>
      </c>
      <c r="AO1938" s="109" t="str">
        <f t="shared" si="184"/>
        <v/>
      </c>
      <c r="AP1938" s="109" t="e">
        <f t="shared" si="185"/>
        <v>#VALUE!</v>
      </c>
      <c r="AQ1938" s="397" t="e">
        <f t="shared" si="180"/>
        <v>#VALUE!</v>
      </c>
    </row>
    <row r="1939" spans="38:43">
      <c r="AL1939" s="414" t="str">
        <f t="shared" si="181"/>
        <v/>
      </c>
      <c r="AM1939" s="395" t="str">
        <f t="shared" si="182"/>
        <v/>
      </c>
      <c r="AN1939" s="396">
        <f t="shared" si="183"/>
        <v>0</v>
      </c>
      <c r="AO1939" s="109" t="str">
        <f t="shared" si="184"/>
        <v/>
      </c>
      <c r="AP1939" s="109" t="e">
        <f t="shared" si="185"/>
        <v>#VALUE!</v>
      </c>
      <c r="AQ1939" s="397" t="e">
        <f t="shared" si="180"/>
        <v>#VALUE!</v>
      </c>
    </row>
    <row r="1940" spans="38:43">
      <c r="AL1940" s="414" t="str">
        <f t="shared" si="181"/>
        <v/>
      </c>
      <c r="AM1940" s="395" t="str">
        <f t="shared" si="182"/>
        <v/>
      </c>
      <c r="AN1940" s="396">
        <f t="shared" si="183"/>
        <v>0</v>
      </c>
      <c r="AO1940" s="109" t="str">
        <f t="shared" si="184"/>
        <v/>
      </c>
      <c r="AP1940" s="109" t="e">
        <f t="shared" si="185"/>
        <v>#VALUE!</v>
      </c>
      <c r="AQ1940" s="397" t="e">
        <f t="shared" si="180"/>
        <v>#VALUE!</v>
      </c>
    </row>
    <row r="1941" spans="38:43">
      <c r="AL1941" s="414" t="str">
        <f t="shared" si="181"/>
        <v/>
      </c>
      <c r="AM1941" s="395" t="str">
        <f t="shared" si="182"/>
        <v/>
      </c>
      <c r="AN1941" s="396">
        <f t="shared" si="183"/>
        <v>0</v>
      </c>
      <c r="AO1941" s="109" t="str">
        <f t="shared" si="184"/>
        <v/>
      </c>
      <c r="AP1941" s="109" t="e">
        <f t="shared" si="185"/>
        <v>#VALUE!</v>
      </c>
      <c r="AQ1941" s="397" t="e">
        <f t="shared" si="180"/>
        <v>#VALUE!</v>
      </c>
    </row>
    <row r="1942" spans="38:43">
      <c r="AL1942" s="414" t="str">
        <f t="shared" si="181"/>
        <v/>
      </c>
      <c r="AM1942" s="395" t="str">
        <f t="shared" si="182"/>
        <v/>
      </c>
      <c r="AN1942" s="396">
        <f t="shared" si="183"/>
        <v>0</v>
      </c>
      <c r="AO1942" s="109" t="str">
        <f t="shared" si="184"/>
        <v/>
      </c>
      <c r="AP1942" s="109" t="e">
        <f t="shared" si="185"/>
        <v>#VALUE!</v>
      </c>
      <c r="AQ1942" s="397" t="e">
        <f t="shared" si="180"/>
        <v>#VALUE!</v>
      </c>
    </row>
    <row r="1943" spans="38:43">
      <c r="AL1943" s="414" t="str">
        <f t="shared" si="181"/>
        <v/>
      </c>
      <c r="AM1943" s="395" t="str">
        <f t="shared" si="182"/>
        <v/>
      </c>
      <c r="AN1943" s="396">
        <f t="shared" si="183"/>
        <v>0</v>
      </c>
      <c r="AO1943" s="109" t="str">
        <f t="shared" si="184"/>
        <v/>
      </c>
      <c r="AP1943" s="109" t="e">
        <f t="shared" si="185"/>
        <v>#VALUE!</v>
      </c>
      <c r="AQ1943" s="397" t="e">
        <f t="shared" si="180"/>
        <v>#VALUE!</v>
      </c>
    </row>
    <row r="1944" spans="38:43">
      <c r="AL1944" s="414" t="str">
        <f t="shared" si="181"/>
        <v/>
      </c>
      <c r="AM1944" s="395" t="str">
        <f t="shared" si="182"/>
        <v/>
      </c>
      <c r="AN1944" s="396">
        <f t="shared" si="183"/>
        <v>0</v>
      </c>
      <c r="AO1944" s="109" t="str">
        <f t="shared" si="184"/>
        <v/>
      </c>
      <c r="AP1944" s="109" t="e">
        <f t="shared" si="185"/>
        <v>#VALUE!</v>
      </c>
      <c r="AQ1944" s="397" t="e">
        <f t="shared" si="180"/>
        <v>#VALUE!</v>
      </c>
    </row>
    <row r="1945" spans="38:43">
      <c r="AL1945" s="414" t="str">
        <f t="shared" si="181"/>
        <v/>
      </c>
      <c r="AM1945" s="395" t="str">
        <f t="shared" si="182"/>
        <v/>
      </c>
      <c r="AN1945" s="396">
        <f t="shared" si="183"/>
        <v>0</v>
      </c>
      <c r="AO1945" s="109" t="str">
        <f t="shared" si="184"/>
        <v/>
      </c>
      <c r="AP1945" s="109" t="e">
        <f t="shared" si="185"/>
        <v>#VALUE!</v>
      </c>
      <c r="AQ1945" s="397" t="e">
        <f t="shared" si="180"/>
        <v>#VALUE!</v>
      </c>
    </row>
    <row r="1946" spans="38:43">
      <c r="AL1946" s="414" t="str">
        <f t="shared" si="181"/>
        <v/>
      </c>
      <c r="AM1946" s="395" t="str">
        <f t="shared" si="182"/>
        <v/>
      </c>
      <c r="AN1946" s="396">
        <f t="shared" si="183"/>
        <v>0</v>
      </c>
      <c r="AO1946" s="109" t="str">
        <f t="shared" si="184"/>
        <v/>
      </c>
      <c r="AP1946" s="109" t="e">
        <f t="shared" si="185"/>
        <v>#VALUE!</v>
      </c>
      <c r="AQ1946" s="397" t="e">
        <f t="shared" si="180"/>
        <v>#VALUE!</v>
      </c>
    </row>
    <row r="1947" spans="38:43">
      <c r="AL1947" s="414" t="str">
        <f t="shared" si="181"/>
        <v/>
      </c>
      <c r="AM1947" s="395" t="str">
        <f t="shared" si="182"/>
        <v/>
      </c>
      <c r="AN1947" s="396">
        <f t="shared" si="183"/>
        <v>0</v>
      </c>
      <c r="AO1947" s="109" t="str">
        <f t="shared" si="184"/>
        <v/>
      </c>
      <c r="AP1947" s="109" t="e">
        <f t="shared" si="185"/>
        <v>#VALUE!</v>
      </c>
      <c r="AQ1947" s="397" t="e">
        <f t="shared" si="180"/>
        <v>#VALUE!</v>
      </c>
    </row>
    <row r="1948" spans="38:43">
      <c r="AL1948" s="414" t="str">
        <f t="shared" si="181"/>
        <v/>
      </c>
      <c r="AM1948" s="395" t="str">
        <f t="shared" si="182"/>
        <v/>
      </c>
      <c r="AN1948" s="396">
        <f t="shared" si="183"/>
        <v>0</v>
      </c>
      <c r="AO1948" s="109" t="str">
        <f t="shared" si="184"/>
        <v/>
      </c>
      <c r="AP1948" s="109" t="e">
        <f t="shared" si="185"/>
        <v>#VALUE!</v>
      </c>
      <c r="AQ1948" s="397" t="e">
        <f t="shared" si="180"/>
        <v>#VALUE!</v>
      </c>
    </row>
    <row r="1949" spans="38:43">
      <c r="AL1949" s="414" t="str">
        <f t="shared" si="181"/>
        <v/>
      </c>
      <c r="AM1949" s="395" t="str">
        <f t="shared" si="182"/>
        <v/>
      </c>
      <c r="AN1949" s="396">
        <f t="shared" si="183"/>
        <v>0</v>
      </c>
      <c r="AO1949" s="109" t="str">
        <f t="shared" si="184"/>
        <v/>
      </c>
      <c r="AP1949" s="109" t="e">
        <f t="shared" si="185"/>
        <v>#VALUE!</v>
      </c>
      <c r="AQ1949" s="397" t="e">
        <f t="shared" ref="AQ1949:AQ2012" si="186">AN1949*AP1949</f>
        <v>#VALUE!</v>
      </c>
    </row>
    <row r="1950" spans="38:43">
      <c r="AL1950" s="414" t="str">
        <f t="shared" si="181"/>
        <v/>
      </c>
      <c r="AM1950" s="395" t="str">
        <f t="shared" si="182"/>
        <v/>
      </c>
      <c r="AN1950" s="396">
        <f t="shared" si="183"/>
        <v>0</v>
      </c>
      <c r="AO1950" s="109" t="str">
        <f t="shared" si="184"/>
        <v/>
      </c>
      <c r="AP1950" s="109" t="e">
        <f t="shared" si="185"/>
        <v>#VALUE!</v>
      </c>
      <c r="AQ1950" s="397" t="e">
        <f t="shared" si="186"/>
        <v>#VALUE!</v>
      </c>
    </row>
    <row r="1951" spans="38:43">
      <c r="AL1951" s="414" t="str">
        <f t="shared" si="181"/>
        <v/>
      </c>
      <c r="AM1951" s="395" t="str">
        <f t="shared" si="182"/>
        <v/>
      </c>
      <c r="AN1951" s="396">
        <f t="shared" si="183"/>
        <v>0</v>
      </c>
      <c r="AO1951" s="109" t="str">
        <f t="shared" si="184"/>
        <v/>
      </c>
      <c r="AP1951" s="109" t="e">
        <f t="shared" si="185"/>
        <v>#VALUE!</v>
      </c>
      <c r="AQ1951" s="397" t="e">
        <f t="shared" si="186"/>
        <v>#VALUE!</v>
      </c>
    </row>
    <row r="1952" spans="38:43">
      <c r="AL1952" s="414" t="str">
        <f t="shared" si="181"/>
        <v/>
      </c>
      <c r="AM1952" s="395" t="str">
        <f t="shared" si="182"/>
        <v/>
      </c>
      <c r="AN1952" s="396">
        <f t="shared" si="183"/>
        <v>0</v>
      </c>
      <c r="AO1952" s="109" t="str">
        <f t="shared" si="184"/>
        <v/>
      </c>
      <c r="AP1952" s="109" t="e">
        <f t="shared" si="185"/>
        <v>#VALUE!</v>
      </c>
      <c r="AQ1952" s="397" t="e">
        <f t="shared" si="186"/>
        <v>#VALUE!</v>
      </c>
    </row>
    <row r="1953" spans="38:43">
      <c r="AL1953" s="414" t="str">
        <f t="shared" si="181"/>
        <v/>
      </c>
      <c r="AM1953" s="395" t="str">
        <f t="shared" si="182"/>
        <v/>
      </c>
      <c r="AN1953" s="396">
        <f t="shared" si="183"/>
        <v>0</v>
      </c>
      <c r="AO1953" s="109" t="str">
        <f t="shared" si="184"/>
        <v/>
      </c>
      <c r="AP1953" s="109" t="e">
        <f t="shared" si="185"/>
        <v>#VALUE!</v>
      </c>
      <c r="AQ1953" s="397" t="e">
        <f t="shared" si="186"/>
        <v>#VALUE!</v>
      </c>
    </row>
    <row r="1954" spans="38:43">
      <c r="AL1954" s="414" t="str">
        <f t="shared" si="181"/>
        <v/>
      </c>
      <c r="AM1954" s="395" t="str">
        <f t="shared" si="182"/>
        <v/>
      </c>
      <c r="AN1954" s="396">
        <f t="shared" si="183"/>
        <v>0</v>
      </c>
      <c r="AO1954" s="109" t="str">
        <f t="shared" si="184"/>
        <v/>
      </c>
      <c r="AP1954" s="109" t="e">
        <f t="shared" si="185"/>
        <v>#VALUE!</v>
      </c>
      <c r="AQ1954" s="397" t="e">
        <f t="shared" si="186"/>
        <v>#VALUE!</v>
      </c>
    </row>
    <row r="1955" spans="38:43">
      <c r="AL1955" s="414" t="str">
        <f t="shared" si="181"/>
        <v/>
      </c>
      <c r="AM1955" s="395" t="str">
        <f t="shared" si="182"/>
        <v/>
      </c>
      <c r="AN1955" s="396">
        <f t="shared" si="183"/>
        <v>0</v>
      </c>
      <c r="AO1955" s="109" t="str">
        <f t="shared" si="184"/>
        <v/>
      </c>
      <c r="AP1955" s="109" t="e">
        <f t="shared" si="185"/>
        <v>#VALUE!</v>
      </c>
      <c r="AQ1955" s="397" t="e">
        <f t="shared" si="186"/>
        <v>#VALUE!</v>
      </c>
    </row>
    <row r="1956" spans="38:43">
      <c r="AL1956" s="414" t="str">
        <f t="shared" si="181"/>
        <v/>
      </c>
      <c r="AM1956" s="395" t="str">
        <f t="shared" si="182"/>
        <v/>
      </c>
      <c r="AN1956" s="396">
        <f t="shared" si="183"/>
        <v>0</v>
      </c>
      <c r="AO1956" s="109" t="str">
        <f t="shared" si="184"/>
        <v/>
      </c>
      <c r="AP1956" s="109" t="e">
        <f t="shared" si="185"/>
        <v>#VALUE!</v>
      </c>
      <c r="AQ1956" s="397" t="e">
        <f t="shared" si="186"/>
        <v>#VALUE!</v>
      </c>
    </row>
    <row r="1957" spans="38:43">
      <c r="AL1957" s="414" t="str">
        <f t="shared" si="181"/>
        <v/>
      </c>
      <c r="AM1957" s="395" t="str">
        <f t="shared" si="182"/>
        <v/>
      </c>
      <c r="AN1957" s="396">
        <f t="shared" si="183"/>
        <v>0</v>
      </c>
      <c r="AO1957" s="109" t="str">
        <f t="shared" si="184"/>
        <v/>
      </c>
      <c r="AP1957" s="109" t="e">
        <f t="shared" si="185"/>
        <v>#VALUE!</v>
      </c>
      <c r="AQ1957" s="397" t="e">
        <f t="shared" si="186"/>
        <v>#VALUE!</v>
      </c>
    </row>
    <row r="1958" spans="38:43">
      <c r="AL1958" s="414" t="str">
        <f t="shared" si="181"/>
        <v/>
      </c>
      <c r="AM1958" s="395" t="str">
        <f t="shared" si="182"/>
        <v/>
      </c>
      <c r="AN1958" s="396">
        <f t="shared" si="183"/>
        <v>0</v>
      </c>
      <c r="AO1958" s="109" t="str">
        <f t="shared" si="184"/>
        <v/>
      </c>
      <c r="AP1958" s="109" t="e">
        <f t="shared" si="185"/>
        <v>#VALUE!</v>
      </c>
      <c r="AQ1958" s="397" t="e">
        <f t="shared" si="186"/>
        <v>#VALUE!</v>
      </c>
    </row>
    <row r="1959" spans="38:43">
      <c r="AL1959" s="414" t="str">
        <f t="shared" si="181"/>
        <v/>
      </c>
      <c r="AM1959" s="395" t="str">
        <f t="shared" si="182"/>
        <v/>
      </c>
      <c r="AN1959" s="396">
        <f t="shared" si="183"/>
        <v>0</v>
      </c>
      <c r="AO1959" s="109" t="str">
        <f t="shared" si="184"/>
        <v/>
      </c>
      <c r="AP1959" s="109" t="e">
        <f t="shared" si="185"/>
        <v>#VALUE!</v>
      </c>
      <c r="AQ1959" s="397" t="e">
        <f t="shared" si="186"/>
        <v>#VALUE!</v>
      </c>
    </row>
    <row r="1960" spans="38:43">
      <c r="AL1960" s="414" t="str">
        <f t="shared" si="181"/>
        <v/>
      </c>
      <c r="AM1960" s="395" t="str">
        <f t="shared" si="182"/>
        <v/>
      </c>
      <c r="AN1960" s="396">
        <f t="shared" si="183"/>
        <v>0</v>
      </c>
      <c r="AO1960" s="109" t="str">
        <f t="shared" si="184"/>
        <v/>
      </c>
      <c r="AP1960" s="109" t="e">
        <f t="shared" si="185"/>
        <v>#VALUE!</v>
      </c>
      <c r="AQ1960" s="397" t="e">
        <f t="shared" si="186"/>
        <v>#VALUE!</v>
      </c>
    </row>
    <row r="1961" spans="38:43">
      <c r="AL1961" s="414" t="str">
        <f t="shared" si="181"/>
        <v/>
      </c>
      <c r="AM1961" s="395" t="str">
        <f t="shared" si="182"/>
        <v/>
      </c>
      <c r="AN1961" s="396">
        <f t="shared" si="183"/>
        <v>0</v>
      </c>
      <c r="AO1961" s="109" t="str">
        <f t="shared" si="184"/>
        <v/>
      </c>
      <c r="AP1961" s="109" t="e">
        <f t="shared" si="185"/>
        <v>#VALUE!</v>
      </c>
      <c r="AQ1961" s="397" t="e">
        <f t="shared" si="186"/>
        <v>#VALUE!</v>
      </c>
    </row>
    <row r="1962" spans="38:43">
      <c r="AL1962" s="414" t="str">
        <f t="shared" si="181"/>
        <v/>
      </c>
      <c r="AM1962" s="395" t="str">
        <f t="shared" si="182"/>
        <v/>
      </c>
      <c r="AN1962" s="396">
        <f t="shared" si="183"/>
        <v>0</v>
      </c>
      <c r="AO1962" s="109" t="str">
        <f t="shared" si="184"/>
        <v/>
      </c>
      <c r="AP1962" s="109" t="e">
        <f t="shared" si="185"/>
        <v>#VALUE!</v>
      </c>
      <c r="AQ1962" s="397" t="e">
        <f t="shared" si="186"/>
        <v>#VALUE!</v>
      </c>
    </row>
    <row r="1963" spans="38:43">
      <c r="AL1963" s="414" t="str">
        <f t="shared" si="181"/>
        <v/>
      </c>
      <c r="AM1963" s="395" t="str">
        <f t="shared" si="182"/>
        <v/>
      </c>
      <c r="AN1963" s="396">
        <f t="shared" si="183"/>
        <v>0</v>
      </c>
      <c r="AO1963" s="109" t="str">
        <f t="shared" si="184"/>
        <v/>
      </c>
      <c r="AP1963" s="109" t="e">
        <f t="shared" si="185"/>
        <v>#VALUE!</v>
      </c>
      <c r="AQ1963" s="397" t="e">
        <f t="shared" si="186"/>
        <v>#VALUE!</v>
      </c>
    </row>
    <row r="1964" spans="38:43">
      <c r="AL1964" s="414" t="str">
        <f t="shared" si="181"/>
        <v/>
      </c>
      <c r="AM1964" s="395" t="str">
        <f t="shared" si="182"/>
        <v/>
      </c>
      <c r="AN1964" s="396">
        <f t="shared" si="183"/>
        <v>0</v>
      </c>
      <c r="AO1964" s="109" t="str">
        <f t="shared" si="184"/>
        <v/>
      </c>
      <c r="AP1964" s="109" t="e">
        <f t="shared" si="185"/>
        <v>#VALUE!</v>
      </c>
      <c r="AQ1964" s="397" t="e">
        <f t="shared" si="186"/>
        <v>#VALUE!</v>
      </c>
    </row>
    <row r="1965" spans="38:43">
      <c r="AL1965" s="414" t="str">
        <f t="shared" si="181"/>
        <v/>
      </c>
      <c r="AM1965" s="395" t="str">
        <f t="shared" si="182"/>
        <v/>
      </c>
      <c r="AN1965" s="396">
        <f t="shared" si="183"/>
        <v>0</v>
      </c>
      <c r="AO1965" s="109" t="str">
        <f t="shared" si="184"/>
        <v/>
      </c>
      <c r="AP1965" s="109" t="e">
        <f t="shared" si="185"/>
        <v>#VALUE!</v>
      </c>
      <c r="AQ1965" s="397" t="e">
        <f t="shared" si="186"/>
        <v>#VALUE!</v>
      </c>
    </row>
    <row r="1966" spans="38:43">
      <c r="AL1966" s="414" t="str">
        <f t="shared" si="181"/>
        <v/>
      </c>
      <c r="AM1966" s="395" t="str">
        <f t="shared" si="182"/>
        <v/>
      </c>
      <c r="AN1966" s="396">
        <f t="shared" si="183"/>
        <v>0</v>
      </c>
      <c r="AO1966" s="109" t="str">
        <f t="shared" si="184"/>
        <v/>
      </c>
      <c r="AP1966" s="109" t="e">
        <f t="shared" si="185"/>
        <v>#VALUE!</v>
      </c>
      <c r="AQ1966" s="397" t="e">
        <f t="shared" si="186"/>
        <v>#VALUE!</v>
      </c>
    </row>
    <row r="1967" spans="38:43">
      <c r="AL1967" s="414" t="str">
        <f t="shared" si="181"/>
        <v/>
      </c>
      <c r="AM1967" s="395" t="str">
        <f t="shared" si="182"/>
        <v/>
      </c>
      <c r="AN1967" s="396">
        <f t="shared" si="183"/>
        <v>0</v>
      </c>
      <c r="AO1967" s="109" t="str">
        <f t="shared" si="184"/>
        <v/>
      </c>
      <c r="AP1967" s="109" t="e">
        <f t="shared" si="185"/>
        <v>#VALUE!</v>
      </c>
      <c r="AQ1967" s="397" t="e">
        <f t="shared" si="186"/>
        <v>#VALUE!</v>
      </c>
    </row>
    <row r="1968" spans="38:43">
      <c r="AL1968" s="414" t="str">
        <f t="shared" si="181"/>
        <v/>
      </c>
      <c r="AM1968" s="395" t="str">
        <f t="shared" si="182"/>
        <v/>
      </c>
      <c r="AN1968" s="396">
        <f t="shared" si="183"/>
        <v>0</v>
      </c>
      <c r="AO1968" s="109" t="str">
        <f t="shared" si="184"/>
        <v/>
      </c>
      <c r="AP1968" s="109" t="e">
        <f t="shared" si="185"/>
        <v>#VALUE!</v>
      </c>
      <c r="AQ1968" s="397" t="e">
        <f t="shared" si="186"/>
        <v>#VALUE!</v>
      </c>
    </row>
    <row r="1969" spans="38:43">
      <c r="AL1969" s="414" t="str">
        <f t="shared" si="181"/>
        <v/>
      </c>
      <c r="AM1969" s="395" t="str">
        <f t="shared" si="182"/>
        <v/>
      </c>
      <c r="AN1969" s="396">
        <f t="shared" si="183"/>
        <v>0</v>
      </c>
      <c r="AO1969" s="109" t="str">
        <f t="shared" si="184"/>
        <v/>
      </c>
      <c r="AP1969" s="109" t="e">
        <f t="shared" si="185"/>
        <v>#VALUE!</v>
      </c>
      <c r="AQ1969" s="397" t="e">
        <f t="shared" si="186"/>
        <v>#VALUE!</v>
      </c>
    </row>
    <row r="1970" spans="38:43">
      <c r="AL1970" s="414" t="str">
        <f t="shared" si="181"/>
        <v/>
      </c>
      <c r="AM1970" s="395" t="str">
        <f t="shared" si="182"/>
        <v/>
      </c>
      <c r="AN1970" s="396">
        <f t="shared" si="183"/>
        <v>0</v>
      </c>
      <c r="AO1970" s="109" t="str">
        <f t="shared" si="184"/>
        <v/>
      </c>
      <c r="AP1970" s="109" t="e">
        <f t="shared" si="185"/>
        <v>#VALUE!</v>
      </c>
      <c r="AQ1970" s="397" t="e">
        <f t="shared" si="186"/>
        <v>#VALUE!</v>
      </c>
    </row>
    <row r="1971" spans="38:43">
      <c r="AL1971" s="414" t="str">
        <f t="shared" si="181"/>
        <v/>
      </c>
      <c r="AM1971" s="395" t="str">
        <f t="shared" si="182"/>
        <v/>
      </c>
      <c r="AN1971" s="396">
        <f t="shared" si="183"/>
        <v>0</v>
      </c>
      <c r="AO1971" s="109" t="str">
        <f t="shared" si="184"/>
        <v/>
      </c>
      <c r="AP1971" s="109" t="e">
        <f t="shared" si="185"/>
        <v>#VALUE!</v>
      </c>
      <c r="AQ1971" s="397" t="e">
        <f t="shared" si="186"/>
        <v>#VALUE!</v>
      </c>
    </row>
    <row r="1972" spans="38:43">
      <c r="AL1972" s="414" t="str">
        <f t="shared" si="181"/>
        <v/>
      </c>
      <c r="AM1972" s="395" t="str">
        <f t="shared" si="182"/>
        <v/>
      </c>
      <c r="AN1972" s="396">
        <f t="shared" si="183"/>
        <v>0</v>
      </c>
      <c r="AO1972" s="109" t="str">
        <f t="shared" si="184"/>
        <v/>
      </c>
      <c r="AP1972" s="109" t="e">
        <f t="shared" si="185"/>
        <v>#VALUE!</v>
      </c>
      <c r="AQ1972" s="397" t="e">
        <f t="shared" si="186"/>
        <v>#VALUE!</v>
      </c>
    </row>
    <row r="1973" spans="38:43">
      <c r="AL1973" s="414" t="str">
        <f t="shared" si="181"/>
        <v/>
      </c>
      <c r="AM1973" s="395" t="str">
        <f t="shared" si="182"/>
        <v/>
      </c>
      <c r="AN1973" s="396">
        <f t="shared" si="183"/>
        <v>0</v>
      </c>
      <c r="AO1973" s="109" t="str">
        <f t="shared" si="184"/>
        <v/>
      </c>
      <c r="AP1973" s="109" t="e">
        <f t="shared" si="185"/>
        <v>#VALUE!</v>
      </c>
      <c r="AQ1973" s="397" t="e">
        <f t="shared" si="186"/>
        <v>#VALUE!</v>
      </c>
    </row>
    <row r="1974" spans="38:43">
      <c r="AL1974" s="414" t="str">
        <f t="shared" si="181"/>
        <v/>
      </c>
      <c r="AM1974" s="395" t="str">
        <f t="shared" si="182"/>
        <v/>
      </c>
      <c r="AN1974" s="396">
        <f t="shared" si="183"/>
        <v>0</v>
      </c>
      <c r="AO1974" s="109" t="str">
        <f t="shared" si="184"/>
        <v/>
      </c>
      <c r="AP1974" s="109" t="e">
        <f t="shared" si="185"/>
        <v>#VALUE!</v>
      </c>
      <c r="AQ1974" s="397" t="e">
        <f t="shared" si="186"/>
        <v>#VALUE!</v>
      </c>
    </row>
    <row r="1975" spans="38:43">
      <c r="AL1975" s="414" t="str">
        <f t="shared" si="181"/>
        <v/>
      </c>
      <c r="AM1975" s="395" t="str">
        <f t="shared" si="182"/>
        <v/>
      </c>
      <c r="AN1975" s="396">
        <f t="shared" si="183"/>
        <v>0</v>
      </c>
      <c r="AO1975" s="109" t="str">
        <f t="shared" si="184"/>
        <v/>
      </c>
      <c r="AP1975" s="109" t="e">
        <f t="shared" si="185"/>
        <v>#VALUE!</v>
      </c>
      <c r="AQ1975" s="397" t="e">
        <f t="shared" si="186"/>
        <v>#VALUE!</v>
      </c>
    </row>
    <row r="1976" spans="38:43">
      <c r="AL1976" s="414" t="str">
        <f t="shared" si="181"/>
        <v/>
      </c>
      <c r="AM1976" s="395" t="str">
        <f t="shared" si="182"/>
        <v/>
      </c>
      <c r="AN1976" s="396">
        <f t="shared" si="183"/>
        <v>0</v>
      </c>
      <c r="AO1976" s="109" t="str">
        <f t="shared" si="184"/>
        <v/>
      </c>
      <c r="AP1976" s="109" t="e">
        <f t="shared" si="185"/>
        <v>#VALUE!</v>
      </c>
      <c r="AQ1976" s="397" t="e">
        <f t="shared" si="186"/>
        <v>#VALUE!</v>
      </c>
    </row>
    <row r="1977" spans="38:43">
      <c r="AL1977" s="414" t="str">
        <f t="shared" si="181"/>
        <v/>
      </c>
      <c r="AM1977" s="395" t="str">
        <f t="shared" si="182"/>
        <v/>
      </c>
      <c r="AN1977" s="396">
        <f t="shared" si="183"/>
        <v>0</v>
      </c>
      <c r="AO1977" s="109" t="str">
        <f t="shared" si="184"/>
        <v/>
      </c>
      <c r="AP1977" s="109" t="e">
        <f t="shared" si="185"/>
        <v>#VALUE!</v>
      </c>
      <c r="AQ1977" s="397" t="e">
        <f t="shared" si="186"/>
        <v>#VALUE!</v>
      </c>
    </row>
    <row r="1978" spans="38:43">
      <c r="AL1978" s="414" t="str">
        <f t="shared" si="181"/>
        <v/>
      </c>
      <c r="AM1978" s="395" t="str">
        <f t="shared" si="182"/>
        <v/>
      </c>
      <c r="AN1978" s="396">
        <f t="shared" si="183"/>
        <v>0</v>
      </c>
      <c r="AO1978" s="109" t="str">
        <f t="shared" si="184"/>
        <v/>
      </c>
      <c r="AP1978" s="109" t="e">
        <f t="shared" si="185"/>
        <v>#VALUE!</v>
      </c>
      <c r="AQ1978" s="397" t="e">
        <f t="shared" si="186"/>
        <v>#VALUE!</v>
      </c>
    </row>
    <row r="1979" spans="38:43">
      <c r="AL1979" s="414" t="str">
        <f t="shared" si="181"/>
        <v/>
      </c>
      <c r="AM1979" s="395" t="str">
        <f t="shared" si="182"/>
        <v/>
      </c>
      <c r="AN1979" s="396">
        <f t="shared" si="183"/>
        <v>0</v>
      </c>
      <c r="AO1979" s="109" t="str">
        <f t="shared" si="184"/>
        <v/>
      </c>
      <c r="AP1979" s="109" t="e">
        <f t="shared" si="185"/>
        <v>#VALUE!</v>
      </c>
      <c r="AQ1979" s="397" t="e">
        <f t="shared" si="186"/>
        <v>#VALUE!</v>
      </c>
    </row>
    <row r="1980" spans="38:43">
      <c r="AL1980" s="414" t="str">
        <f t="shared" si="181"/>
        <v/>
      </c>
      <c r="AM1980" s="395" t="str">
        <f t="shared" si="182"/>
        <v/>
      </c>
      <c r="AN1980" s="396">
        <f t="shared" si="183"/>
        <v>0</v>
      </c>
      <c r="AO1980" s="109" t="str">
        <f t="shared" si="184"/>
        <v/>
      </c>
      <c r="AP1980" s="109" t="e">
        <f t="shared" si="185"/>
        <v>#VALUE!</v>
      </c>
      <c r="AQ1980" s="397" t="e">
        <f t="shared" si="186"/>
        <v>#VALUE!</v>
      </c>
    </row>
    <row r="1981" spans="38:43">
      <c r="AL1981" s="414" t="str">
        <f t="shared" si="181"/>
        <v/>
      </c>
      <c r="AM1981" s="395" t="str">
        <f t="shared" si="182"/>
        <v/>
      </c>
      <c r="AN1981" s="396">
        <f t="shared" si="183"/>
        <v>0</v>
      </c>
      <c r="AO1981" s="109" t="str">
        <f t="shared" si="184"/>
        <v/>
      </c>
      <c r="AP1981" s="109" t="e">
        <f t="shared" si="185"/>
        <v>#VALUE!</v>
      </c>
      <c r="AQ1981" s="397" t="e">
        <f t="shared" si="186"/>
        <v>#VALUE!</v>
      </c>
    </row>
    <row r="1982" spans="38:43">
      <c r="AL1982" s="414" t="str">
        <f t="shared" si="181"/>
        <v/>
      </c>
      <c r="AM1982" s="395" t="str">
        <f t="shared" si="182"/>
        <v/>
      </c>
      <c r="AN1982" s="396">
        <f t="shared" si="183"/>
        <v>0</v>
      </c>
      <c r="AO1982" s="109" t="str">
        <f t="shared" si="184"/>
        <v/>
      </c>
      <c r="AP1982" s="109" t="e">
        <f t="shared" si="185"/>
        <v>#VALUE!</v>
      </c>
      <c r="AQ1982" s="397" t="e">
        <f t="shared" si="186"/>
        <v>#VALUE!</v>
      </c>
    </row>
    <row r="1983" spans="38:43">
      <c r="AL1983" s="414" t="str">
        <f t="shared" si="181"/>
        <v/>
      </c>
      <c r="AM1983" s="395" t="str">
        <f t="shared" si="182"/>
        <v/>
      </c>
      <c r="AN1983" s="396">
        <f t="shared" si="183"/>
        <v>0</v>
      </c>
      <c r="AO1983" s="109" t="str">
        <f t="shared" si="184"/>
        <v/>
      </c>
      <c r="AP1983" s="109" t="e">
        <f t="shared" si="185"/>
        <v>#VALUE!</v>
      </c>
      <c r="AQ1983" s="397" t="e">
        <f t="shared" si="186"/>
        <v>#VALUE!</v>
      </c>
    </row>
    <row r="1984" spans="38:43">
      <c r="AL1984" s="414" t="str">
        <f t="shared" si="181"/>
        <v/>
      </c>
      <c r="AM1984" s="395" t="str">
        <f t="shared" si="182"/>
        <v/>
      </c>
      <c r="AN1984" s="396">
        <f t="shared" si="183"/>
        <v>0</v>
      </c>
      <c r="AO1984" s="109" t="str">
        <f t="shared" si="184"/>
        <v/>
      </c>
      <c r="AP1984" s="109" t="e">
        <f t="shared" si="185"/>
        <v>#VALUE!</v>
      </c>
      <c r="AQ1984" s="397" t="e">
        <f t="shared" si="186"/>
        <v>#VALUE!</v>
      </c>
    </row>
    <row r="1985" spans="38:43">
      <c r="AL1985" s="414" t="str">
        <f t="shared" si="181"/>
        <v/>
      </c>
      <c r="AM1985" s="395" t="str">
        <f t="shared" si="182"/>
        <v/>
      </c>
      <c r="AN1985" s="396">
        <f t="shared" si="183"/>
        <v>0</v>
      </c>
      <c r="AO1985" s="109" t="str">
        <f t="shared" si="184"/>
        <v/>
      </c>
      <c r="AP1985" s="109" t="e">
        <f t="shared" si="185"/>
        <v>#VALUE!</v>
      </c>
      <c r="AQ1985" s="397" t="e">
        <f t="shared" si="186"/>
        <v>#VALUE!</v>
      </c>
    </row>
    <row r="1986" spans="38:43">
      <c r="AL1986" s="414" t="str">
        <f t="shared" si="181"/>
        <v/>
      </c>
      <c r="AM1986" s="395" t="str">
        <f t="shared" si="182"/>
        <v/>
      </c>
      <c r="AN1986" s="396">
        <f t="shared" si="183"/>
        <v>0</v>
      </c>
      <c r="AO1986" s="109" t="str">
        <f t="shared" si="184"/>
        <v/>
      </c>
      <c r="AP1986" s="109" t="e">
        <f t="shared" si="185"/>
        <v>#VALUE!</v>
      </c>
      <c r="AQ1986" s="397" t="e">
        <f t="shared" si="186"/>
        <v>#VALUE!</v>
      </c>
    </row>
    <row r="1987" spans="38:43">
      <c r="AL1987" s="414" t="str">
        <f t="shared" ref="AL1987:AL2050" si="187">SUBSTITUTE(SUBSTITUTE(H1987,"[워커힐]워커힐 고메 시그니처 양념 본갈비 8팩","워커힐 시그니처 양념 본갈비 300g, 8개"),"[워커힐]워커힐 시그니처 양념 본갈비 4팩","워커힐 시그니처 양념 본갈비 300g, 4개")</f>
        <v/>
      </c>
      <c r="AM1987" s="395" t="str">
        <f t="shared" ref="AM1987:AM2050" si="188">IF(N1987="배송완료", DATE(LEFT(M1987,4), MID(M1987,6,2), MID(M1987,9,2)), "")</f>
        <v/>
      </c>
      <c r="AN1987" s="396">
        <f t="shared" ref="AN1987:AN2050" si="189">IF(OR(N1987="배송완료", Q1987&lt;0), Q1987, 0)</f>
        <v>0</v>
      </c>
      <c r="AO1987" s="109" t="str">
        <f t="shared" ref="AO1987:AO2050" si="190">IF(AL1987="워커힐 시그니처 양념 본갈비 300g, 8개",119000,IF(AL1987="워커힐 시그니처 양념 본갈비 300g, 4개",78000,""))</f>
        <v/>
      </c>
      <c r="AP1987" s="109" t="e">
        <f t="shared" ref="AP1987:AP2050" si="191">AO1987/1.1</f>
        <v>#VALUE!</v>
      </c>
      <c r="AQ1987" s="397" t="e">
        <f t="shared" si="186"/>
        <v>#VALUE!</v>
      </c>
    </row>
    <row r="1988" spans="38:43">
      <c r="AL1988" s="414" t="str">
        <f t="shared" si="187"/>
        <v/>
      </c>
      <c r="AM1988" s="395" t="str">
        <f t="shared" si="188"/>
        <v/>
      </c>
      <c r="AN1988" s="396">
        <f t="shared" si="189"/>
        <v>0</v>
      </c>
      <c r="AO1988" s="109" t="str">
        <f t="shared" si="190"/>
        <v/>
      </c>
      <c r="AP1988" s="109" t="e">
        <f t="shared" si="191"/>
        <v>#VALUE!</v>
      </c>
      <c r="AQ1988" s="397" t="e">
        <f t="shared" si="186"/>
        <v>#VALUE!</v>
      </c>
    </row>
    <row r="1989" spans="38:43">
      <c r="AL1989" s="414" t="str">
        <f t="shared" si="187"/>
        <v/>
      </c>
      <c r="AM1989" s="395" t="str">
        <f t="shared" si="188"/>
        <v/>
      </c>
      <c r="AN1989" s="396">
        <f t="shared" si="189"/>
        <v>0</v>
      </c>
      <c r="AO1989" s="109" t="str">
        <f t="shared" si="190"/>
        <v/>
      </c>
      <c r="AP1989" s="109" t="e">
        <f t="shared" si="191"/>
        <v>#VALUE!</v>
      </c>
      <c r="AQ1989" s="397" t="e">
        <f t="shared" si="186"/>
        <v>#VALUE!</v>
      </c>
    </row>
    <row r="1990" spans="38:43">
      <c r="AL1990" s="414" t="str">
        <f t="shared" si="187"/>
        <v/>
      </c>
      <c r="AM1990" s="395" t="str">
        <f t="shared" si="188"/>
        <v/>
      </c>
      <c r="AN1990" s="396">
        <f t="shared" si="189"/>
        <v>0</v>
      </c>
      <c r="AO1990" s="109" t="str">
        <f t="shared" si="190"/>
        <v/>
      </c>
      <c r="AP1990" s="109" t="e">
        <f t="shared" si="191"/>
        <v>#VALUE!</v>
      </c>
      <c r="AQ1990" s="397" t="e">
        <f t="shared" si="186"/>
        <v>#VALUE!</v>
      </c>
    </row>
    <row r="1991" spans="38:43">
      <c r="AL1991" s="414" t="str">
        <f t="shared" si="187"/>
        <v/>
      </c>
      <c r="AM1991" s="395" t="str">
        <f t="shared" si="188"/>
        <v/>
      </c>
      <c r="AN1991" s="396">
        <f t="shared" si="189"/>
        <v>0</v>
      </c>
      <c r="AO1991" s="109" t="str">
        <f t="shared" si="190"/>
        <v/>
      </c>
      <c r="AP1991" s="109" t="e">
        <f t="shared" si="191"/>
        <v>#VALUE!</v>
      </c>
      <c r="AQ1991" s="397" t="e">
        <f t="shared" si="186"/>
        <v>#VALUE!</v>
      </c>
    </row>
    <row r="1992" spans="38:43">
      <c r="AL1992" s="414" t="str">
        <f t="shared" si="187"/>
        <v/>
      </c>
      <c r="AM1992" s="395" t="str">
        <f t="shared" si="188"/>
        <v/>
      </c>
      <c r="AN1992" s="396">
        <f t="shared" si="189"/>
        <v>0</v>
      </c>
      <c r="AO1992" s="109" t="str">
        <f t="shared" si="190"/>
        <v/>
      </c>
      <c r="AP1992" s="109" t="e">
        <f t="shared" si="191"/>
        <v>#VALUE!</v>
      </c>
      <c r="AQ1992" s="397" t="e">
        <f t="shared" si="186"/>
        <v>#VALUE!</v>
      </c>
    </row>
    <row r="1993" spans="38:43">
      <c r="AL1993" s="414" t="str">
        <f t="shared" si="187"/>
        <v/>
      </c>
      <c r="AM1993" s="395" t="str">
        <f t="shared" si="188"/>
        <v/>
      </c>
      <c r="AN1993" s="396">
        <f t="shared" si="189"/>
        <v>0</v>
      </c>
      <c r="AO1993" s="109" t="str">
        <f t="shared" si="190"/>
        <v/>
      </c>
      <c r="AP1993" s="109" t="e">
        <f t="shared" si="191"/>
        <v>#VALUE!</v>
      </c>
      <c r="AQ1993" s="397" t="e">
        <f t="shared" si="186"/>
        <v>#VALUE!</v>
      </c>
    </row>
    <row r="1994" spans="38:43">
      <c r="AL1994" s="414" t="str">
        <f t="shared" si="187"/>
        <v/>
      </c>
      <c r="AM1994" s="395" t="str">
        <f t="shared" si="188"/>
        <v/>
      </c>
      <c r="AN1994" s="396">
        <f t="shared" si="189"/>
        <v>0</v>
      </c>
      <c r="AO1994" s="109" t="str">
        <f t="shared" si="190"/>
        <v/>
      </c>
      <c r="AP1994" s="109" t="e">
        <f t="shared" si="191"/>
        <v>#VALUE!</v>
      </c>
      <c r="AQ1994" s="397" t="e">
        <f t="shared" si="186"/>
        <v>#VALUE!</v>
      </c>
    </row>
    <row r="1995" spans="38:43">
      <c r="AL1995" s="414" t="str">
        <f t="shared" si="187"/>
        <v/>
      </c>
      <c r="AM1995" s="395" t="str">
        <f t="shared" si="188"/>
        <v/>
      </c>
      <c r="AN1995" s="396">
        <f t="shared" si="189"/>
        <v>0</v>
      </c>
      <c r="AO1995" s="109" t="str">
        <f t="shared" si="190"/>
        <v/>
      </c>
      <c r="AP1995" s="109" t="e">
        <f t="shared" si="191"/>
        <v>#VALUE!</v>
      </c>
      <c r="AQ1995" s="397" t="e">
        <f t="shared" si="186"/>
        <v>#VALUE!</v>
      </c>
    </row>
    <row r="1996" spans="38:43">
      <c r="AL1996" s="414" t="str">
        <f t="shared" si="187"/>
        <v/>
      </c>
      <c r="AM1996" s="395" t="str">
        <f t="shared" si="188"/>
        <v/>
      </c>
      <c r="AN1996" s="396">
        <f t="shared" si="189"/>
        <v>0</v>
      </c>
      <c r="AO1996" s="109" t="str">
        <f t="shared" si="190"/>
        <v/>
      </c>
      <c r="AP1996" s="109" t="e">
        <f t="shared" si="191"/>
        <v>#VALUE!</v>
      </c>
      <c r="AQ1996" s="397" t="e">
        <f t="shared" si="186"/>
        <v>#VALUE!</v>
      </c>
    </row>
    <row r="1997" spans="38:43">
      <c r="AL1997" s="414" t="str">
        <f t="shared" si="187"/>
        <v/>
      </c>
      <c r="AM1997" s="395" t="str">
        <f t="shared" si="188"/>
        <v/>
      </c>
      <c r="AN1997" s="396">
        <f t="shared" si="189"/>
        <v>0</v>
      </c>
      <c r="AO1997" s="109" t="str">
        <f t="shared" si="190"/>
        <v/>
      </c>
      <c r="AP1997" s="109" t="e">
        <f t="shared" si="191"/>
        <v>#VALUE!</v>
      </c>
      <c r="AQ1997" s="397" t="e">
        <f t="shared" si="186"/>
        <v>#VALUE!</v>
      </c>
    </row>
    <row r="1998" spans="38:43">
      <c r="AL1998" s="414" t="str">
        <f t="shared" si="187"/>
        <v/>
      </c>
      <c r="AM1998" s="395" t="str">
        <f t="shared" si="188"/>
        <v/>
      </c>
      <c r="AN1998" s="396">
        <f t="shared" si="189"/>
        <v>0</v>
      </c>
      <c r="AO1998" s="109" t="str">
        <f t="shared" si="190"/>
        <v/>
      </c>
      <c r="AP1998" s="109" t="e">
        <f t="shared" si="191"/>
        <v>#VALUE!</v>
      </c>
      <c r="AQ1998" s="397" t="e">
        <f t="shared" si="186"/>
        <v>#VALUE!</v>
      </c>
    </row>
    <row r="1999" spans="38:43">
      <c r="AL1999" s="414" t="str">
        <f t="shared" si="187"/>
        <v/>
      </c>
      <c r="AM1999" s="395" t="str">
        <f t="shared" si="188"/>
        <v/>
      </c>
      <c r="AN1999" s="396">
        <f t="shared" si="189"/>
        <v>0</v>
      </c>
      <c r="AO1999" s="109" t="str">
        <f t="shared" si="190"/>
        <v/>
      </c>
      <c r="AP1999" s="109" t="e">
        <f t="shared" si="191"/>
        <v>#VALUE!</v>
      </c>
      <c r="AQ1999" s="397" t="e">
        <f t="shared" si="186"/>
        <v>#VALUE!</v>
      </c>
    </row>
    <row r="2000" spans="38:43">
      <c r="AL2000" s="414" t="str">
        <f t="shared" si="187"/>
        <v/>
      </c>
      <c r="AM2000" s="395" t="str">
        <f t="shared" si="188"/>
        <v/>
      </c>
      <c r="AN2000" s="396">
        <f t="shared" si="189"/>
        <v>0</v>
      </c>
      <c r="AO2000" s="109" t="str">
        <f t="shared" si="190"/>
        <v/>
      </c>
      <c r="AP2000" s="109" t="e">
        <f t="shared" si="191"/>
        <v>#VALUE!</v>
      </c>
      <c r="AQ2000" s="397" t="e">
        <f t="shared" si="186"/>
        <v>#VALUE!</v>
      </c>
    </row>
    <row r="2001" spans="38:43">
      <c r="AL2001" s="414" t="str">
        <f t="shared" si="187"/>
        <v/>
      </c>
      <c r="AM2001" s="395" t="str">
        <f t="shared" si="188"/>
        <v/>
      </c>
      <c r="AN2001" s="396">
        <f t="shared" si="189"/>
        <v>0</v>
      </c>
      <c r="AO2001" s="109" t="str">
        <f t="shared" si="190"/>
        <v/>
      </c>
      <c r="AP2001" s="109" t="e">
        <f t="shared" si="191"/>
        <v>#VALUE!</v>
      </c>
      <c r="AQ2001" s="397" t="e">
        <f t="shared" si="186"/>
        <v>#VALUE!</v>
      </c>
    </row>
    <row r="2002" spans="38:43">
      <c r="AL2002" s="414" t="str">
        <f t="shared" si="187"/>
        <v/>
      </c>
      <c r="AM2002" s="395" t="str">
        <f t="shared" si="188"/>
        <v/>
      </c>
      <c r="AN2002" s="396">
        <f t="shared" si="189"/>
        <v>0</v>
      </c>
      <c r="AO2002" s="109" t="str">
        <f t="shared" si="190"/>
        <v/>
      </c>
      <c r="AP2002" s="109" t="e">
        <f t="shared" si="191"/>
        <v>#VALUE!</v>
      </c>
      <c r="AQ2002" s="397" t="e">
        <f t="shared" si="186"/>
        <v>#VALUE!</v>
      </c>
    </row>
    <row r="2003" spans="38:43">
      <c r="AL2003" s="414" t="str">
        <f t="shared" si="187"/>
        <v/>
      </c>
      <c r="AM2003" s="395" t="str">
        <f t="shared" si="188"/>
        <v/>
      </c>
      <c r="AN2003" s="396">
        <f t="shared" si="189"/>
        <v>0</v>
      </c>
      <c r="AO2003" s="109" t="str">
        <f t="shared" si="190"/>
        <v/>
      </c>
      <c r="AP2003" s="109" t="e">
        <f t="shared" si="191"/>
        <v>#VALUE!</v>
      </c>
      <c r="AQ2003" s="397" t="e">
        <f t="shared" si="186"/>
        <v>#VALUE!</v>
      </c>
    </row>
    <row r="2004" spans="38:43">
      <c r="AL2004" s="414" t="str">
        <f t="shared" si="187"/>
        <v/>
      </c>
      <c r="AM2004" s="395" t="str">
        <f t="shared" si="188"/>
        <v/>
      </c>
      <c r="AN2004" s="396">
        <f t="shared" si="189"/>
        <v>0</v>
      </c>
      <c r="AO2004" s="109" t="str">
        <f t="shared" si="190"/>
        <v/>
      </c>
      <c r="AP2004" s="109" t="e">
        <f t="shared" si="191"/>
        <v>#VALUE!</v>
      </c>
      <c r="AQ2004" s="397" t="e">
        <f t="shared" si="186"/>
        <v>#VALUE!</v>
      </c>
    </row>
    <row r="2005" spans="38:43">
      <c r="AL2005" s="414" t="str">
        <f t="shared" si="187"/>
        <v/>
      </c>
      <c r="AM2005" s="395" t="str">
        <f t="shared" si="188"/>
        <v/>
      </c>
      <c r="AN2005" s="396">
        <f t="shared" si="189"/>
        <v>0</v>
      </c>
      <c r="AO2005" s="109" t="str">
        <f t="shared" si="190"/>
        <v/>
      </c>
      <c r="AP2005" s="109" t="e">
        <f t="shared" si="191"/>
        <v>#VALUE!</v>
      </c>
      <c r="AQ2005" s="397" t="e">
        <f t="shared" si="186"/>
        <v>#VALUE!</v>
      </c>
    </row>
    <row r="2006" spans="38:43">
      <c r="AL2006" s="414" t="str">
        <f t="shared" si="187"/>
        <v/>
      </c>
      <c r="AM2006" s="395" t="str">
        <f t="shared" si="188"/>
        <v/>
      </c>
      <c r="AN2006" s="396">
        <f t="shared" si="189"/>
        <v>0</v>
      </c>
      <c r="AO2006" s="109" t="str">
        <f t="shared" si="190"/>
        <v/>
      </c>
      <c r="AP2006" s="109" t="e">
        <f t="shared" si="191"/>
        <v>#VALUE!</v>
      </c>
      <c r="AQ2006" s="397" t="e">
        <f t="shared" si="186"/>
        <v>#VALUE!</v>
      </c>
    </row>
    <row r="2007" spans="38:43">
      <c r="AL2007" s="414" t="str">
        <f t="shared" si="187"/>
        <v/>
      </c>
      <c r="AM2007" s="395" t="str">
        <f t="shared" si="188"/>
        <v/>
      </c>
      <c r="AN2007" s="396">
        <f t="shared" si="189"/>
        <v>0</v>
      </c>
      <c r="AO2007" s="109" t="str">
        <f t="shared" si="190"/>
        <v/>
      </c>
      <c r="AP2007" s="109" t="e">
        <f t="shared" si="191"/>
        <v>#VALUE!</v>
      </c>
      <c r="AQ2007" s="397" t="e">
        <f t="shared" si="186"/>
        <v>#VALUE!</v>
      </c>
    </row>
    <row r="2008" spans="38:43">
      <c r="AL2008" s="414" t="str">
        <f t="shared" si="187"/>
        <v/>
      </c>
      <c r="AM2008" s="395" t="str">
        <f t="shared" si="188"/>
        <v/>
      </c>
      <c r="AN2008" s="396">
        <f t="shared" si="189"/>
        <v>0</v>
      </c>
      <c r="AO2008" s="109" t="str">
        <f t="shared" si="190"/>
        <v/>
      </c>
      <c r="AP2008" s="109" t="e">
        <f t="shared" si="191"/>
        <v>#VALUE!</v>
      </c>
      <c r="AQ2008" s="397" t="e">
        <f t="shared" si="186"/>
        <v>#VALUE!</v>
      </c>
    </row>
    <row r="2009" spans="38:43">
      <c r="AL2009" s="414" t="str">
        <f t="shared" si="187"/>
        <v/>
      </c>
      <c r="AM2009" s="395" t="str">
        <f t="shared" si="188"/>
        <v/>
      </c>
      <c r="AN2009" s="396">
        <f t="shared" si="189"/>
        <v>0</v>
      </c>
      <c r="AO2009" s="109" t="str">
        <f t="shared" si="190"/>
        <v/>
      </c>
      <c r="AP2009" s="109" t="e">
        <f t="shared" si="191"/>
        <v>#VALUE!</v>
      </c>
      <c r="AQ2009" s="397" t="e">
        <f t="shared" si="186"/>
        <v>#VALUE!</v>
      </c>
    </row>
    <row r="2010" spans="38:43">
      <c r="AL2010" s="414" t="str">
        <f t="shared" si="187"/>
        <v/>
      </c>
      <c r="AM2010" s="395" t="str">
        <f t="shared" si="188"/>
        <v/>
      </c>
      <c r="AN2010" s="396">
        <f t="shared" si="189"/>
        <v>0</v>
      </c>
      <c r="AO2010" s="109" t="str">
        <f t="shared" si="190"/>
        <v/>
      </c>
      <c r="AP2010" s="109" t="e">
        <f t="shared" si="191"/>
        <v>#VALUE!</v>
      </c>
      <c r="AQ2010" s="397" t="e">
        <f t="shared" si="186"/>
        <v>#VALUE!</v>
      </c>
    </row>
    <row r="2011" spans="38:43">
      <c r="AL2011" s="414" t="str">
        <f t="shared" si="187"/>
        <v/>
      </c>
      <c r="AM2011" s="395" t="str">
        <f t="shared" si="188"/>
        <v/>
      </c>
      <c r="AN2011" s="396">
        <f t="shared" si="189"/>
        <v>0</v>
      </c>
      <c r="AO2011" s="109" t="str">
        <f t="shared" si="190"/>
        <v/>
      </c>
      <c r="AP2011" s="109" t="e">
        <f t="shared" si="191"/>
        <v>#VALUE!</v>
      </c>
      <c r="AQ2011" s="397" t="e">
        <f t="shared" si="186"/>
        <v>#VALUE!</v>
      </c>
    </row>
    <row r="2012" spans="38:43">
      <c r="AL2012" s="414" t="str">
        <f t="shared" si="187"/>
        <v/>
      </c>
      <c r="AM2012" s="395" t="str">
        <f t="shared" si="188"/>
        <v/>
      </c>
      <c r="AN2012" s="396">
        <f t="shared" si="189"/>
        <v>0</v>
      </c>
      <c r="AO2012" s="109" t="str">
        <f t="shared" si="190"/>
        <v/>
      </c>
      <c r="AP2012" s="109" t="e">
        <f t="shared" si="191"/>
        <v>#VALUE!</v>
      </c>
      <c r="AQ2012" s="397" t="e">
        <f t="shared" si="186"/>
        <v>#VALUE!</v>
      </c>
    </row>
    <row r="2013" spans="38:43">
      <c r="AL2013" s="414" t="str">
        <f t="shared" si="187"/>
        <v/>
      </c>
      <c r="AM2013" s="395" t="str">
        <f t="shared" si="188"/>
        <v/>
      </c>
      <c r="AN2013" s="396">
        <f t="shared" si="189"/>
        <v>0</v>
      </c>
      <c r="AO2013" s="109" t="str">
        <f t="shared" si="190"/>
        <v/>
      </c>
      <c r="AP2013" s="109" t="e">
        <f t="shared" si="191"/>
        <v>#VALUE!</v>
      </c>
      <c r="AQ2013" s="397" t="e">
        <f t="shared" ref="AQ2013:AQ2076" si="192">AN2013*AP2013</f>
        <v>#VALUE!</v>
      </c>
    </row>
    <row r="2014" spans="38:43">
      <c r="AL2014" s="414" t="str">
        <f t="shared" si="187"/>
        <v/>
      </c>
      <c r="AM2014" s="395" t="str">
        <f t="shared" si="188"/>
        <v/>
      </c>
      <c r="AN2014" s="396">
        <f t="shared" si="189"/>
        <v>0</v>
      </c>
      <c r="AO2014" s="109" t="str">
        <f t="shared" si="190"/>
        <v/>
      </c>
      <c r="AP2014" s="109" t="e">
        <f t="shared" si="191"/>
        <v>#VALUE!</v>
      </c>
      <c r="AQ2014" s="397" t="e">
        <f t="shared" si="192"/>
        <v>#VALUE!</v>
      </c>
    </row>
    <row r="2015" spans="38:43">
      <c r="AL2015" s="414" t="str">
        <f t="shared" si="187"/>
        <v/>
      </c>
      <c r="AM2015" s="395" t="str">
        <f t="shared" si="188"/>
        <v/>
      </c>
      <c r="AN2015" s="396">
        <f t="shared" si="189"/>
        <v>0</v>
      </c>
      <c r="AO2015" s="109" t="str">
        <f t="shared" si="190"/>
        <v/>
      </c>
      <c r="AP2015" s="109" t="e">
        <f t="shared" si="191"/>
        <v>#VALUE!</v>
      </c>
      <c r="AQ2015" s="397" t="e">
        <f t="shared" si="192"/>
        <v>#VALUE!</v>
      </c>
    </row>
    <row r="2016" spans="38:43">
      <c r="AL2016" s="414" t="str">
        <f t="shared" si="187"/>
        <v/>
      </c>
      <c r="AM2016" s="395" t="str">
        <f t="shared" si="188"/>
        <v/>
      </c>
      <c r="AN2016" s="396">
        <f t="shared" si="189"/>
        <v>0</v>
      </c>
      <c r="AO2016" s="109" t="str">
        <f t="shared" si="190"/>
        <v/>
      </c>
      <c r="AP2016" s="109" t="e">
        <f t="shared" si="191"/>
        <v>#VALUE!</v>
      </c>
      <c r="AQ2016" s="397" t="e">
        <f t="shared" si="192"/>
        <v>#VALUE!</v>
      </c>
    </row>
    <row r="2017" spans="38:43">
      <c r="AL2017" s="414" t="str">
        <f t="shared" si="187"/>
        <v/>
      </c>
      <c r="AM2017" s="395" t="str">
        <f t="shared" si="188"/>
        <v/>
      </c>
      <c r="AN2017" s="396">
        <f t="shared" si="189"/>
        <v>0</v>
      </c>
      <c r="AO2017" s="109" t="str">
        <f t="shared" si="190"/>
        <v/>
      </c>
      <c r="AP2017" s="109" t="e">
        <f t="shared" si="191"/>
        <v>#VALUE!</v>
      </c>
      <c r="AQ2017" s="397" t="e">
        <f t="shared" si="192"/>
        <v>#VALUE!</v>
      </c>
    </row>
    <row r="2018" spans="38:43">
      <c r="AL2018" s="414" t="str">
        <f t="shared" si="187"/>
        <v/>
      </c>
      <c r="AM2018" s="395" t="str">
        <f t="shared" si="188"/>
        <v/>
      </c>
      <c r="AN2018" s="396">
        <f t="shared" si="189"/>
        <v>0</v>
      </c>
      <c r="AO2018" s="109" t="str">
        <f t="shared" si="190"/>
        <v/>
      </c>
      <c r="AP2018" s="109" t="e">
        <f t="shared" si="191"/>
        <v>#VALUE!</v>
      </c>
      <c r="AQ2018" s="397" t="e">
        <f t="shared" si="192"/>
        <v>#VALUE!</v>
      </c>
    </row>
    <row r="2019" spans="38:43">
      <c r="AL2019" s="414" t="str">
        <f t="shared" si="187"/>
        <v/>
      </c>
      <c r="AM2019" s="395" t="str">
        <f t="shared" si="188"/>
        <v/>
      </c>
      <c r="AN2019" s="396">
        <f t="shared" si="189"/>
        <v>0</v>
      </c>
      <c r="AO2019" s="109" t="str">
        <f t="shared" si="190"/>
        <v/>
      </c>
      <c r="AP2019" s="109" t="e">
        <f t="shared" si="191"/>
        <v>#VALUE!</v>
      </c>
      <c r="AQ2019" s="397" t="e">
        <f t="shared" si="192"/>
        <v>#VALUE!</v>
      </c>
    </row>
    <row r="2020" spans="38:43">
      <c r="AL2020" s="414" t="str">
        <f t="shared" si="187"/>
        <v/>
      </c>
      <c r="AM2020" s="395" t="str">
        <f t="shared" si="188"/>
        <v/>
      </c>
      <c r="AN2020" s="396">
        <f t="shared" si="189"/>
        <v>0</v>
      </c>
      <c r="AO2020" s="109" t="str">
        <f t="shared" si="190"/>
        <v/>
      </c>
      <c r="AP2020" s="109" t="e">
        <f t="shared" si="191"/>
        <v>#VALUE!</v>
      </c>
      <c r="AQ2020" s="397" t="e">
        <f t="shared" si="192"/>
        <v>#VALUE!</v>
      </c>
    </row>
    <row r="2021" spans="38:43">
      <c r="AL2021" s="414" t="str">
        <f t="shared" si="187"/>
        <v/>
      </c>
      <c r="AM2021" s="395" t="str">
        <f t="shared" si="188"/>
        <v/>
      </c>
      <c r="AN2021" s="396">
        <f t="shared" si="189"/>
        <v>0</v>
      </c>
      <c r="AO2021" s="109" t="str">
        <f t="shared" si="190"/>
        <v/>
      </c>
      <c r="AP2021" s="109" t="e">
        <f t="shared" si="191"/>
        <v>#VALUE!</v>
      </c>
      <c r="AQ2021" s="397" t="e">
        <f t="shared" si="192"/>
        <v>#VALUE!</v>
      </c>
    </row>
    <row r="2022" spans="38:43">
      <c r="AL2022" s="414" t="str">
        <f t="shared" si="187"/>
        <v/>
      </c>
      <c r="AM2022" s="395" t="str">
        <f t="shared" si="188"/>
        <v/>
      </c>
      <c r="AN2022" s="396">
        <f t="shared" si="189"/>
        <v>0</v>
      </c>
      <c r="AO2022" s="109" t="str">
        <f t="shared" si="190"/>
        <v/>
      </c>
      <c r="AP2022" s="109" t="e">
        <f t="shared" si="191"/>
        <v>#VALUE!</v>
      </c>
      <c r="AQ2022" s="397" t="e">
        <f t="shared" si="192"/>
        <v>#VALUE!</v>
      </c>
    </row>
    <row r="2023" spans="38:43">
      <c r="AL2023" s="414" t="str">
        <f t="shared" si="187"/>
        <v/>
      </c>
      <c r="AM2023" s="395" t="str">
        <f t="shared" si="188"/>
        <v/>
      </c>
      <c r="AN2023" s="396">
        <f t="shared" si="189"/>
        <v>0</v>
      </c>
      <c r="AO2023" s="109" t="str">
        <f t="shared" si="190"/>
        <v/>
      </c>
      <c r="AP2023" s="109" t="e">
        <f t="shared" si="191"/>
        <v>#VALUE!</v>
      </c>
      <c r="AQ2023" s="397" t="e">
        <f t="shared" si="192"/>
        <v>#VALUE!</v>
      </c>
    </row>
    <row r="2024" spans="38:43">
      <c r="AL2024" s="414" t="str">
        <f t="shared" si="187"/>
        <v/>
      </c>
      <c r="AM2024" s="395" t="str">
        <f t="shared" si="188"/>
        <v/>
      </c>
      <c r="AN2024" s="396">
        <f t="shared" si="189"/>
        <v>0</v>
      </c>
      <c r="AO2024" s="109" t="str">
        <f t="shared" si="190"/>
        <v/>
      </c>
      <c r="AP2024" s="109" t="e">
        <f t="shared" si="191"/>
        <v>#VALUE!</v>
      </c>
      <c r="AQ2024" s="397" t="e">
        <f t="shared" si="192"/>
        <v>#VALUE!</v>
      </c>
    </row>
    <row r="2025" spans="38:43">
      <c r="AL2025" s="414" t="str">
        <f t="shared" si="187"/>
        <v/>
      </c>
      <c r="AM2025" s="395" t="str">
        <f t="shared" si="188"/>
        <v/>
      </c>
      <c r="AN2025" s="396">
        <f t="shared" si="189"/>
        <v>0</v>
      </c>
      <c r="AO2025" s="109" t="str">
        <f t="shared" si="190"/>
        <v/>
      </c>
      <c r="AP2025" s="109" t="e">
        <f t="shared" si="191"/>
        <v>#VALUE!</v>
      </c>
      <c r="AQ2025" s="397" t="e">
        <f t="shared" si="192"/>
        <v>#VALUE!</v>
      </c>
    </row>
    <row r="2026" spans="38:43">
      <c r="AL2026" s="414" t="str">
        <f t="shared" si="187"/>
        <v/>
      </c>
      <c r="AM2026" s="395" t="str">
        <f t="shared" si="188"/>
        <v/>
      </c>
      <c r="AN2026" s="396">
        <f t="shared" si="189"/>
        <v>0</v>
      </c>
      <c r="AO2026" s="109" t="str">
        <f t="shared" si="190"/>
        <v/>
      </c>
      <c r="AP2026" s="109" t="e">
        <f t="shared" si="191"/>
        <v>#VALUE!</v>
      </c>
      <c r="AQ2026" s="397" t="e">
        <f t="shared" si="192"/>
        <v>#VALUE!</v>
      </c>
    </row>
    <row r="2027" spans="38:43">
      <c r="AL2027" s="414" t="str">
        <f t="shared" si="187"/>
        <v/>
      </c>
      <c r="AM2027" s="395" t="str">
        <f t="shared" si="188"/>
        <v/>
      </c>
      <c r="AN2027" s="396">
        <f t="shared" si="189"/>
        <v>0</v>
      </c>
      <c r="AO2027" s="109" t="str">
        <f t="shared" si="190"/>
        <v/>
      </c>
      <c r="AP2027" s="109" t="e">
        <f t="shared" si="191"/>
        <v>#VALUE!</v>
      </c>
      <c r="AQ2027" s="397" t="e">
        <f t="shared" si="192"/>
        <v>#VALUE!</v>
      </c>
    </row>
    <row r="2028" spans="38:43">
      <c r="AL2028" s="414" t="str">
        <f t="shared" si="187"/>
        <v/>
      </c>
      <c r="AM2028" s="395" t="str">
        <f t="shared" si="188"/>
        <v/>
      </c>
      <c r="AN2028" s="396">
        <f t="shared" si="189"/>
        <v>0</v>
      </c>
      <c r="AO2028" s="109" t="str">
        <f t="shared" si="190"/>
        <v/>
      </c>
      <c r="AP2028" s="109" t="e">
        <f t="shared" si="191"/>
        <v>#VALUE!</v>
      </c>
      <c r="AQ2028" s="397" t="e">
        <f t="shared" si="192"/>
        <v>#VALUE!</v>
      </c>
    </row>
    <row r="2029" spans="38:43">
      <c r="AL2029" s="414" t="str">
        <f t="shared" si="187"/>
        <v/>
      </c>
      <c r="AM2029" s="395" t="str">
        <f t="shared" si="188"/>
        <v/>
      </c>
      <c r="AN2029" s="396">
        <f t="shared" si="189"/>
        <v>0</v>
      </c>
      <c r="AO2029" s="109" t="str">
        <f t="shared" si="190"/>
        <v/>
      </c>
      <c r="AP2029" s="109" t="e">
        <f t="shared" si="191"/>
        <v>#VALUE!</v>
      </c>
      <c r="AQ2029" s="397" t="e">
        <f t="shared" si="192"/>
        <v>#VALUE!</v>
      </c>
    </row>
    <row r="2030" spans="38:43">
      <c r="AL2030" s="414" t="str">
        <f t="shared" si="187"/>
        <v/>
      </c>
      <c r="AM2030" s="395" t="str">
        <f t="shared" si="188"/>
        <v/>
      </c>
      <c r="AN2030" s="396">
        <f t="shared" si="189"/>
        <v>0</v>
      </c>
      <c r="AO2030" s="109" t="str">
        <f t="shared" si="190"/>
        <v/>
      </c>
      <c r="AP2030" s="109" t="e">
        <f t="shared" si="191"/>
        <v>#VALUE!</v>
      </c>
      <c r="AQ2030" s="397" t="e">
        <f t="shared" si="192"/>
        <v>#VALUE!</v>
      </c>
    </row>
    <row r="2031" spans="38:43">
      <c r="AL2031" s="414" t="str">
        <f t="shared" si="187"/>
        <v/>
      </c>
      <c r="AM2031" s="395" t="str">
        <f t="shared" si="188"/>
        <v/>
      </c>
      <c r="AN2031" s="396">
        <f t="shared" si="189"/>
        <v>0</v>
      </c>
      <c r="AO2031" s="109" t="str">
        <f t="shared" si="190"/>
        <v/>
      </c>
      <c r="AP2031" s="109" t="e">
        <f t="shared" si="191"/>
        <v>#VALUE!</v>
      </c>
      <c r="AQ2031" s="397" t="e">
        <f t="shared" si="192"/>
        <v>#VALUE!</v>
      </c>
    </row>
    <row r="2032" spans="38:43">
      <c r="AL2032" s="414" t="str">
        <f t="shared" si="187"/>
        <v/>
      </c>
      <c r="AM2032" s="395" t="str">
        <f t="shared" si="188"/>
        <v/>
      </c>
      <c r="AN2032" s="396">
        <f t="shared" si="189"/>
        <v>0</v>
      </c>
      <c r="AO2032" s="109" t="str">
        <f t="shared" si="190"/>
        <v/>
      </c>
      <c r="AP2032" s="109" t="e">
        <f t="shared" si="191"/>
        <v>#VALUE!</v>
      </c>
      <c r="AQ2032" s="397" t="e">
        <f t="shared" si="192"/>
        <v>#VALUE!</v>
      </c>
    </row>
    <row r="2033" spans="38:43">
      <c r="AL2033" s="414" t="str">
        <f t="shared" si="187"/>
        <v/>
      </c>
      <c r="AM2033" s="395" t="str">
        <f t="shared" si="188"/>
        <v/>
      </c>
      <c r="AN2033" s="396">
        <f t="shared" si="189"/>
        <v>0</v>
      </c>
      <c r="AO2033" s="109" t="str">
        <f t="shared" si="190"/>
        <v/>
      </c>
      <c r="AP2033" s="109" t="e">
        <f t="shared" si="191"/>
        <v>#VALUE!</v>
      </c>
      <c r="AQ2033" s="397" t="e">
        <f t="shared" si="192"/>
        <v>#VALUE!</v>
      </c>
    </row>
    <row r="2034" spans="38:43">
      <c r="AL2034" s="414" t="str">
        <f t="shared" si="187"/>
        <v/>
      </c>
      <c r="AM2034" s="395" t="str">
        <f t="shared" si="188"/>
        <v/>
      </c>
      <c r="AN2034" s="396">
        <f t="shared" si="189"/>
        <v>0</v>
      </c>
      <c r="AO2034" s="109" t="str">
        <f t="shared" si="190"/>
        <v/>
      </c>
      <c r="AP2034" s="109" t="e">
        <f t="shared" si="191"/>
        <v>#VALUE!</v>
      </c>
      <c r="AQ2034" s="397" t="e">
        <f t="shared" si="192"/>
        <v>#VALUE!</v>
      </c>
    </row>
    <row r="2035" spans="38:43">
      <c r="AL2035" s="414" t="str">
        <f t="shared" si="187"/>
        <v/>
      </c>
      <c r="AM2035" s="395" t="str">
        <f t="shared" si="188"/>
        <v/>
      </c>
      <c r="AN2035" s="396">
        <f t="shared" si="189"/>
        <v>0</v>
      </c>
      <c r="AO2035" s="109" t="str">
        <f t="shared" si="190"/>
        <v/>
      </c>
      <c r="AP2035" s="109" t="e">
        <f t="shared" si="191"/>
        <v>#VALUE!</v>
      </c>
      <c r="AQ2035" s="397" t="e">
        <f t="shared" si="192"/>
        <v>#VALUE!</v>
      </c>
    </row>
    <row r="2036" spans="38:43">
      <c r="AL2036" s="414" t="str">
        <f t="shared" si="187"/>
        <v/>
      </c>
      <c r="AM2036" s="395" t="str">
        <f t="shared" si="188"/>
        <v/>
      </c>
      <c r="AN2036" s="396">
        <f t="shared" si="189"/>
        <v>0</v>
      </c>
      <c r="AO2036" s="109" t="str">
        <f t="shared" si="190"/>
        <v/>
      </c>
      <c r="AP2036" s="109" t="e">
        <f t="shared" si="191"/>
        <v>#VALUE!</v>
      </c>
      <c r="AQ2036" s="397" t="e">
        <f t="shared" si="192"/>
        <v>#VALUE!</v>
      </c>
    </row>
    <row r="2037" spans="38:43">
      <c r="AL2037" s="414" t="str">
        <f t="shared" si="187"/>
        <v/>
      </c>
      <c r="AM2037" s="395" t="str">
        <f t="shared" si="188"/>
        <v/>
      </c>
      <c r="AN2037" s="396">
        <f t="shared" si="189"/>
        <v>0</v>
      </c>
      <c r="AO2037" s="109" t="str">
        <f t="shared" si="190"/>
        <v/>
      </c>
      <c r="AP2037" s="109" t="e">
        <f t="shared" si="191"/>
        <v>#VALUE!</v>
      </c>
      <c r="AQ2037" s="397" t="e">
        <f t="shared" si="192"/>
        <v>#VALUE!</v>
      </c>
    </row>
    <row r="2038" spans="38:43">
      <c r="AL2038" s="414" t="str">
        <f t="shared" si="187"/>
        <v/>
      </c>
      <c r="AM2038" s="395" t="str">
        <f t="shared" si="188"/>
        <v/>
      </c>
      <c r="AN2038" s="396">
        <f t="shared" si="189"/>
        <v>0</v>
      </c>
      <c r="AO2038" s="109" t="str">
        <f t="shared" si="190"/>
        <v/>
      </c>
      <c r="AP2038" s="109" t="e">
        <f t="shared" si="191"/>
        <v>#VALUE!</v>
      </c>
      <c r="AQ2038" s="397" t="e">
        <f t="shared" si="192"/>
        <v>#VALUE!</v>
      </c>
    </row>
    <row r="2039" spans="38:43">
      <c r="AL2039" s="414" t="str">
        <f t="shared" si="187"/>
        <v/>
      </c>
      <c r="AM2039" s="395" t="str">
        <f t="shared" si="188"/>
        <v/>
      </c>
      <c r="AN2039" s="396">
        <f t="shared" si="189"/>
        <v>0</v>
      </c>
      <c r="AO2039" s="109" t="str">
        <f t="shared" si="190"/>
        <v/>
      </c>
      <c r="AP2039" s="109" t="e">
        <f t="shared" si="191"/>
        <v>#VALUE!</v>
      </c>
      <c r="AQ2039" s="397" t="e">
        <f t="shared" si="192"/>
        <v>#VALUE!</v>
      </c>
    </row>
    <row r="2040" spans="38:43">
      <c r="AL2040" s="414" t="str">
        <f t="shared" si="187"/>
        <v/>
      </c>
      <c r="AM2040" s="395" t="str">
        <f t="shared" si="188"/>
        <v/>
      </c>
      <c r="AN2040" s="396">
        <f t="shared" si="189"/>
        <v>0</v>
      </c>
      <c r="AO2040" s="109" t="str">
        <f t="shared" si="190"/>
        <v/>
      </c>
      <c r="AP2040" s="109" t="e">
        <f t="shared" si="191"/>
        <v>#VALUE!</v>
      </c>
      <c r="AQ2040" s="397" t="e">
        <f t="shared" si="192"/>
        <v>#VALUE!</v>
      </c>
    </row>
    <row r="2041" spans="38:43">
      <c r="AL2041" s="414" t="str">
        <f t="shared" si="187"/>
        <v/>
      </c>
      <c r="AM2041" s="395" t="str">
        <f t="shared" si="188"/>
        <v/>
      </c>
      <c r="AN2041" s="396">
        <f t="shared" si="189"/>
        <v>0</v>
      </c>
      <c r="AO2041" s="109" t="str">
        <f t="shared" si="190"/>
        <v/>
      </c>
      <c r="AP2041" s="109" t="e">
        <f t="shared" si="191"/>
        <v>#VALUE!</v>
      </c>
      <c r="AQ2041" s="397" t="e">
        <f t="shared" si="192"/>
        <v>#VALUE!</v>
      </c>
    </row>
    <row r="2042" spans="38:43">
      <c r="AL2042" s="414" t="str">
        <f t="shared" si="187"/>
        <v/>
      </c>
      <c r="AM2042" s="395" t="str">
        <f t="shared" si="188"/>
        <v/>
      </c>
      <c r="AN2042" s="396">
        <f t="shared" si="189"/>
        <v>0</v>
      </c>
      <c r="AO2042" s="109" t="str">
        <f t="shared" si="190"/>
        <v/>
      </c>
      <c r="AP2042" s="109" t="e">
        <f t="shared" si="191"/>
        <v>#VALUE!</v>
      </c>
      <c r="AQ2042" s="397" t="e">
        <f t="shared" si="192"/>
        <v>#VALUE!</v>
      </c>
    </row>
    <row r="2043" spans="38:43">
      <c r="AL2043" s="414" t="str">
        <f t="shared" si="187"/>
        <v/>
      </c>
      <c r="AM2043" s="395" t="str">
        <f t="shared" si="188"/>
        <v/>
      </c>
      <c r="AN2043" s="396">
        <f t="shared" si="189"/>
        <v>0</v>
      </c>
      <c r="AO2043" s="109" t="str">
        <f t="shared" si="190"/>
        <v/>
      </c>
      <c r="AP2043" s="109" t="e">
        <f t="shared" si="191"/>
        <v>#VALUE!</v>
      </c>
      <c r="AQ2043" s="397" t="e">
        <f t="shared" si="192"/>
        <v>#VALUE!</v>
      </c>
    </row>
    <row r="2044" spans="38:43">
      <c r="AL2044" s="414" t="str">
        <f t="shared" si="187"/>
        <v/>
      </c>
      <c r="AM2044" s="395" t="str">
        <f t="shared" si="188"/>
        <v/>
      </c>
      <c r="AN2044" s="396">
        <f t="shared" si="189"/>
        <v>0</v>
      </c>
      <c r="AO2044" s="109" t="str">
        <f t="shared" si="190"/>
        <v/>
      </c>
      <c r="AP2044" s="109" t="e">
        <f t="shared" si="191"/>
        <v>#VALUE!</v>
      </c>
      <c r="AQ2044" s="397" t="e">
        <f t="shared" si="192"/>
        <v>#VALUE!</v>
      </c>
    </row>
    <row r="2045" spans="38:43">
      <c r="AL2045" s="414" t="str">
        <f t="shared" si="187"/>
        <v/>
      </c>
      <c r="AM2045" s="395" t="str">
        <f t="shared" si="188"/>
        <v/>
      </c>
      <c r="AN2045" s="396">
        <f t="shared" si="189"/>
        <v>0</v>
      </c>
      <c r="AO2045" s="109" t="str">
        <f t="shared" si="190"/>
        <v/>
      </c>
      <c r="AP2045" s="109" t="e">
        <f t="shared" si="191"/>
        <v>#VALUE!</v>
      </c>
      <c r="AQ2045" s="397" t="e">
        <f t="shared" si="192"/>
        <v>#VALUE!</v>
      </c>
    </row>
    <row r="2046" spans="38:43">
      <c r="AL2046" s="414" t="str">
        <f t="shared" si="187"/>
        <v/>
      </c>
      <c r="AM2046" s="395" t="str">
        <f t="shared" si="188"/>
        <v/>
      </c>
      <c r="AN2046" s="396">
        <f t="shared" si="189"/>
        <v>0</v>
      </c>
      <c r="AO2046" s="109" t="str">
        <f t="shared" si="190"/>
        <v/>
      </c>
      <c r="AP2046" s="109" t="e">
        <f t="shared" si="191"/>
        <v>#VALUE!</v>
      </c>
      <c r="AQ2046" s="397" t="e">
        <f t="shared" si="192"/>
        <v>#VALUE!</v>
      </c>
    </row>
    <row r="2047" spans="38:43">
      <c r="AL2047" s="414" t="str">
        <f t="shared" si="187"/>
        <v/>
      </c>
      <c r="AM2047" s="395" t="str">
        <f t="shared" si="188"/>
        <v/>
      </c>
      <c r="AN2047" s="396">
        <f t="shared" si="189"/>
        <v>0</v>
      </c>
      <c r="AO2047" s="109" t="str">
        <f t="shared" si="190"/>
        <v/>
      </c>
      <c r="AP2047" s="109" t="e">
        <f t="shared" si="191"/>
        <v>#VALUE!</v>
      </c>
      <c r="AQ2047" s="397" t="e">
        <f t="shared" si="192"/>
        <v>#VALUE!</v>
      </c>
    </row>
    <row r="2048" spans="38:43">
      <c r="AL2048" s="414" t="str">
        <f t="shared" si="187"/>
        <v/>
      </c>
      <c r="AM2048" s="395" t="str">
        <f t="shared" si="188"/>
        <v/>
      </c>
      <c r="AN2048" s="396">
        <f t="shared" si="189"/>
        <v>0</v>
      </c>
      <c r="AO2048" s="109" t="str">
        <f t="shared" si="190"/>
        <v/>
      </c>
      <c r="AP2048" s="109" t="e">
        <f t="shared" si="191"/>
        <v>#VALUE!</v>
      </c>
      <c r="AQ2048" s="397" t="e">
        <f t="shared" si="192"/>
        <v>#VALUE!</v>
      </c>
    </row>
    <row r="2049" spans="38:43">
      <c r="AL2049" s="414" t="str">
        <f t="shared" si="187"/>
        <v/>
      </c>
      <c r="AM2049" s="395" t="str">
        <f t="shared" si="188"/>
        <v/>
      </c>
      <c r="AN2049" s="396">
        <f t="shared" si="189"/>
        <v>0</v>
      </c>
      <c r="AO2049" s="109" t="str">
        <f t="shared" si="190"/>
        <v/>
      </c>
      <c r="AP2049" s="109" t="e">
        <f t="shared" si="191"/>
        <v>#VALUE!</v>
      </c>
      <c r="AQ2049" s="397" t="e">
        <f t="shared" si="192"/>
        <v>#VALUE!</v>
      </c>
    </row>
    <row r="2050" spans="38:43">
      <c r="AL2050" s="414" t="str">
        <f t="shared" si="187"/>
        <v/>
      </c>
      <c r="AM2050" s="395" t="str">
        <f t="shared" si="188"/>
        <v/>
      </c>
      <c r="AN2050" s="396">
        <f t="shared" si="189"/>
        <v>0</v>
      </c>
      <c r="AO2050" s="109" t="str">
        <f t="shared" si="190"/>
        <v/>
      </c>
      <c r="AP2050" s="109" t="e">
        <f t="shared" si="191"/>
        <v>#VALUE!</v>
      </c>
      <c r="AQ2050" s="397" t="e">
        <f t="shared" si="192"/>
        <v>#VALUE!</v>
      </c>
    </row>
    <row r="2051" spans="38:43">
      <c r="AL2051" s="414" t="str">
        <f t="shared" ref="AL2051:AL2114" si="193">SUBSTITUTE(SUBSTITUTE(H2051,"[워커힐]워커힐 고메 시그니처 양념 본갈비 8팩","워커힐 시그니처 양념 본갈비 300g, 8개"),"[워커힐]워커힐 시그니처 양념 본갈비 4팩","워커힐 시그니처 양념 본갈비 300g, 4개")</f>
        <v/>
      </c>
      <c r="AM2051" s="395" t="str">
        <f t="shared" ref="AM2051:AM2114" si="194">IF(N2051="배송완료", DATE(LEFT(M2051,4), MID(M2051,6,2), MID(M2051,9,2)), "")</f>
        <v/>
      </c>
      <c r="AN2051" s="396">
        <f t="shared" ref="AN2051:AN2114" si="195">IF(OR(N2051="배송완료", Q2051&lt;0), Q2051, 0)</f>
        <v>0</v>
      </c>
      <c r="AO2051" s="109" t="str">
        <f t="shared" ref="AO2051:AO2114" si="196">IF(AL2051="워커힐 시그니처 양념 본갈비 300g, 8개",119000,IF(AL2051="워커힐 시그니처 양념 본갈비 300g, 4개",78000,""))</f>
        <v/>
      </c>
      <c r="AP2051" s="109" t="e">
        <f t="shared" ref="AP2051:AP2114" si="197">AO2051/1.1</f>
        <v>#VALUE!</v>
      </c>
      <c r="AQ2051" s="397" t="e">
        <f t="shared" si="192"/>
        <v>#VALUE!</v>
      </c>
    </row>
    <row r="2052" spans="38:43">
      <c r="AL2052" s="414" t="str">
        <f t="shared" si="193"/>
        <v/>
      </c>
      <c r="AM2052" s="395" t="str">
        <f t="shared" si="194"/>
        <v/>
      </c>
      <c r="AN2052" s="396">
        <f t="shared" si="195"/>
        <v>0</v>
      </c>
      <c r="AO2052" s="109" t="str">
        <f t="shared" si="196"/>
        <v/>
      </c>
      <c r="AP2052" s="109" t="e">
        <f t="shared" si="197"/>
        <v>#VALUE!</v>
      </c>
      <c r="AQ2052" s="397" t="e">
        <f t="shared" si="192"/>
        <v>#VALUE!</v>
      </c>
    </row>
    <row r="2053" spans="38:43">
      <c r="AL2053" s="414" t="str">
        <f t="shared" si="193"/>
        <v/>
      </c>
      <c r="AM2053" s="395" t="str">
        <f t="shared" si="194"/>
        <v/>
      </c>
      <c r="AN2053" s="396">
        <f t="shared" si="195"/>
        <v>0</v>
      </c>
      <c r="AO2053" s="109" t="str">
        <f t="shared" si="196"/>
        <v/>
      </c>
      <c r="AP2053" s="109" t="e">
        <f t="shared" si="197"/>
        <v>#VALUE!</v>
      </c>
      <c r="AQ2053" s="397" t="e">
        <f t="shared" si="192"/>
        <v>#VALUE!</v>
      </c>
    </row>
    <row r="2054" spans="38:43">
      <c r="AL2054" s="414" t="str">
        <f t="shared" si="193"/>
        <v/>
      </c>
      <c r="AM2054" s="395" t="str">
        <f t="shared" si="194"/>
        <v/>
      </c>
      <c r="AN2054" s="396">
        <f t="shared" si="195"/>
        <v>0</v>
      </c>
      <c r="AO2054" s="109" t="str">
        <f t="shared" si="196"/>
        <v/>
      </c>
      <c r="AP2054" s="109" t="e">
        <f t="shared" si="197"/>
        <v>#VALUE!</v>
      </c>
      <c r="AQ2054" s="397" t="e">
        <f t="shared" si="192"/>
        <v>#VALUE!</v>
      </c>
    </row>
    <row r="2055" spans="38:43">
      <c r="AL2055" s="414" t="str">
        <f t="shared" si="193"/>
        <v/>
      </c>
      <c r="AM2055" s="395" t="str">
        <f t="shared" si="194"/>
        <v/>
      </c>
      <c r="AN2055" s="396">
        <f t="shared" si="195"/>
        <v>0</v>
      </c>
      <c r="AO2055" s="109" t="str">
        <f t="shared" si="196"/>
        <v/>
      </c>
      <c r="AP2055" s="109" t="e">
        <f t="shared" si="197"/>
        <v>#VALUE!</v>
      </c>
      <c r="AQ2055" s="397" t="e">
        <f t="shared" si="192"/>
        <v>#VALUE!</v>
      </c>
    </row>
    <row r="2056" spans="38:43">
      <c r="AL2056" s="414" t="str">
        <f t="shared" si="193"/>
        <v/>
      </c>
      <c r="AM2056" s="395" t="str">
        <f t="shared" si="194"/>
        <v/>
      </c>
      <c r="AN2056" s="396">
        <f t="shared" si="195"/>
        <v>0</v>
      </c>
      <c r="AO2056" s="109" t="str">
        <f t="shared" si="196"/>
        <v/>
      </c>
      <c r="AP2056" s="109" t="e">
        <f t="shared" si="197"/>
        <v>#VALUE!</v>
      </c>
      <c r="AQ2056" s="397" t="e">
        <f t="shared" si="192"/>
        <v>#VALUE!</v>
      </c>
    </row>
    <row r="2057" spans="38:43">
      <c r="AL2057" s="414" t="str">
        <f t="shared" si="193"/>
        <v/>
      </c>
      <c r="AM2057" s="395" t="str">
        <f t="shared" si="194"/>
        <v/>
      </c>
      <c r="AN2057" s="396">
        <f t="shared" si="195"/>
        <v>0</v>
      </c>
      <c r="AO2057" s="109" t="str">
        <f t="shared" si="196"/>
        <v/>
      </c>
      <c r="AP2057" s="109" t="e">
        <f t="shared" si="197"/>
        <v>#VALUE!</v>
      </c>
      <c r="AQ2057" s="397" t="e">
        <f t="shared" si="192"/>
        <v>#VALUE!</v>
      </c>
    </row>
    <row r="2058" spans="38:43">
      <c r="AL2058" s="414" t="str">
        <f t="shared" si="193"/>
        <v/>
      </c>
      <c r="AM2058" s="395" t="str">
        <f t="shared" si="194"/>
        <v/>
      </c>
      <c r="AN2058" s="396">
        <f t="shared" si="195"/>
        <v>0</v>
      </c>
      <c r="AO2058" s="109" t="str">
        <f t="shared" si="196"/>
        <v/>
      </c>
      <c r="AP2058" s="109" t="e">
        <f t="shared" si="197"/>
        <v>#VALUE!</v>
      </c>
      <c r="AQ2058" s="397" t="e">
        <f t="shared" si="192"/>
        <v>#VALUE!</v>
      </c>
    </row>
    <row r="2059" spans="38:43">
      <c r="AL2059" s="414" t="str">
        <f t="shared" si="193"/>
        <v/>
      </c>
      <c r="AM2059" s="395" t="str">
        <f t="shared" si="194"/>
        <v/>
      </c>
      <c r="AN2059" s="396">
        <f t="shared" si="195"/>
        <v>0</v>
      </c>
      <c r="AO2059" s="109" t="str">
        <f t="shared" si="196"/>
        <v/>
      </c>
      <c r="AP2059" s="109" t="e">
        <f t="shared" si="197"/>
        <v>#VALUE!</v>
      </c>
      <c r="AQ2059" s="397" t="e">
        <f t="shared" si="192"/>
        <v>#VALUE!</v>
      </c>
    </row>
    <row r="2060" spans="38:43">
      <c r="AL2060" s="414" t="str">
        <f t="shared" si="193"/>
        <v/>
      </c>
      <c r="AM2060" s="395" t="str">
        <f t="shared" si="194"/>
        <v/>
      </c>
      <c r="AN2060" s="396">
        <f t="shared" si="195"/>
        <v>0</v>
      </c>
      <c r="AO2060" s="109" t="str">
        <f t="shared" si="196"/>
        <v/>
      </c>
      <c r="AP2060" s="109" t="e">
        <f t="shared" si="197"/>
        <v>#VALUE!</v>
      </c>
      <c r="AQ2060" s="397" t="e">
        <f t="shared" si="192"/>
        <v>#VALUE!</v>
      </c>
    </row>
    <row r="2061" spans="38:43">
      <c r="AL2061" s="414" t="str">
        <f t="shared" si="193"/>
        <v/>
      </c>
      <c r="AM2061" s="395" t="str">
        <f t="shared" si="194"/>
        <v/>
      </c>
      <c r="AN2061" s="396">
        <f t="shared" si="195"/>
        <v>0</v>
      </c>
      <c r="AO2061" s="109" t="str">
        <f t="shared" si="196"/>
        <v/>
      </c>
      <c r="AP2061" s="109" t="e">
        <f t="shared" si="197"/>
        <v>#VALUE!</v>
      </c>
      <c r="AQ2061" s="397" t="e">
        <f t="shared" si="192"/>
        <v>#VALUE!</v>
      </c>
    </row>
    <row r="2062" spans="38:43">
      <c r="AL2062" s="414" t="str">
        <f t="shared" si="193"/>
        <v/>
      </c>
      <c r="AM2062" s="395" t="str">
        <f t="shared" si="194"/>
        <v/>
      </c>
      <c r="AN2062" s="396">
        <f t="shared" si="195"/>
        <v>0</v>
      </c>
      <c r="AO2062" s="109" t="str">
        <f t="shared" si="196"/>
        <v/>
      </c>
      <c r="AP2062" s="109" t="e">
        <f t="shared" si="197"/>
        <v>#VALUE!</v>
      </c>
      <c r="AQ2062" s="397" t="e">
        <f t="shared" si="192"/>
        <v>#VALUE!</v>
      </c>
    </row>
    <row r="2063" spans="38:43">
      <c r="AL2063" s="414" t="str">
        <f t="shared" si="193"/>
        <v/>
      </c>
      <c r="AM2063" s="395" t="str">
        <f t="shared" si="194"/>
        <v/>
      </c>
      <c r="AN2063" s="396">
        <f t="shared" si="195"/>
        <v>0</v>
      </c>
      <c r="AO2063" s="109" t="str">
        <f t="shared" si="196"/>
        <v/>
      </c>
      <c r="AP2063" s="109" t="e">
        <f t="shared" si="197"/>
        <v>#VALUE!</v>
      </c>
      <c r="AQ2063" s="397" t="e">
        <f t="shared" si="192"/>
        <v>#VALUE!</v>
      </c>
    </row>
    <row r="2064" spans="38:43">
      <c r="AL2064" s="414" t="str">
        <f t="shared" si="193"/>
        <v/>
      </c>
      <c r="AM2064" s="395" t="str">
        <f t="shared" si="194"/>
        <v/>
      </c>
      <c r="AN2064" s="396">
        <f t="shared" si="195"/>
        <v>0</v>
      </c>
      <c r="AO2064" s="109" t="str">
        <f t="shared" si="196"/>
        <v/>
      </c>
      <c r="AP2064" s="109" t="e">
        <f t="shared" si="197"/>
        <v>#VALUE!</v>
      </c>
      <c r="AQ2064" s="397" t="e">
        <f t="shared" si="192"/>
        <v>#VALUE!</v>
      </c>
    </row>
    <row r="2065" spans="38:43">
      <c r="AL2065" s="414" t="str">
        <f t="shared" si="193"/>
        <v/>
      </c>
      <c r="AM2065" s="395" t="str">
        <f t="shared" si="194"/>
        <v/>
      </c>
      <c r="AN2065" s="396">
        <f t="shared" si="195"/>
        <v>0</v>
      </c>
      <c r="AO2065" s="109" t="str">
        <f t="shared" si="196"/>
        <v/>
      </c>
      <c r="AP2065" s="109" t="e">
        <f t="shared" si="197"/>
        <v>#VALUE!</v>
      </c>
      <c r="AQ2065" s="397" t="e">
        <f t="shared" si="192"/>
        <v>#VALUE!</v>
      </c>
    </row>
    <row r="2066" spans="38:43">
      <c r="AL2066" s="414" t="str">
        <f t="shared" si="193"/>
        <v/>
      </c>
      <c r="AM2066" s="395" t="str">
        <f t="shared" si="194"/>
        <v/>
      </c>
      <c r="AN2066" s="396">
        <f t="shared" si="195"/>
        <v>0</v>
      </c>
      <c r="AO2066" s="109" t="str">
        <f t="shared" si="196"/>
        <v/>
      </c>
      <c r="AP2066" s="109" t="e">
        <f t="shared" si="197"/>
        <v>#VALUE!</v>
      </c>
      <c r="AQ2066" s="397" t="e">
        <f t="shared" si="192"/>
        <v>#VALUE!</v>
      </c>
    </row>
    <row r="2067" spans="38:43">
      <c r="AL2067" s="414" t="str">
        <f t="shared" si="193"/>
        <v/>
      </c>
      <c r="AM2067" s="395" t="str">
        <f t="shared" si="194"/>
        <v/>
      </c>
      <c r="AN2067" s="396">
        <f t="shared" si="195"/>
        <v>0</v>
      </c>
      <c r="AO2067" s="109" t="str">
        <f t="shared" si="196"/>
        <v/>
      </c>
      <c r="AP2067" s="109" t="e">
        <f t="shared" si="197"/>
        <v>#VALUE!</v>
      </c>
      <c r="AQ2067" s="397" t="e">
        <f t="shared" si="192"/>
        <v>#VALUE!</v>
      </c>
    </row>
    <row r="2068" spans="38:43">
      <c r="AL2068" s="414" t="str">
        <f t="shared" si="193"/>
        <v/>
      </c>
      <c r="AM2068" s="395" t="str">
        <f t="shared" si="194"/>
        <v/>
      </c>
      <c r="AN2068" s="396">
        <f t="shared" si="195"/>
        <v>0</v>
      </c>
      <c r="AO2068" s="109" t="str">
        <f t="shared" si="196"/>
        <v/>
      </c>
      <c r="AP2068" s="109" t="e">
        <f t="shared" si="197"/>
        <v>#VALUE!</v>
      </c>
      <c r="AQ2068" s="397" t="e">
        <f t="shared" si="192"/>
        <v>#VALUE!</v>
      </c>
    </row>
    <row r="2069" spans="38:43">
      <c r="AL2069" s="414" t="str">
        <f t="shared" si="193"/>
        <v/>
      </c>
      <c r="AM2069" s="395" t="str">
        <f t="shared" si="194"/>
        <v/>
      </c>
      <c r="AN2069" s="396">
        <f t="shared" si="195"/>
        <v>0</v>
      </c>
      <c r="AO2069" s="109" t="str">
        <f t="shared" si="196"/>
        <v/>
      </c>
      <c r="AP2069" s="109" t="e">
        <f t="shared" si="197"/>
        <v>#VALUE!</v>
      </c>
      <c r="AQ2069" s="397" t="e">
        <f t="shared" si="192"/>
        <v>#VALUE!</v>
      </c>
    </row>
    <row r="2070" spans="38:43">
      <c r="AL2070" s="414" t="str">
        <f t="shared" si="193"/>
        <v/>
      </c>
      <c r="AM2070" s="395" t="str">
        <f t="shared" si="194"/>
        <v/>
      </c>
      <c r="AN2070" s="396">
        <f t="shared" si="195"/>
        <v>0</v>
      </c>
      <c r="AO2070" s="109" t="str">
        <f t="shared" si="196"/>
        <v/>
      </c>
      <c r="AP2070" s="109" t="e">
        <f t="shared" si="197"/>
        <v>#VALUE!</v>
      </c>
      <c r="AQ2070" s="397" t="e">
        <f t="shared" si="192"/>
        <v>#VALUE!</v>
      </c>
    </row>
    <row r="2071" spans="38:43">
      <c r="AL2071" s="414" t="str">
        <f t="shared" si="193"/>
        <v/>
      </c>
      <c r="AM2071" s="395" t="str">
        <f t="shared" si="194"/>
        <v/>
      </c>
      <c r="AN2071" s="396">
        <f t="shared" si="195"/>
        <v>0</v>
      </c>
      <c r="AO2071" s="109" t="str">
        <f t="shared" si="196"/>
        <v/>
      </c>
      <c r="AP2071" s="109" t="e">
        <f t="shared" si="197"/>
        <v>#VALUE!</v>
      </c>
      <c r="AQ2071" s="397" t="e">
        <f t="shared" si="192"/>
        <v>#VALUE!</v>
      </c>
    </row>
    <row r="2072" spans="38:43">
      <c r="AL2072" s="414" t="str">
        <f t="shared" si="193"/>
        <v/>
      </c>
      <c r="AM2072" s="395" t="str">
        <f t="shared" si="194"/>
        <v/>
      </c>
      <c r="AN2072" s="396">
        <f t="shared" si="195"/>
        <v>0</v>
      </c>
      <c r="AO2072" s="109" t="str">
        <f t="shared" si="196"/>
        <v/>
      </c>
      <c r="AP2072" s="109" t="e">
        <f t="shared" si="197"/>
        <v>#VALUE!</v>
      </c>
      <c r="AQ2072" s="397" t="e">
        <f t="shared" si="192"/>
        <v>#VALUE!</v>
      </c>
    </row>
    <row r="2073" spans="38:43">
      <c r="AL2073" s="414" t="str">
        <f t="shared" si="193"/>
        <v/>
      </c>
      <c r="AM2073" s="395" t="str">
        <f t="shared" si="194"/>
        <v/>
      </c>
      <c r="AN2073" s="396">
        <f t="shared" si="195"/>
        <v>0</v>
      </c>
      <c r="AO2073" s="109" t="str">
        <f t="shared" si="196"/>
        <v/>
      </c>
      <c r="AP2073" s="109" t="e">
        <f t="shared" si="197"/>
        <v>#VALUE!</v>
      </c>
      <c r="AQ2073" s="397" t="e">
        <f t="shared" si="192"/>
        <v>#VALUE!</v>
      </c>
    </row>
    <row r="2074" spans="38:43">
      <c r="AL2074" s="414" t="str">
        <f t="shared" si="193"/>
        <v/>
      </c>
      <c r="AM2074" s="395" t="str">
        <f t="shared" si="194"/>
        <v/>
      </c>
      <c r="AN2074" s="396">
        <f t="shared" si="195"/>
        <v>0</v>
      </c>
      <c r="AO2074" s="109" t="str">
        <f t="shared" si="196"/>
        <v/>
      </c>
      <c r="AP2074" s="109" t="e">
        <f t="shared" si="197"/>
        <v>#VALUE!</v>
      </c>
      <c r="AQ2074" s="397" t="e">
        <f t="shared" si="192"/>
        <v>#VALUE!</v>
      </c>
    </row>
    <row r="2075" spans="38:43">
      <c r="AL2075" s="414" t="str">
        <f t="shared" si="193"/>
        <v/>
      </c>
      <c r="AM2075" s="395" t="str">
        <f t="shared" si="194"/>
        <v/>
      </c>
      <c r="AN2075" s="396">
        <f t="shared" si="195"/>
        <v>0</v>
      </c>
      <c r="AO2075" s="109" t="str">
        <f t="shared" si="196"/>
        <v/>
      </c>
      <c r="AP2075" s="109" t="e">
        <f t="shared" si="197"/>
        <v>#VALUE!</v>
      </c>
      <c r="AQ2075" s="397" t="e">
        <f t="shared" si="192"/>
        <v>#VALUE!</v>
      </c>
    </row>
    <row r="2076" spans="38:43">
      <c r="AL2076" s="414" t="str">
        <f t="shared" si="193"/>
        <v/>
      </c>
      <c r="AM2076" s="395" t="str">
        <f t="shared" si="194"/>
        <v/>
      </c>
      <c r="AN2076" s="396">
        <f t="shared" si="195"/>
        <v>0</v>
      </c>
      <c r="AO2076" s="109" t="str">
        <f t="shared" si="196"/>
        <v/>
      </c>
      <c r="AP2076" s="109" t="e">
        <f t="shared" si="197"/>
        <v>#VALUE!</v>
      </c>
      <c r="AQ2076" s="397" t="e">
        <f t="shared" si="192"/>
        <v>#VALUE!</v>
      </c>
    </row>
    <row r="2077" spans="38:43">
      <c r="AL2077" s="414" t="str">
        <f t="shared" si="193"/>
        <v/>
      </c>
      <c r="AM2077" s="395" t="str">
        <f t="shared" si="194"/>
        <v/>
      </c>
      <c r="AN2077" s="396">
        <f t="shared" si="195"/>
        <v>0</v>
      </c>
      <c r="AO2077" s="109" t="str">
        <f t="shared" si="196"/>
        <v/>
      </c>
      <c r="AP2077" s="109" t="e">
        <f t="shared" si="197"/>
        <v>#VALUE!</v>
      </c>
      <c r="AQ2077" s="397" t="e">
        <f t="shared" ref="AQ2077:AQ2140" si="198">AN2077*AP2077</f>
        <v>#VALUE!</v>
      </c>
    </row>
    <row r="2078" spans="38:43">
      <c r="AL2078" s="414" t="str">
        <f t="shared" si="193"/>
        <v/>
      </c>
      <c r="AM2078" s="395" t="str">
        <f t="shared" si="194"/>
        <v/>
      </c>
      <c r="AN2078" s="396">
        <f t="shared" si="195"/>
        <v>0</v>
      </c>
      <c r="AO2078" s="109" t="str">
        <f t="shared" si="196"/>
        <v/>
      </c>
      <c r="AP2078" s="109" t="e">
        <f t="shared" si="197"/>
        <v>#VALUE!</v>
      </c>
      <c r="AQ2078" s="397" t="e">
        <f t="shared" si="198"/>
        <v>#VALUE!</v>
      </c>
    </row>
    <row r="2079" spans="38:43">
      <c r="AL2079" s="414" t="str">
        <f t="shared" si="193"/>
        <v/>
      </c>
      <c r="AM2079" s="395" t="str">
        <f t="shared" si="194"/>
        <v/>
      </c>
      <c r="AN2079" s="396">
        <f t="shared" si="195"/>
        <v>0</v>
      </c>
      <c r="AO2079" s="109" t="str">
        <f t="shared" si="196"/>
        <v/>
      </c>
      <c r="AP2079" s="109" t="e">
        <f t="shared" si="197"/>
        <v>#VALUE!</v>
      </c>
      <c r="AQ2079" s="397" t="e">
        <f t="shared" si="198"/>
        <v>#VALUE!</v>
      </c>
    </row>
    <row r="2080" spans="38:43">
      <c r="AL2080" s="414" t="str">
        <f t="shared" si="193"/>
        <v/>
      </c>
      <c r="AM2080" s="395" t="str">
        <f t="shared" si="194"/>
        <v/>
      </c>
      <c r="AN2080" s="396">
        <f t="shared" si="195"/>
        <v>0</v>
      </c>
      <c r="AO2080" s="109" t="str">
        <f t="shared" si="196"/>
        <v/>
      </c>
      <c r="AP2080" s="109" t="e">
        <f t="shared" si="197"/>
        <v>#VALUE!</v>
      </c>
      <c r="AQ2080" s="397" t="e">
        <f t="shared" si="198"/>
        <v>#VALUE!</v>
      </c>
    </row>
    <row r="2081" spans="38:43">
      <c r="AL2081" s="414" t="str">
        <f t="shared" si="193"/>
        <v/>
      </c>
      <c r="AM2081" s="395" t="str">
        <f t="shared" si="194"/>
        <v/>
      </c>
      <c r="AN2081" s="396">
        <f t="shared" si="195"/>
        <v>0</v>
      </c>
      <c r="AO2081" s="109" t="str">
        <f t="shared" si="196"/>
        <v/>
      </c>
      <c r="AP2081" s="109" t="e">
        <f t="shared" si="197"/>
        <v>#VALUE!</v>
      </c>
      <c r="AQ2081" s="397" t="e">
        <f t="shared" si="198"/>
        <v>#VALUE!</v>
      </c>
    </row>
    <row r="2082" spans="38:43">
      <c r="AL2082" s="414" t="str">
        <f t="shared" si="193"/>
        <v/>
      </c>
      <c r="AM2082" s="395" t="str">
        <f t="shared" si="194"/>
        <v/>
      </c>
      <c r="AN2082" s="396">
        <f t="shared" si="195"/>
        <v>0</v>
      </c>
      <c r="AO2082" s="109" t="str">
        <f t="shared" si="196"/>
        <v/>
      </c>
      <c r="AP2082" s="109" t="e">
        <f t="shared" si="197"/>
        <v>#VALUE!</v>
      </c>
      <c r="AQ2082" s="397" t="e">
        <f t="shared" si="198"/>
        <v>#VALUE!</v>
      </c>
    </row>
    <row r="2083" spans="38:43">
      <c r="AL2083" s="414" t="str">
        <f t="shared" si="193"/>
        <v/>
      </c>
      <c r="AM2083" s="395" t="str">
        <f t="shared" si="194"/>
        <v/>
      </c>
      <c r="AN2083" s="396">
        <f t="shared" si="195"/>
        <v>0</v>
      </c>
      <c r="AO2083" s="109" t="str">
        <f t="shared" si="196"/>
        <v/>
      </c>
      <c r="AP2083" s="109" t="e">
        <f t="shared" si="197"/>
        <v>#VALUE!</v>
      </c>
      <c r="AQ2083" s="397" t="e">
        <f t="shared" si="198"/>
        <v>#VALUE!</v>
      </c>
    </row>
    <row r="2084" spans="38:43">
      <c r="AL2084" s="414" t="str">
        <f t="shared" si="193"/>
        <v/>
      </c>
      <c r="AM2084" s="395" t="str">
        <f t="shared" si="194"/>
        <v/>
      </c>
      <c r="AN2084" s="396">
        <f t="shared" si="195"/>
        <v>0</v>
      </c>
      <c r="AO2084" s="109" t="str">
        <f t="shared" si="196"/>
        <v/>
      </c>
      <c r="AP2084" s="109" t="e">
        <f t="shared" si="197"/>
        <v>#VALUE!</v>
      </c>
      <c r="AQ2084" s="397" t="e">
        <f t="shared" si="198"/>
        <v>#VALUE!</v>
      </c>
    </row>
    <row r="2085" spans="38:43">
      <c r="AL2085" s="414" t="str">
        <f t="shared" si="193"/>
        <v/>
      </c>
      <c r="AM2085" s="395" t="str">
        <f t="shared" si="194"/>
        <v/>
      </c>
      <c r="AN2085" s="396">
        <f t="shared" si="195"/>
        <v>0</v>
      </c>
      <c r="AO2085" s="109" t="str">
        <f t="shared" si="196"/>
        <v/>
      </c>
      <c r="AP2085" s="109" t="e">
        <f t="shared" si="197"/>
        <v>#VALUE!</v>
      </c>
      <c r="AQ2085" s="397" t="e">
        <f t="shared" si="198"/>
        <v>#VALUE!</v>
      </c>
    </row>
    <row r="2086" spans="38:43">
      <c r="AL2086" s="414" t="str">
        <f t="shared" si="193"/>
        <v/>
      </c>
      <c r="AM2086" s="395" t="str">
        <f t="shared" si="194"/>
        <v/>
      </c>
      <c r="AN2086" s="396">
        <f t="shared" si="195"/>
        <v>0</v>
      </c>
      <c r="AO2086" s="109" t="str">
        <f t="shared" si="196"/>
        <v/>
      </c>
      <c r="AP2086" s="109" t="e">
        <f t="shared" si="197"/>
        <v>#VALUE!</v>
      </c>
      <c r="AQ2086" s="397" t="e">
        <f t="shared" si="198"/>
        <v>#VALUE!</v>
      </c>
    </row>
    <row r="2087" spans="38:43">
      <c r="AL2087" s="414" t="str">
        <f t="shared" si="193"/>
        <v/>
      </c>
      <c r="AM2087" s="395" t="str">
        <f t="shared" si="194"/>
        <v/>
      </c>
      <c r="AN2087" s="396">
        <f t="shared" si="195"/>
        <v>0</v>
      </c>
      <c r="AO2087" s="109" t="str">
        <f t="shared" si="196"/>
        <v/>
      </c>
      <c r="AP2087" s="109" t="e">
        <f t="shared" si="197"/>
        <v>#VALUE!</v>
      </c>
      <c r="AQ2087" s="397" t="e">
        <f t="shared" si="198"/>
        <v>#VALUE!</v>
      </c>
    </row>
    <row r="2088" spans="38:43">
      <c r="AL2088" s="414" t="str">
        <f t="shared" si="193"/>
        <v/>
      </c>
      <c r="AM2088" s="395" t="str">
        <f t="shared" si="194"/>
        <v/>
      </c>
      <c r="AN2088" s="396">
        <f t="shared" si="195"/>
        <v>0</v>
      </c>
      <c r="AO2088" s="109" t="str">
        <f t="shared" si="196"/>
        <v/>
      </c>
      <c r="AP2088" s="109" t="e">
        <f t="shared" si="197"/>
        <v>#VALUE!</v>
      </c>
      <c r="AQ2088" s="397" t="e">
        <f t="shared" si="198"/>
        <v>#VALUE!</v>
      </c>
    </row>
    <row r="2089" spans="38:43">
      <c r="AL2089" s="414" t="str">
        <f t="shared" si="193"/>
        <v/>
      </c>
      <c r="AM2089" s="395" t="str">
        <f t="shared" si="194"/>
        <v/>
      </c>
      <c r="AN2089" s="396">
        <f t="shared" si="195"/>
        <v>0</v>
      </c>
      <c r="AO2089" s="109" t="str">
        <f t="shared" si="196"/>
        <v/>
      </c>
      <c r="AP2089" s="109" t="e">
        <f t="shared" si="197"/>
        <v>#VALUE!</v>
      </c>
      <c r="AQ2089" s="397" t="e">
        <f t="shared" si="198"/>
        <v>#VALUE!</v>
      </c>
    </row>
    <row r="2090" spans="38:43">
      <c r="AL2090" s="414" t="str">
        <f t="shared" si="193"/>
        <v/>
      </c>
      <c r="AM2090" s="395" t="str">
        <f t="shared" si="194"/>
        <v/>
      </c>
      <c r="AN2090" s="396">
        <f t="shared" si="195"/>
        <v>0</v>
      </c>
      <c r="AO2090" s="109" t="str">
        <f t="shared" si="196"/>
        <v/>
      </c>
      <c r="AP2090" s="109" t="e">
        <f t="shared" si="197"/>
        <v>#VALUE!</v>
      </c>
      <c r="AQ2090" s="397" t="e">
        <f t="shared" si="198"/>
        <v>#VALUE!</v>
      </c>
    </row>
    <row r="2091" spans="38:43">
      <c r="AL2091" s="414" t="str">
        <f t="shared" si="193"/>
        <v/>
      </c>
      <c r="AM2091" s="395" t="str">
        <f t="shared" si="194"/>
        <v/>
      </c>
      <c r="AN2091" s="396">
        <f t="shared" si="195"/>
        <v>0</v>
      </c>
      <c r="AO2091" s="109" t="str">
        <f t="shared" si="196"/>
        <v/>
      </c>
      <c r="AP2091" s="109" t="e">
        <f t="shared" si="197"/>
        <v>#VALUE!</v>
      </c>
      <c r="AQ2091" s="397" t="e">
        <f t="shared" si="198"/>
        <v>#VALUE!</v>
      </c>
    </row>
    <row r="2092" spans="38:43">
      <c r="AL2092" s="414" t="str">
        <f t="shared" si="193"/>
        <v/>
      </c>
      <c r="AM2092" s="395" t="str">
        <f t="shared" si="194"/>
        <v/>
      </c>
      <c r="AN2092" s="396">
        <f t="shared" si="195"/>
        <v>0</v>
      </c>
      <c r="AO2092" s="109" t="str">
        <f t="shared" si="196"/>
        <v/>
      </c>
      <c r="AP2092" s="109" t="e">
        <f t="shared" si="197"/>
        <v>#VALUE!</v>
      </c>
      <c r="AQ2092" s="397" t="e">
        <f t="shared" si="198"/>
        <v>#VALUE!</v>
      </c>
    </row>
    <row r="2093" spans="38:43">
      <c r="AL2093" s="414" t="str">
        <f t="shared" si="193"/>
        <v/>
      </c>
      <c r="AM2093" s="395" t="str">
        <f t="shared" si="194"/>
        <v/>
      </c>
      <c r="AN2093" s="396">
        <f t="shared" si="195"/>
        <v>0</v>
      </c>
      <c r="AO2093" s="109" t="str">
        <f t="shared" si="196"/>
        <v/>
      </c>
      <c r="AP2093" s="109" t="e">
        <f t="shared" si="197"/>
        <v>#VALUE!</v>
      </c>
      <c r="AQ2093" s="397" t="e">
        <f t="shared" si="198"/>
        <v>#VALUE!</v>
      </c>
    </row>
    <row r="2094" spans="38:43">
      <c r="AL2094" s="414" t="str">
        <f t="shared" si="193"/>
        <v/>
      </c>
      <c r="AM2094" s="395" t="str">
        <f t="shared" si="194"/>
        <v/>
      </c>
      <c r="AN2094" s="396">
        <f t="shared" si="195"/>
        <v>0</v>
      </c>
      <c r="AO2094" s="109" t="str">
        <f t="shared" si="196"/>
        <v/>
      </c>
      <c r="AP2094" s="109" t="e">
        <f t="shared" si="197"/>
        <v>#VALUE!</v>
      </c>
      <c r="AQ2094" s="397" t="e">
        <f t="shared" si="198"/>
        <v>#VALUE!</v>
      </c>
    </row>
    <row r="2095" spans="38:43">
      <c r="AL2095" s="414" t="str">
        <f t="shared" si="193"/>
        <v/>
      </c>
      <c r="AM2095" s="395" t="str">
        <f t="shared" si="194"/>
        <v/>
      </c>
      <c r="AN2095" s="396">
        <f t="shared" si="195"/>
        <v>0</v>
      </c>
      <c r="AO2095" s="109" t="str">
        <f t="shared" si="196"/>
        <v/>
      </c>
      <c r="AP2095" s="109" t="e">
        <f t="shared" si="197"/>
        <v>#VALUE!</v>
      </c>
      <c r="AQ2095" s="397" t="e">
        <f t="shared" si="198"/>
        <v>#VALUE!</v>
      </c>
    </row>
    <row r="2096" spans="38:43">
      <c r="AL2096" s="414" t="str">
        <f t="shared" si="193"/>
        <v/>
      </c>
      <c r="AM2096" s="395" t="str">
        <f t="shared" si="194"/>
        <v/>
      </c>
      <c r="AN2096" s="396">
        <f t="shared" si="195"/>
        <v>0</v>
      </c>
      <c r="AO2096" s="109" t="str">
        <f t="shared" si="196"/>
        <v/>
      </c>
      <c r="AP2096" s="109" t="e">
        <f t="shared" si="197"/>
        <v>#VALUE!</v>
      </c>
      <c r="AQ2096" s="397" t="e">
        <f t="shared" si="198"/>
        <v>#VALUE!</v>
      </c>
    </row>
    <row r="2097" spans="38:43">
      <c r="AL2097" s="414" t="str">
        <f t="shared" si="193"/>
        <v/>
      </c>
      <c r="AM2097" s="395" t="str">
        <f t="shared" si="194"/>
        <v/>
      </c>
      <c r="AN2097" s="396">
        <f t="shared" si="195"/>
        <v>0</v>
      </c>
      <c r="AO2097" s="109" t="str">
        <f t="shared" si="196"/>
        <v/>
      </c>
      <c r="AP2097" s="109" t="e">
        <f t="shared" si="197"/>
        <v>#VALUE!</v>
      </c>
      <c r="AQ2097" s="397" t="e">
        <f t="shared" si="198"/>
        <v>#VALUE!</v>
      </c>
    </row>
    <row r="2098" spans="38:43">
      <c r="AL2098" s="414" t="str">
        <f t="shared" si="193"/>
        <v/>
      </c>
      <c r="AM2098" s="395" t="str">
        <f t="shared" si="194"/>
        <v/>
      </c>
      <c r="AN2098" s="396">
        <f t="shared" si="195"/>
        <v>0</v>
      </c>
      <c r="AO2098" s="109" t="str">
        <f t="shared" si="196"/>
        <v/>
      </c>
      <c r="AP2098" s="109" t="e">
        <f t="shared" si="197"/>
        <v>#VALUE!</v>
      </c>
      <c r="AQ2098" s="397" t="e">
        <f t="shared" si="198"/>
        <v>#VALUE!</v>
      </c>
    </row>
    <row r="2099" spans="38:43">
      <c r="AL2099" s="414" t="str">
        <f t="shared" si="193"/>
        <v/>
      </c>
      <c r="AM2099" s="395" t="str">
        <f t="shared" si="194"/>
        <v/>
      </c>
      <c r="AN2099" s="396">
        <f t="shared" si="195"/>
        <v>0</v>
      </c>
      <c r="AO2099" s="109" t="str">
        <f t="shared" si="196"/>
        <v/>
      </c>
      <c r="AP2099" s="109" t="e">
        <f t="shared" si="197"/>
        <v>#VALUE!</v>
      </c>
      <c r="AQ2099" s="397" t="e">
        <f t="shared" si="198"/>
        <v>#VALUE!</v>
      </c>
    </row>
    <row r="2100" spans="38:43">
      <c r="AL2100" s="414" t="str">
        <f t="shared" si="193"/>
        <v/>
      </c>
      <c r="AM2100" s="395" t="str">
        <f t="shared" si="194"/>
        <v/>
      </c>
      <c r="AN2100" s="396">
        <f t="shared" si="195"/>
        <v>0</v>
      </c>
      <c r="AO2100" s="109" t="str">
        <f t="shared" si="196"/>
        <v/>
      </c>
      <c r="AP2100" s="109" t="e">
        <f t="shared" si="197"/>
        <v>#VALUE!</v>
      </c>
      <c r="AQ2100" s="397" t="e">
        <f t="shared" si="198"/>
        <v>#VALUE!</v>
      </c>
    </row>
    <row r="2101" spans="38:43">
      <c r="AL2101" s="414" t="str">
        <f t="shared" si="193"/>
        <v/>
      </c>
      <c r="AM2101" s="395" t="str">
        <f t="shared" si="194"/>
        <v/>
      </c>
      <c r="AN2101" s="396">
        <f t="shared" si="195"/>
        <v>0</v>
      </c>
      <c r="AO2101" s="109" t="str">
        <f t="shared" si="196"/>
        <v/>
      </c>
      <c r="AP2101" s="109" t="e">
        <f t="shared" si="197"/>
        <v>#VALUE!</v>
      </c>
      <c r="AQ2101" s="397" t="e">
        <f t="shared" si="198"/>
        <v>#VALUE!</v>
      </c>
    </row>
    <row r="2102" spans="38:43">
      <c r="AL2102" s="414" t="str">
        <f t="shared" si="193"/>
        <v/>
      </c>
      <c r="AM2102" s="395" t="str">
        <f t="shared" si="194"/>
        <v/>
      </c>
      <c r="AN2102" s="396">
        <f t="shared" si="195"/>
        <v>0</v>
      </c>
      <c r="AO2102" s="109" t="str">
        <f t="shared" si="196"/>
        <v/>
      </c>
      <c r="AP2102" s="109" t="e">
        <f t="shared" si="197"/>
        <v>#VALUE!</v>
      </c>
      <c r="AQ2102" s="397" t="e">
        <f t="shared" si="198"/>
        <v>#VALUE!</v>
      </c>
    </row>
    <row r="2103" spans="38:43">
      <c r="AL2103" s="414" t="str">
        <f t="shared" si="193"/>
        <v/>
      </c>
      <c r="AM2103" s="395" t="str">
        <f t="shared" si="194"/>
        <v/>
      </c>
      <c r="AN2103" s="396">
        <f t="shared" si="195"/>
        <v>0</v>
      </c>
      <c r="AO2103" s="109" t="str">
        <f t="shared" si="196"/>
        <v/>
      </c>
      <c r="AP2103" s="109" t="e">
        <f t="shared" si="197"/>
        <v>#VALUE!</v>
      </c>
      <c r="AQ2103" s="397" t="e">
        <f t="shared" si="198"/>
        <v>#VALUE!</v>
      </c>
    </row>
    <row r="2104" spans="38:43">
      <c r="AL2104" s="414" t="str">
        <f t="shared" si="193"/>
        <v/>
      </c>
      <c r="AM2104" s="395" t="str">
        <f t="shared" si="194"/>
        <v/>
      </c>
      <c r="AN2104" s="396">
        <f t="shared" si="195"/>
        <v>0</v>
      </c>
      <c r="AO2104" s="109" t="str">
        <f t="shared" si="196"/>
        <v/>
      </c>
      <c r="AP2104" s="109" t="e">
        <f t="shared" si="197"/>
        <v>#VALUE!</v>
      </c>
      <c r="AQ2104" s="397" t="e">
        <f t="shared" si="198"/>
        <v>#VALUE!</v>
      </c>
    </row>
    <row r="2105" spans="38:43">
      <c r="AL2105" s="414" t="str">
        <f t="shared" si="193"/>
        <v/>
      </c>
      <c r="AM2105" s="395" t="str">
        <f t="shared" si="194"/>
        <v/>
      </c>
      <c r="AN2105" s="396">
        <f t="shared" si="195"/>
        <v>0</v>
      </c>
      <c r="AO2105" s="109" t="str">
        <f t="shared" si="196"/>
        <v/>
      </c>
      <c r="AP2105" s="109" t="e">
        <f t="shared" si="197"/>
        <v>#VALUE!</v>
      </c>
      <c r="AQ2105" s="397" t="e">
        <f t="shared" si="198"/>
        <v>#VALUE!</v>
      </c>
    </row>
    <row r="2106" spans="38:43">
      <c r="AL2106" s="414" t="str">
        <f t="shared" si="193"/>
        <v/>
      </c>
      <c r="AM2106" s="395" t="str">
        <f t="shared" si="194"/>
        <v/>
      </c>
      <c r="AN2106" s="396">
        <f t="shared" si="195"/>
        <v>0</v>
      </c>
      <c r="AO2106" s="109" t="str">
        <f t="shared" si="196"/>
        <v/>
      </c>
      <c r="AP2106" s="109" t="e">
        <f t="shared" si="197"/>
        <v>#VALUE!</v>
      </c>
      <c r="AQ2106" s="397" t="e">
        <f t="shared" si="198"/>
        <v>#VALUE!</v>
      </c>
    </row>
    <row r="2107" spans="38:43">
      <c r="AL2107" s="414" t="str">
        <f t="shared" si="193"/>
        <v/>
      </c>
      <c r="AM2107" s="395" t="str">
        <f t="shared" si="194"/>
        <v/>
      </c>
      <c r="AN2107" s="396">
        <f t="shared" si="195"/>
        <v>0</v>
      </c>
      <c r="AO2107" s="109" t="str">
        <f t="shared" si="196"/>
        <v/>
      </c>
      <c r="AP2107" s="109" t="e">
        <f t="shared" si="197"/>
        <v>#VALUE!</v>
      </c>
      <c r="AQ2107" s="397" t="e">
        <f t="shared" si="198"/>
        <v>#VALUE!</v>
      </c>
    </row>
    <row r="2108" spans="38:43">
      <c r="AL2108" s="414" t="str">
        <f t="shared" si="193"/>
        <v/>
      </c>
      <c r="AM2108" s="395" t="str">
        <f t="shared" si="194"/>
        <v/>
      </c>
      <c r="AN2108" s="396">
        <f t="shared" si="195"/>
        <v>0</v>
      </c>
      <c r="AO2108" s="109" t="str">
        <f t="shared" si="196"/>
        <v/>
      </c>
      <c r="AP2108" s="109" t="e">
        <f t="shared" si="197"/>
        <v>#VALUE!</v>
      </c>
      <c r="AQ2108" s="397" t="e">
        <f t="shared" si="198"/>
        <v>#VALUE!</v>
      </c>
    </row>
    <row r="2109" spans="38:43">
      <c r="AL2109" s="414" t="str">
        <f t="shared" si="193"/>
        <v/>
      </c>
      <c r="AM2109" s="395" t="str">
        <f t="shared" si="194"/>
        <v/>
      </c>
      <c r="AN2109" s="396">
        <f t="shared" si="195"/>
        <v>0</v>
      </c>
      <c r="AO2109" s="109" t="str">
        <f t="shared" si="196"/>
        <v/>
      </c>
      <c r="AP2109" s="109" t="e">
        <f t="shared" si="197"/>
        <v>#VALUE!</v>
      </c>
      <c r="AQ2109" s="397" t="e">
        <f t="shared" si="198"/>
        <v>#VALUE!</v>
      </c>
    </row>
    <row r="2110" spans="38:43">
      <c r="AL2110" s="414" t="str">
        <f t="shared" si="193"/>
        <v/>
      </c>
      <c r="AM2110" s="395" t="str">
        <f t="shared" si="194"/>
        <v/>
      </c>
      <c r="AN2110" s="396">
        <f t="shared" si="195"/>
        <v>0</v>
      </c>
      <c r="AO2110" s="109" t="str">
        <f t="shared" si="196"/>
        <v/>
      </c>
      <c r="AP2110" s="109" t="e">
        <f t="shared" si="197"/>
        <v>#VALUE!</v>
      </c>
      <c r="AQ2110" s="397" t="e">
        <f t="shared" si="198"/>
        <v>#VALUE!</v>
      </c>
    </row>
    <row r="2111" spans="38:43">
      <c r="AL2111" s="414" t="str">
        <f t="shared" si="193"/>
        <v/>
      </c>
      <c r="AM2111" s="395" t="str">
        <f t="shared" si="194"/>
        <v/>
      </c>
      <c r="AN2111" s="396">
        <f t="shared" si="195"/>
        <v>0</v>
      </c>
      <c r="AO2111" s="109" t="str">
        <f t="shared" si="196"/>
        <v/>
      </c>
      <c r="AP2111" s="109" t="e">
        <f t="shared" si="197"/>
        <v>#VALUE!</v>
      </c>
      <c r="AQ2111" s="397" t="e">
        <f t="shared" si="198"/>
        <v>#VALUE!</v>
      </c>
    </row>
    <row r="2112" spans="38:43">
      <c r="AL2112" s="414" t="str">
        <f t="shared" si="193"/>
        <v/>
      </c>
      <c r="AM2112" s="395" t="str">
        <f t="shared" si="194"/>
        <v/>
      </c>
      <c r="AN2112" s="396">
        <f t="shared" si="195"/>
        <v>0</v>
      </c>
      <c r="AO2112" s="109" t="str">
        <f t="shared" si="196"/>
        <v/>
      </c>
      <c r="AP2112" s="109" t="e">
        <f t="shared" si="197"/>
        <v>#VALUE!</v>
      </c>
      <c r="AQ2112" s="397" t="e">
        <f t="shared" si="198"/>
        <v>#VALUE!</v>
      </c>
    </row>
    <row r="2113" spans="38:43">
      <c r="AL2113" s="414" t="str">
        <f t="shared" si="193"/>
        <v/>
      </c>
      <c r="AM2113" s="395" t="str">
        <f t="shared" si="194"/>
        <v/>
      </c>
      <c r="AN2113" s="396">
        <f t="shared" si="195"/>
        <v>0</v>
      </c>
      <c r="AO2113" s="109" t="str">
        <f t="shared" si="196"/>
        <v/>
      </c>
      <c r="AP2113" s="109" t="e">
        <f t="shared" si="197"/>
        <v>#VALUE!</v>
      </c>
      <c r="AQ2113" s="397" t="e">
        <f t="shared" si="198"/>
        <v>#VALUE!</v>
      </c>
    </row>
    <row r="2114" spans="38:43">
      <c r="AL2114" s="414" t="str">
        <f t="shared" si="193"/>
        <v/>
      </c>
      <c r="AM2114" s="395" t="str">
        <f t="shared" si="194"/>
        <v/>
      </c>
      <c r="AN2114" s="396">
        <f t="shared" si="195"/>
        <v>0</v>
      </c>
      <c r="AO2114" s="109" t="str">
        <f t="shared" si="196"/>
        <v/>
      </c>
      <c r="AP2114" s="109" t="e">
        <f t="shared" si="197"/>
        <v>#VALUE!</v>
      </c>
      <c r="AQ2114" s="397" t="e">
        <f t="shared" si="198"/>
        <v>#VALUE!</v>
      </c>
    </row>
    <row r="2115" spans="38:43">
      <c r="AL2115" s="414" t="str">
        <f t="shared" ref="AL2115:AL2178" si="199">SUBSTITUTE(SUBSTITUTE(H2115,"[워커힐]워커힐 고메 시그니처 양념 본갈비 8팩","워커힐 시그니처 양념 본갈비 300g, 8개"),"[워커힐]워커힐 시그니처 양념 본갈비 4팩","워커힐 시그니처 양념 본갈비 300g, 4개")</f>
        <v/>
      </c>
      <c r="AM2115" s="395" t="str">
        <f t="shared" ref="AM2115:AM2178" si="200">IF(N2115="배송완료", DATE(LEFT(M2115,4), MID(M2115,6,2), MID(M2115,9,2)), "")</f>
        <v/>
      </c>
      <c r="AN2115" s="396">
        <f t="shared" ref="AN2115:AN2178" si="201">IF(OR(N2115="배송완료", Q2115&lt;0), Q2115, 0)</f>
        <v>0</v>
      </c>
      <c r="AO2115" s="109" t="str">
        <f t="shared" ref="AO2115:AO2178" si="202">IF(AL2115="워커힐 시그니처 양념 본갈비 300g, 8개",119000,IF(AL2115="워커힐 시그니처 양념 본갈비 300g, 4개",78000,""))</f>
        <v/>
      </c>
      <c r="AP2115" s="109" t="e">
        <f t="shared" ref="AP2115:AP2178" si="203">AO2115/1.1</f>
        <v>#VALUE!</v>
      </c>
      <c r="AQ2115" s="397" t="e">
        <f t="shared" si="198"/>
        <v>#VALUE!</v>
      </c>
    </row>
    <row r="2116" spans="38:43">
      <c r="AL2116" s="414" t="str">
        <f t="shared" si="199"/>
        <v/>
      </c>
      <c r="AM2116" s="395" t="str">
        <f t="shared" si="200"/>
        <v/>
      </c>
      <c r="AN2116" s="396">
        <f t="shared" si="201"/>
        <v>0</v>
      </c>
      <c r="AO2116" s="109" t="str">
        <f t="shared" si="202"/>
        <v/>
      </c>
      <c r="AP2116" s="109" t="e">
        <f t="shared" si="203"/>
        <v>#VALUE!</v>
      </c>
      <c r="AQ2116" s="397" t="e">
        <f t="shared" si="198"/>
        <v>#VALUE!</v>
      </c>
    </row>
    <row r="2117" spans="38:43">
      <c r="AL2117" s="414" t="str">
        <f t="shared" si="199"/>
        <v/>
      </c>
      <c r="AM2117" s="395" t="str">
        <f t="shared" si="200"/>
        <v/>
      </c>
      <c r="AN2117" s="396">
        <f t="shared" si="201"/>
        <v>0</v>
      </c>
      <c r="AO2117" s="109" t="str">
        <f t="shared" si="202"/>
        <v/>
      </c>
      <c r="AP2117" s="109" t="e">
        <f t="shared" si="203"/>
        <v>#VALUE!</v>
      </c>
      <c r="AQ2117" s="397" t="e">
        <f t="shared" si="198"/>
        <v>#VALUE!</v>
      </c>
    </row>
    <row r="2118" spans="38:43">
      <c r="AL2118" s="414" t="str">
        <f t="shared" si="199"/>
        <v/>
      </c>
      <c r="AM2118" s="395" t="str">
        <f t="shared" si="200"/>
        <v/>
      </c>
      <c r="AN2118" s="396">
        <f t="shared" si="201"/>
        <v>0</v>
      </c>
      <c r="AO2118" s="109" t="str">
        <f t="shared" si="202"/>
        <v/>
      </c>
      <c r="AP2118" s="109" t="e">
        <f t="shared" si="203"/>
        <v>#VALUE!</v>
      </c>
      <c r="AQ2118" s="397" t="e">
        <f t="shared" si="198"/>
        <v>#VALUE!</v>
      </c>
    </row>
    <row r="2119" spans="38:43">
      <c r="AL2119" s="414" t="str">
        <f t="shared" si="199"/>
        <v/>
      </c>
      <c r="AM2119" s="395" t="str">
        <f t="shared" si="200"/>
        <v/>
      </c>
      <c r="AN2119" s="396">
        <f t="shared" si="201"/>
        <v>0</v>
      </c>
      <c r="AO2119" s="109" t="str">
        <f t="shared" si="202"/>
        <v/>
      </c>
      <c r="AP2119" s="109" t="e">
        <f t="shared" si="203"/>
        <v>#VALUE!</v>
      </c>
      <c r="AQ2119" s="397" t="e">
        <f t="shared" si="198"/>
        <v>#VALUE!</v>
      </c>
    </row>
    <row r="2120" spans="38:43">
      <c r="AL2120" s="414" t="str">
        <f t="shared" si="199"/>
        <v/>
      </c>
      <c r="AM2120" s="395" t="str">
        <f t="shared" si="200"/>
        <v/>
      </c>
      <c r="AN2120" s="396">
        <f t="shared" si="201"/>
        <v>0</v>
      </c>
      <c r="AO2120" s="109" t="str">
        <f t="shared" si="202"/>
        <v/>
      </c>
      <c r="AP2120" s="109" t="e">
        <f t="shared" si="203"/>
        <v>#VALUE!</v>
      </c>
      <c r="AQ2120" s="397" t="e">
        <f t="shared" si="198"/>
        <v>#VALUE!</v>
      </c>
    </row>
    <row r="2121" spans="38:43">
      <c r="AL2121" s="414" t="str">
        <f t="shared" si="199"/>
        <v/>
      </c>
      <c r="AM2121" s="395" t="str">
        <f t="shared" si="200"/>
        <v/>
      </c>
      <c r="AN2121" s="396">
        <f t="shared" si="201"/>
        <v>0</v>
      </c>
      <c r="AO2121" s="109" t="str">
        <f t="shared" si="202"/>
        <v/>
      </c>
      <c r="AP2121" s="109" t="e">
        <f t="shared" si="203"/>
        <v>#VALUE!</v>
      </c>
      <c r="AQ2121" s="397" t="e">
        <f t="shared" si="198"/>
        <v>#VALUE!</v>
      </c>
    </row>
    <row r="2122" spans="38:43">
      <c r="AL2122" s="414" t="str">
        <f t="shared" si="199"/>
        <v/>
      </c>
      <c r="AM2122" s="395" t="str">
        <f t="shared" si="200"/>
        <v/>
      </c>
      <c r="AN2122" s="396">
        <f t="shared" si="201"/>
        <v>0</v>
      </c>
      <c r="AO2122" s="109" t="str">
        <f t="shared" si="202"/>
        <v/>
      </c>
      <c r="AP2122" s="109" t="e">
        <f t="shared" si="203"/>
        <v>#VALUE!</v>
      </c>
      <c r="AQ2122" s="397" t="e">
        <f t="shared" si="198"/>
        <v>#VALUE!</v>
      </c>
    </row>
    <row r="2123" spans="38:43">
      <c r="AL2123" s="414" t="str">
        <f t="shared" si="199"/>
        <v/>
      </c>
      <c r="AM2123" s="395" t="str">
        <f t="shared" si="200"/>
        <v/>
      </c>
      <c r="AN2123" s="396">
        <f t="shared" si="201"/>
        <v>0</v>
      </c>
      <c r="AO2123" s="109" t="str">
        <f t="shared" si="202"/>
        <v/>
      </c>
      <c r="AP2123" s="109" t="e">
        <f t="shared" si="203"/>
        <v>#VALUE!</v>
      </c>
      <c r="AQ2123" s="397" t="e">
        <f t="shared" si="198"/>
        <v>#VALUE!</v>
      </c>
    </row>
    <row r="2124" spans="38:43">
      <c r="AL2124" s="414" t="str">
        <f t="shared" si="199"/>
        <v/>
      </c>
      <c r="AM2124" s="395" t="str">
        <f t="shared" si="200"/>
        <v/>
      </c>
      <c r="AN2124" s="396">
        <f t="shared" si="201"/>
        <v>0</v>
      </c>
      <c r="AO2124" s="109" t="str">
        <f t="shared" si="202"/>
        <v/>
      </c>
      <c r="AP2124" s="109" t="e">
        <f t="shared" si="203"/>
        <v>#VALUE!</v>
      </c>
      <c r="AQ2124" s="397" t="e">
        <f t="shared" si="198"/>
        <v>#VALUE!</v>
      </c>
    </row>
    <row r="2125" spans="38:43">
      <c r="AL2125" s="414" t="str">
        <f t="shared" si="199"/>
        <v/>
      </c>
      <c r="AM2125" s="395" t="str">
        <f t="shared" si="200"/>
        <v/>
      </c>
      <c r="AN2125" s="396">
        <f t="shared" si="201"/>
        <v>0</v>
      </c>
      <c r="AO2125" s="109" t="str">
        <f t="shared" si="202"/>
        <v/>
      </c>
      <c r="AP2125" s="109" t="e">
        <f t="shared" si="203"/>
        <v>#VALUE!</v>
      </c>
      <c r="AQ2125" s="397" t="e">
        <f t="shared" si="198"/>
        <v>#VALUE!</v>
      </c>
    </row>
    <row r="2126" spans="38:43">
      <c r="AL2126" s="414" t="str">
        <f t="shared" si="199"/>
        <v/>
      </c>
      <c r="AM2126" s="395" t="str">
        <f t="shared" si="200"/>
        <v/>
      </c>
      <c r="AN2126" s="396">
        <f t="shared" si="201"/>
        <v>0</v>
      </c>
      <c r="AO2126" s="109" t="str">
        <f t="shared" si="202"/>
        <v/>
      </c>
      <c r="AP2126" s="109" t="e">
        <f t="shared" si="203"/>
        <v>#VALUE!</v>
      </c>
      <c r="AQ2126" s="397" t="e">
        <f t="shared" si="198"/>
        <v>#VALUE!</v>
      </c>
    </row>
    <row r="2127" spans="38:43">
      <c r="AL2127" s="414" t="str">
        <f t="shared" si="199"/>
        <v/>
      </c>
      <c r="AM2127" s="395" t="str">
        <f t="shared" si="200"/>
        <v/>
      </c>
      <c r="AN2127" s="396">
        <f t="shared" si="201"/>
        <v>0</v>
      </c>
      <c r="AO2127" s="109" t="str">
        <f t="shared" si="202"/>
        <v/>
      </c>
      <c r="AP2127" s="109" t="e">
        <f t="shared" si="203"/>
        <v>#VALUE!</v>
      </c>
      <c r="AQ2127" s="397" t="e">
        <f t="shared" si="198"/>
        <v>#VALUE!</v>
      </c>
    </row>
    <row r="2128" spans="38:43">
      <c r="AL2128" s="414" t="str">
        <f t="shared" si="199"/>
        <v/>
      </c>
      <c r="AM2128" s="395" t="str">
        <f t="shared" si="200"/>
        <v/>
      </c>
      <c r="AN2128" s="396">
        <f t="shared" si="201"/>
        <v>0</v>
      </c>
      <c r="AO2128" s="109" t="str">
        <f t="shared" si="202"/>
        <v/>
      </c>
      <c r="AP2128" s="109" t="e">
        <f t="shared" si="203"/>
        <v>#VALUE!</v>
      </c>
      <c r="AQ2128" s="397" t="e">
        <f t="shared" si="198"/>
        <v>#VALUE!</v>
      </c>
    </row>
    <row r="2129" spans="38:43">
      <c r="AL2129" s="414" t="str">
        <f t="shared" si="199"/>
        <v/>
      </c>
      <c r="AM2129" s="395" t="str">
        <f t="shared" si="200"/>
        <v/>
      </c>
      <c r="AN2129" s="396">
        <f t="shared" si="201"/>
        <v>0</v>
      </c>
      <c r="AO2129" s="109" t="str">
        <f t="shared" si="202"/>
        <v/>
      </c>
      <c r="AP2129" s="109" t="e">
        <f t="shared" si="203"/>
        <v>#VALUE!</v>
      </c>
      <c r="AQ2129" s="397" t="e">
        <f t="shared" si="198"/>
        <v>#VALUE!</v>
      </c>
    </row>
    <row r="2130" spans="38:43">
      <c r="AL2130" s="414" t="str">
        <f t="shared" si="199"/>
        <v/>
      </c>
      <c r="AM2130" s="395" t="str">
        <f t="shared" si="200"/>
        <v/>
      </c>
      <c r="AN2130" s="396">
        <f t="shared" si="201"/>
        <v>0</v>
      </c>
      <c r="AO2130" s="109" t="str">
        <f t="shared" si="202"/>
        <v/>
      </c>
      <c r="AP2130" s="109" t="e">
        <f t="shared" si="203"/>
        <v>#VALUE!</v>
      </c>
      <c r="AQ2130" s="397" t="e">
        <f t="shared" si="198"/>
        <v>#VALUE!</v>
      </c>
    </row>
    <row r="2131" spans="38:43">
      <c r="AL2131" s="414" t="str">
        <f t="shared" si="199"/>
        <v/>
      </c>
      <c r="AM2131" s="395" t="str">
        <f t="shared" si="200"/>
        <v/>
      </c>
      <c r="AN2131" s="396">
        <f t="shared" si="201"/>
        <v>0</v>
      </c>
      <c r="AO2131" s="109" t="str">
        <f t="shared" si="202"/>
        <v/>
      </c>
      <c r="AP2131" s="109" t="e">
        <f t="shared" si="203"/>
        <v>#VALUE!</v>
      </c>
      <c r="AQ2131" s="397" t="e">
        <f t="shared" si="198"/>
        <v>#VALUE!</v>
      </c>
    </row>
    <row r="2132" spans="38:43">
      <c r="AL2132" s="414" t="str">
        <f t="shared" si="199"/>
        <v/>
      </c>
      <c r="AM2132" s="395" t="str">
        <f t="shared" si="200"/>
        <v/>
      </c>
      <c r="AN2132" s="396">
        <f t="shared" si="201"/>
        <v>0</v>
      </c>
      <c r="AO2132" s="109" t="str">
        <f t="shared" si="202"/>
        <v/>
      </c>
      <c r="AP2132" s="109" t="e">
        <f t="shared" si="203"/>
        <v>#VALUE!</v>
      </c>
      <c r="AQ2132" s="397" t="e">
        <f t="shared" si="198"/>
        <v>#VALUE!</v>
      </c>
    </row>
    <row r="2133" spans="38:43">
      <c r="AL2133" s="414" t="str">
        <f t="shared" si="199"/>
        <v/>
      </c>
      <c r="AM2133" s="395" t="str">
        <f t="shared" si="200"/>
        <v/>
      </c>
      <c r="AN2133" s="396">
        <f t="shared" si="201"/>
        <v>0</v>
      </c>
      <c r="AO2133" s="109" t="str">
        <f t="shared" si="202"/>
        <v/>
      </c>
      <c r="AP2133" s="109" t="e">
        <f t="shared" si="203"/>
        <v>#VALUE!</v>
      </c>
      <c r="AQ2133" s="397" t="e">
        <f t="shared" si="198"/>
        <v>#VALUE!</v>
      </c>
    </row>
    <row r="2134" spans="38:43">
      <c r="AL2134" s="414" t="str">
        <f t="shared" si="199"/>
        <v/>
      </c>
      <c r="AM2134" s="395" t="str">
        <f t="shared" si="200"/>
        <v/>
      </c>
      <c r="AN2134" s="396">
        <f t="shared" si="201"/>
        <v>0</v>
      </c>
      <c r="AO2134" s="109" t="str">
        <f t="shared" si="202"/>
        <v/>
      </c>
      <c r="AP2134" s="109" t="e">
        <f t="shared" si="203"/>
        <v>#VALUE!</v>
      </c>
      <c r="AQ2134" s="397" t="e">
        <f t="shared" si="198"/>
        <v>#VALUE!</v>
      </c>
    </row>
    <row r="2135" spans="38:43">
      <c r="AL2135" s="414" t="str">
        <f t="shared" si="199"/>
        <v/>
      </c>
      <c r="AM2135" s="395" t="str">
        <f t="shared" si="200"/>
        <v/>
      </c>
      <c r="AN2135" s="396">
        <f t="shared" si="201"/>
        <v>0</v>
      </c>
      <c r="AO2135" s="109" t="str">
        <f t="shared" si="202"/>
        <v/>
      </c>
      <c r="AP2135" s="109" t="e">
        <f t="shared" si="203"/>
        <v>#VALUE!</v>
      </c>
      <c r="AQ2135" s="397" t="e">
        <f t="shared" si="198"/>
        <v>#VALUE!</v>
      </c>
    </row>
    <row r="2136" spans="38:43">
      <c r="AL2136" s="414" t="str">
        <f t="shared" si="199"/>
        <v/>
      </c>
      <c r="AM2136" s="395" t="str">
        <f t="shared" si="200"/>
        <v/>
      </c>
      <c r="AN2136" s="396">
        <f t="shared" si="201"/>
        <v>0</v>
      </c>
      <c r="AO2136" s="109" t="str">
        <f t="shared" si="202"/>
        <v/>
      </c>
      <c r="AP2136" s="109" t="e">
        <f t="shared" si="203"/>
        <v>#VALUE!</v>
      </c>
      <c r="AQ2136" s="397" t="e">
        <f t="shared" si="198"/>
        <v>#VALUE!</v>
      </c>
    </row>
    <row r="2137" spans="38:43">
      <c r="AL2137" s="414" t="str">
        <f t="shared" si="199"/>
        <v/>
      </c>
      <c r="AM2137" s="395" t="str">
        <f t="shared" si="200"/>
        <v/>
      </c>
      <c r="AN2137" s="396">
        <f t="shared" si="201"/>
        <v>0</v>
      </c>
      <c r="AO2137" s="109" t="str">
        <f t="shared" si="202"/>
        <v/>
      </c>
      <c r="AP2137" s="109" t="e">
        <f t="shared" si="203"/>
        <v>#VALUE!</v>
      </c>
      <c r="AQ2137" s="397" t="e">
        <f t="shared" si="198"/>
        <v>#VALUE!</v>
      </c>
    </row>
    <row r="2138" spans="38:43">
      <c r="AL2138" s="414" t="str">
        <f t="shared" si="199"/>
        <v/>
      </c>
      <c r="AM2138" s="395" t="str">
        <f t="shared" si="200"/>
        <v/>
      </c>
      <c r="AN2138" s="396">
        <f t="shared" si="201"/>
        <v>0</v>
      </c>
      <c r="AO2138" s="109" t="str">
        <f t="shared" si="202"/>
        <v/>
      </c>
      <c r="AP2138" s="109" t="e">
        <f t="shared" si="203"/>
        <v>#VALUE!</v>
      </c>
      <c r="AQ2138" s="397" t="e">
        <f t="shared" si="198"/>
        <v>#VALUE!</v>
      </c>
    </row>
    <row r="2139" spans="38:43">
      <c r="AL2139" s="414" t="str">
        <f t="shared" si="199"/>
        <v/>
      </c>
      <c r="AM2139" s="395" t="str">
        <f t="shared" si="200"/>
        <v/>
      </c>
      <c r="AN2139" s="396">
        <f t="shared" si="201"/>
        <v>0</v>
      </c>
      <c r="AO2139" s="109" t="str">
        <f t="shared" si="202"/>
        <v/>
      </c>
      <c r="AP2139" s="109" t="e">
        <f t="shared" si="203"/>
        <v>#VALUE!</v>
      </c>
      <c r="AQ2139" s="397" t="e">
        <f t="shared" si="198"/>
        <v>#VALUE!</v>
      </c>
    </row>
    <row r="2140" spans="38:43">
      <c r="AL2140" s="414" t="str">
        <f t="shared" si="199"/>
        <v/>
      </c>
      <c r="AM2140" s="395" t="str">
        <f t="shared" si="200"/>
        <v/>
      </c>
      <c r="AN2140" s="396">
        <f t="shared" si="201"/>
        <v>0</v>
      </c>
      <c r="AO2140" s="109" t="str">
        <f t="shared" si="202"/>
        <v/>
      </c>
      <c r="AP2140" s="109" t="e">
        <f t="shared" si="203"/>
        <v>#VALUE!</v>
      </c>
      <c r="AQ2140" s="397" t="e">
        <f t="shared" si="198"/>
        <v>#VALUE!</v>
      </c>
    </row>
    <row r="2141" spans="38:43">
      <c r="AL2141" s="414" t="str">
        <f t="shared" si="199"/>
        <v/>
      </c>
      <c r="AM2141" s="395" t="str">
        <f t="shared" si="200"/>
        <v/>
      </c>
      <c r="AN2141" s="396">
        <f t="shared" si="201"/>
        <v>0</v>
      </c>
      <c r="AO2141" s="109" t="str">
        <f t="shared" si="202"/>
        <v/>
      </c>
      <c r="AP2141" s="109" t="e">
        <f t="shared" si="203"/>
        <v>#VALUE!</v>
      </c>
      <c r="AQ2141" s="397" t="e">
        <f t="shared" ref="AQ2141:AQ2204" si="204">AN2141*AP2141</f>
        <v>#VALUE!</v>
      </c>
    </row>
    <row r="2142" spans="38:43">
      <c r="AL2142" s="414" t="str">
        <f t="shared" si="199"/>
        <v/>
      </c>
      <c r="AM2142" s="395" t="str">
        <f t="shared" si="200"/>
        <v/>
      </c>
      <c r="AN2142" s="396">
        <f t="shared" si="201"/>
        <v>0</v>
      </c>
      <c r="AO2142" s="109" t="str">
        <f t="shared" si="202"/>
        <v/>
      </c>
      <c r="AP2142" s="109" t="e">
        <f t="shared" si="203"/>
        <v>#VALUE!</v>
      </c>
      <c r="AQ2142" s="397" t="e">
        <f t="shared" si="204"/>
        <v>#VALUE!</v>
      </c>
    </row>
    <row r="2143" spans="38:43">
      <c r="AL2143" s="414" t="str">
        <f t="shared" si="199"/>
        <v/>
      </c>
      <c r="AM2143" s="395" t="str">
        <f t="shared" si="200"/>
        <v/>
      </c>
      <c r="AN2143" s="396">
        <f t="shared" si="201"/>
        <v>0</v>
      </c>
      <c r="AO2143" s="109" t="str">
        <f t="shared" si="202"/>
        <v/>
      </c>
      <c r="AP2143" s="109" t="e">
        <f t="shared" si="203"/>
        <v>#VALUE!</v>
      </c>
      <c r="AQ2143" s="397" t="e">
        <f t="shared" si="204"/>
        <v>#VALUE!</v>
      </c>
    </row>
    <row r="2144" spans="38:43">
      <c r="AL2144" s="414" t="str">
        <f t="shared" si="199"/>
        <v/>
      </c>
      <c r="AM2144" s="395" t="str">
        <f t="shared" si="200"/>
        <v/>
      </c>
      <c r="AN2144" s="396">
        <f t="shared" si="201"/>
        <v>0</v>
      </c>
      <c r="AO2144" s="109" t="str">
        <f t="shared" si="202"/>
        <v/>
      </c>
      <c r="AP2144" s="109" t="e">
        <f t="shared" si="203"/>
        <v>#VALUE!</v>
      </c>
      <c r="AQ2144" s="397" t="e">
        <f t="shared" si="204"/>
        <v>#VALUE!</v>
      </c>
    </row>
    <row r="2145" spans="38:43">
      <c r="AL2145" s="414" t="str">
        <f t="shared" si="199"/>
        <v/>
      </c>
      <c r="AM2145" s="395" t="str">
        <f t="shared" si="200"/>
        <v/>
      </c>
      <c r="AN2145" s="396">
        <f t="shared" si="201"/>
        <v>0</v>
      </c>
      <c r="AO2145" s="109" t="str">
        <f t="shared" si="202"/>
        <v/>
      </c>
      <c r="AP2145" s="109" t="e">
        <f t="shared" si="203"/>
        <v>#VALUE!</v>
      </c>
      <c r="AQ2145" s="397" t="e">
        <f t="shared" si="204"/>
        <v>#VALUE!</v>
      </c>
    </row>
    <row r="2146" spans="38:43">
      <c r="AL2146" s="414" t="str">
        <f t="shared" si="199"/>
        <v/>
      </c>
      <c r="AM2146" s="395" t="str">
        <f t="shared" si="200"/>
        <v/>
      </c>
      <c r="AN2146" s="396">
        <f t="shared" si="201"/>
        <v>0</v>
      </c>
      <c r="AO2146" s="109" t="str">
        <f t="shared" si="202"/>
        <v/>
      </c>
      <c r="AP2146" s="109" t="e">
        <f t="shared" si="203"/>
        <v>#VALUE!</v>
      </c>
      <c r="AQ2146" s="397" t="e">
        <f t="shared" si="204"/>
        <v>#VALUE!</v>
      </c>
    </row>
    <row r="2147" spans="38:43">
      <c r="AL2147" s="414" t="str">
        <f t="shared" si="199"/>
        <v/>
      </c>
      <c r="AM2147" s="395" t="str">
        <f t="shared" si="200"/>
        <v/>
      </c>
      <c r="AN2147" s="396">
        <f t="shared" si="201"/>
        <v>0</v>
      </c>
      <c r="AO2147" s="109" t="str">
        <f t="shared" si="202"/>
        <v/>
      </c>
      <c r="AP2147" s="109" t="e">
        <f t="shared" si="203"/>
        <v>#VALUE!</v>
      </c>
      <c r="AQ2147" s="397" t="e">
        <f t="shared" si="204"/>
        <v>#VALUE!</v>
      </c>
    </row>
    <row r="2148" spans="38:43">
      <c r="AL2148" s="414" t="str">
        <f t="shared" si="199"/>
        <v/>
      </c>
      <c r="AM2148" s="395" t="str">
        <f t="shared" si="200"/>
        <v/>
      </c>
      <c r="AN2148" s="396">
        <f t="shared" si="201"/>
        <v>0</v>
      </c>
      <c r="AO2148" s="109" t="str">
        <f t="shared" si="202"/>
        <v/>
      </c>
      <c r="AP2148" s="109" t="e">
        <f t="shared" si="203"/>
        <v>#VALUE!</v>
      </c>
      <c r="AQ2148" s="397" t="e">
        <f t="shared" si="204"/>
        <v>#VALUE!</v>
      </c>
    </row>
    <row r="2149" spans="38:43">
      <c r="AL2149" s="414" t="str">
        <f t="shared" si="199"/>
        <v/>
      </c>
      <c r="AM2149" s="395" t="str">
        <f t="shared" si="200"/>
        <v/>
      </c>
      <c r="AN2149" s="396">
        <f t="shared" si="201"/>
        <v>0</v>
      </c>
      <c r="AO2149" s="109" t="str">
        <f t="shared" si="202"/>
        <v/>
      </c>
      <c r="AP2149" s="109" t="e">
        <f t="shared" si="203"/>
        <v>#VALUE!</v>
      </c>
      <c r="AQ2149" s="397" t="e">
        <f t="shared" si="204"/>
        <v>#VALUE!</v>
      </c>
    </row>
    <row r="2150" spans="38:43">
      <c r="AL2150" s="414" t="str">
        <f t="shared" si="199"/>
        <v/>
      </c>
      <c r="AM2150" s="395" t="str">
        <f t="shared" si="200"/>
        <v/>
      </c>
      <c r="AN2150" s="396">
        <f t="shared" si="201"/>
        <v>0</v>
      </c>
      <c r="AO2150" s="109" t="str">
        <f t="shared" si="202"/>
        <v/>
      </c>
      <c r="AP2150" s="109" t="e">
        <f t="shared" si="203"/>
        <v>#VALUE!</v>
      </c>
      <c r="AQ2150" s="397" t="e">
        <f t="shared" si="204"/>
        <v>#VALUE!</v>
      </c>
    </row>
    <row r="2151" spans="38:43">
      <c r="AL2151" s="414" t="str">
        <f t="shared" si="199"/>
        <v/>
      </c>
      <c r="AM2151" s="395" t="str">
        <f t="shared" si="200"/>
        <v/>
      </c>
      <c r="AN2151" s="396">
        <f t="shared" si="201"/>
        <v>0</v>
      </c>
      <c r="AO2151" s="109" t="str">
        <f t="shared" si="202"/>
        <v/>
      </c>
      <c r="AP2151" s="109" t="e">
        <f t="shared" si="203"/>
        <v>#VALUE!</v>
      </c>
      <c r="AQ2151" s="397" t="e">
        <f t="shared" si="204"/>
        <v>#VALUE!</v>
      </c>
    </row>
    <row r="2152" spans="38:43">
      <c r="AL2152" s="414" t="str">
        <f t="shared" si="199"/>
        <v/>
      </c>
      <c r="AM2152" s="395" t="str">
        <f t="shared" si="200"/>
        <v/>
      </c>
      <c r="AN2152" s="396">
        <f t="shared" si="201"/>
        <v>0</v>
      </c>
      <c r="AO2152" s="109" t="str">
        <f t="shared" si="202"/>
        <v/>
      </c>
      <c r="AP2152" s="109" t="e">
        <f t="shared" si="203"/>
        <v>#VALUE!</v>
      </c>
      <c r="AQ2152" s="397" t="e">
        <f t="shared" si="204"/>
        <v>#VALUE!</v>
      </c>
    </row>
    <row r="2153" spans="38:43">
      <c r="AL2153" s="414" t="str">
        <f t="shared" si="199"/>
        <v/>
      </c>
      <c r="AM2153" s="395" t="str">
        <f t="shared" si="200"/>
        <v/>
      </c>
      <c r="AN2153" s="396">
        <f t="shared" si="201"/>
        <v>0</v>
      </c>
      <c r="AO2153" s="109" t="str">
        <f t="shared" si="202"/>
        <v/>
      </c>
      <c r="AP2153" s="109" t="e">
        <f t="shared" si="203"/>
        <v>#VALUE!</v>
      </c>
      <c r="AQ2153" s="397" t="e">
        <f t="shared" si="204"/>
        <v>#VALUE!</v>
      </c>
    </row>
    <row r="2154" spans="38:43">
      <c r="AL2154" s="414" t="str">
        <f t="shared" si="199"/>
        <v/>
      </c>
      <c r="AM2154" s="395" t="str">
        <f t="shared" si="200"/>
        <v/>
      </c>
      <c r="AN2154" s="396">
        <f t="shared" si="201"/>
        <v>0</v>
      </c>
      <c r="AO2154" s="109" t="str">
        <f t="shared" si="202"/>
        <v/>
      </c>
      <c r="AP2154" s="109" t="e">
        <f t="shared" si="203"/>
        <v>#VALUE!</v>
      </c>
      <c r="AQ2154" s="397" t="e">
        <f t="shared" si="204"/>
        <v>#VALUE!</v>
      </c>
    </row>
    <row r="2155" spans="38:43">
      <c r="AL2155" s="414" t="str">
        <f t="shared" si="199"/>
        <v/>
      </c>
      <c r="AM2155" s="395" t="str">
        <f t="shared" si="200"/>
        <v/>
      </c>
      <c r="AN2155" s="396">
        <f t="shared" si="201"/>
        <v>0</v>
      </c>
      <c r="AO2155" s="109" t="str">
        <f t="shared" si="202"/>
        <v/>
      </c>
      <c r="AP2155" s="109" t="e">
        <f t="shared" si="203"/>
        <v>#VALUE!</v>
      </c>
      <c r="AQ2155" s="397" t="e">
        <f t="shared" si="204"/>
        <v>#VALUE!</v>
      </c>
    </row>
    <row r="2156" spans="38:43">
      <c r="AL2156" s="414" t="str">
        <f t="shared" si="199"/>
        <v/>
      </c>
      <c r="AM2156" s="395" t="str">
        <f t="shared" si="200"/>
        <v/>
      </c>
      <c r="AN2156" s="396">
        <f t="shared" si="201"/>
        <v>0</v>
      </c>
      <c r="AO2156" s="109" t="str">
        <f t="shared" si="202"/>
        <v/>
      </c>
      <c r="AP2156" s="109" t="e">
        <f t="shared" si="203"/>
        <v>#VALUE!</v>
      </c>
      <c r="AQ2156" s="397" t="e">
        <f t="shared" si="204"/>
        <v>#VALUE!</v>
      </c>
    </row>
    <row r="2157" spans="38:43">
      <c r="AL2157" s="414" t="str">
        <f t="shared" si="199"/>
        <v/>
      </c>
      <c r="AM2157" s="395" t="str">
        <f t="shared" si="200"/>
        <v/>
      </c>
      <c r="AN2157" s="396">
        <f t="shared" si="201"/>
        <v>0</v>
      </c>
      <c r="AO2157" s="109" t="str">
        <f t="shared" si="202"/>
        <v/>
      </c>
      <c r="AP2157" s="109" t="e">
        <f t="shared" si="203"/>
        <v>#VALUE!</v>
      </c>
      <c r="AQ2157" s="397" t="e">
        <f t="shared" si="204"/>
        <v>#VALUE!</v>
      </c>
    </row>
    <row r="2158" spans="38:43">
      <c r="AL2158" s="414" t="str">
        <f t="shared" si="199"/>
        <v/>
      </c>
      <c r="AM2158" s="395" t="str">
        <f t="shared" si="200"/>
        <v/>
      </c>
      <c r="AN2158" s="396">
        <f t="shared" si="201"/>
        <v>0</v>
      </c>
      <c r="AO2158" s="109" t="str">
        <f t="shared" si="202"/>
        <v/>
      </c>
      <c r="AP2158" s="109" t="e">
        <f t="shared" si="203"/>
        <v>#VALUE!</v>
      </c>
      <c r="AQ2158" s="397" t="e">
        <f t="shared" si="204"/>
        <v>#VALUE!</v>
      </c>
    </row>
    <row r="2159" spans="38:43">
      <c r="AL2159" s="414" t="str">
        <f t="shared" si="199"/>
        <v/>
      </c>
      <c r="AM2159" s="395" t="str">
        <f t="shared" si="200"/>
        <v/>
      </c>
      <c r="AN2159" s="396">
        <f t="shared" si="201"/>
        <v>0</v>
      </c>
      <c r="AO2159" s="109" t="str">
        <f t="shared" si="202"/>
        <v/>
      </c>
      <c r="AP2159" s="109" t="e">
        <f t="shared" si="203"/>
        <v>#VALUE!</v>
      </c>
      <c r="AQ2159" s="397" t="e">
        <f t="shared" si="204"/>
        <v>#VALUE!</v>
      </c>
    </row>
    <row r="2160" spans="38:43">
      <c r="AL2160" s="414" t="str">
        <f t="shared" si="199"/>
        <v/>
      </c>
      <c r="AM2160" s="395" t="str">
        <f t="shared" si="200"/>
        <v/>
      </c>
      <c r="AN2160" s="396">
        <f t="shared" si="201"/>
        <v>0</v>
      </c>
      <c r="AO2160" s="109" t="str">
        <f t="shared" si="202"/>
        <v/>
      </c>
      <c r="AP2160" s="109" t="e">
        <f t="shared" si="203"/>
        <v>#VALUE!</v>
      </c>
      <c r="AQ2160" s="397" t="e">
        <f t="shared" si="204"/>
        <v>#VALUE!</v>
      </c>
    </row>
    <row r="2161" spans="38:43">
      <c r="AL2161" s="414" t="str">
        <f t="shared" si="199"/>
        <v/>
      </c>
      <c r="AM2161" s="395" t="str">
        <f t="shared" si="200"/>
        <v/>
      </c>
      <c r="AN2161" s="396">
        <f t="shared" si="201"/>
        <v>0</v>
      </c>
      <c r="AO2161" s="109" t="str">
        <f t="shared" si="202"/>
        <v/>
      </c>
      <c r="AP2161" s="109" t="e">
        <f t="shared" si="203"/>
        <v>#VALUE!</v>
      </c>
      <c r="AQ2161" s="397" t="e">
        <f t="shared" si="204"/>
        <v>#VALUE!</v>
      </c>
    </row>
    <row r="2162" spans="38:43">
      <c r="AL2162" s="414" t="str">
        <f t="shared" si="199"/>
        <v/>
      </c>
      <c r="AM2162" s="395" t="str">
        <f t="shared" si="200"/>
        <v/>
      </c>
      <c r="AN2162" s="396">
        <f t="shared" si="201"/>
        <v>0</v>
      </c>
      <c r="AO2162" s="109" t="str">
        <f t="shared" si="202"/>
        <v/>
      </c>
      <c r="AP2162" s="109" t="e">
        <f t="shared" si="203"/>
        <v>#VALUE!</v>
      </c>
      <c r="AQ2162" s="397" t="e">
        <f t="shared" si="204"/>
        <v>#VALUE!</v>
      </c>
    </row>
    <row r="2163" spans="38:43">
      <c r="AL2163" s="414" t="str">
        <f t="shared" si="199"/>
        <v/>
      </c>
      <c r="AM2163" s="395" t="str">
        <f t="shared" si="200"/>
        <v/>
      </c>
      <c r="AN2163" s="396">
        <f t="shared" si="201"/>
        <v>0</v>
      </c>
      <c r="AO2163" s="109" t="str">
        <f t="shared" si="202"/>
        <v/>
      </c>
      <c r="AP2163" s="109" t="e">
        <f t="shared" si="203"/>
        <v>#VALUE!</v>
      </c>
      <c r="AQ2163" s="397" t="e">
        <f t="shared" si="204"/>
        <v>#VALUE!</v>
      </c>
    </row>
    <row r="2164" spans="38:43">
      <c r="AL2164" s="414" t="str">
        <f t="shared" si="199"/>
        <v/>
      </c>
      <c r="AM2164" s="395" t="str">
        <f t="shared" si="200"/>
        <v/>
      </c>
      <c r="AN2164" s="396">
        <f t="shared" si="201"/>
        <v>0</v>
      </c>
      <c r="AO2164" s="109" t="str">
        <f t="shared" si="202"/>
        <v/>
      </c>
      <c r="AP2164" s="109" t="e">
        <f t="shared" si="203"/>
        <v>#VALUE!</v>
      </c>
      <c r="AQ2164" s="397" t="e">
        <f t="shared" si="204"/>
        <v>#VALUE!</v>
      </c>
    </row>
    <row r="2165" spans="38:43">
      <c r="AL2165" s="414" t="str">
        <f t="shared" si="199"/>
        <v/>
      </c>
      <c r="AM2165" s="395" t="str">
        <f t="shared" si="200"/>
        <v/>
      </c>
      <c r="AN2165" s="396">
        <f t="shared" si="201"/>
        <v>0</v>
      </c>
      <c r="AO2165" s="109" t="str">
        <f t="shared" si="202"/>
        <v/>
      </c>
      <c r="AP2165" s="109" t="e">
        <f t="shared" si="203"/>
        <v>#VALUE!</v>
      </c>
      <c r="AQ2165" s="397" t="e">
        <f t="shared" si="204"/>
        <v>#VALUE!</v>
      </c>
    </row>
    <row r="2166" spans="38:43">
      <c r="AL2166" s="414" t="str">
        <f t="shared" si="199"/>
        <v/>
      </c>
      <c r="AM2166" s="395" t="str">
        <f t="shared" si="200"/>
        <v/>
      </c>
      <c r="AN2166" s="396">
        <f t="shared" si="201"/>
        <v>0</v>
      </c>
      <c r="AO2166" s="109" t="str">
        <f t="shared" si="202"/>
        <v/>
      </c>
      <c r="AP2166" s="109" t="e">
        <f t="shared" si="203"/>
        <v>#VALUE!</v>
      </c>
      <c r="AQ2166" s="397" t="e">
        <f t="shared" si="204"/>
        <v>#VALUE!</v>
      </c>
    </row>
    <row r="2167" spans="38:43">
      <c r="AL2167" s="414" t="str">
        <f t="shared" si="199"/>
        <v/>
      </c>
      <c r="AM2167" s="395" t="str">
        <f t="shared" si="200"/>
        <v/>
      </c>
      <c r="AN2167" s="396">
        <f t="shared" si="201"/>
        <v>0</v>
      </c>
      <c r="AO2167" s="109" t="str">
        <f t="shared" si="202"/>
        <v/>
      </c>
      <c r="AP2167" s="109" t="e">
        <f t="shared" si="203"/>
        <v>#VALUE!</v>
      </c>
      <c r="AQ2167" s="397" t="e">
        <f t="shared" si="204"/>
        <v>#VALUE!</v>
      </c>
    </row>
    <row r="2168" spans="38:43">
      <c r="AL2168" s="414" t="str">
        <f t="shared" si="199"/>
        <v/>
      </c>
      <c r="AM2168" s="395" t="str">
        <f t="shared" si="200"/>
        <v/>
      </c>
      <c r="AN2168" s="396">
        <f t="shared" si="201"/>
        <v>0</v>
      </c>
      <c r="AO2168" s="109" t="str">
        <f t="shared" si="202"/>
        <v/>
      </c>
      <c r="AP2168" s="109" t="e">
        <f t="shared" si="203"/>
        <v>#VALUE!</v>
      </c>
      <c r="AQ2168" s="397" t="e">
        <f t="shared" si="204"/>
        <v>#VALUE!</v>
      </c>
    </row>
    <row r="2169" spans="38:43">
      <c r="AL2169" s="414" t="str">
        <f t="shared" si="199"/>
        <v/>
      </c>
      <c r="AM2169" s="395" t="str">
        <f t="shared" si="200"/>
        <v/>
      </c>
      <c r="AN2169" s="396">
        <f t="shared" si="201"/>
        <v>0</v>
      </c>
      <c r="AO2169" s="109" t="str">
        <f t="shared" si="202"/>
        <v/>
      </c>
      <c r="AP2169" s="109" t="e">
        <f t="shared" si="203"/>
        <v>#VALUE!</v>
      </c>
      <c r="AQ2169" s="397" t="e">
        <f t="shared" si="204"/>
        <v>#VALUE!</v>
      </c>
    </row>
    <row r="2170" spans="38:43">
      <c r="AL2170" s="414" t="str">
        <f t="shared" si="199"/>
        <v/>
      </c>
      <c r="AM2170" s="395" t="str">
        <f t="shared" si="200"/>
        <v/>
      </c>
      <c r="AN2170" s="396">
        <f t="shared" si="201"/>
        <v>0</v>
      </c>
      <c r="AO2170" s="109" t="str">
        <f t="shared" si="202"/>
        <v/>
      </c>
      <c r="AP2170" s="109" t="e">
        <f t="shared" si="203"/>
        <v>#VALUE!</v>
      </c>
      <c r="AQ2170" s="397" t="e">
        <f t="shared" si="204"/>
        <v>#VALUE!</v>
      </c>
    </row>
    <row r="2171" spans="38:43">
      <c r="AL2171" s="414" t="str">
        <f t="shared" si="199"/>
        <v/>
      </c>
      <c r="AM2171" s="395" t="str">
        <f t="shared" si="200"/>
        <v/>
      </c>
      <c r="AN2171" s="396">
        <f t="shared" si="201"/>
        <v>0</v>
      </c>
      <c r="AO2171" s="109" t="str">
        <f t="shared" si="202"/>
        <v/>
      </c>
      <c r="AP2171" s="109" t="e">
        <f t="shared" si="203"/>
        <v>#VALUE!</v>
      </c>
      <c r="AQ2171" s="397" t="e">
        <f t="shared" si="204"/>
        <v>#VALUE!</v>
      </c>
    </row>
    <row r="2172" spans="38:43">
      <c r="AL2172" s="414" t="str">
        <f t="shared" si="199"/>
        <v/>
      </c>
      <c r="AM2172" s="395" t="str">
        <f t="shared" si="200"/>
        <v/>
      </c>
      <c r="AN2172" s="396">
        <f t="shared" si="201"/>
        <v>0</v>
      </c>
      <c r="AO2172" s="109" t="str">
        <f t="shared" si="202"/>
        <v/>
      </c>
      <c r="AP2172" s="109" t="e">
        <f t="shared" si="203"/>
        <v>#VALUE!</v>
      </c>
      <c r="AQ2172" s="397" t="e">
        <f t="shared" si="204"/>
        <v>#VALUE!</v>
      </c>
    </row>
    <row r="2173" spans="38:43">
      <c r="AL2173" s="414" t="str">
        <f t="shared" si="199"/>
        <v/>
      </c>
      <c r="AM2173" s="395" t="str">
        <f t="shared" si="200"/>
        <v/>
      </c>
      <c r="AN2173" s="396">
        <f t="shared" si="201"/>
        <v>0</v>
      </c>
      <c r="AO2173" s="109" t="str">
        <f t="shared" si="202"/>
        <v/>
      </c>
      <c r="AP2173" s="109" t="e">
        <f t="shared" si="203"/>
        <v>#VALUE!</v>
      </c>
      <c r="AQ2173" s="397" t="e">
        <f t="shared" si="204"/>
        <v>#VALUE!</v>
      </c>
    </row>
    <row r="2174" spans="38:43">
      <c r="AL2174" s="414" t="str">
        <f t="shared" si="199"/>
        <v/>
      </c>
      <c r="AM2174" s="395" t="str">
        <f t="shared" si="200"/>
        <v/>
      </c>
      <c r="AN2174" s="396">
        <f t="shared" si="201"/>
        <v>0</v>
      </c>
      <c r="AO2174" s="109" t="str">
        <f t="shared" si="202"/>
        <v/>
      </c>
      <c r="AP2174" s="109" t="e">
        <f t="shared" si="203"/>
        <v>#VALUE!</v>
      </c>
      <c r="AQ2174" s="397" t="e">
        <f t="shared" si="204"/>
        <v>#VALUE!</v>
      </c>
    </row>
    <row r="2175" spans="38:43">
      <c r="AL2175" s="414" t="str">
        <f t="shared" si="199"/>
        <v/>
      </c>
      <c r="AM2175" s="395" t="str">
        <f t="shared" si="200"/>
        <v/>
      </c>
      <c r="AN2175" s="396">
        <f t="shared" si="201"/>
        <v>0</v>
      </c>
      <c r="AO2175" s="109" t="str">
        <f t="shared" si="202"/>
        <v/>
      </c>
      <c r="AP2175" s="109" t="e">
        <f t="shared" si="203"/>
        <v>#VALUE!</v>
      </c>
      <c r="AQ2175" s="397" t="e">
        <f t="shared" si="204"/>
        <v>#VALUE!</v>
      </c>
    </row>
    <row r="2176" spans="38:43">
      <c r="AL2176" s="414" t="str">
        <f t="shared" si="199"/>
        <v/>
      </c>
      <c r="AM2176" s="395" t="str">
        <f t="shared" si="200"/>
        <v/>
      </c>
      <c r="AN2176" s="396">
        <f t="shared" si="201"/>
        <v>0</v>
      </c>
      <c r="AO2176" s="109" t="str">
        <f t="shared" si="202"/>
        <v/>
      </c>
      <c r="AP2176" s="109" t="e">
        <f t="shared" si="203"/>
        <v>#VALUE!</v>
      </c>
      <c r="AQ2176" s="397" t="e">
        <f t="shared" si="204"/>
        <v>#VALUE!</v>
      </c>
    </row>
    <row r="2177" spans="38:43">
      <c r="AL2177" s="414" t="str">
        <f t="shared" si="199"/>
        <v/>
      </c>
      <c r="AM2177" s="395" t="str">
        <f t="shared" si="200"/>
        <v/>
      </c>
      <c r="AN2177" s="396">
        <f t="shared" si="201"/>
        <v>0</v>
      </c>
      <c r="AO2177" s="109" t="str">
        <f t="shared" si="202"/>
        <v/>
      </c>
      <c r="AP2177" s="109" t="e">
        <f t="shared" si="203"/>
        <v>#VALUE!</v>
      </c>
      <c r="AQ2177" s="397" t="e">
        <f t="shared" si="204"/>
        <v>#VALUE!</v>
      </c>
    </row>
    <row r="2178" spans="38:43">
      <c r="AL2178" s="414" t="str">
        <f t="shared" si="199"/>
        <v/>
      </c>
      <c r="AM2178" s="395" t="str">
        <f t="shared" si="200"/>
        <v/>
      </c>
      <c r="AN2178" s="396">
        <f t="shared" si="201"/>
        <v>0</v>
      </c>
      <c r="AO2178" s="109" t="str">
        <f t="shared" si="202"/>
        <v/>
      </c>
      <c r="AP2178" s="109" t="e">
        <f t="shared" si="203"/>
        <v>#VALUE!</v>
      </c>
      <c r="AQ2178" s="397" t="e">
        <f t="shared" si="204"/>
        <v>#VALUE!</v>
      </c>
    </row>
    <row r="2179" spans="38:43">
      <c r="AL2179" s="414" t="str">
        <f t="shared" ref="AL2179:AL2242" si="205">SUBSTITUTE(SUBSTITUTE(H2179,"[워커힐]워커힐 고메 시그니처 양념 본갈비 8팩","워커힐 시그니처 양념 본갈비 300g, 8개"),"[워커힐]워커힐 시그니처 양념 본갈비 4팩","워커힐 시그니처 양념 본갈비 300g, 4개")</f>
        <v/>
      </c>
      <c r="AM2179" s="395" t="str">
        <f t="shared" ref="AM2179:AM2242" si="206">IF(N2179="배송완료", DATE(LEFT(M2179,4), MID(M2179,6,2), MID(M2179,9,2)), "")</f>
        <v/>
      </c>
      <c r="AN2179" s="396">
        <f t="shared" ref="AN2179:AN2242" si="207">IF(OR(N2179="배송완료", Q2179&lt;0), Q2179, 0)</f>
        <v>0</v>
      </c>
      <c r="AO2179" s="109" t="str">
        <f t="shared" ref="AO2179:AO2242" si="208">IF(AL2179="워커힐 시그니처 양념 본갈비 300g, 8개",119000,IF(AL2179="워커힐 시그니처 양념 본갈비 300g, 4개",78000,""))</f>
        <v/>
      </c>
      <c r="AP2179" s="109" t="e">
        <f t="shared" ref="AP2179:AP2242" si="209">AO2179/1.1</f>
        <v>#VALUE!</v>
      </c>
      <c r="AQ2179" s="397" t="e">
        <f t="shared" si="204"/>
        <v>#VALUE!</v>
      </c>
    </row>
    <row r="2180" spans="38:43">
      <c r="AL2180" s="414" t="str">
        <f t="shared" si="205"/>
        <v/>
      </c>
      <c r="AM2180" s="395" t="str">
        <f t="shared" si="206"/>
        <v/>
      </c>
      <c r="AN2180" s="396">
        <f t="shared" si="207"/>
        <v>0</v>
      </c>
      <c r="AO2180" s="109" t="str">
        <f t="shared" si="208"/>
        <v/>
      </c>
      <c r="AP2180" s="109" t="e">
        <f t="shared" si="209"/>
        <v>#VALUE!</v>
      </c>
      <c r="AQ2180" s="397" t="e">
        <f t="shared" si="204"/>
        <v>#VALUE!</v>
      </c>
    </row>
    <row r="2181" spans="38:43">
      <c r="AL2181" s="414" t="str">
        <f t="shared" si="205"/>
        <v/>
      </c>
      <c r="AM2181" s="395" t="str">
        <f t="shared" si="206"/>
        <v/>
      </c>
      <c r="AN2181" s="396">
        <f t="shared" si="207"/>
        <v>0</v>
      </c>
      <c r="AO2181" s="109" t="str">
        <f t="shared" si="208"/>
        <v/>
      </c>
      <c r="AP2181" s="109" t="e">
        <f t="shared" si="209"/>
        <v>#VALUE!</v>
      </c>
      <c r="AQ2181" s="397" t="e">
        <f t="shared" si="204"/>
        <v>#VALUE!</v>
      </c>
    </row>
    <row r="2182" spans="38:43">
      <c r="AL2182" s="414" t="str">
        <f t="shared" si="205"/>
        <v/>
      </c>
      <c r="AM2182" s="395" t="str">
        <f t="shared" si="206"/>
        <v/>
      </c>
      <c r="AN2182" s="396">
        <f t="shared" si="207"/>
        <v>0</v>
      </c>
      <c r="AO2182" s="109" t="str">
        <f t="shared" si="208"/>
        <v/>
      </c>
      <c r="AP2182" s="109" t="e">
        <f t="shared" si="209"/>
        <v>#VALUE!</v>
      </c>
      <c r="AQ2182" s="397" t="e">
        <f t="shared" si="204"/>
        <v>#VALUE!</v>
      </c>
    </row>
    <row r="2183" spans="38:43">
      <c r="AL2183" s="414" t="str">
        <f t="shared" si="205"/>
        <v/>
      </c>
      <c r="AM2183" s="395" t="str">
        <f t="shared" si="206"/>
        <v/>
      </c>
      <c r="AN2183" s="396">
        <f t="shared" si="207"/>
        <v>0</v>
      </c>
      <c r="AO2183" s="109" t="str">
        <f t="shared" si="208"/>
        <v/>
      </c>
      <c r="AP2183" s="109" t="e">
        <f t="shared" si="209"/>
        <v>#VALUE!</v>
      </c>
      <c r="AQ2183" s="397" t="e">
        <f t="shared" si="204"/>
        <v>#VALUE!</v>
      </c>
    </row>
    <row r="2184" spans="38:43">
      <c r="AL2184" s="414" t="str">
        <f t="shared" si="205"/>
        <v/>
      </c>
      <c r="AM2184" s="395" t="str">
        <f t="shared" si="206"/>
        <v/>
      </c>
      <c r="AN2184" s="396">
        <f t="shared" si="207"/>
        <v>0</v>
      </c>
      <c r="AO2184" s="109" t="str">
        <f t="shared" si="208"/>
        <v/>
      </c>
      <c r="AP2184" s="109" t="e">
        <f t="shared" si="209"/>
        <v>#VALUE!</v>
      </c>
      <c r="AQ2184" s="397" t="e">
        <f t="shared" si="204"/>
        <v>#VALUE!</v>
      </c>
    </row>
    <row r="2185" spans="38:43">
      <c r="AL2185" s="414" t="str">
        <f t="shared" si="205"/>
        <v/>
      </c>
      <c r="AM2185" s="395" t="str">
        <f t="shared" si="206"/>
        <v/>
      </c>
      <c r="AN2185" s="396">
        <f t="shared" si="207"/>
        <v>0</v>
      </c>
      <c r="AO2185" s="109" t="str">
        <f t="shared" si="208"/>
        <v/>
      </c>
      <c r="AP2185" s="109" t="e">
        <f t="shared" si="209"/>
        <v>#VALUE!</v>
      </c>
      <c r="AQ2185" s="397" t="e">
        <f t="shared" si="204"/>
        <v>#VALUE!</v>
      </c>
    </row>
    <row r="2186" spans="38:43">
      <c r="AL2186" s="414" t="str">
        <f t="shared" si="205"/>
        <v/>
      </c>
      <c r="AM2186" s="395" t="str">
        <f t="shared" si="206"/>
        <v/>
      </c>
      <c r="AN2186" s="396">
        <f t="shared" si="207"/>
        <v>0</v>
      </c>
      <c r="AO2186" s="109" t="str">
        <f t="shared" si="208"/>
        <v/>
      </c>
      <c r="AP2186" s="109" t="e">
        <f t="shared" si="209"/>
        <v>#VALUE!</v>
      </c>
      <c r="AQ2186" s="397" t="e">
        <f t="shared" si="204"/>
        <v>#VALUE!</v>
      </c>
    </row>
    <row r="2187" spans="38:43">
      <c r="AL2187" s="414" t="str">
        <f t="shared" si="205"/>
        <v/>
      </c>
      <c r="AM2187" s="395" t="str">
        <f t="shared" si="206"/>
        <v/>
      </c>
      <c r="AN2187" s="396">
        <f t="shared" si="207"/>
        <v>0</v>
      </c>
      <c r="AO2187" s="109" t="str">
        <f t="shared" si="208"/>
        <v/>
      </c>
      <c r="AP2187" s="109" t="e">
        <f t="shared" si="209"/>
        <v>#VALUE!</v>
      </c>
      <c r="AQ2187" s="397" t="e">
        <f t="shared" si="204"/>
        <v>#VALUE!</v>
      </c>
    </row>
    <row r="2188" spans="38:43">
      <c r="AL2188" s="414" t="str">
        <f t="shared" si="205"/>
        <v/>
      </c>
      <c r="AM2188" s="395" t="str">
        <f t="shared" si="206"/>
        <v/>
      </c>
      <c r="AN2188" s="396">
        <f t="shared" si="207"/>
        <v>0</v>
      </c>
      <c r="AO2188" s="109" t="str">
        <f t="shared" si="208"/>
        <v/>
      </c>
      <c r="AP2188" s="109" t="e">
        <f t="shared" si="209"/>
        <v>#VALUE!</v>
      </c>
      <c r="AQ2188" s="397" t="e">
        <f t="shared" si="204"/>
        <v>#VALUE!</v>
      </c>
    </row>
    <row r="2189" spans="38:43">
      <c r="AL2189" s="414" t="str">
        <f t="shared" si="205"/>
        <v/>
      </c>
      <c r="AM2189" s="395" t="str">
        <f t="shared" si="206"/>
        <v/>
      </c>
      <c r="AN2189" s="396">
        <f t="shared" si="207"/>
        <v>0</v>
      </c>
      <c r="AO2189" s="109" t="str">
        <f t="shared" si="208"/>
        <v/>
      </c>
      <c r="AP2189" s="109" t="e">
        <f t="shared" si="209"/>
        <v>#VALUE!</v>
      </c>
      <c r="AQ2189" s="397" t="e">
        <f t="shared" si="204"/>
        <v>#VALUE!</v>
      </c>
    </row>
    <row r="2190" spans="38:43">
      <c r="AL2190" s="414" t="str">
        <f t="shared" si="205"/>
        <v/>
      </c>
      <c r="AM2190" s="395" t="str">
        <f t="shared" si="206"/>
        <v/>
      </c>
      <c r="AN2190" s="396">
        <f t="shared" si="207"/>
        <v>0</v>
      </c>
      <c r="AO2190" s="109" t="str">
        <f t="shared" si="208"/>
        <v/>
      </c>
      <c r="AP2190" s="109" t="e">
        <f t="shared" si="209"/>
        <v>#VALUE!</v>
      </c>
      <c r="AQ2190" s="397" t="e">
        <f t="shared" si="204"/>
        <v>#VALUE!</v>
      </c>
    </row>
    <row r="2191" spans="38:43">
      <c r="AL2191" s="414" t="str">
        <f t="shared" si="205"/>
        <v/>
      </c>
      <c r="AM2191" s="395" t="str">
        <f t="shared" si="206"/>
        <v/>
      </c>
      <c r="AN2191" s="396">
        <f t="shared" si="207"/>
        <v>0</v>
      </c>
      <c r="AO2191" s="109" t="str">
        <f t="shared" si="208"/>
        <v/>
      </c>
      <c r="AP2191" s="109" t="e">
        <f t="shared" si="209"/>
        <v>#VALUE!</v>
      </c>
      <c r="AQ2191" s="397" t="e">
        <f t="shared" si="204"/>
        <v>#VALUE!</v>
      </c>
    </row>
    <row r="2192" spans="38:43">
      <c r="AL2192" s="414" t="str">
        <f t="shared" si="205"/>
        <v/>
      </c>
      <c r="AM2192" s="395" t="str">
        <f t="shared" si="206"/>
        <v/>
      </c>
      <c r="AN2192" s="396">
        <f t="shared" si="207"/>
        <v>0</v>
      </c>
      <c r="AO2192" s="109" t="str">
        <f t="shared" si="208"/>
        <v/>
      </c>
      <c r="AP2192" s="109" t="e">
        <f t="shared" si="209"/>
        <v>#VALUE!</v>
      </c>
      <c r="AQ2192" s="397" t="e">
        <f t="shared" si="204"/>
        <v>#VALUE!</v>
      </c>
    </row>
    <row r="2193" spans="38:43">
      <c r="AL2193" s="414" t="str">
        <f t="shared" si="205"/>
        <v/>
      </c>
      <c r="AM2193" s="395" t="str">
        <f t="shared" si="206"/>
        <v/>
      </c>
      <c r="AN2193" s="396">
        <f t="shared" si="207"/>
        <v>0</v>
      </c>
      <c r="AO2193" s="109" t="str">
        <f t="shared" si="208"/>
        <v/>
      </c>
      <c r="AP2193" s="109" t="e">
        <f t="shared" si="209"/>
        <v>#VALUE!</v>
      </c>
      <c r="AQ2193" s="397" t="e">
        <f t="shared" si="204"/>
        <v>#VALUE!</v>
      </c>
    </row>
    <row r="2194" spans="38:43">
      <c r="AL2194" s="414" t="str">
        <f t="shared" si="205"/>
        <v/>
      </c>
      <c r="AM2194" s="395" t="str">
        <f t="shared" si="206"/>
        <v/>
      </c>
      <c r="AN2194" s="396">
        <f t="shared" si="207"/>
        <v>0</v>
      </c>
      <c r="AO2194" s="109" t="str">
        <f t="shared" si="208"/>
        <v/>
      </c>
      <c r="AP2194" s="109" t="e">
        <f t="shared" si="209"/>
        <v>#VALUE!</v>
      </c>
      <c r="AQ2194" s="397" t="e">
        <f t="shared" si="204"/>
        <v>#VALUE!</v>
      </c>
    </row>
    <row r="2195" spans="38:43">
      <c r="AL2195" s="414" t="str">
        <f t="shared" si="205"/>
        <v/>
      </c>
      <c r="AM2195" s="395" t="str">
        <f t="shared" si="206"/>
        <v/>
      </c>
      <c r="AN2195" s="396">
        <f t="shared" si="207"/>
        <v>0</v>
      </c>
      <c r="AO2195" s="109" t="str">
        <f t="shared" si="208"/>
        <v/>
      </c>
      <c r="AP2195" s="109" t="e">
        <f t="shared" si="209"/>
        <v>#VALUE!</v>
      </c>
      <c r="AQ2195" s="397" t="e">
        <f t="shared" si="204"/>
        <v>#VALUE!</v>
      </c>
    </row>
    <row r="2196" spans="38:43">
      <c r="AL2196" s="414" t="str">
        <f t="shared" si="205"/>
        <v/>
      </c>
      <c r="AM2196" s="395" t="str">
        <f t="shared" si="206"/>
        <v/>
      </c>
      <c r="AN2196" s="396">
        <f t="shared" si="207"/>
        <v>0</v>
      </c>
      <c r="AO2196" s="109" t="str">
        <f t="shared" si="208"/>
        <v/>
      </c>
      <c r="AP2196" s="109" t="e">
        <f t="shared" si="209"/>
        <v>#VALUE!</v>
      </c>
      <c r="AQ2196" s="397" t="e">
        <f t="shared" si="204"/>
        <v>#VALUE!</v>
      </c>
    </row>
    <row r="2197" spans="38:43">
      <c r="AL2197" s="414" t="str">
        <f t="shared" si="205"/>
        <v/>
      </c>
      <c r="AM2197" s="395" t="str">
        <f t="shared" si="206"/>
        <v/>
      </c>
      <c r="AN2197" s="396">
        <f t="shared" si="207"/>
        <v>0</v>
      </c>
      <c r="AO2197" s="109" t="str">
        <f t="shared" si="208"/>
        <v/>
      </c>
      <c r="AP2197" s="109" t="e">
        <f t="shared" si="209"/>
        <v>#VALUE!</v>
      </c>
      <c r="AQ2197" s="397" t="e">
        <f t="shared" si="204"/>
        <v>#VALUE!</v>
      </c>
    </row>
    <row r="2198" spans="38:43">
      <c r="AL2198" s="414" t="str">
        <f t="shared" si="205"/>
        <v/>
      </c>
      <c r="AM2198" s="395" t="str">
        <f t="shared" si="206"/>
        <v/>
      </c>
      <c r="AN2198" s="396">
        <f t="shared" si="207"/>
        <v>0</v>
      </c>
      <c r="AO2198" s="109" t="str">
        <f t="shared" si="208"/>
        <v/>
      </c>
      <c r="AP2198" s="109" t="e">
        <f t="shared" si="209"/>
        <v>#VALUE!</v>
      </c>
      <c r="AQ2198" s="397" t="e">
        <f t="shared" si="204"/>
        <v>#VALUE!</v>
      </c>
    </row>
    <row r="2199" spans="38:43">
      <c r="AL2199" s="414" t="str">
        <f t="shared" si="205"/>
        <v/>
      </c>
      <c r="AM2199" s="395" t="str">
        <f t="shared" si="206"/>
        <v/>
      </c>
      <c r="AN2199" s="396">
        <f t="shared" si="207"/>
        <v>0</v>
      </c>
      <c r="AO2199" s="109" t="str">
        <f t="shared" si="208"/>
        <v/>
      </c>
      <c r="AP2199" s="109" t="e">
        <f t="shared" si="209"/>
        <v>#VALUE!</v>
      </c>
      <c r="AQ2199" s="397" t="e">
        <f t="shared" si="204"/>
        <v>#VALUE!</v>
      </c>
    </row>
    <row r="2200" spans="38:43">
      <c r="AL2200" s="414" t="str">
        <f t="shared" si="205"/>
        <v/>
      </c>
      <c r="AM2200" s="395" t="str">
        <f t="shared" si="206"/>
        <v/>
      </c>
      <c r="AN2200" s="396">
        <f t="shared" si="207"/>
        <v>0</v>
      </c>
      <c r="AO2200" s="109" t="str">
        <f t="shared" si="208"/>
        <v/>
      </c>
      <c r="AP2200" s="109" t="e">
        <f t="shared" si="209"/>
        <v>#VALUE!</v>
      </c>
      <c r="AQ2200" s="397" t="e">
        <f t="shared" si="204"/>
        <v>#VALUE!</v>
      </c>
    </row>
    <row r="2201" spans="38:43">
      <c r="AL2201" s="414" t="str">
        <f t="shared" si="205"/>
        <v/>
      </c>
      <c r="AM2201" s="395" t="str">
        <f t="shared" si="206"/>
        <v/>
      </c>
      <c r="AN2201" s="396">
        <f t="shared" si="207"/>
        <v>0</v>
      </c>
      <c r="AO2201" s="109" t="str">
        <f t="shared" si="208"/>
        <v/>
      </c>
      <c r="AP2201" s="109" t="e">
        <f t="shared" si="209"/>
        <v>#VALUE!</v>
      </c>
      <c r="AQ2201" s="397" t="e">
        <f t="shared" si="204"/>
        <v>#VALUE!</v>
      </c>
    </row>
    <row r="2202" spans="38:43">
      <c r="AL2202" s="414" t="str">
        <f t="shared" si="205"/>
        <v/>
      </c>
      <c r="AM2202" s="395" t="str">
        <f t="shared" si="206"/>
        <v/>
      </c>
      <c r="AN2202" s="396">
        <f t="shared" si="207"/>
        <v>0</v>
      </c>
      <c r="AO2202" s="109" t="str">
        <f t="shared" si="208"/>
        <v/>
      </c>
      <c r="AP2202" s="109" t="e">
        <f t="shared" si="209"/>
        <v>#VALUE!</v>
      </c>
      <c r="AQ2202" s="397" t="e">
        <f t="shared" si="204"/>
        <v>#VALUE!</v>
      </c>
    </row>
    <row r="2203" spans="38:43">
      <c r="AL2203" s="414" t="str">
        <f t="shared" si="205"/>
        <v/>
      </c>
      <c r="AM2203" s="395" t="str">
        <f t="shared" si="206"/>
        <v/>
      </c>
      <c r="AN2203" s="396">
        <f t="shared" si="207"/>
        <v>0</v>
      </c>
      <c r="AO2203" s="109" t="str">
        <f t="shared" si="208"/>
        <v/>
      </c>
      <c r="AP2203" s="109" t="e">
        <f t="shared" si="209"/>
        <v>#VALUE!</v>
      </c>
      <c r="AQ2203" s="397" t="e">
        <f t="shared" si="204"/>
        <v>#VALUE!</v>
      </c>
    </row>
    <row r="2204" spans="38:43">
      <c r="AL2204" s="414" t="str">
        <f t="shared" si="205"/>
        <v/>
      </c>
      <c r="AM2204" s="395" t="str">
        <f t="shared" si="206"/>
        <v/>
      </c>
      <c r="AN2204" s="396">
        <f t="shared" si="207"/>
        <v>0</v>
      </c>
      <c r="AO2204" s="109" t="str">
        <f t="shared" si="208"/>
        <v/>
      </c>
      <c r="AP2204" s="109" t="e">
        <f t="shared" si="209"/>
        <v>#VALUE!</v>
      </c>
      <c r="AQ2204" s="397" t="e">
        <f t="shared" si="204"/>
        <v>#VALUE!</v>
      </c>
    </row>
    <row r="2205" spans="38:43">
      <c r="AL2205" s="414" t="str">
        <f t="shared" si="205"/>
        <v/>
      </c>
      <c r="AM2205" s="395" t="str">
        <f t="shared" si="206"/>
        <v/>
      </c>
      <c r="AN2205" s="396">
        <f t="shared" si="207"/>
        <v>0</v>
      </c>
      <c r="AO2205" s="109" t="str">
        <f t="shared" si="208"/>
        <v/>
      </c>
      <c r="AP2205" s="109" t="e">
        <f t="shared" si="209"/>
        <v>#VALUE!</v>
      </c>
      <c r="AQ2205" s="397" t="e">
        <f t="shared" ref="AQ2205:AQ2268" si="210">AN2205*AP2205</f>
        <v>#VALUE!</v>
      </c>
    </row>
    <row r="2206" spans="38:43">
      <c r="AL2206" s="414" t="str">
        <f t="shared" si="205"/>
        <v/>
      </c>
      <c r="AM2206" s="395" t="str">
        <f t="shared" si="206"/>
        <v/>
      </c>
      <c r="AN2206" s="396">
        <f t="shared" si="207"/>
        <v>0</v>
      </c>
      <c r="AO2206" s="109" t="str">
        <f t="shared" si="208"/>
        <v/>
      </c>
      <c r="AP2206" s="109" t="e">
        <f t="shared" si="209"/>
        <v>#VALUE!</v>
      </c>
      <c r="AQ2206" s="397" t="e">
        <f t="shared" si="210"/>
        <v>#VALUE!</v>
      </c>
    </row>
    <row r="2207" spans="38:43">
      <c r="AL2207" s="414" t="str">
        <f t="shared" si="205"/>
        <v/>
      </c>
      <c r="AM2207" s="395" t="str">
        <f t="shared" si="206"/>
        <v/>
      </c>
      <c r="AN2207" s="396">
        <f t="shared" si="207"/>
        <v>0</v>
      </c>
      <c r="AO2207" s="109" t="str">
        <f t="shared" si="208"/>
        <v/>
      </c>
      <c r="AP2207" s="109" t="e">
        <f t="shared" si="209"/>
        <v>#VALUE!</v>
      </c>
      <c r="AQ2207" s="397" t="e">
        <f t="shared" si="210"/>
        <v>#VALUE!</v>
      </c>
    </row>
    <row r="2208" spans="38:43">
      <c r="AL2208" s="414" t="str">
        <f t="shared" si="205"/>
        <v/>
      </c>
      <c r="AM2208" s="395" t="str">
        <f t="shared" si="206"/>
        <v/>
      </c>
      <c r="AN2208" s="396">
        <f t="shared" si="207"/>
        <v>0</v>
      </c>
      <c r="AO2208" s="109" t="str">
        <f t="shared" si="208"/>
        <v/>
      </c>
      <c r="AP2208" s="109" t="e">
        <f t="shared" si="209"/>
        <v>#VALUE!</v>
      </c>
      <c r="AQ2208" s="397" t="e">
        <f t="shared" si="210"/>
        <v>#VALUE!</v>
      </c>
    </row>
    <row r="2209" spans="38:43">
      <c r="AL2209" s="414" t="str">
        <f t="shared" si="205"/>
        <v/>
      </c>
      <c r="AM2209" s="395" t="str">
        <f t="shared" si="206"/>
        <v/>
      </c>
      <c r="AN2209" s="396">
        <f t="shared" si="207"/>
        <v>0</v>
      </c>
      <c r="AO2209" s="109" t="str">
        <f t="shared" si="208"/>
        <v/>
      </c>
      <c r="AP2209" s="109" t="e">
        <f t="shared" si="209"/>
        <v>#VALUE!</v>
      </c>
      <c r="AQ2209" s="397" t="e">
        <f t="shared" si="210"/>
        <v>#VALUE!</v>
      </c>
    </row>
    <row r="2210" spans="38:43">
      <c r="AL2210" s="414" t="str">
        <f t="shared" si="205"/>
        <v/>
      </c>
      <c r="AM2210" s="395" t="str">
        <f t="shared" si="206"/>
        <v/>
      </c>
      <c r="AN2210" s="396">
        <f t="shared" si="207"/>
        <v>0</v>
      </c>
      <c r="AO2210" s="109" t="str">
        <f t="shared" si="208"/>
        <v/>
      </c>
      <c r="AP2210" s="109" t="e">
        <f t="shared" si="209"/>
        <v>#VALUE!</v>
      </c>
      <c r="AQ2210" s="397" t="e">
        <f t="shared" si="210"/>
        <v>#VALUE!</v>
      </c>
    </row>
    <row r="2211" spans="38:43">
      <c r="AL2211" s="414" t="str">
        <f t="shared" si="205"/>
        <v/>
      </c>
      <c r="AM2211" s="395" t="str">
        <f t="shared" si="206"/>
        <v/>
      </c>
      <c r="AN2211" s="396">
        <f t="shared" si="207"/>
        <v>0</v>
      </c>
      <c r="AO2211" s="109" t="str">
        <f t="shared" si="208"/>
        <v/>
      </c>
      <c r="AP2211" s="109" t="e">
        <f t="shared" si="209"/>
        <v>#VALUE!</v>
      </c>
      <c r="AQ2211" s="397" t="e">
        <f t="shared" si="210"/>
        <v>#VALUE!</v>
      </c>
    </row>
    <row r="2212" spans="38:43">
      <c r="AL2212" s="414" t="str">
        <f t="shared" si="205"/>
        <v/>
      </c>
      <c r="AM2212" s="395" t="str">
        <f t="shared" si="206"/>
        <v/>
      </c>
      <c r="AN2212" s="396">
        <f t="shared" si="207"/>
        <v>0</v>
      </c>
      <c r="AO2212" s="109" t="str">
        <f t="shared" si="208"/>
        <v/>
      </c>
      <c r="AP2212" s="109" t="e">
        <f t="shared" si="209"/>
        <v>#VALUE!</v>
      </c>
      <c r="AQ2212" s="397" t="e">
        <f t="shared" si="210"/>
        <v>#VALUE!</v>
      </c>
    </row>
    <row r="2213" spans="38:43">
      <c r="AL2213" s="414" t="str">
        <f t="shared" si="205"/>
        <v/>
      </c>
      <c r="AM2213" s="395" t="str">
        <f t="shared" si="206"/>
        <v/>
      </c>
      <c r="AN2213" s="396">
        <f t="shared" si="207"/>
        <v>0</v>
      </c>
      <c r="AO2213" s="109" t="str">
        <f t="shared" si="208"/>
        <v/>
      </c>
      <c r="AP2213" s="109" t="e">
        <f t="shared" si="209"/>
        <v>#VALUE!</v>
      </c>
      <c r="AQ2213" s="397" t="e">
        <f t="shared" si="210"/>
        <v>#VALUE!</v>
      </c>
    </row>
    <row r="2214" spans="38:43">
      <c r="AL2214" s="414" t="str">
        <f t="shared" si="205"/>
        <v/>
      </c>
      <c r="AM2214" s="395" t="str">
        <f t="shared" si="206"/>
        <v/>
      </c>
      <c r="AN2214" s="396">
        <f t="shared" si="207"/>
        <v>0</v>
      </c>
      <c r="AO2214" s="109" t="str">
        <f t="shared" si="208"/>
        <v/>
      </c>
      <c r="AP2214" s="109" t="e">
        <f t="shared" si="209"/>
        <v>#VALUE!</v>
      </c>
      <c r="AQ2214" s="397" t="e">
        <f t="shared" si="210"/>
        <v>#VALUE!</v>
      </c>
    </row>
    <row r="2215" spans="38:43">
      <c r="AL2215" s="414" t="str">
        <f t="shared" si="205"/>
        <v/>
      </c>
      <c r="AM2215" s="395" t="str">
        <f t="shared" si="206"/>
        <v/>
      </c>
      <c r="AN2215" s="396">
        <f t="shared" si="207"/>
        <v>0</v>
      </c>
      <c r="AO2215" s="109" t="str">
        <f t="shared" si="208"/>
        <v/>
      </c>
      <c r="AP2215" s="109" t="e">
        <f t="shared" si="209"/>
        <v>#VALUE!</v>
      </c>
      <c r="AQ2215" s="397" t="e">
        <f t="shared" si="210"/>
        <v>#VALUE!</v>
      </c>
    </row>
    <row r="2216" spans="38:43">
      <c r="AL2216" s="414" t="str">
        <f t="shared" si="205"/>
        <v/>
      </c>
      <c r="AM2216" s="395" t="str">
        <f t="shared" si="206"/>
        <v/>
      </c>
      <c r="AN2216" s="396">
        <f t="shared" si="207"/>
        <v>0</v>
      </c>
      <c r="AO2216" s="109" t="str">
        <f t="shared" si="208"/>
        <v/>
      </c>
      <c r="AP2216" s="109" t="e">
        <f t="shared" si="209"/>
        <v>#VALUE!</v>
      </c>
      <c r="AQ2216" s="397" t="e">
        <f t="shared" si="210"/>
        <v>#VALUE!</v>
      </c>
    </row>
    <row r="2217" spans="38:43">
      <c r="AL2217" s="414" t="str">
        <f t="shared" si="205"/>
        <v/>
      </c>
      <c r="AM2217" s="395" t="str">
        <f t="shared" si="206"/>
        <v/>
      </c>
      <c r="AN2217" s="396">
        <f t="shared" si="207"/>
        <v>0</v>
      </c>
      <c r="AO2217" s="109" t="str">
        <f t="shared" si="208"/>
        <v/>
      </c>
      <c r="AP2217" s="109" t="e">
        <f t="shared" si="209"/>
        <v>#VALUE!</v>
      </c>
      <c r="AQ2217" s="397" t="e">
        <f t="shared" si="210"/>
        <v>#VALUE!</v>
      </c>
    </row>
    <row r="2218" spans="38:43">
      <c r="AL2218" s="414" t="str">
        <f t="shared" si="205"/>
        <v/>
      </c>
      <c r="AM2218" s="395" t="str">
        <f t="shared" si="206"/>
        <v/>
      </c>
      <c r="AN2218" s="396">
        <f t="shared" si="207"/>
        <v>0</v>
      </c>
      <c r="AO2218" s="109" t="str">
        <f t="shared" si="208"/>
        <v/>
      </c>
      <c r="AP2218" s="109" t="e">
        <f t="shared" si="209"/>
        <v>#VALUE!</v>
      </c>
      <c r="AQ2218" s="397" t="e">
        <f t="shared" si="210"/>
        <v>#VALUE!</v>
      </c>
    </row>
    <row r="2219" spans="38:43">
      <c r="AL2219" s="414" t="str">
        <f t="shared" si="205"/>
        <v/>
      </c>
      <c r="AM2219" s="395" t="str">
        <f t="shared" si="206"/>
        <v/>
      </c>
      <c r="AN2219" s="396">
        <f t="shared" si="207"/>
        <v>0</v>
      </c>
      <c r="AO2219" s="109" t="str">
        <f t="shared" si="208"/>
        <v/>
      </c>
      <c r="AP2219" s="109" t="e">
        <f t="shared" si="209"/>
        <v>#VALUE!</v>
      </c>
      <c r="AQ2219" s="397" t="e">
        <f t="shared" si="210"/>
        <v>#VALUE!</v>
      </c>
    </row>
    <row r="2220" spans="38:43">
      <c r="AL2220" s="414" t="str">
        <f t="shared" si="205"/>
        <v/>
      </c>
      <c r="AM2220" s="395" t="str">
        <f t="shared" si="206"/>
        <v/>
      </c>
      <c r="AN2220" s="396">
        <f t="shared" si="207"/>
        <v>0</v>
      </c>
      <c r="AO2220" s="109" t="str">
        <f t="shared" si="208"/>
        <v/>
      </c>
      <c r="AP2220" s="109" t="e">
        <f t="shared" si="209"/>
        <v>#VALUE!</v>
      </c>
      <c r="AQ2220" s="397" t="e">
        <f t="shared" si="210"/>
        <v>#VALUE!</v>
      </c>
    </row>
    <row r="2221" spans="38:43">
      <c r="AL2221" s="414" t="str">
        <f t="shared" si="205"/>
        <v/>
      </c>
      <c r="AM2221" s="395" t="str">
        <f t="shared" si="206"/>
        <v/>
      </c>
      <c r="AN2221" s="396">
        <f t="shared" si="207"/>
        <v>0</v>
      </c>
      <c r="AO2221" s="109" t="str">
        <f t="shared" si="208"/>
        <v/>
      </c>
      <c r="AP2221" s="109" t="e">
        <f t="shared" si="209"/>
        <v>#VALUE!</v>
      </c>
      <c r="AQ2221" s="397" t="e">
        <f t="shared" si="210"/>
        <v>#VALUE!</v>
      </c>
    </row>
    <row r="2222" spans="38:43">
      <c r="AL2222" s="414" t="str">
        <f t="shared" si="205"/>
        <v/>
      </c>
      <c r="AM2222" s="395" t="str">
        <f t="shared" si="206"/>
        <v/>
      </c>
      <c r="AN2222" s="396">
        <f t="shared" si="207"/>
        <v>0</v>
      </c>
      <c r="AO2222" s="109" t="str">
        <f t="shared" si="208"/>
        <v/>
      </c>
      <c r="AP2222" s="109" t="e">
        <f t="shared" si="209"/>
        <v>#VALUE!</v>
      </c>
      <c r="AQ2222" s="397" t="e">
        <f t="shared" si="210"/>
        <v>#VALUE!</v>
      </c>
    </row>
    <row r="2223" spans="38:43">
      <c r="AL2223" s="414" t="str">
        <f t="shared" si="205"/>
        <v/>
      </c>
      <c r="AM2223" s="395" t="str">
        <f t="shared" si="206"/>
        <v/>
      </c>
      <c r="AN2223" s="396">
        <f t="shared" si="207"/>
        <v>0</v>
      </c>
      <c r="AO2223" s="109" t="str">
        <f t="shared" si="208"/>
        <v/>
      </c>
      <c r="AP2223" s="109" t="e">
        <f t="shared" si="209"/>
        <v>#VALUE!</v>
      </c>
      <c r="AQ2223" s="397" t="e">
        <f t="shared" si="210"/>
        <v>#VALUE!</v>
      </c>
    </row>
    <row r="2224" spans="38:43">
      <c r="AL2224" s="414" t="str">
        <f t="shared" si="205"/>
        <v/>
      </c>
      <c r="AM2224" s="395" t="str">
        <f t="shared" si="206"/>
        <v/>
      </c>
      <c r="AN2224" s="396">
        <f t="shared" si="207"/>
        <v>0</v>
      </c>
      <c r="AO2224" s="109" t="str">
        <f t="shared" si="208"/>
        <v/>
      </c>
      <c r="AP2224" s="109" t="e">
        <f t="shared" si="209"/>
        <v>#VALUE!</v>
      </c>
      <c r="AQ2224" s="397" t="e">
        <f t="shared" si="210"/>
        <v>#VALUE!</v>
      </c>
    </row>
    <row r="2225" spans="38:43">
      <c r="AL2225" s="414" t="str">
        <f t="shared" si="205"/>
        <v/>
      </c>
      <c r="AM2225" s="395" t="str">
        <f t="shared" si="206"/>
        <v/>
      </c>
      <c r="AN2225" s="396">
        <f t="shared" si="207"/>
        <v>0</v>
      </c>
      <c r="AO2225" s="109" t="str">
        <f t="shared" si="208"/>
        <v/>
      </c>
      <c r="AP2225" s="109" t="e">
        <f t="shared" si="209"/>
        <v>#VALUE!</v>
      </c>
      <c r="AQ2225" s="397" t="e">
        <f t="shared" si="210"/>
        <v>#VALUE!</v>
      </c>
    </row>
    <row r="2226" spans="38:43">
      <c r="AL2226" s="414" t="str">
        <f t="shared" si="205"/>
        <v/>
      </c>
      <c r="AM2226" s="395" t="str">
        <f t="shared" si="206"/>
        <v/>
      </c>
      <c r="AN2226" s="396">
        <f t="shared" si="207"/>
        <v>0</v>
      </c>
      <c r="AO2226" s="109" t="str">
        <f t="shared" si="208"/>
        <v/>
      </c>
      <c r="AP2226" s="109" t="e">
        <f t="shared" si="209"/>
        <v>#VALUE!</v>
      </c>
      <c r="AQ2226" s="397" t="e">
        <f t="shared" si="210"/>
        <v>#VALUE!</v>
      </c>
    </row>
    <row r="2227" spans="38:43">
      <c r="AL2227" s="414" t="str">
        <f t="shared" si="205"/>
        <v/>
      </c>
      <c r="AM2227" s="395" t="str">
        <f t="shared" si="206"/>
        <v/>
      </c>
      <c r="AN2227" s="396">
        <f t="shared" si="207"/>
        <v>0</v>
      </c>
      <c r="AO2227" s="109" t="str">
        <f t="shared" si="208"/>
        <v/>
      </c>
      <c r="AP2227" s="109" t="e">
        <f t="shared" si="209"/>
        <v>#VALUE!</v>
      </c>
      <c r="AQ2227" s="397" t="e">
        <f t="shared" si="210"/>
        <v>#VALUE!</v>
      </c>
    </row>
    <row r="2228" spans="38:43">
      <c r="AL2228" s="414" t="str">
        <f t="shared" si="205"/>
        <v/>
      </c>
      <c r="AM2228" s="395" t="str">
        <f t="shared" si="206"/>
        <v/>
      </c>
      <c r="AN2228" s="396">
        <f t="shared" si="207"/>
        <v>0</v>
      </c>
      <c r="AO2228" s="109" t="str">
        <f t="shared" si="208"/>
        <v/>
      </c>
      <c r="AP2228" s="109" t="e">
        <f t="shared" si="209"/>
        <v>#VALUE!</v>
      </c>
      <c r="AQ2228" s="397" t="e">
        <f t="shared" si="210"/>
        <v>#VALUE!</v>
      </c>
    </row>
    <row r="2229" spans="38:43">
      <c r="AL2229" s="414" t="str">
        <f t="shared" si="205"/>
        <v/>
      </c>
      <c r="AM2229" s="395" t="str">
        <f t="shared" si="206"/>
        <v/>
      </c>
      <c r="AN2229" s="396">
        <f t="shared" si="207"/>
        <v>0</v>
      </c>
      <c r="AO2229" s="109" t="str">
        <f t="shared" si="208"/>
        <v/>
      </c>
      <c r="AP2229" s="109" t="e">
        <f t="shared" si="209"/>
        <v>#VALUE!</v>
      </c>
      <c r="AQ2229" s="397" t="e">
        <f t="shared" si="210"/>
        <v>#VALUE!</v>
      </c>
    </row>
    <row r="2230" spans="38:43">
      <c r="AL2230" s="414" t="str">
        <f t="shared" si="205"/>
        <v/>
      </c>
      <c r="AM2230" s="395" t="str">
        <f t="shared" si="206"/>
        <v/>
      </c>
      <c r="AN2230" s="396">
        <f t="shared" si="207"/>
        <v>0</v>
      </c>
      <c r="AO2230" s="109" t="str">
        <f t="shared" si="208"/>
        <v/>
      </c>
      <c r="AP2230" s="109" t="e">
        <f t="shared" si="209"/>
        <v>#VALUE!</v>
      </c>
      <c r="AQ2230" s="397" t="e">
        <f t="shared" si="210"/>
        <v>#VALUE!</v>
      </c>
    </row>
    <row r="2231" spans="38:43">
      <c r="AL2231" s="414" t="str">
        <f t="shared" si="205"/>
        <v/>
      </c>
      <c r="AM2231" s="395" t="str">
        <f t="shared" si="206"/>
        <v/>
      </c>
      <c r="AN2231" s="396">
        <f t="shared" si="207"/>
        <v>0</v>
      </c>
      <c r="AO2231" s="109" t="str">
        <f t="shared" si="208"/>
        <v/>
      </c>
      <c r="AP2231" s="109" t="e">
        <f t="shared" si="209"/>
        <v>#VALUE!</v>
      </c>
      <c r="AQ2231" s="397" t="e">
        <f t="shared" si="210"/>
        <v>#VALUE!</v>
      </c>
    </row>
    <row r="2232" spans="38:43">
      <c r="AL2232" s="414" t="str">
        <f t="shared" si="205"/>
        <v/>
      </c>
      <c r="AM2232" s="395" t="str">
        <f t="shared" si="206"/>
        <v/>
      </c>
      <c r="AN2232" s="396">
        <f t="shared" si="207"/>
        <v>0</v>
      </c>
      <c r="AO2232" s="109" t="str">
        <f t="shared" si="208"/>
        <v/>
      </c>
      <c r="AP2232" s="109" t="e">
        <f t="shared" si="209"/>
        <v>#VALUE!</v>
      </c>
      <c r="AQ2232" s="397" t="e">
        <f t="shared" si="210"/>
        <v>#VALUE!</v>
      </c>
    </row>
    <row r="2233" spans="38:43">
      <c r="AL2233" s="414" t="str">
        <f t="shared" si="205"/>
        <v/>
      </c>
      <c r="AM2233" s="395" t="str">
        <f t="shared" si="206"/>
        <v/>
      </c>
      <c r="AN2233" s="396">
        <f t="shared" si="207"/>
        <v>0</v>
      </c>
      <c r="AO2233" s="109" t="str">
        <f t="shared" si="208"/>
        <v/>
      </c>
      <c r="AP2233" s="109" t="e">
        <f t="shared" si="209"/>
        <v>#VALUE!</v>
      </c>
      <c r="AQ2233" s="397" t="e">
        <f t="shared" si="210"/>
        <v>#VALUE!</v>
      </c>
    </row>
    <row r="2234" spans="38:43">
      <c r="AL2234" s="414" t="str">
        <f t="shared" si="205"/>
        <v/>
      </c>
      <c r="AM2234" s="395" t="str">
        <f t="shared" si="206"/>
        <v/>
      </c>
      <c r="AN2234" s="396">
        <f t="shared" si="207"/>
        <v>0</v>
      </c>
      <c r="AO2234" s="109" t="str">
        <f t="shared" si="208"/>
        <v/>
      </c>
      <c r="AP2234" s="109" t="e">
        <f t="shared" si="209"/>
        <v>#VALUE!</v>
      </c>
      <c r="AQ2234" s="397" t="e">
        <f t="shared" si="210"/>
        <v>#VALUE!</v>
      </c>
    </row>
    <row r="2235" spans="38:43">
      <c r="AL2235" s="414" t="str">
        <f t="shared" si="205"/>
        <v/>
      </c>
      <c r="AM2235" s="395" t="str">
        <f t="shared" si="206"/>
        <v/>
      </c>
      <c r="AN2235" s="396">
        <f t="shared" si="207"/>
        <v>0</v>
      </c>
      <c r="AO2235" s="109" t="str">
        <f t="shared" si="208"/>
        <v/>
      </c>
      <c r="AP2235" s="109" t="e">
        <f t="shared" si="209"/>
        <v>#VALUE!</v>
      </c>
      <c r="AQ2235" s="397" t="e">
        <f t="shared" si="210"/>
        <v>#VALUE!</v>
      </c>
    </row>
    <row r="2236" spans="38:43">
      <c r="AL2236" s="414" t="str">
        <f t="shared" si="205"/>
        <v/>
      </c>
      <c r="AM2236" s="395" t="str">
        <f t="shared" si="206"/>
        <v/>
      </c>
      <c r="AN2236" s="396">
        <f t="shared" si="207"/>
        <v>0</v>
      </c>
      <c r="AO2236" s="109" t="str">
        <f t="shared" si="208"/>
        <v/>
      </c>
      <c r="AP2236" s="109" t="e">
        <f t="shared" si="209"/>
        <v>#VALUE!</v>
      </c>
      <c r="AQ2236" s="397" t="e">
        <f t="shared" si="210"/>
        <v>#VALUE!</v>
      </c>
    </row>
    <row r="2237" spans="38:43">
      <c r="AL2237" s="414" t="str">
        <f t="shared" si="205"/>
        <v/>
      </c>
      <c r="AM2237" s="395" t="str">
        <f t="shared" si="206"/>
        <v/>
      </c>
      <c r="AN2237" s="396">
        <f t="shared" si="207"/>
        <v>0</v>
      </c>
      <c r="AO2237" s="109" t="str">
        <f t="shared" si="208"/>
        <v/>
      </c>
      <c r="AP2237" s="109" t="e">
        <f t="shared" si="209"/>
        <v>#VALUE!</v>
      </c>
      <c r="AQ2237" s="397" t="e">
        <f t="shared" si="210"/>
        <v>#VALUE!</v>
      </c>
    </row>
    <row r="2238" spans="38:43">
      <c r="AL2238" s="414" t="str">
        <f t="shared" si="205"/>
        <v/>
      </c>
      <c r="AM2238" s="395" t="str">
        <f t="shared" si="206"/>
        <v/>
      </c>
      <c r="AN2238" s="396">
        <f t="shared" si="207"/>
        <v>0</v>
      </c>
      <c r="AO2238" s="109" t="str">
        <f t="shared" si="208"/>
        <v/>
      </c>
      <c r="AP2238" s="109" t="e">
        <f t="shared" si="209"/>
        <v>#VALUE!</v>
      </c>
      <c r="AQ2238" s="397" t="e">
        <f t="shared" si="210"/>
        <v>#VALUE!</v>
      </c>
    </row>
    <row r="2239" spans="38:43">
      <c r="AL2239" s="414" t="str">
        <f t="shared" si="205"/>
        <v/>
      </c>
      <c r="AM2239" s="395" t="str">
        <f t="shared" si="206"/>
        <v/>
      </c>
      <c r="AN2239" s="396">
        <f t="shared" si="207"/>
        <v>0</v>
      </c>
      <c r="AO2239" s="109" t="str">
        <f t="shared" si="208"/>
        <v/>
      </c>
      <c r="AP2239" s="109" t="e">
        <f t="shared" si="209"/>
        <v>#VALUE!</v>
      </c>
      <c r="AQ2239" s="397" t="e">
        <f t="shared" si="210"/>
        <v>#VALUE!</v>
      </c>
    </row>
    <row r="2240" spans="38:43">
      <c r="AL2240" s="414" t="str">
        <f t="shared" si="205"/>
        <v/>
      </c>
      <c r="AM2240" s="395" t="str">
        <f t="shared" si="206"/>
        <v/>
      </c>
      <c r="AN2240" s="396">
        <f t="shared" si="207"/>
        <v>0</v>
      </c>
      <c r="AO2240" s="109" t="str">
        <f t="shared" si="208"/>
        <v/>
      </c>
      <c r="AP2240" s="109" t="e">
        <f t="shared" si="209"/>
        <v>#VALUE!</v>
      </c>
      <c r="AQ2240" s="397" t="e">
        <f t="shared" si="210"/>
        <v>#VALUE!</v>
      </c>
    </row>
    <row r="2241" spans="38:43">
      <c r="AL2241" s="414" t="str">
        <f t="shared" si="205"/>
        <v/>
      </c>
      <c r="AM2241" s="395" t="str">
        <f t="shared" si="206"/>
        <v/>
      </c>
      <c r="AN2241" s="396">
        <f t="shared" si="207"/>
        <v>0</v>
      </c>
      <c r="AO2241" s="109" t="str">
        <f t="shared" si="208"/>
        <v/>
      </c>
      <c r="AP2241" s="109" t="e">
        <f t="shared" si="209"/>
        <v>#VALUE!</v>
      </c>
      <c r="AQ2241" s="397" t="e">
        <f t="shared" si="210"/>
        <v>#VALUE!</v>
      </c>
    </row>
    <row r="2242" spans="38:43">
      <c r="AL2242" s="414" t="str">
        <f t="shared" si="205"/>
        <v/>
      </c>
      <c r="AM2242" s="395" t="str">
        <f t="shared" si="206"/>
        <v/>
      </c>
      <c r="AN2242" s="396">
        <f t="shared" si="207"/>
        <v>0</v>
      </c>
      <c r="AO2242" s="109" t="str">
        <f t="shared" si="208"/>
        <v/>
      </c>
      <c r="AP2242" s="109" t="e">
        <f t="shared" si="209"/>
        <v>#VALUE!</v>
      </c>
      <c r="AQ2242" s="397" t="e">
        <f t="shared" si="210"/>
        <v>#VALUE!</v>
      </c>
    </row>
    <row r="2243" spans="38:43">
      <c r="AL2243" s="414" t="str">
        <f t="shared" ref="AL2243:AL2306" si="211">SUBSTITUTE(SUBSTITUTE(H2243,"[워커힐]워커힐 고메 시그니처 양념 본갈비 8팩","워커힐 시그니처 양념 본갈비 300g, 8개"),"[워커힐]워커힐 시그니처 양념 본갈비 4팩","워커힐 시그니처 양념 본갈비 300g, 4개")</f>
        <v/>
      </c>
      <c r="AM2243" s="395" t="str">
        <f t="shared" ref="AM2243:AM2306" si="212">IF(N2243="배송완료", DATE(LEFT(M2243,4), MID(M2243,6,2), MID(M2243,9,2)), "")</f>
        <v/>
      </c>
      <c r="AN2243" s="396">
        <f t="shared" ref="AN2243:AN2306" si="213">IF(OR(N2243="배송완료", Q2243&lt;0), Q2243, 0)</f>
        <v>0</v>
      </c>
      <c r="AO2243" s="109" t="str">
        <f t="shared" ref="AO2243:AO2306" si="214">IF(AL2243="워커힐 시그니처 양념 본갈비 300g, 8개",119000,IF(AL2243="워커힐 시그니처 양념 본갈비 300g, 4개",78000,""))</f>
        <v/>
      </c>
      <c r="AP2243" s="109" t="e">
        <f t="shared" ref="AP2243:AP2306" si="215">AO2243/1.1</f>
        <v>#VALUE!</v>
      </c>
      <c r="AQ2243" s="397" t="e">
        <f t="shared" si="210"/>
        <v>#VALUE!</v>
      </c>
    </row>
    <row r="2244" spans="38:43">
      <c r="AL2244" s="414" t="str">
        <f t="shared" si="211"/>
        <v/>
      </c>
      <c r="AM2244" s="395" t="str">
        <f t="shared" si="212"/>
        <v/>
      </c>
      <c r="AN2244" s="396">
        <f t="shared" si="213"/>
        <v>0</v>
      </c>
      <c r="AO2244" s="109" t="str">
        <f t="shared" si="214"/>
        <v/>
      </c>
      <c r="AP2244" s="109" t="e">
        <f t="shared" si="215"/>
        <v>#VALUE!</v>
      </c>
      <c r="AQ2244" s="397" t="e">
        <f t="shared" si="210"/>
        <v>#VALUE!</v>
      </c>
    </row>
    <row r="2245" spans="38:43">
      <c r="AL2245" s="414" t="str">
        <f t="shared" si="211"/>
        <v/>
      </c>
      <c r="AM2245" s="395" t="str">
        <f t="shared" si="212"/>
        <v/>
      </c>
      <c r="AN2245" s="396">
        <f t="shared" si="213"/>
        <v>0</v>
      </c>
      <c r="AO2245" s="109" t="str">
        <f t="shared" si="214"/>
        <v/>
      </c>
      <c r="AP2245" s="109" t="e">
        <f t="shared" si="215"/>
        <v>#VALUE!</v>
      </c>
      <c r="AQ2245" s="397" t="e">
        <f t="shared" si="210"/>
        <v>#VALUE!</v>
      </c>
    </row>
    <row r="2246" spans="38:43">
      <c r="AL2246" s="414" t="str">
        <f t="shared" si="211"/>
        <v/>
      </c>
      <c r="AM2246" s="395" t="str">
        <f t="shared" si="212"/>
        <v/>
      </c>
      <c r="AN2246" s="396">
        <f t="shared" si="213"/>
        <v>0</v>
      </c>
      <c r="AO2246" s="109" t="str">
        <f t="shared" si="214"/>
        <v/>
      </c>
      <c r="AP2246" s="109" t="e">
        <f t="shared" si="215"/>
        <v>#VALUE!</v>
      </c>
      <c r="AQ2246" s="397" t="e">
        <f t="shared" si="210"/>
        <v>#VALUE!</v>
      </c>
    </row>
    <row r="2247" spans="38:43">
      <c r="AL2247" s="414" t="str">
        <f t="shared" si="211"/>
        <v/>
      </c>
      <c r="AM2247" s="395" t="str">
        <f t="shared" si="212"/>
        <v/>
      </c>
      <c r="AN2247" s="396">
        <f t="shared" si="213"/>
        <v>0</v>
      </c>
      <c r="AO2247" s="109" t="str">
        <f t="shared" si="214"/>
        <v/>
      </c>
      <c r="AP2247" s="109" t="e">
        <f t="shared" si="215"/>
        <v>#VALUE!</v>
      </c>
      <c r="AQ2247" s="397" t="e">
        <f t="shared" si="210"/>
        <v>#VALUE!</v>
      </c>
    </row>
    <row r="2248" spans="38:43">
      <c r="AL2248" s="414" t="str">
        <f t="shared" si="211"/>
        <v/>
      </c>
      <c r="AM2248" s="395" t="str">
        <f t="shared" si="212"/>
        <v/>
      </c>
      <c r="AN2248" s="396">
        <f t="shared" si="213"/>
        <v>0</v>
      </c>
      <c r="AO2248" s="109" t="str">
        <f t="shared" si="214"/>
        <v/>
      </c>
      <c r="AP2248" s="109" t="e">
        <f t="shared" si="215"/>
        <v>#VALUE!</v>
      </c>
      <c r="AQ2248" s="397" t="e">
        <f t="shared" si="210"/>
        <v>#VALUE!</v>
      </c>
    </row>
    <row r="2249" spans="38:43">
      <c r="AL2249" s="414" t="str">
        <f t="shared" si="211"/>
        <v/>
      </c>
      <c r="AM2249" s="395" t="str">
        <f t="shared" si="212"/>
        <v/>
      </c>
      <c r="AN2249" s="396">
        <f t="shared" si="213"/>
        <v>0</v>
      </c>
      <c r="AO2249" s="109" t="str">
        <f t="shared" si="214"/>
        <v/>
      </c>
      <c r="AP2249" s="109" t="e">
        <f t="shared" si="215"/>
        <v>#VALUE!</v>
      </c>
      <c r="AQ2249" s="397" t="e">
        <f t="shared" si="210"/>
        <v>#VALUE!</v>
      </c>
    </row>
    <row r="2250" spans="38:43">
      <c r="AL2250" s="414" t="str">
        <f t="shared" si="211"/>
        <v/>
      </c>
      <c r="AM2250" s="395" t="str">
        <f t="shared" si="212"/>
        <v/>
      </c>
      <c r="AN2250" s="396">
        <f t="shared" si="213"/>
        <v>0</v>
      </c>
      <c r="AO2250" s="109" t="str">
        <f t="shared" si="214"/>
        <v/>
      </c>
      <c r="AP2250" s="109" t="e">
        <f t="shared" si="215"/>
        <v>#VALUE!</v>
      </c>
      <c r="AQ2250" s="397" t="e">
        <f t="shared" si="210"/>
        <v>#VALUE!</v>
      </c>
    </row>
    <row r="2251" spans="38:43">
      <c r="AL2251" s="414" t="str">
        <f t="shared" si="211"/>
        <v/>
      </c>
      <c r="AM2251" s="395" t="str">
        <f t="shared" si="212"/>
        <v/>
      </c>
      <c r="AN2251" s="396">
        <f t="shared" si="213"/>
        <v>0</v>
      </c>
      <c r="AO2251" s="109" t="str">
        <f t="shared" si="214"/>
        <v/>
      </c>
      <c r="AP2251" s="109" t="e">
        <f t="shared" si="215"/>
        <v>#VALUE!</v>
      </c>
      <c r="AQ2251" s="397" t="e">
        <f t="shared" si="210"/>
        <v>#VALUE!</v>
      </c>
    </row>
    <row r="2252" spans="38:43">
      <c r="AL2252" s="414" t="str">
        <f t="shared" si="211"/>
        <v/>
      </c>
      <c r="AM2252" s="395" t="str">
        <f t="shared" si="212"/>
        <v/>
      </c>
      <c r="AN2252" s="396">
        <f t="shared" si="213"/>
        <v>0</v>
      </c>
      <c r="AO2252" s="109" t="str">
        <f t="shared" si="214"/>
        <v/>
      </c>
      <c r="AP2252" s="109" t="e">
        <f t="shared" si="215"/>
        <v>#VALUE!</v>
      </c>
      <c r="AQ2252" s="397" t="e">
        <f t="shared" si="210"/>
        <v>#VALUE!</v>
      </c>
    </row>
    <row r="2253" spans="38:43">
      <c r="AL2253" s="414" t="str">
        <f t="shared" si="211"/>
        <v/>
      </c>
      <c r="AM2253" s="395" t="str">
        <f t="shared" si="212"/>
        <v/>
      </c>
      <c r="AN2253" s="396">
        <f t="shared" si="213"/>
        <v>0</v>
      </c>
      <c r="AO2253" s="109" t="str">
        <f t="shared" si="214"/>
        <v/>
      </c>
      <c r="AP2253" s="109" t="e">
        <f t="shared" si="215"/>
        <v>#VALUE!</v>
      </c>
      <c r="AQ2253" s="397" t="e">
        <f t="shared" si="210"/>
        <v>#VALUE!</v>
      </c>
    </row>
    <row r="2254" spans="38:43">
      <c r="AL2254" s="414" t="str">
        <f t="shared" si="211"/>
        <v/>
      </c>
      <c r="AM2254" s="395" t="str">
        <f t="shared" si="212"/>
        <v/>
      </c>
      <c r="AN2254" s="396">
        <f t="shared" si="213"/>
        <v>0</v>
      </c>
      <c r="AO2254" s="109" t="str">
        <f t="shared" si="214"/>
        <v/>
      </c>
      <c r="AP2254" s="109" t="e">
        <f t="shared" si="215"/>
        <v>#VALUE!</v>
      </c>
      <c r="AQ2254" s="397" t="e">
        <f t="shared" si="210"/>
        <v>#VALUE!</v>
      </c>
    </row>
    <row r="2255" spans="38:43">
      <c r="AL2255" s="414" t="str">
        <f t="shared" si="211"/>
        <v/>
      </c>
      <c r="AM2255" s="395" t="str">
        <f t="shared" si="212"/>
        <v/>
      </c>
      <c r="AN2255" s="396">
        <f t="shared" si="213"/>
        <v>0</v>
      </c>
      <c r="AO2255" s="109" t="str">
        <f t="shared" si="214"/>
        <v/>
      </c>
      <c r="AP2255" s="109" t="e">
        <f t="shared" si="215"/>
        <v>#VALUE!</v>
      </c>
      <c r="AQ2255" s="397" t="e">
        <f t="shared" si="210"/>
        <v>#VALUE!</v>
      </c>
    </row>
    <row r="2256" spans="38:43">
      <c r="AL2256" s="414" t="str">
        <f t="shared" si="211"/>
        <v/>
      </c>
      <c r="AM2256" s="395" t="str">
        <f t="shared" si="212"/>
        <v/>
      </c>
      <c r="AN2256" s="396">
        <f t="shared" si="213"/>
        <v>0</v>
      </c>
      <c r="AO2256" s="109" t="str">
        <f t="shared" si="214"/>
        <v/>
      </c>
      <c r="AP2256" s="109" t="e">
        <f t="shared" si="215"/>
        <v>#VALUE!</v>
      </c>
      <c r="AQ2256" s="397" t="e">
        <f t="shared" si="210"/>
        <v>#VALUE!</v>
      </c>
    </row>
    <row r="2257" spans="38:43">
      <c r="AL2257" s="414" t="str">
        <f t="shared" si="211"/>
        <v/>
      </c>
      <c r="AM2257" s="395" t="str">
        <f t="shared" si="212"/>
        <v/>
      </c>
      <c r="AN2257" s="396">
        <f t="shared" si="213"/>
        <v>0</v>
      </c>
      <c r="AO2257" s="109" t="str">
        <f t="shared" si="214"/>
        <v/>
      </c>
      <c r="AP2257" s="109" t="e">
        <f t="shared" si="215"/>
        <v>#VALUE!</v>
      </c>
      <c r="AQ2257" s="397" t="e">
        <f t="shared" si="210"/>
        <v>#VALUE!</v>
      </c>
    </row>
    <row r="2258" spans="38:43">
      <c r="AL2258" s="414" t="str">
        <f t="shared" si="211"/>
        <v/>
      </c>
      <c r="AM2258" s="395" t="str">
        <f t="shared" si="212"/>
        <v/>
      </c>
      <c r="AN2258" s="396">
        <f t="shared" si="213"/>
        <v>0</v>
      </c>
      <c r="AO2258" s="109" t="str">
        <f t="shared" si="214"/>
        <v/>
      </c>
      <c r="AP2258" s="109" t="e">
        <f t="shared" si="215"/>
        <v>#VALUE!</v>
      </c>
      <c r="AQ2258" s="397" t="e">
        <f t="shared" si="210"/>
        <v>#VALUE!</v>
      </c>
    </row>
    <row r="2259" spans="38:43">
      <c r="AL2259" s="414" t="str">
        <f t="shared" si="211"/>
        <v/>
      </c>
      <c r="AM2259" s="395" t="str">
        <f t="shared" si="212"/>
        <v/>
      </c>
      <c r="AN2259" s="396">
        <f t="shared" si="213"/>
        <v>0</v>
      </c>
      <c r="AO2259" s="109" t="str">
        <f t="shared" si="214"/>
        <v/>
      </c>
      <c r="AP2259" s="109" t="e">
        <f t="shared" si="215"/>
        <v>#VALUE!</v>
      </c>
      <c r="AQ2259" s="397" t="e">
        <f t="shared" si="210"/>
        <v>#VALUE!</v>
      </c>
    </row>
    <row r="2260" spans="38:43">
      <c r="AL2260" s="414" t="str">
        <f t="shared" si="211"/>
        <v/>
      </c>
      <c r="AM2260" s="395" t="str">
        <f t="shared" si="212"/>
        <v/>
      </c>
      <c r="AN2260" s="396">
        <f t="shared" si="213"/>
        <v>0</v>
      </c>
      <c r="AO2260" s="109" t="str">
        <f t="shared" si="214"/>
        <v/>
      </c>
      <c r="AP2260" s="109" t="e">
        <f t="shared" si="215"/>
        <v>#VALUE!</v>
      </c>
      <c r="AQ2260" s="397" t="e">
        <f t="shared" si="210"/>
        <v>#VALUE!</v>
      </c>
    </row>
    <row r="2261" spans="38:43">
      <c r="AL2261" s="414" t="str">
        <f t="shared" si="211"/>
        <v/>
      </c>
      <c r="AM2261" s="395" t="str">
        <f t="shared" si="212"/>
        <v/>
      </c>
      <c r="AN2261" s="396">
        <f t="shared" si="213"/>
        <v>0</v>
      </c>
      <c r="AO2261" s="109" t="str">
        <f t="shared" si="214"/>
        <v/>
      </c>
      <c r="AP2261" s="109" t="e">
        <f t="shared" si="215"/>
        <v>#VALUE!</v>
      </c>
      <c r="AQ2261" s="397" t="e">
        <f t="shared" si="210"/>
        <v>#VALUE!</v>
      </c>
    </row>
    <row r="2262" spans="38:43">
      <c r="AL2262" s="414" t="str">
        <f t="shared" si="211"/>
        <v/>
      </c>
      <c r="AM2262" s="395" t="str">
        <f t="shared" si="212"/>
        <v/>
      </c>
      <c r="AN2262" s="396">
        <f t="shared" si="213"/>
        <v>0</v>
      </c>
      <c r="AO2262" s="109" t="str">
        <f t="shared" si="214"/>
        <v/>
      </c>
      <c r="AP2262" s="109" t="e">
        <f t="shared" si="215"/>
        <v>#VALUE!</v>
      </c>
      <c r="AQ2262" s="397" t="e">
        <f t="shared" si="210"/>
        <v>#VALUE!</v>
      </c>
    </row>
    <row r="2263" spans="38:43">
      <c r="AL2263" s="414" t="str">
        <f t="shared" si="211"/>
        <v/>
      </c>
      <c r="AM2263" s="395" t="str">
        <f t="shared" si="212"/>
        <v/>
      </c>
      <c r="AN2263" s="396">
        <f t="shared" si="213"/>
        <v>0</v>
      </c>
      <c r="AO2263" s="109" t="str">
        <f t="shared" si="214"/>
        <v/>
      </c>
      <c r="AP2263" s="109" t="e">
        <f t="shared" si="215"/>
        <v>#VALUE!</v>
      </c>
      <c r="AQ2263" s="397" t="e">
        <f t="shared" si="210"/>
        <v>#VALUE!</v>
      </c>
    </row>
    <row r="2264" spans="38:43">
      <c r="AL2264" s="414" t="str">
        <f t="shared" si="211"/>
        <v/>
      </c>
      <c r="AM2264" s="395" t="str">
        <f t="shared" si="212"/>
        <v/>
      </c>
      <c r="AN2264" s="396">
        <f t="shared" si="213"/>
        <v>0</v>
      </c>
      <c r="AO2264" s="109" t="str">
        <f t="shared" si="214"/>
        <v/>
      </c>
      <c r="AP2264" s="109" t="e">
        <f t="shared" si="215"/>
        <v>#VALUE!</v>
      </c>
      <c r="AQ2264" s="397" t="e">
        <f t="shared" si="210"/>
        <v>#VALUE!</v>
      </c>
    </row>
    <row r="2265" spans="38:43">
      <c r="AL2265" s="414" t="str">
        <f t="shared" si="211"/>
        <v/>
      </c>
      <c r="AM2265" s="395" t="str">
        <f t="shared" si="212"/>
        <v/>
      </c>
      <c r="AN2265" s="396">
        <f t="shared" si="213"/>
        <v>0</v>
      </c>
      <c r="AO2265" s="109" t="str">
        <f t="shared" si="214"/>
        <v/>
      </c>
      <c r="AP2265" s="109" t="e">
        <f t="shared" si="215"/>
        <v>#VALUE!</v>
      </c>
      <c r="AQ2265" s="397" t="e">
        <f t="shared" si="210"/>
        <v>#VALUE!</v>
      </c>
    </row>
    <row r="2266" spans="38:43">
      <c r="AL2266" s="414" t="str">
        <f t="shared" si="211"/>
        <v/>
      </c>
      <c r="AM2266" s="395" t="str">
        <f t="shared" si="212"/>
        <v/>
      </c>
      <c r="AN2266" s="396">
        <f t="shared" si="213"/>
        <v>0</v>
      </c>
      <c r="AO2266" s="109" t="str">
        <f t="shared" si="214"/>
        <v/>
      </c>
      <c r="AP2266" s="109" t="e">
        <f t="shared" si="215"/>
        <v>#VALUE!</v>
      </c>
      <c r="AQ2266" s="397" t="e">
        <f t="shared" si="210"/>
        <v>#VALUE!</v>
      </c>
    </row>
    <row r="2267" spans="38:43">
      <c r="AL2267" s="414" t="str">
        <f t="shared" si="211"/>
        <v/>
      </c>
      <c r="AM2267" s="395" t="str">
        <f t="shared" si="212"/>
        <v/>
      </c>
      <c r="AN2267" s="396">
        <f t="shared" si="213"/>
        <v>0</v>
      </c>
      <c r="AO2267" s="109" t="str">
        <f t="shared" si="214"/>
        <v/>
      </c>
      <c r="AP2267" s="109" t="e">
        <f t="shared" si="215"/>
        <v>#VALUE!</v>
      </c>
      <c r="AQ2267" s="397" t="e">
        <f t="shared" si="210"/>
        <v>#VALUE!</v>
      </c>
    </row>
    <row r="2268" spans="38:43">
      <c r="AL2268" s="414" t="str">
        <f t="shared" si="211"/>
        <v/>
      </c>
      <c r="AM2268" s="395" t="str">
        <f t="shared" si="212"/>
        <v/>
      </c>
      <c r="AN2268" s="396">
        <f t="shared" si="213"/>
        <v>0</v>
      </c>
      <c r="AO2268" s="109" t="str">
        <f t="shared" si="214"/>
        <v/>
      </c>
      <c r="AP2268" s="109" t="e">
        <f t="shared" si="215"/>
        <v>#VALUE!</v>
      </c>
      <c r="AQ2268" s="397" t="e">
        <f t="shared" si="210"/>
        <v>#VALUE!</v>
      </c>
    </row>
    <row r="2269" spans="38:43">
      <c r="AL2269" s="414" t="str">
        <f t="shared" si="211"/>
        <v/>
      </c>
      <c r="AM2269" s="395" t="str">
        <f t="shared" si="212"/>
        <v/>
      </c>
      <c r="AN2269" s="396">
        <f t="shared" si="213"/>
        <v>0</v>
      </c>
      <c r="AO2269" s="109" t="str">
        <f t="shared" si="214"/>
        <v/>
      </c>
      <c r="AP2269" s="109" t="e">
        <f t="shared" si="215"/>
        <v>#VALUE!</v>
      </c>
      <c r="AQ2269" s="397" t="e">
        <f t="shared" ref="AQ2269:AQ2332" si="216">AN2269*AP2269</f>
        <v>#VALUE!</v>
      </c>
    </row>
    <row r="2270" spans="38:43">
      <c r="AL2270" s="414" t="str">
        <f t="shared" si="211"/>
        <v/>
      </c>
      <c r="AM2270" s="395" t="str">
        <f t="shared" si="212"/>
        <v/>
      </c>
      <c r="AN2270" s="396">
        <f t="shared" si="213"/>
        <v>0</v>
      </c>
      <c r="AO2270" s="109" t="str">
        <f t="shared" si="214"/>
        <v/>
      </c>
      <c r="AP2270" s="109" t="e">
        <f t="shared" si="215"/>
        <v>#VALUE!</v>
      </c>
      <c r="AQ2270" s="397" t="e">
        <f t="shared" si="216"/>
        <v>#VALUE!</v>
      </c>
    </row>
    <row r="2271" spans="38:43">
      <c r="AL2271" s="414" t="str">
        <f t="shared" si="211"/>
        <v/>
      </c>
      <c r="AM2271" s="395" t="str">
        <f t="shared" si="212"/>
        <v/>
      </c>
      <c r="AN2271" s="396">
        <f t="shared" si="213"/>
        <v>0</v>
      </c>
      <c r="AO2271" s="109" t="str">
        <f t="shared" si="214"/>
        <v/>
      </c>
      <c r="AP2271" s="109" t="e">
        <f t="shared" si="215"/>
        <v>#VALUE!</v>
      </c>
      <c r="AQ2271" s="397" t="e">
        <f t="shared" si="216"/>
        <v>#VALUE!</v>
      </c>
    </row>
    <row r="2272" spans="38:43">
      <c r="AL2272" s="414" t="str">
        <f t="shared" si="211"/>
        <v/>
      </c>
      <c r="AM2272" s="395" t="str">
        <f t="shared" si="212"/>
        <v/>
      </c>
      <c r="AN2272" s="396">
        <f t="shared" si="213"/>
        <v>0</v>
      </c>
      <c r="AO2272" s="109" t="str">
        <f t="shared" si="214"/>
        <v/>
      </c>
      <c r="AP2272" s="109" t="e">
        <f t="shared" si="215"/>
        <v>#VALUE!</v>
      </c>
      <c r="AQ2272" s="397" t="e">
        <f t="shared" si="216"/>
        <v>#VALUE!</v>
      </c>
    </row>
    <row r="2273" spans="38:43">
      <c r="AL2273" s="414" t="str">
        <f t="shared" si="211"/>
        <v/>
      </c>
      <c r="AM2273" s="395" t="str">
        <f t="shared" si="212"/>
        <v/>
      </c>
      <c r="AN2273" s="396">
        <f t="shared" si="213"/>
        <v>0</v>
      </c>
      <c r="AO2273" s="109" t="str">
        <f t="shared" si="214"/>
        <v/>
      </c>
      <c r="AP2273" s="109" t="e">
        <f t="shared" si="215"/>
        <v>#VALUE!</v>
      </c>
      <c r="AQ2273" s="397" t="e">
        <f t="shared" si="216"/>
        <v>#VALUE!</v>
      </c>
    </row>
    <row r="2274" spans="38:43">
      <c r="AL2274" s="414" t="str">
        <f t="shared" si="211"/>
        <v/>
      </c>
      <c r="AM2274" s="395" t="str">
        <f t="shared" si="212"/>
        <v/>
      </c>
      <c r="AN2274" s="396">
        <f t="shared" si="213"/>
        <v>0</v>
      </c>
      <c r="AO2274" s="109" t="str">
        <f t="shared" si="214"/>
        <v/>
      </c>
      <c r="AP2274" s="109" t="e">
        <f t="shared" si="215"/>
        <v>#VALUE!</v>
      </c>
      <c r="AQ2274" s="397" t="e">
        <f t="shared" si="216"/>
        <v>#VALUE!</v>
      </c>
    </row>
    <row r="2275" spans="38:43">
      <c r="AL2275" s="414" t="str">
        <f t="shared" si="211"/>
        <v/>
      </c>
      <c r="AM2275" s="395" t="str">
        <f t="shared" si="212"/>
        <v/>
      </c>
      <c r="AN2275" s="396">
        <f t="shared" si="213"/>
        <v>0</v>
      </c>
      <c r="AO2275" s="109" t="str">
        <f t="shared" si="214"/>
        <v/>
      </c>
      <c r="AP2275" s="109" t="e">
        <f t="shared" si="215"/>
        <v>#VALUE!</v>
      </c>
      <c r="AQ2275" s="397" t="e">
        <f t="shared" si="216"/>
        <v>#VALUE!</v>
      </c>
    </row>
    <row r="2276" spans="38:43">
      <c r="AL2276" s="414" t="str">
        <f t="shared" si="211"/>
        <v/>
      </c>
      <c r="AM2276" s="395" t="str">
        <f t="shared" si="212"/>
        <v/>
      </c>
      <c r="AN2276" s="396">
        <f t="shared" si="213"/>
        <v>0</v>
      </c>
      <c r="AO2276" s="109" t="str">
        <f t="shared" si="214"/>
        <v/>
      </c>
      <c r="AP2276" s="109" t="e">
        <f t="shared" si="215"/>
        <v>#VALUE!</v>
      </c>
      <c r="AQ2276" s="397" t="e">
        <f t="shared" si="216"/>
        <v>#VALUE!</v>
      </c>
    </row>
    <row r="2277" spans="38:43">
      <c r="AL2277" s="414" t="str">
        <f t="shared" si="211"/>
        <v/>
      </c>
      <c r="AM2277" s="395" t="str">
        <f t="shared" si="212"/>
        <v/>
      </c>
      <c r="AN2277" s="396">
        <f t="shared" si="213"/>
        <v>0</v>
      </c>
      <c r="AO2277" s="109" t="str">
        <f t="shared" si="214"/>
        <v/>
      </c>
      <c r="AP2277" s="109" t="e">
        <f t="shared" si="215"/>
        <v>#VALUE!</v>
      </c>
      <c r="AQ2277" s="397" t="e">
        <f t="shared" si="216"/>
        <v>#VALUE!</v>
      </c>
    </row>
    <row r="2278" spans="38:43">
      <c r="AL2278" s="414" t="str">
        <f t="shared" si="211"/>
        <v/>
      </c>
      <c r="AM2278" s="395" t="str">
        <f t="shared" si="212"/>
        <v/>
      </c>
      <c r="AN2278" s="396">
        <f t="shared" si="213"/>
        <v>0</v>
      </c>
      <c r="AO2278" s="109" t="str">
        <f t="shared" si="214"/>
        <v/>
      </c>
      <c r="AP2278" s="109" t="e">
        <f t="shared" si="215"/>
        <v>#VALUE!</v>
      </c>
      <c r="AQ2278" s="397" t="e">
        <f t="shared" si="216"/>
        <v>#VALUE!</v>
      </c>
    </row>
    <row r="2279" spans="38:43">
      <c r="AL2279" s="414" t="str">
        <f t="shared" si="211"/>
        <v/>
      </c>
      <c r="AM2279" s="395" t="str">
        <f t="shared" si="212"/>
        <v/>
      </c>
      <c r="AN2279" s="396">
        <f t="shared" si="213"/>
        <v>0</v>
      </c>
      <c r="AO2279" s="109" t="str">
        <f t="shared" si="214"/>
        <v/>
      </c>
      <c r="AP2279" s="109" t="e">
        <f t="shared" si="215"/>
        <v>#VALUE!</v>
      </c>
      <c r="AQ2279" s="397" t="e">
        <f t="shared" si="216"/>
        <v>#VALUE!</v>
      </c>
    </row>
    <row r="2280" spans="38:43">
      <c r="AL2280" s="414" t="str">
        <f t="shared" si="211"/>
        <v/>
      </c>
      <c r="AM2280" s="395" t="str">
        <f t="shared" si="212"/>
        <v/>
      </c>
      <c r="AN2280" s="396">
        <f t="shared" si="213"/>
        <v>0</v>
      </c>
      <c r="AO2280" s="109" t="str">
        <f t="shared" si="214"/>
        <v/>
      </c>
      <c r="AP2280" s="109" t="e">
        <f t="shared" si="215"/>
        <v>#VALUE!</v>
      </c>
      <c r="AQ2280" s="397" t="e">
        <f t="shared" si="216"/>
        <v>#VALUE!</v>
      </c>
    </row>
    <row r="2281" spans="38:43">
      <c r="AL2281" s="414" t="str">
        <f t="shared" si="211"/>
        <v/>
      </c>
      <c r="AM2281" s="395" t="str">
        <f t="shared" si="212"/>
        <v/>
      </c>
      <c r="AN2281" s="396">
        <f t="shared" si="213"/>
        <v>0</v>
      </c>
      <c r="AO2281" s="109" t="str">
        <f t="shared" si="214"/>
        <v/>
      </c>
      <c r="AP2281" s="109" t="e">
        <f t="shared" si="215"/>
        <v>#VALUE!</v>
      </c>
      <c r="AQ2281" s="397" t="e">
        <f t="shared" si="216"/>
        <v>#VALUE!</v>
      </c>
    </row>
    <row r="2282" spans="38:43">
      <c r="AL2282" s="414" t="str">
        <f t="shared" si="211"/>
        <v/>
      </c>
      <c r="AM2282" s="395" t="str">
        <f t="shared" si="212"/>
        <v/>
      </c>
      <c r="AN2282" s="396">
        <f t="shared" si="213"/>
        <v>0</v>
      </c>
      <c r="AO2282" s="109" t="str">
        <f t="shared" si="214"/>
        <v/>
      </c>
      <c r="AP2282" s="109" t="e">
        <f t="shared" si="215"/>
        <v>#VALUE!</v>
      </c>
      <c r="AQ2282" s="397" t="e">
        <f t="shared" si="216"/>
        <v>#VALUE!</v>
      </c>
    </row>
    <row r="2283" spans="38:43">
      <c r="AL2283" s="414" t="str">
        <f t="shared" si="211"/>
        <v/>
      </c>
      <c r="AM2283" s="395" t="str">
        <f t="shared" si="212"/>
        <v/>
      </c>
      <c r="AN2283" s="396">
        <f t="shared" si="213"/>
        <v>0</v>
      </c>
      <c r="AO2283" s="109" t="str">
        <f t="shared" si="214"/>
        <v/>
      </c>
      <c r="AP2283" s="109" t="e">
        <f t="shared" si="215"/>
        <v>#VALUE!</v>
      </c>
      <c r="AQ2283" s="397" t="e">
        <f t="shared" si="216"/>
        <v>#VALUE!</v>
      </c>
    </row>
    <row r="2284" spans="38:43">
      <c r="AL2284" s="414" t="str">
        <f t="shared" si="211"/>
        <v/>
      </c>
      <c r="AM2284" s="395" t="str">
        <f t="shared" si="212"/>
        <v/>
      </c>
      <c r="AN2284" s="396">
        <f t="shared" si="213"/>
        <v>0</v>
      </c>
      <c r="AO2284" s="109" t="str">
        <f t="shared" si="214"/>
        <v/>
      </c>
      <c r="AP2284" s="109" t="e">
        <f t="shared" si="215"/>
        <v>#VALUE!</v>
      </c>
      <c r="AQ2284" s="397" t="e">
        <f t="shared" si="216"/>
        <v>#VALUE!</v>
      </c>
    </row>
    <row r="2285" spans="38:43">
      <c r="AL2285" s="414" t="str">
        <f t="shared" si="211"/>
        <v/>
      </c>
      <c r="AM2285" s="395" t="str">
        <f t="shared" si="212"/>
        <v/>
      </c>
      <c r="AN2285" s="396">
        <f t="shared" si="213"/>
        <v>0</v>
      </c>
      <c r="AO2285" s="109" t="str">
        <f t="shared" si="214"/>
        <v/>
      </c>
      <c r="AP2285" s="109" t="e">
        <f t="shared" si="215"/>
        <v>#VALUE!</v>
      </c>
      <c r="AQ2285" s="397" t="e">
        <f t="shared" si="216"/>
        <v>#VALUE!</v>
      </c>
    </row>
    <row r="2286" spans="38:43">
      <c r="AL2286" s="414" t="str">
        <f t="shared" si="211"/>
        <v/>
      </c>
      <c r="AM2286" s="395" t="str">
        <f t="shared" si="212"/>
        <v/>
      </c>
      <c r="AN2286" s="396">
        <f t="shared" si="213"/>
        <v>0</v>
      </c>
      <c r="AO2286" s="109" t="str">
        <f t="shared" si="214"/>
        <v/>
      </c>
      <c r="AP2286" s="109" t="e">
        <f t="shared" si="215"/>
        <v>#VALUE!</v>
      </c>
      <c r="AQ2286" s="397" t="e">
        <f t="shared" si="216"/>
        <v>#VALUE!</v>
      </c>
    </row>
    <row r="2287" spans="38:43">
      <c r="AL2287" s="414" t="str">
        <f t="shared" si="211"/>
        <v/>
      </c>
      <c r="AM2287" s="395" t="str">
        <f t="shared" si="212"/>
        <v/>
      </c>
      <c r="AN2287" s="396">
        <f t="shared" si="213"/>
        <v>0</v>
      </c>
      <c r="AO2287" s="109" t="str">
        <f t="shared" si="214"/>
        <v/>
      </c>
      <c r="AP2287" s="109" t="e">
        <f t="shared" si="215"/>
        <v>#VALUE!</v>
      </c>
      <c r="AQ2287" s="397" t="e">
        <f t="shared" si="216"/>
        <v>#VALUE!</v>
      </c>
    </row>
    <row r="2288" spans="38:43">
      <c r="AL2288" s="414" t="str">
        <f t="shared" si="211"/>
        <v/>
      </c>
      <c r="AM2288" s="395" t="str">
        <f t="shared" si="212"/>
        <v/>
      </c>
      <c r="AN2288" s="396">
        <f t="shared" si="213"/>
        <v>0</v>
      </c>
      <c r="AO2288" s="109" t="str">
        <f t="shared" si="214"/>
        <v/>
      </c>
      <c r="AP2288" s="109" t="e">
        <f t="shared" si="215"/>
        <v>#VALUE!</v>
      </c>
      <c r="AQ2288" s="397" t="e">
        <f t="shared" si="216"/>
        <v>#VALUE!</v>
      </c>
    </row>
    <row r="2289" spans="38:43">
      <c r="AL2289" s="414" t="str">
        <f t="shared" si="211"/>
        <v/>
      </c>
      <c r="AM2289" s="395" t="str">
        <f t="shared" si="212"/>
        <v/>
      </c>
      <c r="AN2289" s="396">
        <f t="shared" si="213"/>
        <v>0</v>
      </c>
      <c r="AO2289" s="109" t="str">
        <f t="shared" si="214"/>
        <v/>
      </c>
      <c r="AP2289" s="109" t="e">
        <f t="shared" si="215"/>
        <v>#VALUE!</v>
      </c>
      <c r="AQ2289" s="397" t="e">
        <f t="shared" si="216"/>
        <v>#VALUE!</v>
      </c>
    </row>
    <row r="2290" spans="38:43">
      <c r="AL2290" s="414" t="str">
        <f t="shared" si="211"/>
        <v/>
      </c>
      <c r="AM2290" s="395" t="str">
        <f t="shared" si="212"/>
        <v/>
      </c>
      <c r="AN2290" s="396">
        <f t="shared" si="213"/>
        <v>0</v>
      </c>
      <c r="AO2290" s="109" t="str">
        <f t="shared" si="214"/>
        <v/>
      </c>
      <c r="AP2290" s="109" t="e">
        <f t="shared" si="215"/>
        <v>#VALUE!</v>
      </c>
      <c r="AQ2290" s="397" t="e">
        <f t="shared" si="216"/>
        <v>#VALUE!</v>
      </c>
    </row>
    <row r="2291" spans="38:43">
      <c r="AL2291" s="414" t="str">
        <f t="shared" si="211"/>
        <v/>
      </c>
      <c r="AM2291" s="395" t="str">
        <f t="shared" si="212"/>
        <v/>
      </c>
      <c r="AN2291" s="396">
        <f t="shared" si="213"/>
        <v>0</v>
      </c>
      <c r="AO2291" s="109" t="str">
        <f t="shared" si="214"/>
        <v/>
      </c>
      <c r="AP2291" s="109" t="e">
        <f t="shared" si="215"/>
        <v>#VALUE!</v>
      </c>
      <c r="AQ2291" s="397" t="e">
        <f t="shared" si="216"/>
        <v>#VALUE!</v>
      </c>
    </row>
    <row r="2292" spans="38:43">
      <c r="AL2292" s="414" t="str">
        <f t="shared" si="211"/>
        <v/>
      </c>
      <c r="AM2292" s="395" t="str">
        <f t="shared" si="212"/>
        <v/>
      </c>
      <c r="AN2292" s="396">
        <f t="shared" si="213"/>
        <v>0</v>
      </c>
      <c r="AO2292" s="109" t="str">
        <f t="shared" si="214"/>
        <v/>
      </c>
      <c r="AP2292" s="109" t="e">
        <f t="shared" si="215"/>
        <v>#VALUE!</v>
      </c>
      <c r="AQ2292" s="397" t="e">
        <f t="shared" si="216"/>
        <v>#VALUE!</v>
      </c>
    </row>
    <row r="2293" spans="38:43">
      <c r="AL2293" s="414" t="str">
        <f t="shared" si="211"/>
        <v/>
      </c>
      <c r="AM2293" s="395" t="str">
        <f t="shared" si="212"/>
        <v/>
      </c>
      <c r="AN2293" s="396">
        <f t="shared" si="213"/>
        <v>0</v>
      </c>
      <c r="AO2293" s="109" t="str">
        <f t="shared" si="214"/>
        <v/>
      </c>
      <c r="AP2293" s="109" t="e">
        <f t="shared" si="215"/>
        <v>#VALUE!</v>
      </c>
      <c r="AQ2293" s="397" t="e">
        <f t="shared" si="216"/>
        <v>#VALUE!</v>
      </c>
    </row>
    <row r="2294" spans="38:43">
      <c r="AL2294" s="414" t="str">
        <f t="shared" si="211"/>
        <v/>
      </c>
      <c r="AM2294" s="395" t="str">
        <f t="shared" si="212"/>
        <v/>
      </c>
      <c r="AN2294" s="396">
        <f t="shared" si="213"/>
        <v>0</v>
      </c>
      <c r="AO2294" s="109" t="str">
        <f t="shared" si="214"/>
        <v/>
      </c>
      <c r="AP2294" s="109" t="e">
        <f t="shared" si="215"/>
        <v>#VALUE!</v>
      </c>
      <c r="AQ2294" s="397" t="e">
        <f t="shared" si="216"/>
        <v>#VALUE!</v>
      </c>
    </row>
    <row r="2295" spans="38:43">
      <c r="AL2295" s="414" t="str">
        <f t="shared" si="211"/>
        <v/>
      </c>
      <c r="AM2295" s="395" t="str">
        <f t="shared" si="212"/>
        <v/>
      </c>
      <c r="AN2295" s="396">
        <f t="shared" si="213"/>
        <v>0</v>
      </c>
      <c r="AO2295" s="109" t="str">
        <f t="shared" si="214"/>
        <v/>
      </c>
      <c r="AP2295" s="109" t="e">
        <f t="shared" si="215"/>
        <v>#VALUE!</v>
      </c>
      <c r="AQ2295" s="397" t="e">
        <f t="shared" si="216"/>
        <v>#VALUE!</v>
      </c>
    </row>
    <row r="2296" spans="38:43">
      <c r="AL2296" s="414" t="str">
        <f t="shared" si="211"/>
        <v/>
      </c>
      <c r="AM2296" s="395" t="str">
        <f t="shared" si="212"/>
        <v/>
      </c>
      <c r="AN2296" s="396">
        <f t="shared" si="213"/>
        <v>0</v>
      </c>
      <c r="AO2296" s="109" t="str">
        <f t="shared" si="214"/>
        <v/>
      </c>
      <c r="AP2296" s="109" t="e">
        <f t="shared" si="215"/>
        <v>#VALUE!</v>
      </c>
      <c r="AQ2296" s="397" t="e">
        <f t="shared" si="216"/>
        <v>#VALUE!</v>
      </c>
    </row>
    <row r="2297" spans="38:43">
      <c r="AL2297" s="414" t="str">
        <f t="shared" si="211"/>
        <v/>
      </c>
      <c r="AM2297" s="395" t="str">
        <f t="shared" si="212"/>
        <v/>
      </c>
      <c r="AN2297" s="396">
        <f t="shared" si="213"/>
        <v>0</v>
      </c>
      <c r="AO2297" s="109" t="str">
        <f t="shared" si="214"/>
        <v/>
      </c>
      <c r="AP2297" s="109" t="e">
        <f t="shared" si="215"/>
        <v>#VALUE!</v>
      </c>
      <c r="AQ2297" s="397" t="e">
        <f t="shared" si="216"/>
        <v>#VALUE!</v>
      </c>
    </row>
    <row r="2298" spans="38:43">
      <c r="AL2298" s="414" t="str">
        <f t="shared" si="211"/>
        <v/>
      </c>
      <c r="AM2298" s="395" t="str">
        <f t="shared" si="212"/>
        <v/>
      </c>
      <c r="AN2298" s="396">
        <f t="shared" si="213"/>
        <v>0</v>
      </c>
      <c r="AO2298" s="109" t="str">
        <f t="shared" si="214"/>
        <v/>
      </c>
      <c r="AP2298" s="109" t="e">
        <f t="shared" si="215"/>
        <v>#VALUE!</v>
      </c>
      <c r="AQ2298" s="397" t="e">
        <f t="shared" si="216"/>
        <v>#VALUE!</v>
      </c>
    </row>
    <row r="2299" spans="38:43">
      <c r="AL2299" s="414" t="str">
        <f t="shared" si="211"/>
        <v/>
      </c>
      <c r="AM2299" s="395" t="str">
        <f t="shared" si="212"/>
        <v/>
      </c>
      <c r="AN2299" s="396">
        <f t="shared" si="213"/>
        <v>0</v>
      </c>
      <c r="AO2299" s="109" t="str">
        <f t="shared" si="214"/>
        <v/>
      </c>
      <c r="AP2299" s="109" t="e">
        <f t="shared" si="215"/>
        <v>#VALUE!</v>
      </c>
      <c r="AQ2299" s="397" t="e">
        <f t="shared" si="216"/>
        <v>#VALUE!</v>
      </c>
    </row>
    <row r="2300" spans="38:43">
      <c r="AL2300" s="414" t="str">
        <f t="shared" si="211"/>
        <v/>
      </c>
      <c r="AM2300" s="395" t="str">
        <f t="shared" si="212"/>
        <v/>
      </c>
      <c r="AN2300" s="396">
        <f t="shared" si="213"/>
        <v>0</v>
      </c>
      <c r="AO2300" s="109" t="str">
        <f t="shared" si="214"/>
        <v/>
      </c>
      <c r="AP2300" s="109" t="e">
        <f t="shared" si="215"/>
        <v>#VALUE!</v>
      </c>
      <c r="AQ2300" s="397" t="e">
        <f t="shared" si="216"/>
        <v>#VALUE!</v>
      </c>
    </row>
    <row r="2301" spans="38:43">
      <c r="AL2301" s="414" t="str">
        <f t="shared" si="211"/>
        <v/>
      </c>
      <c r="AM2301" s="395" t="str">
        <f t="shared" si="212"/>
        <v/>
      </c>
      <c r="AN2301" s="396">
        <f t="shared" si="213"/>
        <v>0</v>
      </c>
      <c r="AO2301" s="109" t="str">
        <f t="shared" si="214"/>
        <v/>
      </c>
      <c r="AP2301" s="109" t="e">
        <f t="shared" si="215"/>
        <v>#VALUE!</v>
      </c>
      <c r="AQ2301" s="397" t="e">
        <f t="shared" si="216"/>
        <v>#VALUE!</v>
      </c>
    </row>
    <row r="2302" spans="38:43">
      <c r="AL2302" s="414" t="str">
        <f t="shared" si="211"/>
        <v/>
      </c>
      <c r="AM2302" s="395" t="str">
        <f t="shared" si="212"/>
        <v/>
      </c>
      <c r="AN2302" s="396">
        <f t="shared" si="213"/>
        <v>0</v>
      </c>
      <c r="AO2302" s="109" t="str">
        <f t="shared" si="214"/>
        <v/>
      </c>
      <c r="AP2302" s="109" t="e">
        <f t="shared" si="215"/>
        <v>#VALUE!</v>
      </c>
      <c r="AQ2302" s="397" t="e">
        <f t="shared" si="216"/>
        <v>#VALUE!</v>
      </c>
    </row>
    <row r="2303" spans="38:43">
      <c r="AL2303" s="414" t="str">
        <f t="shared" si="211"/>
        <v/>
      </c>
      <c r="AM2303" s="395" t="str">
        <f t="shared" si="212"/>
        <v/>
      </c>
      <c r="AN2303" s="396">
        <f t="shared" si="213"/>
        <v>0</v>
      </c>
      <c r="AO2303" s="109" t="str">
        <f t="shared" si="214"/>
        <v/>
      </c>
      <c r="AP2303" s="109" t="e">
        <f t="shared" si="215"/>
        <v>#VALUE!</v>
      </c>
      <c r="AQ2303" s="397" t="e">
        <f t="shared" si="216"/>
        <v>#VALUE!</v>
      </c>
    </row>
    <row r="2304" spans="38:43">
      <c r="AL2304" s="414" t="str">
        <f t="shared" si="211"/>
        <v/>
      </c>
      <c r="AM2304" s="395" t="str">
        <f t="shared" si="212"/>
        <v/>
      </c>
      <c r="AN2304" s="396">
        <f t="shared" si="213"/>
        <v>0</v>
      </c>
      <c r="AO2304" s="109" t="str">
        <f t="shared" si="214"/>
        <v/>
      </c>
      <c r="AP2304" s="109" t="e">
        <f t="shared" si="215"/>
        <v>#VALUE!</v>
      </c>
      <c r="AQ2304" s="397" t="e">
        <f t="shared" si="216"/>
        <v>#VALUE!</v>
      </c>
    </row>
    <row r="2305" spans="38:43">
      <c r="AL2305" s="414" t="str">
        <f t="shared" si="211"/>
        <v/>
      </c>
      <c r="AM2305" s="395" t="str">
        <f t="shared" si="212"/>
        <v/>
      </c>
      <c r="AN2305" s="396">
        <f t="shared" si="213"/>
        <v>0</v>
      </c>
      <c r="AO2305" s="109" t="str">
        <f t="shared" si="214"/>
        <v/>
      </c>
      <c r="AP2305" s="109" t="e">
        <f t="shared" si="215"/>
        <v>#VALUE!</v>
      </c>
      <c r="AQ2305" s="397" t="e">
        <f t="shared" si="216"/>
        <v>#VALUE!</v>
      </c>
    </row>
    <row r="2306" spans="38:43">
      <c r="AL2306" s="414" t="str">
        <f t="shared" si="211"/>
        <v/>
      </c>
      <c r="AM2306" s="395" t="str">
        <f t="shared" si="212"/>
        <v/>
      </c>
      <c r="AN2306" s="396">
        <f t="shared" si="213"/>
        <v>0</v>
      </c>
      <c r="AO2306" s="109" t="str">
        <f t="shared" si="214"/>
        <v/>
      </c>
      <c r="AP2306" s="109" t="e">
        <f t="shared" si="215"/>
        <v>#VALUE!</v>
      </c>
      <c r="AQ2306" s="397" t="e">
        <f t="shared" si="216"/>
        <v>#VALUE!</v>
      </c>
    </row>
    <row r="2307" spans="38:43">
      <c r="AL2307" s="414" t="str">
        <f t="shared" ref="AL2307:AL2370" si="217">SUBSTITUTE(SUBSTITUTE(H2307,"[워커힐]워커힐 고메 시그니처 양념 본갈비 8팩","워커힐 시그니처 양념 본갈비 300g, 8개"),"[워커힐]워커힐 시그니처 양념 본갈비 4팩","워커힐 시그니처 양념 본갈비 300g, 4개")</f>
        <v/>
      </c>
      <c r="AM2307" s="395" t="str">
        <f t="shared" ref="AM2307:AM2370" si="218">IF(N2307="배송완료", DATE(LEFT(M2307,4), MID(M2307,6,2), MID(M2307,9,2)), "")</f>
        <v/>
      </c>
      <c r="AN2307" s="396">
        <f t="shared" ref="AN2307:AN2370" si="219">IF(OR(N2307="배송완료", Q2307&lt;0), Q2307, 0)</f>
        <v>0</v>
      </c>
      <c r="AO2307" s="109" t="str">
        <f t="shared" ref="AO2307:AO2370" si="220">IF(AL2307="워커힐 시그니처 양념 본갈비 300g, 8개",119000,IF(AL2307="워커힐 시그니처 양념 본갈비 300g, 4개",78000,""))</f>
        <v/>
      </c>
      <c r="AP2307" s="109" t="e">
        <f t="shared" ref="AP2307:AP2370" si="221">AO2307/1.1</f>
        <v>#VALUE!</v>
      </c>
      <c r="AQ2307" s="397" t="e">
        <f t="shared" si="216"/>
        <v>#VALUE!</v>
      </c>
    </row>
    <row r="2308" spans="38:43">
      <c r="AL2308" s="414" t="str">
        <f t="shared" si="217"/>
        <v/>
      </c>
      <c r="AM2308" s="395" t="str">
        <f t="shared" si="218"/>
        <v/>
      </c>
      <c r="AN2308" s="396">
        <f t="shared" si="219"/>
        <v>0</v>
      </c>
      <c r="AO2308" s="109" t="str">
        <f t="shared" si="220"/>
        <v/>
      </c>
      <c r="AP2308" s="109" t="e">
        <f t="shared" si="221"/>
        <v>#VALUE!</v>
      </c>
      <c r="AQ2308" s="397" t="e">
        <f t="shared" si="216"/>
        <v>#VALUE!</v>
      </c>
    </row>
    <row r="2309" spans="38:43">
      <c r="AL2309" s="414" t="str">
        <f t="shared" si="217"/>
        <v/>
      </c>
      <c r="AM2309" s="395" t="str">
        <f t="shared" si="218"/>
        <v/>
      </c>
      <c r="AN2309" s="396">
        <f t="shared" si="219"/>
        <v>0</v>
      </c>
      <c r="AO2309" s="109" t="str">
        <f t="shared" si="220"/>
        <v/>
      </c>
      <c r="AP2309" s="109" t="e">
        <f t="shared" si="221"/>
        <v>#VALUE!</v>
      </c>
      <c r="AQ2309" s="397" t="e">
        <f t="shared" si="216"/>
        <v>#VALUE!</v>
      </c>
    </row>
    <row r="2310" spans="38:43">
      <c r="AL2310" s="414" t="str">
        <f t="shared" si="217"/>
        <v/>
      </c>
      <c r="AM2310" s="395" t="str">
        <f t="shared" si="218"/>
        <v/>
      </c>
      <c r="AN2310" s="396">
        <f t="shared" si="219"/>
        <v>0</v>
      </c>
      <c r="AO2310" s="109" t="str">
        <f t="shared" si="220"/>
        <v/>
      </c>
      <c r="AP2310" s="109" t="e">
        <f t="shared" si="221"/>
        <v>#VALUE!</v>
      </c>
      <c r="AQ2310" s="397" t="e">
        <f t="shared" si="216"/>
        <v>#VALUE!</v>
      </c>
    </row>
    <row r="2311" spans="38:43">
      <c r="AL2311" s="414" t="str">
        <f t="shared" si="217"/>
        <v/>
      </c>
      <c r="AM2311" s="395" t="str">
        <f t="shared" si="218"/>
        <v/>
      </c>
      <c r="AN2311" s="396">
        <f t="shared" si="219"/>
        <v>0</v>
      </c>
      <c r="AO2311" s="109" t="str">
        <f t="shared" si="220"/>
        <v/>
      </c>
      <c r="AP2311" s="109" t="e">
        <f t="shared" si="221"/>
        <v>#VALUE!</v>
      </c>
      <c r="AQ2311" s="397" t="e">
        <f t="shared" si="216"/>
        <v>#VALUE!</v>
      </c>
    </row>
    <row r="2312" spans="38:43">
      <c r="AL2312" s="414" t="str">
        <f t="shared" si="217"/>
        <v/>
      </c>
      <c r="AM2312" s="395" t="str">
        <f t="shared" si="218"/>
        <v/>
      </c>
      <c r="AN2312" s="396">
        <f t="shared" si="219"/>
        <v>0</v>
      </c>
      <c r="AO2312" s="109" t="str">
        <f t="shared" si="220"/>
        <v/>
      </c>
      <c r="AP2312" s="109" t="e">
        <f t="shared" si="221"/>
        <v>#VALUE!</v>
      </c>
      <c r="AQ2312" s="397" t="e">
        <f t="shared" si="216"/>
        <v>#VALUE!</v>
      </c>
    </row>
    <row r="2313" spans="38:43">
      <c r="AL2313" s="414" t="str">
        <f t="shared" si="217"/>
        <v/>
      </c>
      <c r="AM2313" s="395" t="str">
        <f t="shared" si="218"/>
        <v/>
      </c>
      <c r="AN2313" s="396">
        <f t="shared" si="219"/>
        <v>0</v>
      </c>
      <c r="AO2313" s="109" t="str">
        <f t="shared" si="220"/>
        <v/>
      </c>
      <c r="AP2313" s="109" t="e">
        <f t="shared" si="221"/>
        <v>#VALUE!</v>
      </c>
      <c r="AQ2313" s="397" t="e">
        <f t="shared" si="216"/>
        <v>#VALUE!</v>
      </c>
    </row>
    <row r="2314" spans="38:43">
      <c r="AL2314" s="414" t="str">
        <f t="shared" si="217"/>
        <v/>
      </c>
      <c r="AM2314" s="395" t="str">
        <f t="shared" si="218"/>
        <v/>
      </c>
      <c r="AN2314" s="396">
        <f t="shared" si="219"/>
        <v>0</v>
      </c>
      <c r="AO2314" s="109" t="str">
        <f t="shared" si="220"/>
        <v/>
      </c>
      <c r="AP2314" s="109" t="e">
        <f t="shared" si="221"/>
        <v>#VALUE!</v>
      </c>
      <c r="AQ2314" s="397" t="e">
        <f t="shared" si="216"/>
        <v>#VALUE!</v>
      </c>
    </row>
    <row r="2315" spans="38:43">
      <c r="AL2315" s="414" t="str">
        <f t="shared" si="217"/>
        <v/>
      </c>
      <c r="AM2315" s="395" t="str">
        <f t="shared" si="218"/>
        <v/>
      </c>
      <c r="AN2315" s="396">
        <f t="shared" si="219"/>
        <v>0</v>
      </c>
      <c r="AO2315" s="109" t="str">
        <f t="shared" si="220"/>
        <v/>
      </c>
      <c r="AP2315" s="109" t="e">
        <f t="shared" si="221"/>
        <v>#VALUE!</v>
      </c>
      <c r="AQ2315" s="397" t="e">
        <f t="shared" si="216"/>
        <v>#VALUE!</v>
      </c>
    </row>
    <row r="2316" spans="38:43">
      <c r="AL2316" s="414" t="str">
        <f t="shared" si="217"/>
        <v/>
      </c>
      <c r="AM2316" s="395" t="str">
        <f t="shared" si="218"/>
        <v/>
      </c>
      <c r="AN2316" s="396">
        <f t="shared" si="219"/>
        <v>0</v>
      </c>
      <c r="AO2316" s="109" t="str">
        <f t="shared" si="220"/>
        <v/>
      </c>
      <c r="AP2316" s="109" t="e">
        <f t="shared" si="221"/>
        <v>#VALUE!</v>
      </c>
      <c r="AQ2316" s="397" t="e">
        <f t="shared" si="216"/>
        <v>#VALUE!</v>
      </c>
    </row>
    <row r="2317" spans="38:43">
      <c r="AL2317" s="414" t="str">
        <f t="shared" si="217"/>
        <v/>
      </c>
      <c r="AM2317" s="395" t="str">
        <f t="shared" si="218"/>
        <v/>
      </c>
      <c r="AN2317" s="396">
        <f t="shared" si="219"/>
        <v>0</v>
      </c>
      <c r="AO2317" s="109" t="str">
        <f t="shared" si="220"/>
        <v/>
      </c>
      <c r="AP2317" s="109" t="e">
        <f t="shared" si="221"/>
        <v>#VALUE!</v>
      </c>
      <c r="AQ2317" s="397" t="e">
        <f t="shared" si="216"/>
        <v>#VALUE!</v>
      </c>
    </row>
    <row r="2318" spans="38:43">
      <c r="AL2318" s="414" t="str">
        <f t="shared" si="217"/>
        <v/>
      </c>
      <c r="AM2318" s="395" t="str">
        <f t="shared" si="218"/>
        <v/>
      </c>
      <c r="AN2318" s="396">
        <f t="shared" si="219"/>
        <v>0</v>
      </c>
      <c r="AO2318" s="109" t="str">
        <f t="shared" si="220"/>
        <v/>
      </c>
      <c r="AP2318" s="109" t="e">
        <f t="shared" si="221"/>
        <v>#VALUE!</v>
      </c>
      <c r="AQ2318" s="397" t="e">
        <f t="shared" si="216"/>
        <v>#VALUE!</v>
      </c>
    </row>
    <row r="2319" spans="38:43">
      <c r="AL2319" s="414" t="str">
        <f t="shared" si="217"/>
        <v/>
      </c>
      <c r="AM2319" s="395" t="str">
        <f t="shared" si="218"/>
        <v/>
      </c>
      <c r="AN2319" s="396">
        <f t="shared" si="219"/>
        <v>0</v>
      </c>
      <c r="AO2319" s="109" t="str">
        <f t="shared" si="220"/>
        <v/>
      </c>
      <c r="AP2319" s="109" t="e">
        <f t="shared" si="221"/>
        <v>#VALUE!</v>
      </c>
      <c r="AQ2319" s="397" t="e">
        <f t="shared" si="216"/>
        <v>#VALUE!</v>
      </c>
    </row>
    <row r="2320" spans="38:43">
      <c r="AL2320" s="414" t="str">
        <f t="shared" si="217"/>
        <v/>
      </c>
      <c r="AM2320" s="395" t="str">
        <f t="shared" si="218"/>
        <v/>
      </c>
      <c r="AN2320" s="396">
        <f t="shared" si="219"/>
        <v>0</v>
      </c>
      <c r="AO2320" s="109" t="str">
        <f t="shared" si="220"/>
        <v/>
      </c>
      <c r="AP2320" s="109" t="e">
        <f t="shared" si="221"/>
        <v>#VALUE!</v>
      </c>
      <c r="AQ2320" s="397" t="e">
        <f t="shared" si="216"/>
        <v>#VALUE!</v>
      </c>
    </row>
    <row r="2321" spans="38:43">
      <c r="AL2321" s="414" t="str">
        <f t="shared" si="217"/>
        <v/>
      </c>
      <c r="AM2321" s="395" t="str">
        <f t="shared" si="218"/>
        <v/>
      </c>
      <c r="AN2321" s="396">
        <f t="shared" si="219"/>
        <v>0</v>
      </c>
      <c r="AO2321" s="109" t="str">
        <f t="shared" si="220"/>
        <v/>
      </c>
      <c r="AP2321" s="109" t="e">
        <f t="shared" si="221"/>
        <v>#VALUE!</v>
      </c>
      <c r="AQ2321" s="397" t="e">
        <f t="shared" si="216"/>
        <v>#VALUE!</v>
      </c>
    </row>
    <row r="2322" spans="38:43">
      <c r="AL2322" s="414" t="str">
        <f t="shared" si="217"/>
        <v/>
      </c>
      <c r="AM2322" s="395" t="str">
        <f t="shared" si="218"/>
        <v/>
      </c>
      <c r="AN2322" s="396">
        <f t="shared" si="219"/>
        <v>0</v>
      </c>
      <c r="AO2322" s="109" t="str">
        <f t="shared" si="220"/>
        <v/>
      </c>
      <c r="AP2322" s="109" t="e">
        <f t="shared" si="221"/>
        <v>#VALUE!</v>
      </c>
      <c r="AQ2322" s="397" t="e">
        <f t="shared" si="216"/>
        <v>#VALUE!</v>
      </c>
    </row>
    <row r="2323" spans="38:43">
      <c r="AL2323" s="414" t="str">
        <f t="shared" si="217"/>
        <v/>
      </c>
      <c r="AM2323" s="395" t="str">
        <f t="shared" si="218"/>
        <v/>
      </c>
      <c r="AN2323" s="396">
        <f t="shared" si="219"/>
        <v>0</v>
      </c>
      <c r="AO2323" s="109" t="str">
        <f t="shared" si="220"/>
        <v/>
      </c>
      <c r="AP2323" s="109" t="e">
        <f t="shared" si="221"/>
        <v>#VALUE!</v>
      </c>
      <c r="AQ2323" s="397" t="e">
        <f t="shared" si="216"/>
        <v>#VALUE!</v>
      </c>
    </row>
    <row r="2324" spans="38:43">
      <c r="AL2324" s="414" t="str">
        <f t="shared" si="217"/>
        <v/>
      </c>
      <c r="AM2324" s="395" t="str">
        <f t="shared" si="218"/>
        <v/>
      </c>
      <c r="AN2324" s="396">
        <f t="shared" si="219"/>
        <v>0</v>
      </c>
      <c r="AO2324" s="109" t="str">
        <f t="shared" si="220"/>
        <v/>
      </c>
      <c r="AP2324" s="109" t="e">
        <f t="shared" si="221"/>
        <v>#VALUE!</v>
      </c>
      <c r="AQ2324" s="397" t="e">
        <f t="shared" si="216"/>
        <v>#VALUE!</v>
      </c>
    </row>
    <row r="2325" spans="38:43">
      <c r="AL2325" s="414" t="str">
        <f t="shared" si="217"/>
        <v/>
      </c>
      <c r="AM2325" s="395" t="str">
        <f t="shared" si="218"/>
        <v/>
      </c>
      <c r="AN2325" s="396">
        <f t="shared" si="219"/>
        <v>0</v>
      </c>
      <c r="AO2325" s="109" t="str">
        <f t="shared" si="220"/>
        <v/>
      </c>
      <c r="AP2325" s="109" t="e">
        <f t="shared" si="221"/>
        <v>#VALUE!</v>
      </c>
      <c r="AQ2325" s="397" t="e">
        <f t="shared" si="216"/>
        <v>#VALUE!</v>
      </c>
    </row>
    <row r="2326" spans="38:43">
      <c r="AL2326" s="414" t="str">
        <f t="shared" si="217"/>
        <v/>
      </c>
      <c r="AM2326" s="395" t="str">
        <f t="shared" si="218"/>
        <v/>
      </c>
      <c r="AN2326" s="396">
        <f t="shared" si="219"/>
        <v>0</v>
      </c>
      <c r="AO2326" s="109" t="str">
        <f t="shared" si="220"/>
        <v/>
      </c>
      <c r="AP2326" s="109" t="e">
        <f t="shared" si="221"/>
        <v>#VALUE!</v>
      </c>
      <c r="AQ2326" s="397" t="e">
        <f t="shared" si="216"/>
        <v>#VALUE!</v>
      </c>
    </row>
    <row r="2327" spans="38:43">
      <c r="AL2327" s="414" t="str">
        <f t="shared" si="217"/>
        <v/>
      </c>
      <c r="AM2327" s="395" t="str">
        <f t="shared" si="218"/>
        <v/>
      </c>
      <c r="AN2327" s="396">
        <f t="shared" si="219"/>
        <v>0</v>
      </c>
      <c r="AO2327" s="109" t="str">
        <f t="shared" si="220"/>
        <v/>
      </c>
      <c r="AP2327" s="109" t="e">
        <f t="shared" si="221"/>
        <v>#VALUE!</v>
      </c>
      <c r="AQ2327" s="397" t="e">
        <f t="shared" si="216"/>
        <v>#VALUE!</v>
      </c>
    </row>
    <row r="2328" spans="38:43">
      <c r="AL2328" s="414" t="str">
        <f t="shared" si="217"/>
        <v/>
      </c>
      <c r="AM2328" s="395" t="str">
        <f t="shared" si="218"/>
        <v/>
      </c>
      <c r="AN2328" s="396">
        <f t="shared" si="219"/>
        <v>0</v>
      </c>
      <c r="AO2328" s="109" t="str">
        <f t="shared" si="220"/>
        <v/>
      </c>
      <c r="AP2328" s="109" t="e">
        <f t="shared" si="221"/>
        <v>#VALUE!</v>
      </c>
      <c r="AQ2328" s="397" t="e">
        <f t="shared" si="216"/>
        <v>#VALUE!</v>
      </c>
    </row>
    <row r="2329" spans="38:43">
      <c r="AL2329" s="414" t="str">
        <f t="shared" si="217"/>
        <v/>
      </c>
      <c r="AM2329" s="395" t="str">
        <f t="shared" si="218"/>
        <v/>
      </c>
      <c r="AN2329" s="396">
        <f t="shared" si="219"/>
        <v>0</v>
      </c>
      <c r="AO2329" s="109" t="str">
        <f t="shared" si="220"/>
        <v/>
      </c>
      <c r="AP2329" s="109" t="e">
        <f t="shared" si="221"/>
        <v>#VALUE!</v>
      </c>
      <c r="AQ2329" s="397" t="e">
        <f t="shared" si="216"/>
        <v>#VALUE!</v>
      </c>
    </row>
    <row r="2330" spans="38:43">
      <c r="AL2330" s="414" t="str">
        <f t="shared" si="217"/>
        <v/>
      </c>
      <c r="AM2330" s="395" t="str">
        <f t="shared" si="218"/>
        <v/>
      </c>
      <c r="AN2330" s="396">
        <f t="shared" si="219"/>
        <v>0</v>
      </c>
      <c r="AO2330" s="109" t="str">
        <f t="shared" si="220"/>
        <v/>
      </c>
      <c r="AP2330" s="109" t="e">
        <f t="shared" si="221"/>
        <v>#VALUE!</v>
      </c>
      <c r="AQ2330" s="397" t="e">
        <f t="shared" si="216"/>
        <v>#VALUE!</v>
      </c>
    </row>
    <row r="2331" spans="38:43">
      <c r="AL2331" s="414" t="str">
        <f t="shared" si="217"/>
        <v/>
      </c>
      <c r="AM2331" s="395" t="str">
        <f t="shared" si="218"/>
        <v/>
      </c>
      <c r="AN2331" s="396">
        <f t="shared" si="219"/>
        <v>0</v>
      </c>
      <c r="AO2331" s="109" t="str">
        <f t="shared" si="220"/>
        <v/>
      </c>
      <c r="AP2331" s="109" t="e">
        <f t="shared" si="221"/>
        <v>#VALUE!</v>
      </c>
      <c r="AQ2331" s="397" t="e">
        <f t="shared" si="216"/>
        <v>#VALUE!</v>
      </c>
    </row>
    <row r="2332" spans="38:43">
      <c r="AL2332" s="414" t="str">
        <f t="shared" si="217"/>
        <v/>
      </c>
      <c r="AM2332" s="395" t="str">
        <f t="shared" si="218"/>
        <v/>
      </c>
      <c r="AN2332" s="396">
        <f t="shared" si="219"/>
        <v>0</v>
      </c>
      <c r="AO2332" s="109" t="str">
        <f t="shared" si="220"/>
        <v/>
      </c>
      <c r="AP2332" s="109" t="e">
        <f t="shared" si="221"/>
        <v>#VALUE!</v>
      </c>
      <c r="AQ2332" s="397" t="e">
        <f t="shared" si="216"/>
        <v>#VALUE!</v>
      </c>
    </row>
    <row r="2333" spans="38:43">
      <c r="AL2333" s="414" t="str">
        <f t="shared" si="217"/>
        <v/>
      </c>
      <c r="AM2333" s="395" t="str">
        <f t="shared" si="218"/>
        <v/>
      </c>
      <c r="AN2333" s="396">
        <f t="shared" si="219"/>
        <v>0</v>
      </c>
      <c r="AO2333" s="109" t="str">
        <f t="shared" si="220"/>
        <v/>
      </c>
      <c r="AP2333" s="109" t="e">
        <f t="shared" si="221"/>
        <v>#VALUE!</v>
      </c>
      <c r="AQ2333" s="397" t="e">
        <f t="shared" ref="AQ2333:AQ2396" si="222">AN2333*AP2333</f>
        <v>#VALUE!</v>
      </c>
    </row>
    <row r="2334" spans="38:43">
      <c r="AL2334" s="414" t="str">
        <f t="shared" si="217"/>
        <v/>
      </c>
      <c r="AM2334" s="395" t="str">
        <f t="shared" si="218"/>
        <v/>
      </c>
      <c r="AN2334" s="396">
        <f t="shared" si="219"/>
        <v>0</v>
      </c>
      <c r="AO2334" s="109" t="str">
        <f t="shared" si="220"/>
        <v/>
      </c>
      <c r="AP2334" s="109" t="e">
        <f t="shared" si="221"/>
        <v>#VALUE!</v>
      </c>
      <c r="AQ2334" s="397" t="e">
        <f t="shared" si="222"/>
        <v>#VALUE!</v>
      </c>
    </row>
    <row r="2335" spans="38:43">
      <c r="AL2335" s="414" t="str">
        <f t="shared" si="217"/>
        <v/>
      </c>
      <c r="AM2335" s="395" t="str">
        <f t="shared" si="218"/>
        <v/>
      </c>
      <c r="AN2335" s="396">
        <f t="shared" si="219"/>
        <v>0</v>
      </c>
      <c r="AO2335" s="109" t="str">
        <f t="shared" si="220"/>
        <v/>
      </c>
      <c r="AP2335" s="109" t="e">
        <f t="shared" si="221"/>
        <v>#VALUE!</v>
      </c>
      <c r="AQ2335" s="397" t="e">
        <f t="shared" si="222"/>
        <v>#VALUE!</v>
      </c>
    </row>
    <row r="2336" spans="38:43">
      <c r="AL2336" s="414" t="str">
        <f t="shared" si="217"/>
        <v/>
      </c>
      <c r="AM2336" s="395" t="str">
        <f t="shared" si="218"/>
        <v/>
      </c>
      <c r="AN2336" s="396">
        <f t="shared" si="219"/>
        <v>0</v>
      </c>
      <c r="AO2336" s="109" t="str">
        <f t="shared" si="220"/>
        <v/>
      </c>
      <c r="AP2336" s="109" t="e">
        <f t="shared" si="221"/>
        <v>#VALUE!</v>
      </c>
      <c r="AQ2336" s="397" t="e">
        <f t="shared" si="222"/>
        <v>#VALUE!</v>
      </c>
    </row>
    <row r="2337" spans="38:43">
      <c r="AL2337" s="414" t="str">
        <f t="shared" si="217"/>
        <v/>
      </c>
      <c r="AM2337" s="395" t="str">
        <f t="shared" si="218"/>
        <v/>
      </c>
      <c r="AN2337" s="396">
        <f t="shared" si="219"/>
        <v>0</v>
      </c>
      <c r="AO2337" s="109" t="str">
        <f t="shared" si="220"/>
        <v/>
      </c>
      <c r="AP2337" s="109" t="e">
        <f t="shared" si="221"/>
        <v>#VALUE!</v>
      </c>
      <c r="AQ2337" s="397" t="e">
        <f t="shared" si="222"/>
        <v>#VALUE!</v>
      </c>
    </row>
    <row r="2338" spans="38:43">
      <c r="AL2338" s="414" t="str">
        <f t="shared" si="217"/>
        <v/>
      </c>
      <c r="AM2338" s="395" t="str">
        <f t="shared" si="218"/>
        <v/>
      </c>
      <c r="AN2338" s="396">
        <f t="shared" si="219"/>
        <v>0</v>
      </c>
      <c r="AO2338" s="109" t="str">
        <f t="shared" si="220"/>
        <v/>
      </c>
      <c r="AP2338" s="109" t="e">
        <f t="shared" si="221"/>
        <v>#VALUE!</v>
      </c>
      <c r="AQ2338" s="397" t="e">
        <f t="shared" si="222"/>
        <v>#VALUE!</v>
      </c>
    </row>
    <row r="2339" spans="38:43">
      <c r="AL2339" s="414" t="str">
        <f t="shared" si="217"/>
        <v/>
      </c>
      <c r="AM2339" s="395" t="str">
        <f t="shared" si="218"/>
        <v/>
      </c>
      <c r="AN2339" s="396">
        <f t="shared" si="219"/>
        <v>0</v>
      </c>
      <c r="AO2339" s="109" t="str">
        <f t="shared" si="220"/>
        <v/>
      </c>
      <c r="AP2339" s="109" t="e">
        <f t="shared" si="221"/>
        <v>#VALUE!</v>
      </c>
      <c r="AQ2339" s="397" t="e">
        <f t="shared" si="222"/>
        <v>#VALUE!</v>
      </c>
    </row>
    <row r="2340" spans="38:43">
      <c r="AL2340" s="414" t="str">
        <f t="shared" si="217"/>
        <v/>
      </c>
      <c r="AM2340" s="395" t="str">
        <f t="shared" si="218"/>
        <v/>
      </c>
      <c r="AN2340" s="396">
        <f t="shared" si="219"/>
        <v>0</v>
      </c>
      <c r="AO2340" s="109" t="str">
        <f t="shared" si="220"/>
        <v/>
      </c>
      <c r="AP2340" s="109" t="e">
        <f t="shared" si="221"/>
        <v>#VALUE!</v>
      </c>
      <c r="AQ2340" s="397" t="e">
        <f t="shared" si="222"/>
        <v>#VALUE!</v>
      </c>
    </row>
    <row r="2341" spans="38:43">
      <c r="AL2341" s="414" t="str">
        <f t="shared" si="217"/>
        <v/>
      </c>
      <c r="AM2341" s="395" t="str">
        <f t="shared" si="218"/>
        <v/>
      </c>
      <c r="AN2341" s="396">
        <f t="shared" si="219"/>
        <v>0</v>
      </c>
      <c r="AO2341" s="109" t="str">
        <f t="shared" si="220"/>
        <v/>
      </c>
      <c r="AP2341" s="109" t="e">
        <f t="shared" si="221"/>
        <v>#VALUE!</v>
      </c>
      <c r="AQ2341" s="397" t="e">
        <f t="shared" si="222"/>
        <v>#VALUE!</v>
      </c>
    </row>
    <row r="2342" spans="38:43">
      <c r="AL2342" s="414" t="str">
        <f t="shared" si="217"/>
        <v/>
      </c>
      <c r="AM2342" s="395" t="str">
        <f t="shared" si="218"/>
        <v/>
      </c>
      <c r="AN2342" s="396">
        <f t="shared" si="219"/>
        <v>0</v>
      </c>
      <c r="AO2342" s="109" t="str">
        <f t="shared" si="220"/>
        <v/>
      </c>
      <c r="AP2342" s="109" t="e">
        <f t="shared" si="221"/>
        <v>#VALUE!</v>
      </c>
      <c r="AQ2342" s="397" t="e">
        <f t="shared" si="222"/>
        <v>#VALUE!</v>
      </c>
    </row>
    <row r="2343" spans="38:43">
      <c r="AL2343" s="414" t="str">
        <f t="shared" si="217"/>
        <v/>
      </c>
      <c r="AM2343" s="395" t="str">
        <f t="shared" si="218"/>
        <v/>
      </c>
      <c r="AN2343" s="396">
        <f t="shared" si="219"/>
        <v>0</v>
      </c>
      <c r="AO2343" s="109" t="str">
        <f t="shared" si="220"/>
        <v/>
      </c>
      <c r="AP2343" s="109" t="e">
        <f t="shared" si="221"/>
        <v>#VALUE!</v>
      </c>
      <c r="AQ2343" s="397" t="e">
        <f t="shared" si="222"/>
        <v>#VALUE!</v>
      </c>
    </row>
    <row r="2344" spans="38:43">
      <c r="AL2344" s="414" t="str">
        <f t="shared" si="217"/>
        <v/>
      </c>
      <c r="AM2344" s="395" t="str">
        <f t="shared" si="218"/>
        <v/>
      </c>
      <c r="AN2344" s="396">
        <f t="shared" si="219"/>
        <v>0</v>
      </c>
      <c r="AO2344" s="109" t="str">
        <f t="shared" si="220"/>
        <v/>
      </c>
      <c r="AP2344" s="109" t="e">
        <f t="shared" si="221"/>
        <v>#VALUE!</v>
      </c>
      <c r="AQ2344" s="397" t="e">
        <f t="shared" si="222"/>
        <v>#VALUE!</v>
      </c>
    </row>
    <row r="2345" spans="38:43">
      <c r="AL2345" s="414" t="str">
        <f t="shared" si="217"/>
        <v/>
      </c>
      <c r="AM2345" s="395" t="str">
        <f t="shared" si="218"/>
        <v/>
      </c>
      <c r="AN2345" s="396">
        <f t="shared" si="219"/>
        <v>0</v>
      </c>
      <c r="AO2345" s="109" t="str">
        <f t="shared" si="220"/>
        <v/>
      </c>
      <c r="AP2345" s="109" t="e">
        <f t="shared" si="221"/>
        <v>#VALUE!</v>
      </c>
      <c r="AQ2345" s="397" t="e">
        <f t="shared" si="222"/>
        <v>#VALUE!</v>
      </c>
    </row>
    <row r="2346" spans="38:43">
      <c r="AL2346" s="414" t="str">
        <f t="shared" si="217"/>
        <v/>
      </c>
      <c r="AM2346" s="395" t="str">
        <f t="shared" si="218"/>
        <v/>
      </c>
      <c r="AN2346" s="396">
        <f t="shared" si="219"/>
        <v>0</v>
      </c>
      <c r="AO2346" s="109" t="str">
        <f t="shared" si="220"/>
        <v/>
      </c>
      <c r="AP2346" s="109" t="e">
        <f t="shared" si="221"/>
        <v>#VALUE!</v>
      </c>
      <c r="AQ2346" s="397" t="e">
        <f t="shared" si="222"/>
        <v>#VALUE!</v>
      </c>
    </row>
    <row r="2347" spans="38:43">
      <c r="AL2347" s="414" t="str">
        <f t="shared" si="217"/>
        <v/>
      </c>
      <c r="AM2347" s="395" t="str">
        <f t="shared" si="218"/>
        <v/>
      </c>
      <c r="AN2347" s="396">
        <f t="shared" si="219"/>
        <v>0</v>
      </c>
      <c r="AO2347" s="109" t="str">
        <f t="shared" si="220"/>
        <v/>
      </c>
      <c r="AP2347" s="109" t="e">
        <f t="shared" si="221"/>
        <v>#VALUE!</v>
      </c>
      <c r="AQ2347" s="397" t="e">
        <f t="shared" si="222"/>
        <v>#VALUE!</v>
      </c>
    </row>
    <row r="2348" spans="38:43">
      <c r="AL2348" s="414" t="str">
        <f t="shared" si="217"/>
        <v/>
      </c>
      <c r="AM2348" s="395" t="str">
        <f t="shared" si="218"/>
        <v/>
      </c>
      <c r="AN2348" s="396">
        <f t="shared" si="219"/>
        <v>0</v>
      </c>
      <c r="AO2348" s="109" t="str">
        <f t="shared" si="220"/>
        <v/>
      </c>
      <c r="AP2348" s="109" t="e">
        <f t="shared" si="221"/>
        <v>#VALUE!</v>
      </c>
      <c r="AQ2348" s="397" t="e">
        <f t="shared" si="222"/>
        <v>#VALUE!</v>
      </c>
    </row>
    <row r="2349" spans="38:43">
      <c r="AL2349" s="414" t="str">
        <f t="shared" si="217"/>
        <v/>
      </c>
      <c r="AM2349" s="395" t="str">
        <f t="shared" si="218"/>
        <v/>
      </c>
      <c r="AN2349" s="396">
        <f t="shared" si="219"/>
        <v>0</v>
      </c>
      <c r="AO2349" s="109" t="str">
        <f t="shared" si="220"/>
        <v/>
      </c>
      <c r="AP2349" s="109" t="e">
        <f t="shared" si="221"/>
        <v>#VALUE!</v>
      </c>
      <c r="AQ2349" s="397" t="e">
        <f t="shared" si="222"/>
        <v>#VALUE!</v>
      </c>
    </row>
    <row r="2350" spans="38:43">
      <c r="AL2350" s="414" t="str">
        <f t="shared" si="217"/>
        <v/>
      </c>
      <c r="AM2350" s="395" t="str">
        <f t="shared" si="218"/>
        <v/>
      </c>
      <c r="AN2350" s="396">
        <f t="shared" si="219"/>
        <v>0</v>
      </c>
      <c r="AO2350" s="109" t="str">
        <f t="shared" si="220"/>
        <v/>
      </c>
      <c r="AP2350" s="109" t="e">
        <f t="shared" si="221"/>
        <v>#VALUE!</v>
      </c>
      <c r="AQ2350" s="397" t="e">
        <f t="shared" si="222"/>
        <v>#VALUE!</v>
      </c>
    </row>
    <row r="2351" spans="38:43">
      <c r="AL2351" s="414" t="str">
        <f t="shared" si="217"/>
        <v/>
      </c>
      <c r="AM2351" s="395" t="str">
        <f t="shared" si="218"/>
        <v/>
      </c>
      <c r="AN2351" s="396">
        <f t="shared" si="219"/>
        <v>0</v>
      </c>
      <c r="AO2351" s="109" t="str">
        <f t="shared" si="220"/>
        <v/>
      </c>
      <c r="AP2351" s="109" t="e">
        <f t="shared" si="221"/>
        <v>#VALUE!</v>
      </c>
      <c r="AQ2351" s="397" t="e">
        <f t="shared" si="222"/>
        <v>#VALUE!</v>
      </c>
    </row>
    <row r="2352" spans="38:43">
      <c r="AL2352" s="414" t="str">
        <f t="shared" si="217"/>
        <v/>
      </c>
      <c r="AM2352" s="395" t="str">
        <f t="shared" si="218"/>
        <v/>
      </c>
      <c r="AN2352" s="396">
        <f t="shared" si="219"/>
        <v>0</v>
      </c>
      <c r="AO2352" s="109" t="str">
        <f t="shared" si="220"/>
        <v/>
      </c>
      <c r="AP2352" s="109" t="e">
        <f t="shared" si="221"/>
        <v>#VALUE!</v>
      </c>
      <c r="AQ2352" s="397" t="e">
        <f t="shared" si="222"/>
        <v>#VALUE!</v>
      </c>
    </row>
    <row r="2353" spans="38:43">
      <c r="AL2353" s="414" t="str">
        <f t="shared" si="217"/>
        <v/>
      </c>
      <c r="AM2353" s="395" t="str">
        <f t="shared" si="218"/>
        <v/>
      </c>
      <c r="AN2353" s="396">
        <f t="shared" si="219"/>
        <v>0</v>
      </c>
      <c r="AO2353" s="109" t="str">
        <f t="shared" si="220"/>
        <v/>
      </c>
      <c r="AP2353" s="109" t="e">
        <f t="shared" si="221"/>
        <v>#VALUE!</v>
      </c>
      <c r="AQ2353" s="397" t="e">
        <f t="shared" si="222"/>
        <v>#VALUE!</v>
      </c>
    </row>
    <row r="2354" spans="38:43">
      <c r="AL2354" s="414" t="str">
        <f t="shared" si="217"/>
        <v/>
      </c>
      <c r="AM2354" s="395" t="str">
        <f t="shared" si="218"/>
        <v/>
      </c>
      <c r="AN2354" s="396">
        <f t="shared" si="219"/>
        <v>0</v>
      </c>
      <c r="AO2354" s="109" t="str">
        <f t="shared" si="220"/>
        <v/>
      </c>
      <c r="AP2354" s="109" t="e">
        <f t="shared" si="221"/>
        <v>#VALUE!</v>
      </c>
      <c r="AQ2354" s="397" t="e">
        <f t="shared" si="222"/>
        <v>#VALUE!</v>
      </c>
    </row>
    <row r="2355" spans="38:43">
      <c r="AL2355" s="414" t="str">
        <f t="shared" si="217"/>
        <v/>
      </c>
      <c r="AM2355" s="395" t="str">
        <f t="shared" si="218"/>
        <v/>
      </c>
      <c r="AN2355" s="396">
        <f t="shared" si="219"/>
        <v>0</v>
      </c>
      <c r="AO2355" s="109" t="str">
        <f t="shared" si="220"/>
        <v/>
      </c>
      <c r="AP2355" s="109" t="e">
        <f t="shared" si="221"/>
        <v>#VALUE!</v>
      </c>
      <c r="AQ2355" s="397" t="e">
        <f t="shared" si="222"/>
        <v>#VALUE!</v>
      </c>
    </row>
    <row r="2356" spans="38:43">
      <c r="AL2356" s="414" t="str">
        <f t="shared" si="217"/>
        <v/>
      </c>
      <c r="AM2356" s="395" t="str">
        <f t="shared" si="218"/>
        <v/>
      </c>
      <c r="AN2356" s="396">
        <f t="shared" si="219"/>
        <v>0</v>
      </c>
      <c r="AO2356" s="109" t="str">
        <f t="shared" si="220"/>
        <v/>
      </c>
      <c r="AP2356" s="109" t="e">
        <f t="shared" si="221"/>
        <v>#VALUE!</v>
      </c>
      <c r="AQ2356" s="397" t="e">
        <f t="shared" si="222"/>
        <v>#VALUE!</v>
      </c>
    </row>
    <row r="2357" spans="38:43">
      <c r="AL2357" s="414" t="str">
        <f t="shared" si="217"/>
        <v/>
      </c>
      <c r="AM2357" s="395" t="str">
        <f t="shared" si="218"/>
        <v/>
      </c>
      <c r="AN2357" s="396">
        <f t="shared" si="219"/>
        <v>0</v>
      </c>
      <c r="AO2357" s="109" t="str">
        <f t="shared" si="220"/>
        <v/>
      </c>
      <c r="AP2357" s="109" t="e">
        <f t="shared" si="221"/>
        <v>#VALUE!</v>
      </c>
      <c r="AQ2357" s="397" t="e">
        <f t="shared" si="222"/>
        <v>#VALUE!</v>
      </c>
    </row>
    <row r="2358" spans="38:43">
      <c r="AL2358" s="414" t="str">
        <f t="shared" si="217"/>
        <v/>
      </c>
      <c r="AM2358" s="395" t="str">
        <f t="shared" si="218"/>
        <v/>
      </c>
      <c r="AN2358" s="396">
        <f t="shared" si="219"/>
        <v>0</v>
      </c>
      <c r="AO2358" s="109" t="str">
        <f t="shared" si="220"/>
        <v/>
      </c>
      <c r="AP2358" s="109" t="e">
        <f t="shared" si="221"/>
        <v>#VALUE!</v>
      </c>
      <c r="AQ2358" s="397" t="e">
        <f t="shared" si="222"/>
        <v>#VALUE!</v>
      </c>
    </row>
    <row r="2359" spans="38:43">
      <c r="AL2359" s="414" t="str">
        <f t="shared" si="217"/>
        <v/>
      </c>
      <c r="AM2359" s="395" t="str">
        <f t="shared" si="218"/>
        <v/>
      </c>
      <c r="AN2359" s="396">
        <f t="shared" si="219"/>
        <v>0</v>
      </c>
      <c r="AO2359" s="109" t="str">
        <f t="shared" si="220"/>
        <v/>
      </c>
      <c r="AP2359" s="109" t="e">
        <f t="shared" si="221"/>
        <v>#VALUE!</v>
      </c>
      <c r="AQ2359" s="397" t="e">
        <f t="shared" si="222"/>
        <v>#VALUE!</v>
      </c>
    </row>
    <row r="2360" spans="38:43">
      <c r="AL2360" s="414" t="str">
        <f t="shared" si="217"/>
        <v/>
      </c>
      <c r="AM2360" s="395" t="str">
        <f t="shared" si="218"/>
        <v/>
      </c>
      <c r="AN2360" s="396">
        <f t="shared" si="219"/>
        <v>0</v>
      </c>
      <c r="AO2360" s="109" t="str">
        <f t="shared" si="220"/>
        <v/>
      </c>
      <c r="AP2360" s="109" t="e">
        <f t="shared" si="221"/>
        <v>#VALUE!</v>
      </c>
      <c r="AQ2360" s="397" t="e">
        <f t="shared" si="222"/>
        <v>#VALUE!</v>
      </c>
    </row>
    <row r="2361" spans="38:43">
      <c r="AL2361" s="414" t="str">
        <f t="shared" si="217"/>
        <v/>
      </c>
      <c r="AM2361" s="395" t="str">
        <f t="shared" si="218"/>
        <v/>
      </c>
      <c r="AN2361" s="396">
        <f t="shared" si="219"/>
        <v>0</v>
      </c>
      <c r="AO2361" s="109" t="str">
        <f t="shared" si="220"/>
        <v/>
      </c>
      <c r="AP2361" s="109" t="e">
        <f t="shared" si="221"/>
        <v>#VALUE!</v>
      </c>
      <c r="AQ2361" s="397" t="e">
        <f t="shared" si="222"/>
        <v>#VALUE!</v>
      </c>
    </row>
    <row r="2362" spans="38:43">
      <c r="AL2362" s="414" t="str">
        <f t="shared" si="217"/>
        <v/>
      </c>
      <c r="AM2362" s="395" t="str">
        <f t="shared" si="218"/>
        <v/>
      </c>
      <c r="AN2362" s="396">
        <f t="shared" si="219"/>
        <v>0</v>
      </c>
      <c r="AO2362" s="109" t="str">
        <f t="shared" si="220"/>
        <v/>
      </c>
      <c r="AP2362" s="109" t="e">
        <f t="shared" si="221"/>
        <v>#VALUE!</v>
      </c>
      <c r="AQ2362" s="397" t="e">
        <f t="shared" si="222"/>
        <v>#VALUE!</v>
      </c>
    </row>
    <row r="2363" spans="38:43">
      <c r="AL2363" s="414" t="str">
        <f t="shared" si="217"/>
        <v/>
      </c>
      <c r="AM2363" s="395" t="str">
        <f t="shared" si="218"/>
        <v/>
      </c>
      <c r="AN2363" s="396">
        <f t="shared" si="219"/>
        <v>0</v>
      </c>
      <c r="AO2363" s="109" t="str">
        <f t="shared" si="220"/>
        <v/>
      </c>
      <c r="AP2363" s="109" t="e">
        <f t="shared" si="221"/>
        <v>#VALUE!</v>
      </c>
      <c r="AQ2363" s="397" t="e">
        <f t="shared" si="222"/>
        <v>#VALUE!</v>
      </c>
    </row>
    <row r="2364" spans="38:43">
      <c r="AL2364" s="414" t="str">
        <f t="shared" si="217"/>
        <v/>
      </c>
      <c r="AM2364" s="395" t="str">
        <f t="shared" si="218"/>
        <v/>
      </c>
      <c r="AN2364" s="396">
        <f t="shared" si="219"/>
        <v>0</v>
      </c>
      <c r="AO2364" s="109" t="str">
        <f t="shared" si="220"/>
        <v/>
      </c>
      <c r="AP2364" s="109" t="e">
        <f t="shared" si="221"/>
        <v>#VALUE!</v>
      </c>
      <c r="AQ2364" s="397" t="e">
        <f t="shared" si="222"/>
        <v>#VALUE!</v>
      </c>
    </row>
    <row r="2365" spans="38:43">
      <c r="AL2365" s="414" t="str">
        <f t="shared" si="217"/>
        <v/>
      </c>
      <c r="AM2365" s="395" t="str">
        <f t="shared" si="218"/>
        <v/>
      </c>
      <c r="AN2365" s="396">
        <f t="shared" si="219"/>
        <v>0</v>
      </c>
      <c r="AO2365" s="109" t="str">
        <f t="shared" si="220"/>
        <v/>
      </c>
      <c r="AP2365" s="109" t="e">
        <f t="shared" si="221"/>
        <v>#VALUE!</v>
      </c>
      <c r="AQ2365" s="397" t="e">
        <f t="shared" si="222"/>
        <v>#VALUE!</v>
      </c>
    </row>
    <row r="2366" spans="38:43">
      <c r="AL2366" s="414" t="str">
        <f t="shared" si="217"/>
        <v/>
      </c>
      <c r="AM2366" s="395" t="str">
        <f t="shared" si="218"/>
        <v/>
      </c>
      <c r="AN2366" s="396">
        <f t="shared" si="219"/>
        <v>0</v>
      </c>
      <c r="AO2366" s="109" t="str">
        <f t="shared" si="220"/>
        <v/>
      </c>
      <c r="AP2366" s="109" t="e">
        <f t="shared" si="221"/>
        <v>#VALUE!</v>
      </c>
      <c r="AQ2366" s="397" t="e">
        <f t="shared" si="222"/>
        <v>#VALUE!</v>
      </c>
    </row>
    <row r="2367" spans="38:43">
      <c r="AL2367" s="414" t="str">
        <f t="shared" si="217"/>
        <v/>
      </c>
      <c r="AM2367" s="395" t="str">
        <f t="shared" si="218"/>
        <v/>
      </c>
      <c r="AN2367" s="396">
        <f t="shared" si="219"/>
        <v>0</v>
      </c>
      <c r="AO2367" s="109" t="str">
        <f t="shared" si="220"/>
        <v/>
      </c>
      <c r="AP2367" s="109" t="e">
        <f t="shared" si="221"/>
        <v>#VALUE!</v>
      </c>
      <c r="AQ2367" s="397" t="e">
        <f t="shared" si="222"/>
        <v>#VALUE!</v>
      </c>
    </row>
    <row r="2368" spans="38:43">
      <c r="AL2368" s="414" t="str">
        <f t="shared" si="217"/>
        <v/>
      </c>
      <c r="AM2368" s="395" t="str">
        <f t="shared" si="218"/>
        <v/>
      </c>
      <c r="AN2368" s="396">
        <f t="shared" si="219"/>
        <v>0</v>
      </c>
      <c r="AO2368" s="109" t="str">
        <f t="shared" si="220"/>
        <v/>
      </c>
      <c r="AP2368" s="109" t="e">
        <f t="shared" si="221"/>
        <v>#VALUE!</v>
      </c>
      <c r="AQ2368" s="397" t="e">
        <f t="shared" si="222"/>
        <v>#VALUE!</v>
      </c>
    </row>
    <row r="2369" spans="38:43">
      <c r="AL2369" s="414" t="str">
        <f t="shared" si="217"/>
        <v/>
      </c>
      <c r="AM2369" s="395" t="str">
        <f t="shared" si="218"/>
        <v/>
      </c>
      <c r="AN2369" s="396">
        <f t="shared" si="219"/>
        <v>0</v>
      </c>
      <c r="AO2369" s="109" t="str">
        <f t="shared" si="220"/>
        <v/>
      </c>
      <c r="AP2369" s="109" t="e">
        <f t="shared" si="221"/>
        <v>#VALUE!</v>
      </c>
      <c r="AQ2369" s="397" t="e">
        <f t="shared" si="222"/>
        <v>#VALUE!</v>
      </c>
    </row>
    <row r="2370" spans="38:43">
      <c r="AL2370" s="414" t="str">
        <f t="shared" si="217"/>
        <v/>
      </c>
      <c r="AM2370" s="395" t="str">
        <f t="shared" si="218"/>
        <v/>
      </c>
      <c r="AN2370" s="396">
        <f t="shared" si="219"/>
        <v>0</v>
      </c>
      <c r="AO2370" s="109" t="str">
        <f t="shared" si="220"/>
        <v/>
      </c>
      <c r="AP2370" s="109" t="e">
        <f t="shared" si="221"/>
        <v>#VALUE!</v>
      </c>
      <c r="AQ2370" s="397" t="e">
        <f t="shared" si="222"/>
        <v>#VALUE!</v>
      </c>
    </row>
    <row r="2371" spans="38:43">
      <c r="AL2371" s="414" t="str">
        <f t="shared" ref="AL2371:AL2434" si="223">SUBSTITUTE(SUBSTITUTE(H2371,"[워커힐]워커힐 고메 시그니처 양념 본갈비 8팩","워커힐 시그니처 양념 본갈비 300g, 8개"),"[워커힐]워커힐 시그니처 양념 본갈비 4팩","워커힐 시그니처 양념 본갈비 300g, 4개")</f>
        <v/>
      </c>
      <c r="AM2371" s="395" t="str">
        <f t="shared" ref="AM2371:AM2434" si="224">IF(N2371="배송완료", DATE(LEFT(M2371,4), MID(M2371,6,2), MID(M2371,9,2)), "")</f>
        <v/>
      </c>
      <c r="AN2371" s="396">
        <f t="shared" ref="AN2371:AN2434" si="225">IF(OR(N2371="배송완료", Q2371&lt;0), Q2371, 0)</f>
        <v>0</v>
      </c>
      <c r="AO2371" s="109" t="str">
        <f t="shared" ref="AO2371:AO2434" si="226">IF(AL2371="워커힐 시그니처 양념 본갈비 300g, 8개",119000,IF(AL2371="워커힐 시그니처 양념 본갈비 300g, 4개",78000,""))</f>
        <v/>
      </c>
      <c r="AP2371" s="109" t="e">
        <f t="shared" ref="AP2371:AP2434" si="227">AO2371/1.1</f>
        <v>#VALUE!</v>
      </c>
      <c r="AQ2371" s="397" t="e">
        <f t="shared" si="222"/>
        <v>#VALUE!</v>
      </c>
    </row>
    <row r="2372" spans="38:43">
      <c r="AL2372" s="414" t="str">
        <f t="shared" si="223"/>
        <v/>
      </c>
      <c r="AM2372" s="395" t="str">
        <f t="shared" si="224"/>
        <v/>
      </c>
      <c r="AN2372" s="396">
        <f t="shared" si="225"/>
        <v>0</v>
      </c>
      <c r="AO2372" s="109" t="str">
        <f t="shared" si="226"/>
        <v/>
      </c>
      <c r="AP2372" s="109" t="e">
        <f t="shared" si="227"/>
        <v>#VALUE!</v>
      </c>
      <c r="AQ2372" s="397" t="e">
        <f t="shared" si="222"/>
        <v>#VALUE!</v>
      </c>
    </row>
    <row r="2373" spans="38:43">
      <c r="AL2373" s="414" t="str">
        <f t="shared" si="223"/>
        <v/>
      </c>
      <c r="AM2373" s="395" t="str">
        <f t="shared" si="224"/>
        <v/>
      </c>
      <c r="AN2373" s="396">
        <f t="shared" si="225"/>
        <v>0</v>
      </c>
      <c r="AO2373" s="109" t="str">
        <f t="shared" si="226"/>
        <v/>
      </c>
      <c r="AP2373" s="109" t="e">
        <f t="shared" si="227"/>
        <v>#VALUE!</v>
      </c>
      <c r="AQ2373" s="397" t="e">
        <f t="shared" si="222"/>
        <v>#VALUE!</v>
      </c>
    </row>
    <row r="2374" spans="38:43">
      <c r="AL2374" s="414" t="str">
        <f t="shared" si="223"/>
        <v/>
      </c>
      <c r="AM2374" s="395" t="str">
        <f t="shared" si="224"/>
        <v/>
      </c>
      <c r="AN2374" s="396">
        <f t="shared" si="225"/>
        <v>0</v>
      </c>
      <c r="AO2374" s="109" t="str">
        <f t="shared" si="226"/>
        <v/>
      </c>
      <c r="AP2374" s="109" t="e">
        <f t="shared" si="227"/>
        <v>#VALUE!</v>
      </c>
      <c r="AQ2374" s="397" t="e">
        <f t="shared" si="222"/>
        <v>#VALUE!</v>
      </c>
    </row>
    <row r="2375" spans="38:43">
      <c r="AL2375" s="414" t="str">
        <f t="shared" si="223"/>
        <v/>
      </c>
      <c r="AM2375" s="395" t="str">
        <f t="shared" si="224"/>
        <v/>
      </c>
      <c r="AN2375" s="396">
        <f t="shared" si="225"/>
        <v>0</v>
      </c>
      <c r="AO2375" s="109" t="str">
        <f t="shared" si="226"/>
        <v/>
      </c>
      <c r="AP2375" s="109" t="e">
        <f t="shared" si="227"/>
        <v>#VALUE!</v>
      </c>
      <c r="AQ2375" s="397" t="e">
        <f t="shared" si="222"/>
        <v>#VALUE!</v>
      </c>
    </row>
    <row r="2376" spans="38:43">
      <c r="AL2376" s="414" t="str">
        <f t="shared" si="223"/>
        <v/>
      </c>
      <c r="AM2376" s="395" t="str">
        <f t="shared" si="224"/>
        <v/>
      </c>
      <c r="AN2376" s="396">
        <f t="shared" si="225"/>
        <v>0</v>
      </c>
      <c r="AO2376" s="109" t="str">
        <f t="shared" si="226"/>
        <v/>
      </c>
      <c r="AP2376" s="109" t="e">
        <f t="shared" si="227"/>
        <v>#VALUE!</v>
      </c>
      <c r="AQ2376" s="397" t="e">
        <f t="shared" si="222"/>
        <v>#VALUE!</v>
      </c>
    </row>
    <row r="2377" spans="38:43">
      <c r="AL2377" s="414" t="str">
        <f t="shared" si="223"/>
        <v/>
      </c>
      <c r="AM2377" s="395" t="str">
        <f t="shared" si="224"/>
        <v/>
      </c>
      <c r="AN2377" s="396">
        <f t="shared" si="225"/>
        <v>0</v>
      </c>
      <c r="AO2377" s="109" t="str">
        <f t="shared" si="226"/>
        <v/>
      </c>
      <c r="AP2377" s="109" t="e">
        <f t="shared" si="227"/>
        <v>#VALUE!</v>
      </c>
      <c r="AQ2377" s="397" t="e">
        <f t="shared" si="222"/>
        <v>#VALUE!</v>
      </c>
    </row>
    <row r="2378" spans="38:43">
      <c r="AL2378" s="414" t="str">
        <f t="shared" si="223"/>
        <v/>
      </c>
      <c r="AM2378" s="395" t="str">
        <f t="shared" si="224"/>
        <v/>
      </c>
      <c r="AN2378" s="396">
        <f t="shared" si="225"/>
        <v>0</v>
      </c>
      <c r="AO2378" s="109" t="str">
        <f t="shared" si="226"/>
        <v/>
      </c>
      <c r="AP2378" s="109" t="e">
        <f t="shared" si="227"/>
        <v>#VALUE!</v>
      </c>
      <c r="AQ2378" s="397" t="e">
        <f t="shared" si="222"/>
        <v>#VALUE!</v>
      </c>
    </row>
    <row r="2379" spans="38:43">
      <c r="AL2379" s="414" t="str">
        <f t="shared" si="223"/>
        <v/>
      </c>
      <c r="AM2379" s="395" t="str">
        <f t="shared" si="224"/>
        <v/>
      </c>
      <c r="AN2379" s="396">
        <f t="shared" si="225"/>
        <v>0</v>
      </c>
      <c r="AO2379" s="109" t="str">
        <f t="shared" si="226"/>
        <v/>
      </c>
      <c r="AP2379" s="109" t="e">
        <f t="shared" si="227"/>
        <v>#VALUE!</v>
      </c>
      <c r="AQ2379" s="397" t="e">
        <f t="shared" si="222"/>
        <v>#VALUE!</v>
      </c>
    </row>
    <row r="2380" spans="38:43">
      <c r="AL2380" s="414" t="str">
        <f t="shared" si="223"/>
        <v/>
      </c>
      <c r="AM2380" s="395" t="str">
        <f t="shared" si="224"/>
        <v/>
      </c>
      <c r="AN2380" s="396">
        <f t="shared" si="225"/>
        <v>0</v>
      </c>
      <c r="AO2380" s="109" t="str">
        <f t="shared" si="226"/>
        <v/>
      </c>
      <c r="AP2380" s="109" t="e">
        <f t="shared" si="227"/>
        <v>#VALUE!</v>
      </c>
      <c r="AQ2380" s="397" t="e">
        <f t="shared" si="222"/>
        <v>#VALUE!</v>
      </c>
    </row>
    <row r="2381" spans="38:43">
      <c r="AL2381" s="414" t="str">
        <f t="shared" si="223"/>
        <v/>
      </c>
      <c r="AM2381" s="395" t="str">
        <f t="shared" si="224"/>
        <v/>
      </c>
      <c r="AN2381" s="396">
        <f t="shared" si="225"/>
        <v>0</v>
      </c>
      <c r="AO2381" s="109" t="str">
        <f t="shared" si="226"/>
        <v/>
      </c>
      <c r="AP2381" s="109" t="e">
        <f t="shared" si="227"/>
        <v>#VALUE!</v>
      </c>
      <c r="AQ2381" s="397" t="e">
        <f t="shared" si="222"/>
        <v>#VALUE!</v>
      </c>
    </row>
    <row r="2382" spans="38:43">
      <c r="AL2382" s="414" t="str">
        <f t="shared" si="223"/>
        <v/>
      </c>
      <c r="AM2382" s="395" t="str">
        <f t="shared" si="224"/>
        <v/>
      </c>
      <c r="AN2382" s="396">
        <f t="shared" si="225"/>
        <v>0</v>
      </c>
      <c r="AO2382" s="109" t="str">
        <f t="shared" si="226"/>
        <v/>
      </c>
      <c r="AP2382" s="109" t="e">
        <f t="shared" si="227"/>
        <v>#VALUE!</v>
      </c>
      <c r="AQ2382" s="397" t="e">
        <f t="shared" si="222"/>
        <v>#VALUE!</v>
      </c>
    </row>
    <row r="2383" spans="38:43">
      <c r="AL2383" s="414" t="str">
        <f t="shared" si="223"/>
        <v/>
      </c>
      <c r="AM2383" s="395" t="str">
        <f t="shared" si="224"/>
        <v/>
      </c>
      <c r="AN2383" s="396">
        <f t="shared" si="225"/>
        <v>0</v>
      </c>
      <c r="AO2383" s="109" t="str">
        <f t="shared" si="226"/>
        <v/>
      </c>
      <c r="AP2383" s="109" t="e">
        <f t="shared" si="227"/>
        <v>#VALUE!</v>
      </c>
      <c r="AQ2383" s="397" t="e">
        <f t="shared" si="222"/>
        <v>#VALUE!</v>
      </c>
    </row>
    <row r="2384" spans="38:43">
      <c r="AL2384" s="414" t="str">
        <f t="shared" si="223"/>
        <v/>
      </c>
      <c r="AM2384" s="395" t="str">
        <f t="shared" si="224"/>
        <v/>
      </c>
      <c r="AN2384" s="396">
        <f t="shared" si="225"/>
        <v>0</v>
      </c>
      <c r="AO2384" s="109" t="str">
        <f t="shared" si="226"/>
        <v/>
      </c>
      <c r="AP2384" s="109" t="e">
        <f t="shared" si="227"/>
        <v>#VALUE!</v>
      </c>
      <c r="AQ2384" s="397" t="e">
        <f t="shared" si="222"/>
        <v>#VALUE!</v>
      </c>
    </row>
    <row r="2385" spans="38:43">
      <c r="AL2385" s="414" t="str">
        <f t="shared" si="223"/>
        <v/>
      </c>
      <c r="AM2385" s="395" t="str">
        <f t="shared" si="224"/>
        <v/>
      </c>
      <c r="AN2385" s="396">
        <f t="shared" si="225"/>
        <v>0</v>
      </c>
      <c r="AO2385" s="109" t="str">
        <f t="shared" si="226"/>
        <v/>
      </c>
      <c r="AP2385" s="109" t="e">
        <f t="shared" si="227"/>
        <v>#VALUE!</v>
      </c>
      <c r="AQ2385" s="397" t="e">
        <f t="shared" si="222"/>
        <v>#VALUE!</v>
      </c>
    </row>
    <row r="2386" spans="38:43">
      <c r="AL2386" s="414" t="str">
        <f t="shared" si="223"/>
        <v/>
      </c>
      <c r="AM2386" s="395" t="str">
        <f t="shared" si="224"/>
        <v/>
      </c>
      <c r="AN2386" s="396">
        <f t="shared" si="225"/>
        <v>0</v>
      </c>
      <c r="AO2386" s="109" t="str">
        <f t="shared" si="226"/>
        <v/>
      </c>
      <c r="AP2386" s="109" t="e">
        <f t="shared" si="227"/>
        <v>#VALUE!</v>
      </c>
      <c r="AQ2386" s="397" t="e">
        <f t="shared" si="222"/>
        <v>#VALUE!</v>
      </c>
    </row>
    <row r="2387" spans="38:43">
      <c r="AL2387" s="414" t="str">
        <f t="shared" si="223"/>
        <v/>
      </c>
      <c r="AM2387" s="395" t="str">
        <f t="shared" si="224"/>
        <v/>
      </c>
      <c r="AN2387" s="396">
        <f t="shared" si="225"/>
        <v>0</v>
      </c>
      <c r="AO2387" s="109" t="str">
        <f t="shared" si="226"/>
        <v/>
      </c>
      <c r="AP2387" s="109" t="e">
        <f t="shared" si="227"/>
        <v>#VALUE!</v>
      </c>
      <c r="AQ2387" s="397" t="e">
        <f t="shared" si="222"/>
        <v>#VALUE!</v>
      </c>
    </row>
    <row r="2388" spans="38:43">
      <c r="AL2388" s="414" t="str">
        <f t="shared" si="223"/>
        <v/>
      </c>
      <c r="AM2388" s="395" t="str">
        <f t="shared" si="224"/>
        <v/>
      </c>
      <c r="AN2388" s="396">
        <f t="shared" si="225"/>
        <v>0</v>
      </c>
      <c r="AO2388" s="109" t="str">
        <f t="shared" si="226"/>
        <v/>
      </c>
      <c r="AP2388" s="109" t="e">
        <f t="shared" si="227"/>
        <v>#VALUE!</v>
      </c>
      <c r="AQ2388" s="397" t="e">
        <f t="shared" si="222"/>
        <v>#VALUE!</v>
      </c>
    </row>
    <row r="2389" spans="38:43">
      <c r="AL2389" s="414" t="str">
        <f t="shared" si="223"/>
        <v/>
      </c>
      <c r="AM2389" s="395" t="str">
        <f t="shared" si="224"/>
        <v/>
      </c>
      <c r="AN2389" s="396">
        <f t="shared" si="225"/>
        <v>0</v>
      </c>
      <c r="AO2389" s="109" t="str">
        <f t="shared" si="226"/>
        <v/>
      </c>
      <c r="AP2389" s="109" t="e">
        <f t="shared" si="227"/>
        <v>#VALUE!</v>
      </c>
      <c r="AQ2389" s="397" t="e">
        <f t="shared" si="222"/>
        <v>#VALUE!</v>
      </c>
    </row>
    <row r="2390" spans="38:43">
      <c r="AL2390" s="414" t="str">
        <f t="shared" si="223"/>
        <v/>
      </c>
      <c r="AM2390" s="395" t="str">
        <f t="shared" si="224"/>
        <v/>
      </c>
      <c r="AN2390" s="396">
        <f t="shared" si="225"/>
        <v>0</v>
      </c>
      <c r="AO2390" s="109" t="str">
        <f t="shared" si="226"/>
        <v/>
      </c>
      <c r="AP2390" s="109" t="e">
        <f t="shared" si="227"/>
        <v>#VALUE!</v>
      </c>
      <c r="AQ2390" s="397" t="e">
        <f t="shared" si="222"/>
        <v>#VALUE!</v>
      </c>
    </row>
    <row r="2391" spans="38:43">
      <c r="AL2391" s="414" t="str">
        <f t="shared" si="223"/>
        <v/>
      </c>
      <c r="AM2391" s="395" t="str">
        <f t="shared" si="224"/>
        <v/>
      </c>
      <c r="AN2391" s="396">
        <f t="shared" si="225"/>
        <v>0</v>
      </c>
      <c r="AO2391" s="109" t="str">
        <f t="shared" si="226"/>
        <v/>
      </c>
      <c r="AP2391" s="109" t="e">
        <f t="shared" si="227"/>
        <v>#VALUE!</v>
      </c>
      <c r="AQ2391" s="397" t="e">
        <f t="shared" si="222"/>
        <v>#VALUE!</v>
      </c>
    </row>
    <row r="2392" spans="38:43">
      <c r="AL2392" s="414" t="str">
        <f t="shared" si="223"/>
        <v/>
      </c>
      <c r="AM2392" s="395" t="str">
        <f t="shared" si="224"/>
        <v/>
      </c>
      <c r="AN2392" s="396">
        <f t="shared" si="225"/>
        <v>0</v>
      </c>
      <c r="AO2392" s="109" t="str">
        <f t="shared" si="226"/>
        <v/>
      </c>
      <c r="AP2392" s="109" t="e">
        <f t="shared" si="227"/>
        <v>#VALUE!</v>
      </c>
      <c r="AQ2392" s="397" t="e">
        <f t="shared" si="222"/>
        <v>#VALUE!</v>
      </c>
    </row>
    <row r="2393" spans="38:43">
      <c r="AL2393" s="414" t="str">
        <f t="shared" si="223"/>
        <v/>
      </c>
      <c r="AM2393" s="395" t="str">
        <f t="shared" si="224"/>
        <v/>
      </c>
      <c r="AN2393" s="396">
        <f t="shared" si="225"/>
        <v>0</v>
      </c>
      <c r="AO2393" s="109" t="str">
        <f t="shared" si="226"/>
        <v/>
      </c>
      <c r="AP2393" s="109" t="e">
        <f t="shared" si="227"/>
        <v>#VALUE!</v>
      </c>
      <c r="AQ2393" s="397" t="e">
        <f t="shared" si="222"/>
        <v>#VALUE!</v>
      </c>
    </row>
    <row r="2394" spans="38:43">
      <c r="AL2394" s="414" t="str">
        <f t="shared" si="223"/>
        <v/>
      </c>
      <c r="AM2394" s="395" t="str">
        <f t="shared" si="224"/>
        <v/>
      </c>
      <c r="AN2394" s="396">
        <f t="shared" si="225"/>
        <v>0</v>
      </c>
      <c r="AO2394" s="109" t="str">
        <f t="shared" si="226"/>
        <v/>
      </c>
      <c r="AP2394" s="109" t="e">
        <f t="shared" si="227"/>
        <v>#VALUE!</v>
      </c>
      <c r="AQ2394" s="397" t="e">
        <f t="shared" si="222"/>
        <v>#VALUE!</v>
      </c>
    </row>
    <row r="2395" spans="38:43">
      <c r="AL2395" s="414" t="str">
        <f t="shared" si="223"/>
        <v/>
      </c>
      <c r="AM2395" s="395" t="str">
        <f t="shared" si="224"/>
        <v/>
      </c>
      <c r="AN2395" s="396">
        <f t="shared" si="225"/>
        <v>0</v>
      </c>
      <c r="AO2395" s="109" t="str">
        <f t="shared" si="226"/>
        <v/>
      </c>
      <c r="AP2395" s="109" t="e">
        <f t="shared" si="227"/>
        <v>#VALUE!</v>
      </c>
      <c r="AQ2395" s="397" t="e">
        <f t="shared" si="222"/>
        <v>#VALUE!</v>
      </c>
    </row>
    <row r="2396" spans="38:43">
      <c r="AL2396" s="414" t="str">
        <f t="shared" si="223"/>
        <v/>
      </c>
      <c r="AM2396" s="395" t="str">
        <f t="shared" si="224"/>
        <v/>
      </c>
      <c r="AN2396" s="396">
        <f t="shared" si="225"/>
        <v>0</v>
      </c>
      <c r="AO2396" s="109" t="str">
        <f t="shared" si="226"/>
        <v/>
      </c>
      <c r="AP2396" s="109" t="e">
        <f t="shared" si="227"/>
        <v>#VALUE!</v>
      </c>
      <c r="AQ2396" s="397" t="e">
        <f t="shared" si="222"/>
        <v>#VALUE!</v>
      </c>
    </row>
    <row r="2397" spans="38:43">
      <c r="AL2397" s="414" t="str">
        <f t="shared" si="223"/>
        <v/>
      </c>
      <c r="AM2397" s="395" t="str">
        <f t="shared" si="224"/>
        <v/>
      </c>
      <c r="AN2397" s="396">
        <f t="shared" si="225"/>
        <v>0</v>
      </c>
      <c r="AO2397" s="109" t="str">
        <f t="shared" si="226"/>
        <v/>
      </c>
      <c r="AP2397" s="109" t="e">
        <f t="shared" si="227"/>
        <v>#VALUE!</v>
      </c>
      <c r="AQ2397" s="397" t="e">
        <f t="shared" ref="AQ2397:AQ2460" si="228">AN2397*AP2397</f>
        <v>#VALUE!</v>
      </c>
    </row>
    <row r="2398" spans="38:43">
      <c r="AL2398" s="414" t="str">
        <f t="shared" si="223"/>
        <v/>
      </c>
      <c r="AM2398" s="395" t="str">
        <f t="shared" si="224"/>
        <v/>
      </c>
      <c r="AN2398" s="396">
        <f t="shared" si="225"/>
        <v>0</v>
      </c>
      <c r="AO2398" s="109" t="str">
        <f t="shared" si="226"/>
        <v/>
      </c>
      <c r="AP2398" s="109" t="e">
        <f t="shared" si="227"/>
        <v>#VALUE!</v>
      </c>
      <c r="AQ2398" s="397" t="e">
        <f t="shared" si="228"/>
        <v>#VALUE!</v>
      </c>
    </row>
    <row r="2399" spans="38:43">
      <c r="AL2399" s="414" t="str">
        <f t="shared" si="223"/>
        <v/>
      </c>
      <c r="AM2399" s="395" t="str">
        <f t="shared" si="224"/>
        <v/>
      </c>
      <c r="AN2399" s="396">
        <f t="shared" si="225"/>
        <v>0</v>
      </c>
      <c r="AO2399" s="109" t="str">
        <f t="shared" si="226"/>
        <v/>
      </c>
      <c r="AP2399" s="109" t="e">
        <f t="shared" si="227"/>
        <v>#VALUE!</v>
      </c>
      <c r="AQ2399" s="397" t="e">
        <f t="shared" si="228"/>
        <v>#VALUE!</v>
      </c>
    </row>
    <row r="2400" spans="38:43">
      <c r="AL2400" s="414" t="str">
        <f t="shared" si="223"/>
        <v/>
      </c>
      <c r="AM2400" s="395" t="str">
        <f t="shared" si="224"/>
        <v/>
      </c>
      <c r="AN2400" s="396">
        <f t="shared" si="225"/>
        <v>0</v>
      </c>
      <c r="AO2400" s="109" t="str">
        <f t="shared" si="226"/>
        <v/>
      </c>
      <c r="AP2400" s="109" t="e">
        <f t="shared" si="227"/>
        <v>#VALUE!</v>
      </c>
      <c r="AQ2400" s="397" t="e">
        <f t="shared" si="228"/>
        <v>#VALUE!</v>
      </c>
    </row>
    <row r="2401" spans="38:43">
      <c r="AL2401" s="414" t="str">
        <f t="shared" si="223"/>
        <v/>
      </c>
      <c r="AM2401" s="395" t="str">
        <f t="shared" si="224"/>
        <v/>
      </c>
      <c r="AN2401" s="396">
        <f t="shared" si="225"/>
        <v>0</v>
      </c>
      <c r="AO2401" s="109" t="str">
        <f t="shared" si="226"/>
        <v/>
      </c>
      <c r="AP2401" s="109" t="e">
        <f t="shared" si="227"/>
        <v>#VALUE!</v>
      </c>
      <c r="AQ2401" s="397" t="e">
        <f t="shared" si="228"/>
        <v>#VALUE!</v>
      </c>
    </row>
    <row r="2402" spans="38:43">
      <c r="AL2402" s="414" t="str">
        <f t="shared" si="223"/>
        <v/>
      </c>
      <c r="AM2402" s="395" t="str">
        <f t="shared" si="224"/>
        <v/>
      </c>
      <c r="AN2402" s="396">
        <f t="shared" si="225"/>
        <v>0</v>
      </c>
      <c r="AO2402" s="109" t="str">
        <f t="shared" si="226"/>
        <v/>
      </c>
      <c r="AP2402" s="109" t="e">
        <f t="shared" si="227"/>
        <v>#VALUE!</v>
      </c>
      <c r="AQ2402" s="397" t="e">
        <f t="shared" si="228"/>
        <v>#VALUE!</v>
      </c>
    </row>
    <row r="2403" spans="38:43">
      <c r="AL2403" s="414" t="str">
        <f t="shared" si="223"/>
        <v/>
      </c>
      <c r="AM2403" s="395" t="str">
        <f t="shared" si="224"/>
        <v/>
      </c>
      <c r="AN2403" s="396">
        <f t="shared" si="225"/>
        <v>0</v>
      </c>
      <c r="AO2403" s="109" t="str">
        <f t="shared" si="226"/>
        <v/>
      </c>
      <c r="AP2403" s="109" t="e">
        <f t="shared" si="227"/>
        <v>#VALUE!</v>
      </c>
      <c r="AQ2403" s="397" t="e">
        <f t="shared" si="228"/>
        <v>#VALUE!</v>
      </c>
    </row>
    <row r="2404" spans="38:43">
      <c r="AL2404" s="414" t="str">
        <f t="shared" si="223"/>
        <v/>
      </c>
      <c r="AM2404" s="395" t="str">
        <f t="shared" si="224"/>
        <v/>
      </c>
      <c r="AN2404" s="396">
        <f t="shared" si="225"/>
        <v>0</v>
      </c>
      <c r="AO2404" s="109" t="str">
        <f t="shared" si="226"/>
        <v/>
      </c>
      <c r="AP2404" s="109" t="e">
        <f t="shared" si="227"/>
        <v>#VALUE!</v>
      </c>
      <c r="AQ2404" s="397" t="e">
        <f t="shared" si="228"/>
        <v>#VALUE!</v>
      </c>
    </row>
    <row r="2405" spans="38:43">
      <c r="AL2405" s="414" t="str">
        <f t="shared" si="223"/>
        <v/>
      </c>
      <c r="AM2405" s="395" t="str">
        <f t="shared" si="224"/>
        <v/>
      </c>
      <c r="AN2405" s="396">
        <f t="shared" si="225"/>
        <v>0</v>
      </c>
      <c r="AO2405" s="109" t="str">
        <f t="shared" si="226"/>
        <v/>
      </c>
      <c r="AP2405" s="109" t="e">
        <f t="shared" si="227"/>
        <v>#VALUE!</v>
      </c>
      <c r="AQ2405" s="397" t="e">
        <f t="shared" si="228"/>
        <v>#VALUE!</v>
      </c>
    </row>
    <row r="2406" spans="38:43">
      <c r="AL2406" s="414" t="str">
        <f t="shared" si="223"/>
        <v/>
      </c>
      <c r="AM2406" s="395" t="str">
        <f t="shared" si="224"/>
        <v/>
      </c>
      <c r="AN2406" s="396">
        <f t="shared" si="225"/>
        <v>0</v>
      </c>
      <c r="AO2406" s="109" t="str">
        <f t="shared" si="226"/>
        <v/>
      </c>
      <c r="AP2406" s="109" t="e">
        <f t="shared" si="227"/>
        <v>#VALUE!</v>
      </c>
      <c r="AQ2406" s="397" t="e">
        <f t="shared" si="228"/>
        <v>#VALUE!</v>
      </c>
    </row>
    <row r="2407" spans="38:43">
      <c r="AL2407" s="414" t="str">
        <f t="shared" si="223"/>
        <v/>
      </c>
      <c r="AM2407" s="395" t="str">
        <f t="shared" si="224"/>
        <v/>
      </c>
      <c r="AN2407" s="396">
        <f t="shared" si="225"/>
        <v>0</v>
      </c>
      <c r="AO2407" s="109" t="str">
        <f t="shared" si="226"/>
        <v/>
      </c>
      <c r="AP2407" s="109" t="e">
        <f t="shared" si="227"/>
        <v>#VALUE!</v>
      </c>
      <c r="AQ2407" s="397" t="e">
        <f t="shared" si="228"/>
        <v>#VALUE!</v>
      </c>
    </row>
    <row r="2408" spans="38:43">
      <c r="AL2408" s="414" t="str">
        <f t="shared" si="223"/>
        <v/>
      </c>
      <c r="AM2408" s="395" t="str">
        <f t="shared" si="224"/>
        <v/>
      </c>
      <c r="AN2408" s="396">
        <f t="shared" si="225"/>
        <v>0</v>
      </c>
      <c r="AO2408" s="109" t="str">
        <f t="shared" si="226"/>
        <v/>
      </c>
      <c r="AP2408" s="109" t="e">
        <f t="shared" si="227"/>
        <v>#VALUE!</v>
      </c>
      <c r="AQ2408" s="397" t="e">
        <f t="shared" si="228"/>
        <v>#VALUE!</v>
      </c>
    </row>
    <row r="2409" spans="38:43">
      <c r="AL2409" s="414" t="str">
        <f t="shared" si="223"/>
        <v/>
      </c>
      <c r="AM2409" s="395" t="str">
        <f t="shared" si="224"/>
        <v/>
      </c>
      <c r="AN2409" s="396">
        <f t="shared" si="225"/>
        <v>0</v>
      </c>
      <c r="AO2409" s="109" t="str">
        <f t="shared" si="226"/>
        <v/>
      </c>
      <c r="AP2409" s="109" t="e">
        <f t="shared" si="227"/>
        <v>#VALUE!</v>
      </c>
      <c r="AQ2409" s="397" t="e">
        <f t="shared" si="228"/>
        <v>#VALUE!</v>
      </c>
    </row>
    <row r="2410" spans="38:43">
      <c r="AL2410" s="414" t="str">
        <f t="shared" si="223"/>
        <v/>
      </c>
      <c r="AM2410" s="395" t="str">
        <f t="shared" si="224"/>
        <v/>
      </c>
      <c r="AN2410" s="396">
        <f t="shared" si="225"/>
        <v>0</v>
      </c>
      <c r="AO2410" s="109" t="str">
        <f t="shared" si="226"/>
        <v/>
      </c>
      <c r="AP2410" s="109" t="e">
        <f t="shared" si="227"/>
        <v>#VALUE!</v>
      </c>
      <c r="AQ2410" s="397" t="e">
        <f t="shared" si="228"/>
        <v>#VALUE!</v>
      </c>
    </row>
    <row r="2411" spans="38:43">
      <c r="AL2411" s="414" t="str">
        <f t="shared" si="223"/>
        <v/>
      </c>
      <c r="AM2411" s="395" t="str">
        <f t="shared" si="224"/>
        <v/>
      </c>
      <c r="AN2411" s="396">
        <f t="shared" si="225"/>
        <v>0</v>
      </c>
      <c r="AO2411" s="109" t="str">
        <f t="shared" si="226"/>
        <v/>
      </c>
      <c r="AP2411" s="109" t="e">
        <f t="shared" si="227"/>
        <v>#VALUE!</v>
      </c>
      <c r="AQ2411" s="397" t="e">
        <f t="shared" si="228"/>
        <v>#VALUE!</v>
      </c>
    </row>
    <row r="2412" spans="38:43">
      <c r="AL2412" s="414" t="str">
        <f t="shared" si="223"/>
        <v/>
      </c>
      <c r="AM2412" s="395" t="str">
        <f t="shared" si="224"/>
        <v/>
      </c>
      <c r="AN2412" s="396">
        <f t="shared" si="225"/>
        <v>0</v>
      </c>
      <c r="AO2412" s="109" t="str">
        <f t="shared" si="226"/>
        <v/>
      </c>
      <c r="AP2412" s="109" t="e">
        <f t="shared" si="227"/>
        <v>#VALUE!</v>
      </c>
      <c r="AQ2412" s="397" t="e">
        <f t="shared" si="228"/>
        <v>#VALUE!</v>
      </c>
    </row>
    <row r="2413" spans="38:43">
      <c r="AL2413" s="414" t="str">
        <f t="shared" si="223"/>
        <v/>
      </c>
      <c r="AM2413" s="395" t="str">
        <f t="shared" si="224"/>
        <v/>
      </c>
      <c r="AN2413" s="396">
        <f t="shared" si="225"/>
        <v>0</v>
      </c>
      <c r="AO2413" s="109" t="str">
        <f t="shared" si="226"/>
        <v/>
      </c>
      <c r="AP2413" s="109" t="e">
        <f t="shared" si="227"/>
        <v>#VALUE!</v>
      </c>
      <c r="AQ2413" s="397" t="e">
        <f t="shared" si="228"/>
        <v>#VALUE!</v>
      </c>
    </row>
    <row r="2414" spans="38:43">
      <c r="AL2414" s="414" t="str">
        <f t="shared" si="223"/>
        <v/>
      </c>
      <c r="AM2414" s="395" t="str">
        <f t="shared" si="224"/>
        <v/>
      </c>
      <c r="AN2414" s="396">
        <f t="shared" si="225"/>
        <v>0</v>
      </c>
      <c r="AO2414" s="109" t="str">
        <f t="shared" si="226"/>
        <v/>
      </c>
      <c r="AP2414" s="109" t="e">
        <f t="shared" si="227"/>
        <v>#VALUE!</v>
      </c>
      <c r="AQ2414" s="397" t="e">
        <f t="shared" si="228"/>
        <v>#VALUE!</v>
      </c>
    </row>
    <row r="2415" spans="38:43">
      <c r="AL2415" s="414" t="str">
        <f t="shared" si="223"/>
        <v/>
      </c>
      <c r="AM2415" s="395" t="str">
        <f t="shared" si="224"/>
        <v/>
      </c>
      <c r="AN2415" s="396">
        <f t="shared" si="225"/>
        <v>0</v>
      </c>
      <c r="AO2415" s="109" t="str">
        <f t="shared" si="226"/>
        <v/>
      </c>
      <c r="AP2415" s="109" t="e">
        <f t="shared" si="227"/>
        <v>#VALUE!</v>
      </c>
      <c r="AQ2415" s="397" t="e">
        <f t="shared" si="228"/>
        <v>#VALUE!</v>
      </c>
    </row>
    <row r="2416" spans="38:43">
      <c r="AL2416" s="414" t="str">
        <f t="shared" si="223"/>
        <v/>
      </c>
      <c r="AM2416" s="395" t="str">
        <f t="shared" si="224"/>
        <v/>
      </c>
      <c r="AN2416" s="396">
        <f t="shared" si="225"/>
        <v>0</v>
      </c>
      <c r="AO2416" s="109" t="str">
        <f t="shared" si="226"/>
        <v/>
      </c>
      <c r="AP2416" s="109" t="e">
        <f t="shared" si="227"/>
        <v>#VALUE!</v>
      </c>
      <c r="AQ2416" s="397" t="e">
        <f t="shared" si="228"/>
        <v>#VALUE!</v>
      </c>
    </row>
    <row r="2417" spans="38:43">
      <c r="AL2417" s="414" t="str">
        <f t="shared" si="223"/>
        <v/>
      </c>
      <c r="AM2417" s="395" t="str">
        <f t="shared" si="224"/>
        <v/>
      </c>
      <c r="AN2417" s="396">
        <f t="shared" si="225"/>
        <v>0</v>
      </c>
      <c r="AO2417" s="109" t="str">
        <f t="shared" si="226"/>
        <v/>
      </c>
      <c r="AP2417" s="109" t="e">
        <f t="shared" si="227"/>
        <v>#VALUE!</v>
      </c>
      <c r="AQ2417" s="397" t="e">
        <f t="shared" si="228"/>
        <v>#VALUE!</v>
      </c>
    </row>
    <row r="2418" spans="38:43">
      <c r="AL2418" s="414" t="str">
        <f t="shared" si="223"/>
        <v/>
      </c>
      <c r="AM2418" s="395" t="str">
        <f t="shared" si="224"/>
        <v/>
      </c>
      <c r="AN2418" s="396">
        <f t="shared" si="225"/>
        <v>0</v>
      </c>
      <c r="AO2418" s="109" t="str">
        <f t="shared" si="226"/>
        <v/>
      </c>
      <c r="AP2418" s="109" t="e">
        <f t="shared" si="227"/>
        <v>#VALUE!</v>
      </c>
      <c r="AQ2418" s="397" t="e">
        <f t="shared" si="228"/>
        <v>#VALUE!</v>
      </c>
    </row>
    <row r="2419" spans="38:43">
      <c r="AL2419" s="414" t="str">
        <f t="shared" si="223"/>
        <v/>
      </c>
      <c r="AM2419" s="395" t="str">
        <f t="shared" si="224"/>
        <v/>
      </c>
      <c r="AN2419" s="396">
        <f t="shared" si="225"/>
        <v>0</v>
      </c>
      <c r="AO2419" s="109" t="str">
        <f t="shared" si="226"/>
        <v/>
      </c>
      <c r="AP2419" s="109" t="e">
        <f t="shared" si="227"/>
        <v>#VALUE!</v>
      </c>
      <c r="AQ2419" s="397" t="e">
        <f t="shared" si="228"/>
        <v>#VALUE!</v>
      </c>
    </row>
    <row r="2420" spans="38:43">
      <c r="AL2420" s="414" t="str">
        <f t="shared" si="223"/>
        <v/>
      </c>
      <c r="AM2420" s="395" t="str">
        <f t="shared" si="224"/>
        <v/>
      </c>
      <c r="AN2420" s="396">
        <f t="shared" si="225"/>
        <v>0</v>
      </c>
      <c r="AO2420" s="109" t="str">
        <f t="shared" si="226"/>
        <v/>
      </c>
      <c r="AP2420" s="109" t="e">
        <f t="shared" si="227"/>
        <v>#VALUE!</v>
      </c>
      <c r="AQ2420" s="397" t="e">
        <f t="shared" si="228"/>
        <v>#VALUE!</v>
      </c>
    </row>
    <row r="2421" spans="38:43">
      <c r="AL2421" s="414" t="str">
        <f t="shared" si="223"/>
        <v/>
      </c>
      <c r="AM2421" s="395" t="str">
        <f t="shared" si="224"/>
        <v/>
      </c>
      <c r="AN2421" s="396">
        <f t="shared" si="225"/>
        <v>0</v>
      </c>
      <c r="AO2421" s="109" t="str">
        <f t="shared" si="226"/>
        <v/>
      </c>
      <c r="AP2421" s="109" t="e">
        <f t="shared" si="227"/>
        <v>#VALUE!</v>
      </c>
      <c r="AQ2421" s="397" t="e">
        <f t="shared" si="228"/>
        <v>#VALUE!</v>
      </c>
    </row>
    <row r="2422" spans="38:43">
      <c r="AL2422" s="414" t="str">
        <f t="shared" si="223"/>
        <v/>
      </c>
      <c r="AM2422" s="395" t="str">
        <f t="shared" si="224"/>
        <v/>
      </c>
      <c r="AN2422" s="396">
        <f t="shared" si="225"/>
        <v>0</v>
      </c>
      <c r="AO2422" s="109" t="str">
        <f t="shared" si="226"/>
        <v/>
      </c>
      <c r="AP2422" s="109" t="e">
        <f t="shared" si="227"/>
        <v>#VALUE!</v>
      </c>
      <c r="AQ2422" s="397" t="e">
        <f t="shared" si="228"/>
        <v>#VALUE!</v>
      </c>
    </row>
    <row r="2423" spans="38:43">
      <c r="AL2423" s="414" t="str">
        <f t="shared" si="223"/>
        <v/>
      </c>
      <c r="AM2423" s="395" t="str">
        <f t="shared" si="224"/>
        <v/>
      </c>
      <c r="AN2423" s="396">
        <f t="shared" si="225"/>
        <v>0</v>
      </c>
      <c r="AO2423" s="109" t="str">
        <f t="shared" si="226"/>
        <v/>
      </c>
      <c r="AP2423" s="109" t="e">
        <f t="shared" si="227"/>
        <v>#VALUE!</v>
      </c>
      <c r="AQ2423" s="397" t="e">
        <f t="shared" si="228"/>
        <v>#VALUE!</v>
      </c>
    </row>
    <row r="2424" spans="38:43">
      <c r="AL2424" s="414" t="str">
        <f t="shared" si="223"/>
        <v/>
      </c>
      <c r="AM2424" s="395" t="str">
        <f t="shared" si="224"/>
        <v/>
      </c>
      <c r="AN2424" s="396">
        <f t="shared" si="225"/>
        <v>0</v>
      </c>
      <c r="AO2424" s="109" t="str">
        <f t="shared" si="226"/>
        <v/>
      </c>
      <c r="AP2424" s="109" t="e">
        <f t="shared" si="227"/>
        <v>#VALUE!</v>
      </c>
      <c r="AQ2424" s="397" t="e">
        <f t="shared" si="228"/>
        <v>#VALUE!</v>
      </c>
    </row>
    <row r="2425" spans="38:43">
      <c r="AL2425" s="414" t="str">
        <f t="shared" si="223"/>
        <v/>
      </c>
      <c r="AM2425" s="395" t="str">
        <f t="shared" si="224"/>
        <v/>
      </c>
      <c r="AN2425" s="396">
        <f t="shared" si="225"/>
        <v>0</v>
      </c>
      <c r="AO2425" s="109" t="str">
        <f t="shared" si="226"/>
        <v/>
      </c>
      <c r="AP2425" s="109" t="e">
        <f t="shared" si="227"/>
        <v>#VALUE!</v>
      </c>
      <c r="AQ2425" s="397" t="e">
        <f t="shared" si="228"/>
        <v>#VALUE!</v>
      </c>
    </row>
    <row r="2426" spans="38:43">
      <c r="AL2426" s="414" t="str">
        <f t="shared" si="223"/>
        <v/>
      </c>
      <c r="AM2426" s="395" t="str">
        <f t="shared" si="224"/>
        <v/>
      </c>
      <c r="AN2426" s="396">
        <f t="shared" si="225"/>
        <v>0</v>
      </c>
      <c r="AO2426" s="109" t="str">
        <f t="shared" si="226"/>
        <v/>
      </c>
      <c r="AP2426" s="109" t="e">
        <f t="shared" si="227"/>
        <v>#VALUE!</v>
      </c>
      <c r="AQ2426" s="397" t="e">
        <f t="shared" si="228"/>
        <v>#VALUE!</v>
      </c>
    </row>
    <row r="2427" spans="38:43">
      <c r="AL2427" s="414" t="str">
        <f t="shared" si="223"/>
        <v/>
      </c>
      <c r="AM2427" s="395" t="str">
        <f t="shared" si="224"/>
        <v/>
      </c>
      <c r="AN2427" s="396">
        <f t="shared" si="225"/>
        <v>0</v>
      </c>
      <c r="AO2427" s="109" t="str">
        <f t="shared" si="226"/>
        <v/>
      </c>
      <c r="AP2427" s="109" t="e">
        <f t="shared" si="227"/>
        <v>#VALUE!</v>
      </c>
      <c r="AQ2427" s="397" t="e">
        <f t="shared" si="228"/>
        <v>#VALUE!</v>
      </c>
    </row>
    <row r="2428" spans="38:43">
      <c r="AL2428" s="414" t="str">
        <f t="shared" si="223"/>
        <v/>
      </c>
      <c r="AM2428" s="395" t="str">
        <f t="shared" si="224"/>
        <v/>
      </c>
      <c r="AN2428" s="396">
        <f t="shared" si="225"/>
        <v>0</v>
      </c>
      <c r="AO2428" s="109" t="str">
        <f t="shared" si="226"/>
        <v/>
      </c>
      <c r="AP2428" s="109" t="e">
        <f t="shared" si="227"/>
        <v>#VALUE!</v>
      </c>
      <c r="AQ2428" s="397" t="e">
        <f t="shared" si="228"/>
        <v>#VALUE!</v>
      </c>
    </row>
    <row r="2429" spans="38:43">
      <c r="AL2429" s="414" t="str">
        <f t="shared" si="223"/>
        <v/>
      </c>
      <c r="AM2429" s="395" t="str">
        <f t="shared" si="224"/>
        <v/>
      </c>
      <c r="AN2429" s="396">
        <f t="shared" si="225"/>
        <v>0</v>
      </c>
      <c r="AO2429" s="109" t="str">
        <f t="shared" si="226"/>
        <v/>
      </c>
      <c r="AP2429" s="109" t="e">
        <f t="shared" si="227"/>
        <v>#VALUE!</v>
      </c>
      <c r="AQ2429" s="397" t="e">
        <f t="shared" si="228"/>
        <v>#VALUE!</v>
      </c>
    </row>
    <row r="2430" spans="38:43">
      <c r="AL2430" s="414" t="str">
        <f t="shared" si="223"/>
        <v/>
      </c>
      <c r="AM2430" s="395" t="str">
        <f t="shared" si="224"/>
        <v/>
      </c>
      <c r="AN2430" s="396">
        <f t="shared" si="225"/>
        <v>0</v>
      </c>
      <c r="AO2430" s="109" t="str">
        <f t="shared" si="226"/>
        <v/>
      </c>
      <c r="AP2430" s="109" t="e">
        <f t="shared" si="227"/>
        <v>#VALUE!</v>
      </c>
      <c r="AQ2430" s="397" t="e">
        <f t="shared" si="228"/>
        <v>#VALUE!</v>
      </c>
    </row>
    <row r="2431" spans="38:43">
      <c r="AL2431" s="414" t="str">
        <f t="shared" si="223"/>
        <v/>
      </c>
      <c r="AM2431" s="395" t="str">
        <f t="shared" si="224"/>
        <v/>
      </c>
      <c r="AN2431" s="396">
        <f t="shared" si="225"/>
        <v>0</v>
      </c>
      <c r="AO2431" s="109" t="str">
        <f t="shared" si="226"/>
        <v/>
      </c>
      <c r="AP2431" s="109" t="e">
        <f t="shared" si="227"/>
        <v>#VALUE!</v>
      </c>
      <c r="AQ2431" s="397" t="e">
        <f t="shared" si="228"/>
        <v>#VALUE!</v>
      </c>
    </row>
    <row r="2432" spans="38:43">
      <c r="AL2432" s="414" t="str">
        <f t="shared" si="223"/>
        <v/>
      </c>
      <c r="AM2432" s="395" t="str">
        <f t="shared" si="224"/>
        <v/>
      </c>
      <c r="AN2432" s="396">
        <f t="shared" si="225"/>
        <v>0</v>
      </c>
      <c r="AO2432" s="109" t="str">
        <f t="shared" si="226"/>
        <v/>
      </c>
      <c r="AP2432" s="109" t="e">
        <f t="shared" si="227"/>
        <v>#VALUE!</v>
      </c>
      <c r="AQ2432" s="397" t="e">
        <f t="shared" si="228"/>
        <v>#VALUE!</v>
      </c>
    </row>
    <row r="2433" spans="38:43">
      <c r="AL2433" s="414" t="str">
        <f t="shared" si="223"/>
        <v/>
      </c>
      <c r="AM2433" s="395" t="str">
        <f t="shared" si="224"/>
        <v/>
      </c>
      <c r="AN2433" s="396">
        <f t="shared" si="225"/>
        <v>0</v>
      </c>
      <c r="AO2433" s="109" t="str">
        <f t="shared" si="226"/>
        <v/>
      </c>
      <c r="AP2433" s="109" t="e">
        <f t="shared" si="227"/>
        <v>#VALUE!</v>
      </c>
      <c r="AQ2433" s="397" t="e">
        <f t="shared" si="228"/>
        <v>#VALUE!</v>
      </c>
    </row>
    <row r="2434" spans="38:43">
      <c r="AL2434" s="414" t="str">
        <f t="shared" si="223"/>
        <v/>
      </c>
      <c r="AM2434" s="395" t="str">
        <f t="shared" si="224"/>
        <v/>
      </c>
      <c r="AN2434" s="396">
        <f t="shared" si="225"/>
        <v>0</v>
      </c>
      <c r="AO2434" s="109" t="str">
        <f t="shared" si="226"/>
        <v/>
      </c>
      <c r="AP2434" s="109" t="e">
        <f t="shared" si="227"/>
        <v>#VALUE!</v>
      </c>
      <c r="AQ2434" s="397" t="e">
        <f t="shared" si="228"/>
        <v>#VALUE!</v>
      </c>
    </row>
    <row r="2435" spans="38:43">
      <c r="AL2435" s="414" t="str">
        <f t="shared" ref="AL2435:AL2498" si="229">SUBSTITUTE(SUBSTITUTE(H2435,"[워커힐]워커힐 고메 시그니처 양념 본갈비 8팩","워커힐 시그니처 양념 본갈비 300g, 8개"),"[워커힐]워커힐 시그니처 양념 본갈비 4팩","워커힐 시그니처 양념 본갈비 300g, 4개")</f>
        <v/>
      </c>
      <c r="AM2435" s="395" t="str">
        <f t="shared" ref="AM2435:AM2498" si="230">IF(N2435="배송완료", DATE(LEFT(M2435,4), MID(M2435,6,2), MID(M2435,9,2)), "")</f>
        <v/>
      </c>
      <c r="AN2435" s="396">
        <f t="shared" ref="AN2435:AN2498" si="231">IF(OR(N2435="배송완료", Q2435&lt;0), Q2435, 0)</f>
        <v>0</v>
      </c>
      <c r="AO2435" s="109" t="str">
        <f t="shared" ref="AO2435:AO2498" si="232">IF(AL2435="워커힐 시그니처 양념 본갈비 300g, 8개",119000,IF(AL2435="워커힐 시그니처 양념 본갈비 300g, 4개",78000,""))</f>
        <v/>
      </c>
      <c r="AP2435" s="109" t="e">
        <f t="shared" ref="AP2435:AP2498" si="233">AO2435/1.1</f>
        <v>#VALUE!</v>
      </c>
      <c r="AQ2435" s="397" t="e">
        <f t="shared" si="228"/>
        <v>#VALUE!</v>
      </c>
    </row>
    <row r="2436" spans="38:43">
      <c r="AL2436" s="414" t="str">
        <f t="shared" si="229"/>
        <v/>
      </c>
      <c r="AM2436" s="395" t="str">
        <f t="shared" si="230"/>
        <v/>
      </c>
      <c r="AN2436" s="396">
        <f t="shared" si="231"/>
        <v>0</v>
      </c>
      <c r="AO2436" s="109" t="str">
        <f t="shared" si="232"/>
        <v/>
      </c>
      <c r="AP2436" s="109" t="e">
        <f t="shared" si="233"/>
        <v>#VALUE!</v>
      </c>
      <c r="AQ2436" s="397" t="e">
        <f t="shared" si="228"/>
        <v>#VALUE!</v>
      </c>
    </row>
    <row r="2437" spans="38:43">
      <c r="AL2437" s="414" t="str">
        <f t="shared" si="229"/>
        <v/>
      </c>
      <c r="AM2437" s="395" t="str">
        <f t="shared" si="230"/>
        <v/>
      </c>
      <c r="AN2437" s="396">
        <f t="shared" si="231"/>
        <v>0</v>
      </c>
      <c r="AO2437" s="109" t="str">
        <f t="shared" si="232"/>
        <v/>
      </c>
      <c r="AP2437" s="109" t="e">
        <f t="shared" si="233"/>
        <v>#VALUE!</v>
      </c>
      <c r="AQ2437" s="397" t="e">
        <f t="shared" si="228"/>
        <v>#VALUE!</v>
      </c>
    </row>
    <row r="2438" spans="38:43">
      <c r="AL2438" s="414" t="str">
        <f t="shared" si="229"/>
        <v/>
      </c>
      <c r="AM2438" s="395" t="str">
        <f t="shared" si="230"/>
        <v/>
      </c>
      <c r="AN2438" s="396">
        <f t="shared" si="231"/>
        <v>0</v>
      </c>
      <c r="AO2438" s="109" t="str">
        <f t="shared" si="232"/>
        <v/>
      </c>
      <c r="AP2438" s="109" t="e">
        <f t="shared" si="233"/>
        <v>#VALUE!</v>
      </c>
      <c r="AQ2438" s="397" t="e">
        <f t="shared" si="228"/>
        <v>#VALUE!</v>
      </c>
    </row>
    <row r="2439" spans="38:43">
      <c r="AL2439" s="414" t="str">
        <f t="shared" si="229"/>
        <v/>
      </c>
      <c r="AM2439" s="395" t="str">
        <f t="shared" si="230"/>
        <v/>
      </c>
      <c r="AN2439" s="396">
        <f t="shared" si="231"/>
        <v>0</v>
      </c>
      <c r="AO2439" s="109" t="str">
        <f t="shared" si="232"/>
        <v/>
      </c>
      <c r="AP2439" s="109" t="e">
        <f t="shared" si="233"/>
        <v>#VALUE!</v>
      </c>
      <c r="AQ2439" s="397" t="e">
        <f t="shared" si="228"/>
        <v>#VALUE!</v>
      </c>
    </row>
    <row r="2440" spans="38:43">
      <c r="AL2440" s="414" t="str">
        <f t="shared" si="229"/>
        <v/>
      </c>
      <c r="AM2440" s="395" t="str">
        <f t="shared" si="230"/>
        <v/>
      </c>
      <c r="AN2440" s="396">
        <f t="shared" si="231"/>
        <v>0</v>
      </c>
      <c r="AO2440" s="109" t="str">
        <f t="shared" si="232"/>
        <v/>
      </c>
      <c r="AP2440" s="109" t="e">
        <f t="shared" si="233"/>
        <v>#VALUE!</v>
      </c>
      <c r="AQ2440" s="397" t="e">
        <f t="shared" si="228"/>
        <v>#VALUE!</v>
      </c>
    </row>
    <row r="2441" spans="38:43">
      <c r="AL2441" s="414" t="str">
        <f t="shared" si="229"/>
        <v/>
      </c>
      <c r="AM2441" s="395" t="str">
        <f t="shared" si="230"/>
        <v/>
      </c>
      <c r="AN2441" s="396">
        <f t="shared" si="231"/>
        <v>0</v>
      </c>
      <c r="AO2441" s="109" t="str">
        <f t="shared" si="232"/>
        <v/>
      </c>
      <c r="AP2441" s="109" t="e">
        <f t="shared" si="233"/>
        <v>#VALUE!</v>
      </c>
      <c r="AQ2441" s="397" t="e">
        <f t="shared" si="228"/>
        <v>#VALUE!</v>
      </c>
    </row>
    <row r="2442" spans="38:43">
      <c r="AL2442" s="414" t="str">
        <f t="shared" si="229"/>
        <v/>
      </c>
      <c r="AM2442" s="395" t="str">
        <f t="shared" si="230"/>
        <v/>
      </c>
      <c r="AN2442" s="396">
        <f t="shared" si="231"/>
        <v>0</v>
      </c>
      <c r="AO2442" s="109" t="str">
        <f t="shared" si="232"/>
        <v/>
      </c>
      <c r="AP2442" s="109" t="e">
        <f t="shared" si="233"/>
        <v>#VALUE!</v>
      </c>
      <c r="AQ2442" s="397" t="e">
        <f t="shared" si="228"/>
        <v>#VALUE!</v>
      </c>
    </row>
    <row r="2443" spans="38:43">
      <c r="AL2443" s="414" t="str">
        <f t="shared" si="229"/>
        <v/>
      </c>
      <c r="AM2443" s="395" t="str">
        <f t="shared" si="230"/>
        <v/>
      </c>
      <c r="AN2443" s="396">
        <f t="shared" si="231"/>
        <v>0</v>
      </c>
      <c r="AO2443" s="109" t="str">
        <f t="shared" si="232"/>
        <v/>
      </c>
      <c r="AP2443" s="109" t="e">
        <f t="shared" si="233"/>
        <v>#VALUE!</v>
      </c>
      <c r="AQ2443" s="397" t="e">
        <f t="shared" si="228"/>
        <v>#VALUE!</v>
      </c>
    </row>
    <row r="2444" spans="38:43">
      <c r="AL2444" s="414" t="str">
        <f t="shared" si="229"/>
        <v/>
      </c>
      <c r="AM2444" s="395" t="str">
        <f t="shared" si="230"/>
        <v/>
      </c>
      <c r="AN2444" s="396">
        <f t="shared" si="231"/>
        <v>0</v>
      </c>
      <c r="AO2444" s="109" t="str">
        <f t="shared" si="232"/>
        <v/>
      </c>
      <c r="AP2444" s="109" t="e">
        <f t="shared" si="233"/>
        <v>#VALUE!</v>
      </c>
      <c r="AQ2444" s="397" t="e">
        <f t="shared" si="228"/>
        <v>#VALUE!</v>
      </c>
    </row>
    <row r="2445" spans="38:43">
      <c r="AL2445" s="414" t="str">
        <f t="shared" si="229"/>
        <v/>
      </c>
      <c r="AM2445" s="395" t="str">
        <f t="shared" si="230"/>
        <v/>
      </c>
      <c r="AN2445" s="396">
        <f t="shared" si="231"/>
        <v>0</v>
      </c>
      <c r="AO2445" s="109" t="str">
        <f t="shared" si="232"/>
        <v/>
      </c>
      <c r="AP2445" s="109" t="e">
        <f t="shared" si="233"/>
        <v>#VALUE!</v>
      </c>
      <c r="AQ2445" s="397" t="e">
        <f t="shared" si="228"/>
        <v>#VALUE!</v>
      </c>
    </row>
    <row r="2446" spans="38:43">
      <c r="AL2446" s="414" t="str">
        <f t="shared" si="229"/>
        <v/>
      </c>
      <c r="AM2446" s="395" t="str">
        <f t="shared" si="230"/>
        <v/>
      </c>
      <c r="AN2446" s="396">
        <f t="shared" si="231"/>
        <v>0</v>
      </c>
      <c r="AO2446" s="109" t="str">
        <f t="shared" si="232"/>
        <v/>
      </c>
      <c r="AP2446" s="109" t="e">
        <f t="shared" si="233"/>
        <v>#VALUE!</v>
      </c>
      <c r="AQ2446" s="397" t="e">
        <f t="shared" si="228"/>
        <v>#VALUE!</v>
      </c>
    </row>
    <row r="2447" spans="38:43">
      <c r="AL2447" s="414" t="str">
        <f t="shared" si="229"/>
        <v/>
      </c>
      <c r="AM2447" s="395" t="str">
        <f t="shared" si="230"/>
        <v/>
      </c>
      <c r="AN2447" s="396">
        <f t="shared" si="231"/>
        <v>0</v>
      </c>
      <c r="AO2447" s="109" t="str">
        <f t="shared" si="232"/>
        <v/>
      </c>
      <c r="AP2447" s="109" t="e">
        <f t="shared" si="233"/>
        <v>#VALUE!</v>
      </c>
      <c r="AQ2447" s="397" t="e">
        <f t="shared" si="228"/>
        <v>#VALUE!</v>
      </c>
    </row>
    <row r="2448" spans="38:43">
      <c r="AL2448" s="414" t="str">
        <f t="shared" si="229"/>
        <v/>
      </c>
      <c r="AM2448" s="395" t="str">
        <f t="shared" si="230"/>
        <v/>
      </c>
      <c r="AN2448" s="396">
        <f t="shared" si="231"/>
        <v>0</v>
      </c>
      <c r="AO2448" s="109" t="str">
        <f t="shared" si="232"/>
        <v/>
      </c>
      <c r="AP2448" s="109" t="e">
        <f t="shared" si="233"/>
        <v>#VALUE!</v>
      </c>
      <c r="AQ2448" s="397" t="e">
        <f t="shared" si="228"/>
        <v>#VALUE!</v>
      </c>
    </row>
    <row r="2449" spans="38:43">
      <c r="AL2449" s="414" t="str">
        <f t="shared" si="229"/>
        <v/>
      </c>
      <c r="AM2449" s="395" t="str">
        <f t="shared" si="230"/>
        <v/>
      </c>
      <c r="AN2449" s="396">
        <f t="shared" si="231"/>
        <v>0</v>
      </c>
      <c r="AO2449" s="109" t="str">
        <f t="shared" si="232"/>
        <v/>
      </c>
      <c r="AP2449" s="109" t="e">
        <f t="shared" si="233"/>
        <v>#VALUE!</v>
      </c>
      <c r="AQ2449" s="397" t="e">
        <f t="shared" si="228"/>
        <v>#VALUE!</v>
      </c>
    </row>
    <row r="2450" spans="38:43">
      <c r="AL2450" s="414" t="str">
        <f t="shared" si="229"/>
        <v/>
      </c>
      <c r="AM2450" s="395" t="str">
        <f t="shared" si="230"/>
        <v/>
      </c>
      <c r="AN2450" s="396">
        <f t="shared" si="231"/>
        <v>0</v>
      </c>
      <c r="AO2450" s="109" t="str">
        <f t="shared" si="232"/>
        <v/>
      </c>
      <c r="AP2450" s="109" t="e">
        <f t="shared" si="233"/>
        <v>#VALUE!</v>
      </c>
      <c r="AQ2450" s="397" t="e">
        <f t="shared" si="228"/>
        <v>#VALUE!</v>
      </c>
    </row>
    <row r="2451" spans="38:43">
      <c r="AL2451" s="414" t="str">
        <f t="shared" si="229"/>
        <v/>
      </c>
      <c r="AM2451" s="395" t="str">
        <f t="shared" si="230"/>
        <v/>
      </c>
      <c r="AN2451" s="396">
        <f t="shared" si="231"/>
        <v>0</v>
      </c>
      <c r="AO2451" s="109" t="str">
        <f t="shared" si="232"/>
        <v/>
      </c>
      <c r="AP2451" s="109" t="e">
        <f t="shared" si="233"/>
        <v>#VALUE!</v>
      </c>
      <c r="AQ2451" s="397" t="e">
        <f t="shared" si="228"/>
        <v>#VALUE!</v>
      </c>
    </row>
    <row r="2452" spans="38:43">
      <c r="AL2452" s="414" t="str">
        <f t="shared" si="229"/>
        <v/>
      </c>
      <c r="AM2452" s="395" t="str">
        <f t="shared" si="230"/>
        <v/>
      </c>
      <c r="AN2452" s="396">
        <f t="shared" si="231"/>
        <v>0</v>
      </c>
      <c r="AO2452" s="109" t="str">
        <f t="shared" si="232"/>
        <v/>
      </c>
      <c r="AP2452" s="109" t="e">
        <f t="shared" si="233"/>
        <v>#VALUE!</v>
      </c>
      <c r="AQ2452" s="397" t="e">
        <f t="shared" si="228"/>
        <v>#VALUE!</v>
      </c>
    </row>
    <row r="2453" spans="38:43">
      <c r="AL2453" s="414" t="str">
        <f t="shared" si="229"/>
        <v/>
      </c>
      <c r="AM2453" s="395" t="str">
        <f t="shared" si="230"/>
        <v/>
      </c>
      <c r="AN2453" s="396">
        <f t="shared" si="231"/>
        <v>0</v>
      </c>
      <c r="AO2453" s="109" t="str">
        <f t="shared" si="232"/>
        <v/>
      </c>
      <c r="AP2453" s="109" t="e">
        <f t="shared" si="233"/>
        <v>#VALUE!</v>
      </c>
      <c r="AQ2453" s="397" t="e">
        <f t="shared" si="228"/>
        <v>#VALUE!</v>
      </c>
    </row>
    <row r="2454" spans="38:43">
      <c r="AL2454" s="414" t="str">
        <f t="shared" si="229"/>
        <v/>
      </c>
      <c r="AM2454" s="395" t="str">
        <f t="shared" si="230"/>
        <v/>
      </c>
      <c r="AN2454" s="396">
        <f t="shared" si="231"/>
        <v>0</v>
      </c>
      <c r="AO2454" s="109" t="str">
        <f t="shared" si="232"/>
        <v/>
      </c>
      <c r="AP2454" s="109" t="e">
        <f t="shared" si="233"/>
        <v>#VALUE!</v>
      </c>
      <c r="AQ2454" s="397" t="e">
        <f t="shared" si="228"/>
        <v>#VALUE!</v>
      </c>
    </row>
    <row r="2455" spans="38:43">
      <c r="AL2455" s="414" t="str">
        <f t="shared" si="229"/>
        <v/>
      </c>
      <c r="AM2455" s="395" t="str">
        <f t="shared" si="230"/>
        <v/>
      </c>
      <c r="AN2455" s="396">
        <f t="shared" si="231"/>
        <v>0</v>
      </c>
      <c r="AO2455" s="109" t="str">
        <f t="shared" si="232"/>
        <v/>
      </c>
      <c r="AP2455" s="109" t="e">
        <f t="shared" si="233"/>
        <v>#VALUE!</v>
      </c>
      <c r="AQ2455" s="397" t="e">
        <f t="shared" si="228"/>
        <v>#VALUE!</v>
      </c>
    </row>
    <row r="2456" spans="38:43">
      <c r="AL2456" s="414" t="str">
        <f t="shared" si="229"/>
        <v/>
      </c>
      <c r="AM2456" s="395" t="str">
        <f t="shared" si="230"/>
        <v/>
      </c>
      <c r="AN2456" s="396">
        <f t="shared" si="231"/>
        <v>0</v>
      </c>
      <c r="AO2456" s="109" t="str">
        <f t="shared" si="232"/>
        <v/>
      </c>
      <c r="AP2456" s="109" t="e">
        <f t="shared" si="233"/>
        <v>#VALUE!</v>
      </c>
      <c r="AQ2456" s="397" t="e">
        <f t="shared" si="228"/>
        <v>#VALUE!</v>
      </c>
    </row>
    <row r="2457" spans="38:43">
      <c r="AL2457" s="414" t="str">
        <f t="shared" si="229"/>
        <v/>
      </c>
      <c r="AM2457" s="395" t="str">
        <f t="shared" si="230"/>
        <v/>
      </c>
      <c r="AN2457" s="396">
        <f t="shared" si="231"/>
        <v>0</v>
      </c>
      <c r="AO2457" s="109" t="str">
        <f t="shared" si="232"/>
        <v/>
      </c>
      <c r="AP2457" s="109" t="e">
        <f t="shared" si="233"/>
        <v>#VALUE!</v>
      </c>
      <c r="AQ2457" s="397" t="e">
        <f t="shared" si="228"/>
        <v>#VALUE!</v>
      </c>
    </row>
    <row r="2458" spans="38:43">
      <c r="AL2458" s="414" t="str">
        <f t="shared" si="229"/>
        <v/>
      </c>
      <c r="AM2458" s="395" t="str">
        <f t="shared" si="230"/>
        <v/>
      </c>
      <c r="AN2458" s="396">
        <f t="shared" si="231"/>
        <v>0</v>
      </c>
      <c r="AO2458" s="109" t="str">
        <f t="shared" si="232"/>
        <v/>
      </c>
      <c r="AP2458" s="109" t="e">
        <f t="shared" si="233"/>
        <v>#VALUE!</v>
      </c>
      <c r="AQ2458" s="397" t="e">
        <f t="shared" si="228"/>
        <v>#VALUE!</v>
      </c>
    </row>
    <row r="2459" spans="38:43">
      <c r="AL2459" s="414" t="str">
        <f t="shared" si="229"/>
        <v/>
      </c>
      <c r="AM2459" s="395" t="str">
        <f t="shared" si="230"/>
        <v/>
      </c>
      <c r="AN2459" s="396">
        <f t="shared" si="231"/>
        <v>0</v>
      </c>
      <c r="AO2459" s="109" t="str">
        <f t="shared" si="232"/>
        <v/>
      </c>
      <c r="AP2459" s="109" t="e">
        <f t="shared" si="233"/>
        <v>#VALUE!</v>
      </c>
      <c r="AQ2459" s="397" t="e">
        <f t="shared" si="228"/>
        <v>#VALUE!</v>
      </c>
    </row>
    <row r="2460" spans="38:43">
      <c r="AL2460" s="414" t="str">
        <f t="shared" si="229"/>
        <v/>
      </c>
      <c r="AM2460" s="395" t="str">
        <f t="shared" si="230"/>
        <v/>
      </c>
      <c r="AN2460" s="396">
        <f t="shared" si="231"/>
        <v>0</v>
      </c>
      <c r="AO2460" s="109" t="str">
        <f t="shared" si="232"/>
        <v/>
      </c>
      <c r="AP2460" s="109" t="e">
        <f t="shared" si="233"/>
        <v>#VALUE!</v>
      </c>
      <c r="AQ2460" s="397" t="e">
        <f t="shared" si="228"/>
        <v>#VALUE!</v>
      </c>
    </row>
    <row r="2461" spans="38:43">
      <c r="AL2461" s="414" t="str">
        <f t="shared" si="229"/>
        <v/>
      </c>
      <c r="AM2461" s="395" t="str">
        <f t="shared" si="230"/>
        <v/>
      </c>
      <c r="AN2461" s="396">
        <f t="shared" si="231"/>
        <v>0</v>
      </c>
      <c r="AO2461" s="109" t="str">
        <f t="shared" si="232"/>
        <v/>
      </c>
      <c r="AP2461" s="109" t="e">
        <f t="shared" si="233"/>
        <v>#VALUE!</v>
      </c>
      <c r="AQ2461" s="397" t="e">
        <f t="shared" ref="AQ2461:AQ2523" si="234">AN2461*AP2461</f>
        <v>#VALUE!</v>
      </c>
    </row>
    <row r="2462" spans="38:43">
      <c r="AL2462" s="414" t="str">
        <f t="shared" si="229"/>
        <v/>
      </c>
      <c r="AM2462" s="395" t="str">
        <f t="shared" si="230"/>
        <v/>
      </c>
      <c r="AN2462" s="396">
        <f t="shared" si="231"/>
        <v>0</v>
      </c>
      <c r="AO2462" s="109" t="str">
        <f t="shared" si="232"/>
        <v/>
      </c>
      <c r="AP2462" s="109" t="e">
        <f t="shared" si="233"/>
        <v>#VALUE!</v>
      </c>
      <c r="AQ2462" s="397" t="e">
        <f t="shared" si="234"/>
        <v>#VALUE!</v>
      </c>
    </row>
    <row r="2463" spans="38:43">
      <c r="AL2463" s="414" t="str">
        <f t="shared" si="229"/>
        <v/>
      </c>
      <c r="AM2463" s="395" t="str">
        <f t="shared" si="230"/>
        <v/>
      </c>
      <c r="AN2463" s="396">
        <f t="shared" si="231"/>
        <v>0</v>
      </c>
      <c r="AO2463" s="109" t="str">
        <f t="shared" si="232"/>
        <v/>
      </c>
      <c r="AP2463" s="109" t="e">
        <f t="shared" si="233"/>
        <v>#VALUE!</v>
      </c>
      <c r="AQ2463" s="397" t="e">
        <f t="shared" si="234"/>
        <v>#VALUE!</v>
      </c>
    </row>
    <row r="2464" spans="38:43">
      <c r="AL2464" s="414" t="str">
        <f t="shared" si="229"/>
        <v/>
      </c>
      <c r="AM2464" s="395" t="str">
        <f t="shared" si="230"/>
        <v/>
      </c>
      <c r="AN2464" s="396">
        <f t="shared" si="231"/>
        <v>0</v>
      </c>
      <c r="AO2464" s="109" t="str">
        <f t="shared" si="232"/>
        <v/>
      </c>
      <c r="AP2464" s="109" t="e">
        <f t="shared" si="233"/>
        <v>#VALUE!</v>
      </c>
      <c r="AQ2464" s="397" t="e">
        <f t="shared" si="234"/>
        <v>#VALUE!</v>
      </c>
    </row>
    <row r="2465" spans="38:43">
      <c r="AL2465" s="414" t="str">
        <f t="shared" si="229"/>
        <v/>
      </c>
      <c r="AM2465" s="395" t="str">
        <f t="shared" si="230"/>
        <v/>
      </c>
      <c r="AN2465" s="396">
        <f t="shared" si="231"/>
        <v>0</v>
      </c>
      <c r="AO2465" s="109" t="str">
        <f t="shared" si="232"/>
        <v/>
      </c>
      <c r="AP2465" s="109" t="e">
        <f t="shared" si="233"/>
        <v>#VALUE!</v>
      </c>
      <c r="AQ2465" s="397" t="e">
        <f t="shared" si="234"/>
        <v>#VALUE!</v>
      </c>
    </row>
    <row r="2466" spans="38:43">
      <c r="AL2466" s="414" t="str">
        <f t="shared" si="229"/>
        <v/>
      </c>
      <c r="AM2466" s="395" t="str">
        <f t="shared" si="230"/>
        <v/>
      </c>
      <c r="AN2466" s="396">
        <f t="shared" si="231"/>
        <v>0</v>
      </c>
      <c r="AO2466" s="109" t="str">
        <f t="shared" si="232"/>
        <v/>
      </c>
      <c r="AP2466" s="109" t="e">
        <f t="shared" si="233"/>
        <v>#VALUE!</v>
      </c>
      <c r="AQ2466" s="397" t="e">
        <f t="shared" si="234"/>
        <v>#VALUE!</v>
      </c>
    </row>
    <row r="2467" spans="38:43">
      <c r="AL2467" s="414" t="str">
        <f t="shared" si="229"/>
        <v/>
      </c>
      <c r="AM2467" s="395" t="str">
        <f t="shared" si="230"/>
        <v/>
      </c>
      <c r="AN2467" s="396">
        <f t="shared" si="231"/>
        <v>0</v>
      </c>
      <c r="AO2467" s="109" t="str">
        <f t="shared" si="232"/>
        <v/>
      </c>
      <c r="AP2467" s="109" t="e">
        <f t="shared" si="233"/>
        <v>#VALUE!</v>
      </c>
      <c r="AQ2467" s="397" t="e">
        <f t="shared" si="234"/>
        <v>#VALUE!</v>
      </c>
    </row>
    <row r="2468" spans="38:43">
      <c r="AL2468" s="414" t="str">
        <f t="shared" si="229"/>
        <v/>
      </c>
      <c r="AM2468" s="395" t="str">
        <f t="shared" si="230"/>
        <v/>
      </c>
      <c r="AN2468" s="396">
        <f t="shared" si="231"/>
        <v>0</v>
      </c>
      <c r="AO2468" s="109" t="str">
        <f t="shared" si="232"/>
        <v/>
      </c>
      <c r="AP2468" s="109" t="e">
        <f t="shared" si="233"/>
        <v>#VALUE!</v>
      </c>
      <c r="AQ2468" s="397" t="e">
        <f t="shared" si="234"/>
        <v>#VALUE!</v>
      </c>
    </row>
    <row r="2469" spans="38:43">
      <c r="AL2469" s="414" t="str">
        <f t="shared" si="229"/>
        <v/>
      </c>
      <c r="AM2469" s="395" t="str">
        <f t="shared" si="230"/>
        <v/>
      </c>
      <c r="AN2469" s="396">
        <f t="shared" si="231"/>
        <v>0</v>
      </c>
      <c r="AO2469" s="109" t="str">
        <f t="shared" si="232"/>
        <v/>
      </c>
      <c r="AP2469" s="109" t="e">
        <f t="shared" si="233"/>
        <v>#VALUE!</v>
      </c>
      <c r="AQ2469" s="397" t="e">
        <f t="shared" si="234"/>
        <v>#VALUE!</v>
      </c>
    </row>
    <row r="2470" spans="38:43">
      <c r="AL2470" s="414" t="str">
        <f t="shared" si="229"/>
        <v/>
      </c>
      <c r="AM2470" s="395" t="str">
        <f t="shared" si="230"/>
        <v/>
      </c>
      <c r="AN2470" s="396">
        <f t="shared" si="231"/>
        <v>0</v>
      </c>
      <c r="AO2470" s="109" t="str">
        <f t="shared" si="232"/>
        <v/>
      </c>
      <c r="AP2470" s="109" t="e">
        <f t="shared" si="233"/>
        <v>#VALUE!</v>
      </c>
      <c r="AQ2470" s="397" t="e">
        <f t="shared" si="234"/>
        <v>#VALUE!</v>
      </c>
    </row>
    <row r="2471" spans="38:43">
      <c r="AL2471" s="414" t="str">
        <f t="shared" si="229"/>
        <v/>
      </c>
      <c r="AM2471" s="395" t="str">
        <f t="shared" si="230"/>
        <v/>
      </c>
      <c r="AN2471" s="396">
        <f t="shared" si="231"/>
        <v>0</v>
      </c>
      <c r="AO2471" s="109" t="str">
        <f t="shared" si="232"/>
        <v/>
      </c>
      <c r="AP2471" s="109" t="e">
        <f t="shared" si="233"/>
        <v>#VALUE!</v>
      </c>
      <c r="AQ2471" s="397" t="e">
        <f t="shared" si="234"/>
        <v>#VALUE!</v>
      </c>
    </row>
    <row r="2472" spans="38:43">
      <c r="AL2472" s="414" t="str">
        <f t="shared" si="229"/>
        <v/>
      </c>
      <c r="AM2472" s="395" t="str">
        <f t="shared" si="230"/>
        <v/>
      </c>
      <c r="AN2472" s="396">
        <f t="shared" si="231"/>
        <v>0</v>
      </c>
      <c r="AO2472" s="109" t="str">
        <f t="shared" si="232"/>
        <v/>
      </c>
      <c r="AP2472" s="109" t="e">
        <f t="shared" si="233"/>
        <v>#VALUE!</v>
      </c>
      <c r="AQ2472" s="397" t="e">
        <f t="shared" si="234"/>
        <v>#VALUE!</v>
      </c>
    </row>
    <row r="2473" spans="38:43">
      <c r="AL2473" s="414" t="str">
        <f t="shared" si="229"/>
        <v/>
      </c>
      <c r="AM2473" s="395" t="str">
        <f t="shared" si="230"/>
        <v/>
      </c>
      <c r="AN2473" s="396">
        <f t="shared" si="231"/>
        <v>0</v>
      </c>
      <c r="AO2473" s="109" t="str">
        <f t="shared" si="232"/>
        <v/>
      </c>
      <c r="AP2473" s="109" t="e">
        <f t="shared" si="233"/>
        <v>#VALUE!</v>
      </c>
      <c r="AQ2473" s="397" t="e">
        <f t="shared" si="234"/>
        <v>#VALUE!</v>
      </c>
    </row>
    <row r="2474" spans="38:43">
      <c r="AL2474" s="414" t="str">
        <f t="shared" si="229"/>
        <v/>
      </c>
      <c r="AM2474" s="395" t="str">
        <f t="shared" si="230"/>
        <v/>
      </c>
      <c r="AN2474" s="396">
        <f t="shared" si="231"/>
        <v>0</v>
      </c>
      <c r="AO2474" s="109" t="str">
        <f t="shared" si="232"/>
        <v/>
      </c>
      <c r="AP2474" s="109" t="e">
        <f t="shared" si="233"/>
        <v>#VALUE!</v>
      </c>
      <c r="AQ2474" s="397" t="e">
        <f t="shared" si="234"/>
        <v>#VALUE!</v>
      </c>
    </row>
    <row r="2475" spans="38:43">
      <c r="AL2475" s="414" t="str">
        <f t="shared" si="229"/>
        <v/>
      </c>
      <c r="AM2475" s="395" t="str">
        <f t="shared" si="230"/>
        <v/>
      </c>
      <c r="AN2475" s="396">
        <f t="shared" si="231"/>
        <v>0</v>
      </c>
      <c r="AO2475" s="109" t="str">
        <f t="shared" si="232"/>
        <v/>
      </c>
      <c r="AP2475" s="109" t="e">
        <f t="shared" si="233"/>
        <v>#VALUE!</v>
      </c>
      <c r="AQ2475" s="397" t="e">
        <f t="shared" si="234"/>
        <v>#VALUE!</v>
      </c>
    </row>
    <row r="2476" spans="38:43">
      <c r="AL2476" s="414" t="str">
        <f t="shared" si="229"/>
        <v/>
      </c>
      <c r="AM2476" s="395" t="str">
        <f t="shared" si="230"/>
        <v/>
      </c>
      <c r="AN2476" s="396">
        <f t="shared" si="231"/>
        <v>0</v>
      </c>
      <c r="AO2476" s="109" t="str">
        <f t="shared" si="232"/>
        <v/>
      </c>
      <c r="AP2476" s="109" t="e">
        <f t="shared" si="233"/>
        <v>#VALUE!</v>
      </c>
      <c r="AQ2476" s="397" t="e">
        <f t="shared" si="234"/>
        <v>#VALUE!</v>
      </c>
    </row>
    <row r="2477" spans="38:43">
      <c r="AL2477" s="414" t="str">
        <f t="shared" si="229"/>
        <v/>
      </c>
      <c r="AM2477" s="395" t="str">
        <f t="shared" si="230"/>
        <v/>
      </c>
      <c r="AN2477" s="396">
        <f t="shared" si="231"/>
        <v>0</v>
      </c>
      <c r="AO2477" s="109" t="str">
        <f t="shared" si="232"/>
        <v/>
      </c>
      <c r="AP2477" s="109" t="e">
        <f t="shared" si="233"/>
        <v>#VALUE!</v>
      </c>
      <c r="AQ2477" s="397" t="e">
        <f t="shared" si="234"/>
        <v>#VALUE!</v>
      </c>
    </row>
    <row r="2478" spans="38:43">
      <c r="AL2478" s="414" t="str">
        <f t="shared" si="229"/>
        <v/>
      </c>
      <c r="AM2478" s="395" t="str">
        <f t="shared" si="230"/>
        <v/>
      </c>
      <c r="AN2478" s="396">
        <f t="shared" si="231"/>
        <v>0</v>
      </c>
      <c r="AO2478" s="109" t="str">
        <f t="shared" si="232"/>
        <v/>
      </c>
      <c r="AP2478" s="109" t="e">
        <f t="shared" si="233"/>
        <v>#VALUE!</v>
      </c>
      <c r="AQ2478" s="397" t="e">
        <f t="shared" si="234"/>
        <v>#VALUE!</v>
      </c>
    </row>
    <row r="2479" spans="38:43">
      <c r="AL2479" s="414" t="str">
        <f t="shared" si="229"/>
        <v/>
      </c>
      <c r="AM2479" s="395" t="str">
        <f t="shared" si="230"/>
        <v/>
      </c>
      <c r="AN2479" s="396">
        <f t="shared" si="231"/>
        <v>0</v>
      </c>
      <c r="AO2479" s="109" t="str">
        <f t="shared" si="232"/>
        <v/>
      </c>
      <c r="AP2479" s="109" t="e">
        <f t="shared" si="233"/>
        <v>#VALUE!</v>
      </c>
      <c r="AQ2479" s="397" t="e">
        <f t="shared" si="234"/>
        <v>#VALUE!</v>
      </c>
    </row>
    <row r="2480" spans="38:43">
      <c r="AL2480" s="414" t="str">
        <f t="shared" si="229"/>
        <v/>
      </c>
      <c r="AM2480" s="395" t="str">
        <f t="shared" si="230"/>
        <v/>
      </c>
      <c r="AN2480" s="396">
        <f t="shared" si="231"/>
        <v>0</v>
      </c>
      <c r="AO2480" s="109" t="str">
        <f t="shared" si="232"/>
        <v/>
      </c>
      <c r="AP2480" s="109" t="e">
        <f t="shared" si="233"/>
        <v>#VALUE!</v>
      </c>
      <c r="AQ2480" s="397" t="e">
        <f t="shared" si="234"/>
        <v>#VALUE!</v>
      </c>
    </row>
    <row r="2481" spans="38:43">
      <c r="AL2481" s="414" t="str">
        <f t="shared" si="229"/>
        <v/>
      </c>
      <c r="AM2481" s="395" t="str">
        <f t="shared" si="230"/>
        <v/>
      </c>
      <c r="AN2481" s="396">
        <f t="shared" si="231"/>
        <v>0</v>
      </c>
      <c r="AO2481" s="109" t="str">
        <f t="shared" si="232"/>
        <v/>
      </c>
      <c r="AP2481" s="109" t="e">
        <f t="shared" si="233"/>
        <v>#VALUE!</v>
      </c>
      <c r="AQ2481" s="397" t="e">
        <f t="shared" si="234"/>
        <v>#VALUE!</v>
      </c>
    </row>
    <row r="2482" spans="38:43">
      <c r="AL2482" s="414" t="str">
        <f t="shared" si="229"/>
        <v/>
      </c>
      <c r="AM2482" s="395" t="str">
        <f t="shared" si="230"/>
        <v/>
      </c>
      <c r="AN2482" s="396">
        <f t="shared" si="231"/>
        <v>0</v>
      </c>
      <c r="AO2482" s="109" t="str">
        <f t="shared" si="232"/>
        <v/>
      </c>
      <c r="AP2482" s="109" t="e">
        <f t="shared" si="233"/>
        <v>#VALUE!</v>
      </c>
      <c r="AQ2482" s="397" t="e">
        <f t="shared" si="234"/>
        <v>#VALUE!</v>
      </c>
    </row>
    <row r="2483" spans="38:43">
      <c r="AL2483" s="414" t="str">
        <f t="shared" si="229"/>
        <v/>
      </c>
      <c r="AM2483" s="395" t="str">
        <f t="shared" si="230"/>
        <v/>
      </c>
      <c r="AN2483" s="396">
        <f t="shared" si="231"/>
        <v>0</v>
      </c>
      <c r="AO2483" s="109" t="str">
        <f t="shared" si="232"/>
        <v/>
      </c>
      <c r="AP2483" s="109" t="e">
        <f t="shared" si="233"/>
        <v>#VALUE!</v>
      </c>
      <c r="AQ2483" s="397" t="e">
        <f t="shared" si="234"/>
        <v>#VALUE!</v>
      </c>
    </row>
    <row r="2484" spans="38:43">
      <c r="AL2484" s="414" t="str">
        <f t="shared" si="229"/>
        <v/>
      </c>
      <c r="AM2484" s="395" t="str">
        <f t="shared" si="230"/>
        <v/>
      </c>
      <c r="AN2484" s="396">
        <f t="shared" si="231"/>
        <v>0</v>
      </c>
      <c r="AO2484" s="109" t="str">
        <f t="shared" si="232"/>
        <v/>
      </c>
      <c r="AP2484" s="109" t="e">
        <f t="shared" si="233"/>
        <v>#VALUE!</v>
      </c>
      <c r="AQ2484" s="397" t="e">
        <f t="shared" si="234"/>
        <v>#VALUE!</v>
      </c>
    </row>
    <row r="2485" spans="38:43">
      <c r="AL2485" s="414" t="str">
        <f t="shared" si="229"/>
        <v/>
      </c>
      <c r="AM2485" s="395" t="str">
        <f t="shared" si="230"/>
        <v/>
      </c>
      <c r="AN2485" s="396">
        <f t="shared" si="231"/>
        <v>0</v>
      </c>
      <c r="AO2485" s="109" t="str">
        <f t="shared" si="232"/>
        <v/>
      </c>
      <c r="AP2485" s="109" t="e">
        <f t="shared" si="233"/>
        <v>#VALUE!</v>
      </c>
      <c r="AQ2485" s="397" t="e">
        <f t="shared" si="234"/>
        <v>#VALUE!</v>
      </c>
    </row>
    <row r="2486" spans="38:43">
      <c r="AL2486" s="414" t="str">
        <f t="shared" si="229"/>
        <v/>
      </c>
      <c r="AM2486" s="395" t="str">
        <f t="shared" si="230"/>
        <v/>
      </c>
      <c r="AN2486" s="396">
        <f t="shared" si="231"/>
        <v>0</v>
      </c>
      <c r="AO2486" s="109" t="str">
        <f t="shared" si="232"/>
        <v/>
      </c>
      <c r="AP2486" s="109" t="e">
        <f t="shared" si="233"/>
        <v>#VALUE!</v>
      </c>
      <c r="AQ2486" s="397" t="e">
        <f t="shared" si="234"/>
        <v>#VALUE!</v>
      </c>
    </row>
    <row r="2487" spans="38:43">
      <c r="AL2487" s="414" t="str">
        <f t="shared" si="229"/>
        <v/>
      </c>
      <c r="AM2487" s="395" t="str">
        <f t="shared" si="230"/>
        <v/>
      </c>
      <c r="AN2487" s="396">
        <f t="shared" si="231"/>
        <v>0</v>
      </c>
      <c r="AO2487" s="109" t="str">
        <f t="shared" si="232"/>
        <v/>
      </c>
      <c r="AP2487" s="109" t="e">
        <f t="shared" si="233"/>
        <v>#VALUE!</v>
      </c>
      <c r="AQ2487" s="397" t="e">
        <f t="shared" si="234"/>
        <v>#VALUE!</v>
      </c>
    </row>
    <row r="2488" spans="38:43">
      <c r="AL2488" s="414" t="str">
        <f t="shared" si="229"/>
        <v/>
      </c>
      <c r="AM2488" s="395" t="str">
        <f t="shared" si="230"/>
        <v/>
      </c>
      <c r="AN2488" s="396">
        <f t="shared" si="231"/>
        <v>0</v>
      </c>
      <c r="AO2488" s="109" t="str">
        <f t="shared" si="232"/>
        <v/>
      </c>
      <c r="AP2488" s="109" t="e">
        <f t="shared" si="233"/>
        <v>#VALUE!</v>
      </c>
      <c r="AQ2488" s="397" t="e">
        <f t="shared" si="234"/>
        <v>#VALUE!</v>
      </c>
    </row>
    <row r="2489" spans="38:43">
      <c r="AL2489" s="414" t="str">
        <f t="shared" si="229"/>
        <v/>
      </c>
      <c r="AM2489" s="395" t="str">
        <f t="shared" si="230"/>
        <v/>
      </c>
      <c r="AN2489" s="396">
        <f t="shared" si="231"/>
        <v>0</v>
      </c>
      <c r="AO2489" s="109" t="str">
        <f t="shared" si="232"/>
        <v/>
      </c>
      <c r="AP2489" s="109" t="e">
        <f t="shared" si="233"/>
        <v>#VALUE!</v>
      </c>
      <c r="AQ2489" s="397" t="e">
        <f t="shared" si="234"/>
        <v>#VALUE!</v>
      </c>
    </row>
    <row r="2490" spans="38:43">
      <c r="AL2490" s="414" t="str">
        <f t="shared" si="229"/>
        <v/>
      </c>
      <c r="AM2490" s="395" t="str">
        <f t="shared" si="230"/>
        <v/>
      </c>
      <c r="AN2490" s="396">
        <f t="shared" si="231"/>
        <v>0</v>
      </c>
      <c r="AO2490" s="109" t="str">
        <f t="shared" si="232"/>
        <v/>
      </c>
      <c r="AP2490" s="109" t="e">
        <f t="shared" si="233"/>
        <v>#VALUE!</v>
      </c>
      <c r="AQ2490" s="397" t="e">
        <f t="shared" si="234"/>
        <v>#VALUE!</v>
      </c>
    </row>
    <row r="2491" spans="38:43">
      <c r="AL2491" s="414" t="str">
        <f t="shared" si="229"/>
        <v/>
      </c>
      <c r="AM2491" s="395" t="str">
        <f t="shared" si="230"/>
        <v/>
      </c>
      <c r="AN2491" s="396">
        <f t="shared" si="231"/>
        <v>0</v>
      </c>
      <c r="AO2491" s="109" t="str">
        <f t="shared" si="232"/>
        <v/>
      </c>
      <c r="AP2491" s="109" t="e">
        <f t="shared" si="233"/>
        <v>#VALUE!</v>
      </c>
      <c r="AQ2491" s="397" t="e">
        <f t="shared" si="234"/>
        <v>#VALUE!</v>
      </c>
    </row>
    <row r="2492" spans="38:43">
      <c r="AL2492" s="414" t="str">
        <f t="shared" si="229"/>
        <v/>
      </c>
      <c r="AM2492" s="395" t="str">
        <f t="shared" si="230"/>
        <v/>
      </c>
      <c r="AN2492" s="396">
        <f t="shared" si="231"/>
        <v>0</v>
      </c>
      <c r="AO2492" s="109" t="str">
        <f t="shared" si="232"/>
        <v/>
      </c>
      <c r="AP2492" s="109" t="e">
        <f t="shared" si="233"/>
        <v>#VALUE!</v>
      </c>
      <c r="AQ2492" s="397" t="e">
        <f t="shared" si="234"/>
        <v>#VALUE!</v>
      </c>
    </row>
    <row r="2493" spans="38:43">
      <c r="AL2493" s="414" t="str">
        <f t="shared" si="229"/>
        <v/>
      </c>
      <c r="AM2493" s="395" t="str">
        <f t="shared" si="230"/>
        <v/>
      </c>
      <c r="AN2493" s="396">
        <f t="shared" si="231"/>
        <v>0</v>
      </c>
      <c r="AO2493" s="109" t="str">
        <f t="shared" si="232"/>
        <v/>
      </c>
      <c r="AP2493" s="109" t="e">
        <f t="shared" si="233"/>
        <v>#VALUE!</v>
      </c>
      <c r="AQ2493" s="397" t="e">
        <f t="shared" si="234"/>
        <v>#VALUE!</v>
      </c>
    </row>
    <row r="2494" spans="38:43">
      <c r="AL2494" s="414" t="str">
        <f t="shared" si="229"/>
        <v/>
      </c>
      <c r="AM2494" s="395" t="str">
        <f t="shared" si="230"/>
        <v/>
      </c>
      <c r="AN2494" s="396">
        <f t="shared" si="231"/>
        <v>0</v>
      </c>
      <c r="AO2494" s="109" t="str">
        <f t="shared" si="232"/>
        <v/>
      </c>
      <c r="AP2494" s="109" t="e">
        <f t="shared" si="233"/>
        <v>#VALUE!</v>
      </c>
      <c r="AQ2494" s="397" t="e">
        <f t="shared" si="234"/>
        <v>#VALUE!</v>
      </c>
    </row>
    <row r="2495" spans="38:43">
      <c r="AL2495" s="414" t="str">
        <f t="shared" si="229"/>
        <v/>
      </c>
      <c r="AM2495" s="395" t="str">
        <f t="shared" si="230"/>
        <v/>
      </c>
      <c r="AN2495" s="396">
        <f t="shared" si="231"/>
        <v>0</v>
      </c>
      <c r="AO2495" s="109" t="str">
        <f t="shared" si="232"/>
        <v/>
      </c>
      <c r="AP2495" s="109" t="e">
        <f t="shared" si="233"/>
        <v>#VALUE!</v>
      </c>
      <c r="AQ2495" s="397" t="e">
        <f t="shared" si="234"/>
        <v>#VALUE!</v>
      </c>
    </row>
    <row r="2496" spans="38:43">
      <c r="AL2496" s="414" t="str">
        <f t="shared" si="229"/>
        <v/>
      </c>
      <c r="AM2496" s="395" t="str">
        <f t="shared" si="230"/>
        <v/>
      </c>
      <c r="AN2496" s="396">
        <f t="shared" si="231"/>
        <v>0</v>
      </c>
      <c r="AO2496" s="109" t="str">
        <f t="shared" si="232"/>
        <v/>
      </c>
      <c r="AP2496" s="109" t="e">
        <f t="shared" si="233"/>
        <v>#VALUE!</v>
      </c>
      <c r="AQ2496" s="397" t="e">
        <f t="shared" si="234"/>
        <v>#VALUE!</v>
      </c>
    </row>
    <row r="2497" spans="38:43">
      <c r="AL2497" s="414" t="str">
        <f t="shared" si="229"/>
        <v/>
      </c>
      <c r="AM2497" s="395" t="str">
        <f t="shared" si="230"/>
        <v/>
      </c>
      <c r="AN2497" s="396">
        <f t="shared" si="231"/>
        <v>0</v>
      </c>
      <c r="AO2497" s="109" t="str">
        <f t="shared" si="232"/>
        <v/>
      </c>
      <c r="AP2497" s="109" t="e">
        <f t="shared" si="233"/>
        <v>#VALUE!</v>
      </c>
      <c r="AQ2497" s="397" t="e">
        <f t="shared" si="234"/>
        <v>#VALUE!</v>
      </c>
    </row>
    <row r="2498" spans="38:43">
      <c r="AL2498" s="414" t="str">
        <f t="shared" si="229"/>
        <v/>
      </c>
      <c r="AM2498" s="395" t="str">
        <f t="shared" si="230"/>
        <v/>
      </c>
      <c r="AN2498" s="396">
        <f t="shared" si="231"/>
        <v>0</v>
      </c>
      <c r="AO2498" s="109" t="str">
        <f t="shared" si="232"/>
        <v/>
      </c>
      <c r="AP2498" s="109" t="e">
        <f t="shared" si="233"/>
        <v>#VALUE!</v>
      </c>
      <c r="AQ2498" s="397" t="e">
        <f t="shared" si="234"/>
        <v>#VALUE!</v>
      </c>
    </row>
    <row r="2499" spans="38:43">
      <c r="AL2499" s="414" t="str">
        <f t="shared" ref="AL2499:AL2523" si="235">SUBSTITUTE(SUBSTITUTE(H2499,"[워커힐]워커힐 고메 시그니처 양념 본갈비 8팩","워커힐 시그니처 양념 본갈비 300g, 8개"),"[워커힐]워커힐 시그니처 양념 본갈비 4팩","워커힐 시그니처 양념 본갈비 300g, 4개")</f>
        <v/>
      </c>
      <c r="AM2499" s="395" t="str">
        <f t="shared" ref="AM2499:AM2523" si="236">IF(N2499="배송완료", DATE(LEFT(M2499,4), MID(M2499,6,2), MID(M2499,9,2)), "")</f>
        <v/>
      </c>
      <c r="AN2499" s="396">
        <f t="shared" ref="AN2499:AN2562" si="237">IF(OR(N2499="배송완료", Q2499&lt;0), Q2499, 0)</f>
        <v>0</v>
      </c>
      <c r="AO2499" s="109" t="str">
        <f t="shared" ref="AO2499:AO2523" si="238">IF(AL2499="워커힐 시그니처 양념 본갈비 300g, 8개",119000,IF(AL2499="워커힐 시그니처 양념 본갈비 300g, 4개",78000,""))</f>
        <v/>
      </c>
      <c r="AP2499" s="109" t="e">
        <f t="shared" ref="AP2499:AP2523" si="239">AO2499/1.1</f>
        <v>#VALUE!</v>
      </c>
      <c r="AQ2499" s="397" t="e">
        <f t="shared" si="234"/>
        <v>#VALUE!</v>
      </c>
    </row>
    <row r="2500" spans="38:43">
      <c r="AL2500" s="414" t="str">
        <f t="shared" si="235"/>
        <v/>
      </c>
      <c r="AM2500" s="395" t="str">
        <f t="shared" si="236"/>
        <v/>
      </c>
      <c r="AN2500" s="396">
        <f t="shared" si="237"/>
        <v>0</v>
      </c>
      <c r="AO2500" s="109" t="str">
        <f t="shared" si="238"/>
        <v/>
      </c>
      <c r="AP2500" s="109" t="e">
        <f t="shared" si="239"/>
        <v>#VALUE!</v>
      </c>
      <c r="AQ2500" s="397" t="e">
        <f t="shared" si="234"/>
        <v>#VALUE!</v>
      </c>
    </row>
    <row r="2501" spans="38:43">
      <c r="AL2501" s="414" t="str">
        <f t="shared" si="235"/>
        <v/>
      </c>
      <c r="AM2501" s="395" t="str">
        <f t="shared" si="236"/>
        <v/>
      </c>
      <c r="AN2501" s="396">
        <f t="shared" si="237"/>
        <v>0</v>
      </c>
      <c r="AO2501" s="109" t="str">
        <f t="shared" si="238"/>
        <v/>
      </c>
      <c r="AP2501" s="109" t="e">
        <f t="shared" si="239"/>
        <v>#VALUE!</v>
      </c>
      <c r="AQ2501" s="397" t="e">
        <f t="shared" si="234"/>
        <v>#VALUE!</v>
      </c>
    </row>
    <row r="2502" spans="38:43">
      <c r="AL2502" s="414" t="str">
        <f t="shared" si="235"/>
        <v/>
      </c>
      <c r="AM2502" s="395" t="str">
        <f t="shared" si="236"/>
        <v/>
      </c>
      <c r="AN2502" s="396">
        <f t="shared" si="237"/>
        <v>0</v>
      </c>
      <c r="AO2502" s="109" t="str">
        <f t="shared" si="238"/>
        <v/>
      </c>
      <c r="AP2502" s="109" t="e">
        <f t="shared" si="239"/>
        <v>#VALUE!</v>
      </c>
      <c r="AQ2502" s="397" t="e">
        <f t="shared" si="234"/>
        <v>#VALUE!</v>
      </c>
    </row>
    <row r="2503" spans="38:43">
      <c r="AL2503" s="414" t="str">
        <f t="shared" si="235"/>
        <v/>
      </c>
      <c r="AM2503" s="395" t="str">
        <f t="shared" si="236"/>
        <v/>
      </c>
      <c r="AN2503" s="396">
        <f t="shared" si="237"/>
        <v>0</v>
      </c>
      <c r="AO2503" s="109" t="str">
        <f t="shared" si="238"/>
        <v/>
      </c>
      <c r="AP2503" s="109" t="e">
        <f t="shared" si="239"/>
        <v>#VALUE!</v>
      </c>
      <c r="AQ2503" s="397" t="e">
        <f t="shared" si="234"/>
        <v>#VALUE!</v>
      </c>
    </row>
    <row r="2504" spans="38:43">
      <c r="AL2504" s="414" t="str">
        <f t="shared" si="235"/>
        <v/>
      </c>
      <c r="AM2504" s="395" t="str">
        <f t="shared" si="236"/>
        <v/>
      </c>
      <c r="AN2504" s="396">
        <f t="shared" si="237"/>
        <v>0</v>
      </c>
      <c r="AO2504" s="109" t="str">
        <f t="shared" si="238"/>
        <v/>
      </c>
      <c r="AP2504" s="109" t="e">
        <f t="shared" si="239"/>
        <v>#VALUE!</v>
      </c>
      <c r="AQ2504" s="397" t="e">
        <f t="shared" si="234"/>
        <v>#VALUE!</v>
      </c>
    </row>
    <row r="2505" spans="38:43">
      <c r="AL2505" s="414" t="str">
        <f t="shared" si="235"/>
        <v/>
      </c>
      <c r="AM2505" s="395" t="str">
        <f t="shared" si="236"/>
        <v/>
      </c>
      <c r="AN2505" s="396">
        <f t="shared" si="237"/>
        <v>0</v>
      </c>
      <c r="AO2505" s="109" t="str">
        <f t="shared" si="238"/>
        <v/>
      </c>
      <c r="AP2505" s="109" t="e">
        <f t="shared" si="239"/>
        <v>#VALUE!</v>
      </c>
      <c r="AQ2505" s="397" t="e">
        <f t="shared" si="234"/>
        <v>#VALUE!</v>
      </c>
    </row>
    <row r="2506" spans="38:43">
      <c r="AL2506" s="414" t="str">
        <f t="shared" si="235"/>
        <v/>
      </c>
      <c r="AM2506" s="395" t="str">
        <f t="shared" si="236"/>
        <v/>
      </c>
      <c r="AN2506" s="396">
        <f t="shared" si="237"/>
        <v>0</v>
      </c>
      <c r="AO2506" s="109" t="str">
        <f t="shared" si="238"/>
        <v/>
      </c>
      <c r="AP2506" s="109" t="e">
        <f t="shared" si="239"/>
        <v>#VALUE!</v>
      </c>
      <c r="AQ2506" s="397" t="e">
        <f t="shared" si="234"/>
        <v>#VALUE!</v>
      </c>
    </row>
    <row r="2507" spans="38:43">
      <c r="AL2507" s="414" t="str">
        <f t="shared" si="235"/>
        <v/>
      </c>
      <c r="AM2507" s="395" t="str">
        <f t="shared" si="236"/>
        <v/>
      </c>
      <c r="AN2507" s="396">
        <f t="shared" si="237"/>
        <v>0</v>
      </c>
      <c r="AO2507" s="109" t="str">
        <f t="shared" si="238"/>
        <v/>
      </c>
      <c r="AP2507" s="109" t="e">
        <f t="shared" si="239"/>
        <v>#VALUE!</v>
      </c>
      <c r="AQ2507" s="397" t="e">
        <f t="shared" si="234"/>
        <v>#VALUE!</v>
      </c>
    </row>
    <row r="2508" spans="38:43">
      <c r="AL2508" s="414" t="str">
        <f t="shared" si="235"/>
        <v/>
      </c>
      <c r="AM2508" s="395" t="str">
        <f t="shared" si="236"/>
        <v/>
      </c>
      <c r="AN2508" s="396">
        <f t="shared" si="237"/>
        <v>0</v>
      </c>
      <c r="AO2508" s="109" t="str">
        <f t="shared" si="238"/>
        <v/>
      </c>
      <c r="AP2508" s="109" t="e">
        <f t="shared" si="239"/>
        <v>#VALUE!</v>
      </c>
      <c r="AQ2508" s="397" t="e">
        <f t="shared" si="234"/>
        <v>#VALUE!</v>
      </c>
    </row>
    <row r="2509" spans="38:43">
      <c r="AL2509" s="414" t="str">
        <f t="shared" si="235"/>
        <v/>
      </c>
      <c r="AM2509" s="395" t="str">
        <f t="shared" si="236"/>
        <v/>
      </c>
      <c r="AN2509" s="396">
        <f t="shared" si="237"/>
        <v>0</v>
      </c>
      <c r="AO2509" s="109" t="str">
        <f t="shared" si="238"/>
        <v/>
      </c>
      <c r="AP2509" s="109" t="e">
        <f t="shared" si="239"/>
        <v>#VALUE!</v>
      </c>
      <c r="AQ2509" s="397" t="e">
        <f t="shared" si="234"/>
        <v>#VALUE!</v>
      </c>
    </row>
    <row r="2510" spans="38:43">
      <c r="AL2510" s="414" t="str">
        <f t="shared" si="235"/>
        <v/>
      </c>
      <c r="AM2510" s="395" t="str">
        <f t="shared" si="236"/>
        <v/>
      </c>
      <c r="AN2510" s="396">
        <f t="shared" si="237"/>
        <v>0</v>
      </c>
      <c r="AO2510" s="109" t="str">
        <f t="shared" si="238"/>
        <v/>
      </c>
      <c r="AP2510" s="109" t="e">
        <f t="shared" si="239"/>
        <v>#VALUE!</v>
      </c>
      <c r="AQ2510" s="397" t="e">
        <f t="shared" si="234"/>
        <v>#VALUE!</v>
      </c>
    </row>
    <row r="2511" spans="38:43">
      <c r="AL2511" s="414" t="str">
        <f t="shared" si="235"/>
        <v/>
      </c>
      <c r="AM2511" s="395" t="str">
        <f t="shared" si="236"/>
        <v/>
      </c>
      <c r="AN2511" s="396">
        <f t="shared" si="237"/>
        <v>0</v>
      </c>
      <c r="AO2511" s="109" t="str">
        <f t="shared" si="238"/>
        <v/>
      </c>
      <c r="AP2511" s="109" t="e">
        <f t="shared" si="239"/>
        <v>#VALUE!</v>
      </c>
      <c r="AQ2511" s="397" t="e">
        <f t="shared" si="234"/>
        <v>#VALUE!</v>
      </c>
    </row>
    <row r="2512" spans="38:43">
      <c r="AL2512" s="414" t="str">
        <f t="shared" si="235"/>
        <v/>
      </c>
      <c r="AM2512" s="395" t="str">
        <f t="shared" si="236"/>
        <v/>
      </c>
      <c r="AN2512" s="396">
        <f t="shared" si="237"/>
        <v>0</v>
      </c>
      <c r="AO2512" s="109" t="str">
        <f t="shared" si="238"/>
        <v/>
      </c>
      <c r="AP2512" s="109" t="e">
        <f t="shared" si="239"/>
        <v>#VALUE!</v>
      </c>
      <c r="AQ2512" s="397" t="e">
        <f t="shared" si="234"/>
        <v>#VALUE!</v>
      </c>
    </row>
    <row r="2513" spans="38:43">
      <c r="AL2513" s="414" t="str">
        <f t="shared" si="235"/>
        <v/>
      </c>
      <c r="AM2513" s="395" t="str">
        <f t="shared" si="236"/>
        <v/>
      </c>
      <c r="AN2513" s="396">
        <f t="shared" si="237"/>
        <v>0</v>
      </c>
      <c r="AO2513" s="109" t="str">
        <f t="shared" si="238"/>
        <v/>
      </c>
      <c r="AP2513" s="109" t="e">
        <f t="shared" si="239"/>
        <v>#VALUE!</v>
      </c>
      <c r="AQ2513" s="397" t="e">
        <f t="shared" si="234"/>
        <v>#VALUE!</v>
      </c>
    </row>
    <row r="2514" spans="38:43">
      <c r="AL2514" s="414" t="str">
        <f t="shared" si="235"/>
        <v/>
      </c>
      <c r="AM2514" s="395" t="str">
        <f t="shared" si="236"/>
        <v/>
      </c>
      <c r="AN2514" s="396">
        <f t="shared" si="237"/>
        <v>0</v>
      </c>
      <c r="AO2514" s="109" t="str">
        <f t="shared" si="238"/>
        <v/>
      </c>
      <c r="AP2514" s="109" t="e">
        <f t="shared" si="239"/>
        <v>#VALUE!</v>
      </c>
      <c r="AQ2514" s="397" t="e">
        <f t="shared" si="234"/>
        <v>#VALUE!</v>
      </c>
    </row>
    <row r="2515" spans="38:43">
      <c r="AL2515" s="414" t="str">
        <f t="shared" si="235"/>
        <v/>
      </c>
      <c r="AM2515" s="395" t="str">
        <f t="shared" si="236"/>
        <v/>
      </c>
      <c r="AN2515" s="396">
        <f t="shared" si="237"/>
        <v>0</v>
      </c>
      <c r="AO2515" s="109" t="str">
        <f t="shared" si="238"/>
        <v/>
      </c>
      <c r="AP2515" s="109" t="e">
        <f t="shared" si="239"/>
        <v>#VALUE!</v>
      </c>
      <c r="AQ2515" s="397" t="e">
        <f t="shared" si="234"/>
        <v>#VALUE!</v>
      </c>
    </row>
    <row r="2516" spans="38:43">
      <c r="AL2516" s="414" t="str">
        <f t="shared" si="235"/>
        <v/>
      </c>
      <c r="AM2516" s="395" t="str">
        <f t="shared" si="236"/>
        <v/>
      </c>
      <c r="AN2516" s="396">
        <f t="shared" si="237"/>
        <v>0</v>
      </c>
      <c r="AO2516" s="109" t="str">
        <f t="shared" si="238"/>
        <v/>
      </c>
      <c r="AP2516" s="109" t="e">
        <f t="shared" si="239"/>
        <v>#VALUE!</v>
      </c>
      <c r="AQ2516" s="397" t="e">
        <f t="shared" si="234"/>
        <v>#VALUE!</v>
      </c>
    </row>
    <row r="2517" spans="38:43">
      <c r="AL2517" s="414" t="str">
        <f t="shared" si="235"/>
        <v/>
      </c>
      <c r="AM2517" s="395" t="str">
        <f t="shared" si="236"/>
        <v/>
      </c>
      <c r="AN2517" s="396">
        <f t="shared" si="237"/>
        <v>0</v>
      </c>
      <c r="AO2517" s="109" t="str">
        <f t="shared" si="238"/>
        <v/>
      </c>
      <c r="AP2517" s="109" t="e">
        <f t="shared" si="239"/>
        <v>#VALUE!</v>
      </c>
      <c r="AQ2517" s="397" t="e">
        <f t="shared" si="234"/>
        <v>#VALUE!</v>
      </c>
    </row>
    <row r="2518" spans="38:43">
      <c r="AL2518" s="414" t="str">
        <f t="shared" si="235"/>
        <v/>
      </c>
      <c r="AM2518" s="395" t="str">
        <f t="shared" si="236"/>
        <v/>
      </c>
      <c r="AN2518" s="396">
        <f t="shared" si="237"/>
        <v>0</v>
      </c>
      <c r="AO2518" s="109" t="str">
        <f t="shared" si="238"/>
        <v/>
      </c>
      <c r="AP2518" s="109" t="e">
        <f t="shared" si="239"/>
        <v>#VALUE!</v>
      </c>
      <c r="AQ2518" s="397" t="e">
        <f t="shared" si="234"/>
        <v>#VALUE!</v>
      </c>
    </row>
    <row r="2519" spans="38:43">
      <c r="AL2519" s="414" t="str">
        <f t="shared" si="235"/>
        <v/>
      </c>
      <c r="AM2519" s="395" t="str">
        <f t="shared" si="236"/>
        <v/>
      </c>
      <c r="AN2519" s="396">
        <f t="shared" si="237"/>
        <v>0</v>
      </c>
      <c r="AO2519" s="109" t="str">
        <f t="shared" si="238"/>
        <v/>
      </c>
      <c r="AP2519" s="109" t="e">
        <f t="shared" si="239"/>
        <v>#VALUE!</v>
      </c>
      <c r="AQ2519" s="397" t="e">
        <f t="shared" si="234"/>
        <v>#VALUE!</v>
      </c>
    </row>
    <row r="2520" spans="38:43">
      <c r="AL2520" s="414" t="str">
        <f t="shared" si="235"/>
        <v/>
      </c>
      <c r="AM2520" s="395" t="str">
        <f t="shared" si="236"/>
        <v/>
      </c>
      <c r="AN2520" s="396">
        <f t="shared" si="237"/>
        <v>0</v>
      </c>
      <c r="AO2520" s="109" t="str">
        <f t="shared" si="238"/>
        <v/>
      </c>
      <c r="AP2520" s="109" t="e">
        <f t="shared" si="239"/>
        <v>#VALUE!</v>
      </c>
      <c r="AQ2520" s="397" t="e">
        <f t="shared" si="234"/>
        <v>#VALUE!</v>
      </c>
    </row>
    <row r="2521" spans="38:43">
      <c r="AL2521" s="414" t="str">
        <f t="shared" si="235"/>
        <v/>
      </c>
      <c r="AM2521" s="395" t="str">
        <f t="shared" si="236"/>
        <v/>
      </c>
      <c r="AN2521" s="396">
        <f t="shared" si="237"/>
        <v>0</v>
      </c>
      <c r="AO2521" s="109" t="str">
        <f t="shared" si="238"/>
        <v/>
      </c>
      <c r="AP2521" s="109" t="e">
        <f t="shared" si="239"/>
        <v>#VALUE!</v>
      </c>
      <c r="AQ2521" s="397" t="e">
        <f t="shared" si="234"/>
        <v>#VALUE!</v>
      </c>
    </row>
    <row r="2522" spans="38:43">
      <c r="AL2522" s="414" t="str">
        <f t="shared" si="235"/>
        <v/>
      </c>
      <c r="AM2522" s="395" t="str">
        <f t="shared" si="236"/>
        <v/>
      </c>
      <c r="AN2522" s="396">
        <f t="shared" si="237"/>
        <v>0</v>
      </c>
      <c r="AO2522" s="109" t="str">
        <f t="shared" si="238"/>
        <v/>
      </c>
      <c r="AP2522" s="109" t="e">
        <f t="shared" si="239"/>
        <v>#VALUE!</v>
      </c>
      <c r="AQ2522" s="397" t="e">
        <f t="shared" si="234"/>
        <v>#VALUE!</v>
      </c>
    </row>
    <row r="2523" spans="38:43">
      <c r="AL2523" s="414" t="str">
        <f t="shared" si="235"/>
        <v/>
      </c>
      <c r="AM2523" s="395" t="str">
        <f t="shared" si="236"/>
        <v/>
      </c>
      <c r="AN2523" s="396">
        <f t="shared" si="237"/>
        <v>0</v>
      </c>
      <c r="AO2523" s="109" t="str">
        <f t="shared" si="238"/>
        <v/>
      </c>
      <c r="AP2523" s="109" t="e">
        <f t="shared" si="239"/>
        <v>#VALUE!</v>
      </c>
      <c r="AQ2523" s="397" t="e">
        <f t="shared" si="234"/>
        <v>#VALUE!</v>
      </c>
    </row>
    <row r="2524" spans="38:43">
      <c r="AN2524" s="396">
        <f t="shared" si="237"/>
        <v>0</v>
      </c>
    </row>
    <row r="2525" spans="38:43">
      <c r="AN2525" s="396">
        <f t="shared" si="237"/>
        <v>0</v>
      </c>
    </row>
    <row r="2526" spans="38:43">
      <c r="AN2526" s="396">
        <f t="shared" si="237"/>
        <v>0</v>
      </c>
    </row>
    <row r="2527" spans="38:43">
      <c r="AN2527" s="396">
        <f t="shared" si="237"/>
        <v>0</v>
      </c>
    </row>
    <row r="2528" spans="38:43">
      <c r="AN2528" s="396">
        <f t="shared" si="237"/>
        <v>0</v>
      </c>
    </row>
    <row r="2529" spans="40:40">
      <c r="AN2529" s="396">
        <f t="shared" si="237"/>
        <v>0</v>
      </c>
    </row>
    <row r="2530" spans="40:40">
      <c r="AN2530" s="396">
        <f t="shared" si="237"/>
        <v>0</v>
      </c>
    </row>
    <row r="2531" spans="40:40">
      <c r="AN2531" s="396">
        <f t="shared" si="237"/>
        <v>0</v>
      </c>
    </row>
    <row r="2532" spans="40:40">
      <c r="AN2532" s="396">
        <f t="shared" si="237"/>
        <v>0</v>
      </c>
    </row>
    <row r="2533" spans="40:40">
      <c r="AN2533" s="396">
        <f t="shared" si="237"/>
        <v>0</v>
      </c>
    </row>
    <row r="2534" spans="40:40">
      <c r="AN2534" s="396">
        <f t="shared" si="237"/>
        <v>0</v>
      </c>
    </row>
    <row r="2535" spans="40:40">
      <c r="AN2535" s="396">
        <f t="shared" si="237"/>
        <v>0</v>
      </c>
    </row>
    <row r="2536" spans="40:40">
      <c r="AN2536" s="396">
        <f t="shared" si="237"/>
        <v>0</v>
      </c>
    </row>
    <row r="2537" spans="40:40">
      <c r="AN2537" s="396">
        <f t="shared" si="237"/>
        <v>0</v>
      </c>
    </row>
    <row r="2538" spans="40:40">
      <c r="AN2538" s="396">
        <f t="shared" si="237"/>
        <v>0</v>
      </c>
    </row>
    <row r="2539" spans="40:40">
      <c r="AN2539" s="396">
        <f t="shared" si="237"/>
        <v>0</v>
      </c>
    </row>
    <row r="2540" spans="40:40">
      <c r="AN2540" s="396">
        <f t="shared" si="237"/>
        <v>0</v>
      </c>
    </row>
    <row r="2541" spans="40:40">
      <c r="AN2541" s="396">
        <f t="shared" si="237"/>
        <v>0</v>
      </c>
    </row>
    <row r="2542" spans="40:40">
      <c r="AN2542" s="396">
        <f t="shared" si="237"/>
        <v>0</v>
      </c>
    </row>
    <row r="2543" spans="40:40">
      <c r="AN2543" s="396">
        <f t="shared" si="237"/>
        <v>0</v>
      </c>
    </row>
    <row r="2544" spans="40:40">
      <c r="AN2544" s="396">
        <f t="shared" si="237"/>
        <v>0</v>
      </c>
    </row>
    <row r="2545" spans="40:40">
      <c r="AN2545" s="396">
        <f t="shared" si="237"/>
        <v>0</v>
      </c>
    </row>
    <row r="2546" spans="40:40">
      <c r="AN2546" s="396">
        <f t="shared" si="237"/>
        <v>0</v>
      </c>
    </row>
    <row r="2547" spans="40:40">
      <c r="AN2547" s="396">
        <f t="shared" si="237"/>
        <v>0</v>
      </c>
    </row>
    <row r="2548" spans="40:40">
      <c r="AN2548" s="396">
        <f t="shared" si="237"/>
        <v>0</v>
      </c>
    </row>
    <row r="2549" spans="40:40">
      <c r="AN2549" s="396">
        <f t="shared" si="237"/>
        <v>0</v>
      </c>
    </row>
    <row r="2550" spans="40:40">
      <c r="AN2550" s="396">
        <f t="shared" si="237"/>
        <v>0</v>
      </c>
    </row>
    <row r="2551" spans="40:40">
      <c r="AN2551" s="396">
        <f t="shared" si="237"/>
        <v>0</v>
      </c>
    </row>
    <row r="2552" spans="40:40">
      <c r="AN2552" s="396">
        <f t="shared" si="237"/>
        <v>0</v>
      </c>
    </row>
    <row r="2553" spans="40:40">
      <c r="AN2553" s="396">
        <f t="shared" si="237"/>
        <v>0</v>
      </c>
    </row>
    <row r="2554" spans="40:40">
      <c r="AN2554" s="396">
        <f t="shared" si="237"/>
        <v>0</v>
      </c>
    </row>
    <row r="2555" spans="40:40">
      <c r="AN2555" s="396">
        <f t="shared" si="237"/>
        <v>0</v>
      </c>
    </row>
    <row r="2556" spans="40:40">
      <c r="AN2556" s="396">
        <f t="shared" si="237"/>
        <v>0</v>
      </c>
    </row>
    <row r="2557" spans="40:40">
      <c r="AN2557" s="396">
        <f t="shared" si="237"/>
        <v>0</v>
      </c>
    </row>
    <row r="2558" spans="40:40">
      <c r="AN2558" s="396">
        <f t="shared" si="237"/>
        <v>0</v>
      </c>
    </row>
    <row r="2559" spans="40:40">
      <c r="AN2559" s="396">
        <f t="shared" si="237"/>
        <v>0</v>
      </c>
    </row>
    <row r="2560" spans="40:40">
      <c r="AN2560" s="396">
        <f t="shared" si="237"/>
        <v>0</v>
      </c>
    </row>
    <row r="2561" spans="40:40">
      <c r="AN2561" s="396">
        <f t="shared" si="237"/>
        <v>0</v>
      </c>
    </row>
    <row r="2562" spans="40:40">
      <c r="AN2562" s="396">
        <f t="shared" si="237"/>
        <v>0</v>
      </c>
    </row>
    <row r="2563" spans="40:40">
      <c r="AN2563" s="396">
        <f t="shared" ref="AN2563:AN2626" si="240">IF(OR(N2563="배송완료", Q2563&lt;0), Q2563, 0)</f>
        <v>0</v>
      </c>
    </row>
    <row r="2564" spans="40:40">
      <c r="AN2564" s="396">
        <f t="shared" si="240"/>
        <v>0</v>
      </c>
    </row>
    <row r="2565" spans="40:40">
      <c r="AN2565" s="396">
        <f t="shared" si="240"/>
        <v>0</v>
      </c>
    </row>
    <row r="2566" spans="40:40">
      <c r="AN2566" s="396">
        <f t="shared" si="240"/>
        <v>0</v>
      </c>
    </row>
    <row r="2567" spans="40:40">
      <c r="AN2567" s="396">
        <f t="shared" si="240"/>
        <v>0</v>
      </c>
    </row>
    <row r="2568" spans="40:40">
      <c r="AN2568" s="396">
        <f t="shared" si="240"/>
        <v>0</v>
      </c>
    </row>
    <row r="2569" spans="40:40">
      <c r="AN2569" s="396">
        <f t="shared" si="240"/>
        <v>0</v>
      </c>
    </row>
    <row r="2570" spans="40:40">
      <c r="AN2570" s="396">
        <f t="shared" si="240"/>
        <v>0</v>
      </c>
    </row>
    <row r="2571" spans="40:40">
      <c r="AN2571" s="396">
        <f t="shared" si="240"/>
        <v>0</v>
      </c>
    </row>
    <row r="2572" spans="40:40">
      <c r="AN2572" s="396">
        <f t="shared" si="240"/>
        <v>0</v>
      </c>
    </row>
    <row r="2573" spans="40:40">
      <c r="AN2573" s="396">
        <f t="shared" si="240"/>
        <v>0</v>
      </c>
    </row>
    <row r="2574" spans="40:40">
      <c r="AN2574" s="396">
        <f t="shared" si="240"/>
        <v>0</v>
      </c>
    </row>
    <row r="2575" spans="40:40">
      <c r="AN2575" s="396">
        <f t="shared" si="240"/>
        <v>0</v>
      </c>
    </row>
    <row r="2576" spans="40:40">
      <c r="AN2576" s="396">
        <f t="shared" si="240"/>
        <v>0</v>
      </c>
    </row>
    <row r="2577" spans="40:40">
      <c r="AN2577" s="396">
        <f t="shared" si="240"/>
        <v>0</v>
      </c>
    </row>
    <row r="2578" spans="40:40">
      <c r="AN2578" s="396">
        <f t="shared" si="240"/>
        <v>0</v>
      </c>
    </row>
    <row r="2579" spans="40:40">
      <c r="AN2579" s="396">
        <f t="shared" si="240"/>
        <v>0</v>
      </c>
    </row>
    <row r="2580" spans="40:40">
      <c r="AN2580" s="396">
        <f t="shared" si="240"/>
        <v>0</v>
      </c>
    </row>
    <row r="2581" spans="40:40">
      <c r="AN2581" s="396">
        <f t="shared" si="240"/>
        <v>0</v>
      </c>
    </row>
    <row r="2582" spans="40:40">
      <c r="AN2582" s="396">
        <f t="shared" si="240"/>
        <v>0</v>
      </c>
    </row>
    <row r="2583" spans="40:40">
      <c r="AN2583" s="396">
        <f t="shared" si="240"/>
        <v>0</v>
      </c>
    </row>
    <row r="2584" spans="40:40">
      <c r="AN2584" s="396">
        <f t="shared" si="240"/>
        <v>0</v>
      </c>
    </row>
    <row r="2585" spans="40:40">
      <c r="AN2585" s="396">
        <f t="shared" si="240"/>
        <v>0</v>
      </c>
    </row>
    <row r="2586" spans="40:40">
      <c r="AN2586" s="396">
        <f t="shared" si="240"/>
        <v>0</v>
      </c>
    </row>
    <row r="2587" spans="40:40">
      <c r="AN2587" s="396">
        <f t="shared" si="240"/>
        <v>0</v>
      </c>
    </row>
    <row r="2588" spans="40:40">
      <c r="AN2588" s="396">
        <f t="shared" si="240"/>
        <v>0</v>
      </c>
    </row>
    <row r="2589" spans="40:40">
      <c r="AN2589" s="396">
        <f t="shared" si="240"/>
        <v>0</v>
      </c>
    </row>
    <row r="2590" spans="40:40">
      <c r="AN2590" s="396">
        <f t="shared" si="240"/>
        <v>0</v>
      </c>
    </row>
    <row r="2591" spans="40:40">
      <c r="AN2591" s="396">
        <f t="shared" si="240"/>
        <v>0</v>
      </c>
    </row>
    <row r="2592" spans="40:40">
      <c r="AN2592" s="396">
        <f t="shared" si="240"/>
        <v>0</v>
      </c>
    </row>
    <row r="2593" spans="40:40">
      <c r="AN2593" s="396">
        <f t="shared" si="240"/>
        <v>0</v>
      </c>
    </row>
    <row r="2594" spans="40:40">
      <c r="AN2594" s="396">
        <f t="shared" si="240"/>
        <v>0</v>
      </c>
    </row>
    <row r="2595" spans="40:40">
      <c r="AN2595" s="396">
        <f t="shared" si="240"/>
        <v>0</v>
      </c>
    </row>
    <row r="2596" spans="40:40">
      <c r="AN2596" s="396">
        <f t="shared" si="240"/>
        <v>0</v>
      </c>
    </row>
    <row r="2597" spans="40:40">
      <c r="AN2597" s="396">
        <f t="shared" si="240"/>
        <v>0</v>
      </c>
    </row>
    <row r="2598" spans="40:40">
      <c r="AN2598" s="396">
        <f t="shared" si="240"/>
        <v>0</v>
      </c>
    </row>
    <row r="2599" spans="40:40">
      <c r="AN2599" s="396">
        <f t="shared" si="240"/>
        <v>0</v>
      </c>
    </row>
    <row r="2600" spans="40:40">
      <c r="AN2600" s="396">
        <f t="shared" si="240"/>
        <v>0</v>
      </c>
    </row>
    <row r="2601" spans="40:40">
      <c r="AN2601" s="396">
        <f t="shared" si="240"/>
        <v>0</v>
      </c>
    </row>
    <row r="2602" spans="40:40">
      <c r="AN2602" s="396">
        <f t="shared" si="240"/>
        <v>0</v>
      </c>
    </row>
    <row r="2603" spans="40:40">
      <c r="AN2603" s="396">
        <f t="shared" si="240"/>
        <v>0</v>
      </c>
    </row>
    <row r="2604" spans="40:40">
      <c r="AN2604" s="396">
        <f t="shared" si="240"/>
        <v>0</v>
      </c>
    </row>
    <row r="2605" spans="40:40">
      <c r="AN2605" s="396">
        <f t="shared" si="240"/>
        <v>0</v>
      </c>
    </row>
    <row r="2606" spans="40:40">
      <c r="AN2606" s="396">
        <f t="shared" si="240"/>
        <v>0</v>
      </c>
    </row>
    <row r="2607" spans="40:40">
      <c r="AN2607" s="396">
        <f t="shared" si="240"/>
        <v>0</v>
      </c>
    </row>
    <row r="2608" spans="40:40">
      <c r="AN2608" s="396">
        <f t="shared" si="240"/>
        <v>0</v>
      </c>
    </row>
    <row r="2609" spans="40:40">
      <c r="AN2609" s="396">
        <f t="shared" si="240"/>
        <v>0</v>
      </c>
    </row>
    <row r="2610" spans="40:40">
      <c r="AN2610" s="396">
        <f t="shared" si="240"/>
        <v>0</v>
      </c>
    </row>
    <row r="2611" spans="40:40">
      <c r="AN2611" s="396">
        <f t="shared" si="240"/>
        <v>0</v>
      </c>
    </row>
    <row r="2612" spans="40:40">
      <c r="AN2612" s="396">
        <f t="shared" si="240"/>
        <v>0</v>
      </c>
    </row>
    <row r="2613" spans="40:40">
      <c r="AN2613" s="396">
        <f t="shared" si="240"/>
        <v>0</v>
      </c>
    </row>
    <row r="2614" spans="40:40">
      <c r="AN2614" s="396">
        <f t="shared" si="240"/>
        <v>0</v>
      </c>
    </row>
    <row r="2615" spans="40:40">
      <c r="AN2615" s="396">
        <f t="shared" si="240"/>
        <v>0</v>
      </c>
    </row>
    <row r="2616" spans="40:40">
      <c r="AN2616" s="396">
        <f t="shared" si="240"/>
        <v>0</v>
      </c>
    </row>
    <row r="2617" spans="40:40">
      <c r="AN2617" s="396">
        <f t="shared" si="240"/>
        <v>0</v>
      </c>
    </row>
    <row r="2618" spans="40:40">
      <c r="AN2618" s="396">
        <f t="shared" si="240"/>
        <v>0</v>
      </c>
    </row>
    <row r="2619" spans="40:40">
      <c r="AN2619" s="396">
        <f t="shared" si="240"/>
        <v>0</v>
      </c>
    </row>
    <row r="2620" spans="40:40">
      <c r="AN2620" s="396">
        <f t="shared" si="240"/>
        <v>0</v>
      </c>
    </row>
    <row r="2621" spans="40:40">
      <c r="AN2621" s="396">
        <f t="shared" si="240"/>
        <v>0</v>
      </c>
    </row>
    <row r="2622" spans="40:40">
      <c r="AN2622" s="396">
        <f t="shared" si="240"/>
        <v>0</v>
      </c>
    </row>
    <row r="2623" spans="40:40">
      <c r="AN2623" s="396">
        <f t="shared" si="240"/>
        <v>0</v>
      </c>
    </row>
    <row r="2624" spans="40:40">
      <c r="AN2624" s="396">
        <f t="shared" si="240"/>
        <v>0</v>
      </c>
    </row>
    <row r="2625" spans="40:40">
      <c r="AN2625" s="396">
        <f t="shared" si="240"/>
        <v>0</v>
      </c>
    </row>
    <row r="2626" spans="40:40">
      <c r="AN2626" s="396">
        <f t="shared" si="240"/>
        <v>0</v>
      </c>
    </row>
    <row r="2627" spans="40:40">
      <c r="AN2627" s="396">
        <f t="shared" ref="AN2627:AN2690" si="241">IF(OR(N2627="배송완료", Q2627&lt;0), Q2627, 0)</f>
        <v>0</v>
      </c>
    </row>
    <row r="2628" spans="40:40">
      <c r="AN2628" s="396">
        <f t="shared" si="241"/>
        <v>0</v>
      </c>
    </row>
    <row r="2629" spans="40:40">
      <c r="AN2629" s="396">
        <f t="shared" si="241"/>
        <v>0</v>
      </c>
    </row>
    <row r="2630" spans="40:40">
      <c r="AN2630" s="396">
        <f t="shared" si="241"/>
        <v>0</v>
      </c>
    </row>
    <row r="2631" spans="40:40">
      <c r="AN2631" s="396">
        <f t="shared" si="241"/>
        <v>0</v>
      </c>
    </row>
    <row r="2632" spans="40:40">
      <c r="AN2632" s="396">
        <f t="shared" si="241"/>
        <v>0</v>
      </c>
    </row>
    <row r="2633" spans="40:40">
      <c r="AN2633" s="396">
        <f t="shared" si="241"/>
        <v>0</v>
      </c>
    </row>
    <row r="2634" spans="40:40">
      <c r="AN2634" s="396">
        <f t="shared" si="241"/>
        <v>0</v>
      </c>
    </row>
    <row r="2635" spans="40:40">
      <c r="AN2635" s="396">
        <f t="shared" si="241"/>
        <v>0</v>
      </c>
    </row>
    <row r="2636" spans="40:40">
      <c r="AN2636" s="396">
        <f t="shared" si="241"/>
        <v>0</v>
      </c>
    </row>
    <row r="2637" spans="40:40">
      <c r="AN2637" s="396">
        <f t="shared" si="241"/>
        <v>0</v>
      </c>
    </row>
    <row r="2638" spans="40:40">
      <c r="AN2638" s="396">
        <f t="shared" si="241"/>
        <v>0</v>
      </c>
    </row>
    <row r="2639" spans="40:40">
      <c r="AN2639" s="396">
        <f t="shared" si="241"/>
        <v>0</v>
      </c>
    </row>
    <row r="2640" spans="40:40">
      <c r="AN2640" s="396">
        <f t="shared" si="241"/>
        <v>0</v>
      </c>
    </row>
    <row r="2641" spans="40:40">
      <c r="AN2641" s="396">
        <f t="shared" si="241"/>
        <v>0</v>
      </c>
    </row>
    <row r="2642" spans="40:40">
      <c r="AN2642" s="396">
        <f t="shared" si="241"/>
        <v>0</v>
      </c>
    </row>
    <row r="2643" spans="40:40">
      <c r="AN2643" s="396">
        <f t="shared" si="241"/>
        <v>0</v>
      </c>
    </row>
    <row r="2644" spans="40:40">
      <c r="AN2644" s="396">
        <f t="shared" si="241"/>
        <v>0</v>
      </c>
    </row>
    <row r="2645" spans="40:40">
      <c r="AN2645" s="396">
        <f t="shared" si="241"/>
        <v>0</v>
      </c>
    </row>
    <row r="2646" spans="40:40">
      <c r="AN2646" s="396">
        <f t="shared" si="241"/>
        <v>0</v>
      </c>
    </row>
    <row r="2647" spans="40:40">
      <c r="AN2647" s="396">
        <f t="shared" si="241"/>
        <v>0</v>
      </c>
    </row>
    <row r="2648" spans="40:40">
      <c r="AN2648" s="396">
        <f t="shared" si="241"/>
        <v>0</v>
      </c>
    </row>
    <row r="2649" spans="40:40">
      <c r="AN2649" s="396">
        <f t="shared" si="241"/>
        <v>0</v>
      </c>
    </row>
    <row r="2650" spans="40:40">
      <c r="AN2650" s="396">
        <f t="shared" si="241"/>
        <v>0</v>
      </c>
    </row>
    <row r="2651" spans="40:40">
      <c r="AN2651" s="396">
        <f t="shared" si="241"/>
        <v>0</v>
      </c>
    </row>
    <row r="2652" spans="40:40">
      <c r="AN2652" s="396">
        <f t="shared" si="241"/>
        <v>0</v>
      </c>
    </row>
    <row r="2653" spans="40:40">
      <c r="AN2653" s="396">
        <f t="shared" si="241"/>
        <v>0</v>
      </c>
    </row>
    <row r="2654" spans="40:40">
      <c r="AN2654" s="396">
        <f t="shared" si="241"/>
        <v>0</v>
      </c>
    </row>
    <row r="2655" spans="40:40">
      <c r="AN2655" s="396">
        <f t="shared" si="241"/>
        <v>0</v>
      </c>
    </row>
    <row r="2656" spans="40:40">
      <c r="AN2656" s="396">
        <f t="shared" si="241"/>
        <v>0</v>
      </c>
    </row>
    <row r="2657" spans="40:40">
      <c r="AN2657" s="396">
        <f t="shared" si="241"/>
        <v>0</v>
      </c>
    </row>
    <row r="2658" spans="40:40">
      <c r="AN2658" s="396">
        <f t="shared" si="241"/>
        <v>0</v>
      </c>
    </row>
    <row r="2659" spans="40:40">
      <c r="AN2659" s="396">
        <f t="shared" si="241"/>
        <v>0</v>
      </c>
    </row>
    <row r="2660" spans="40:40">
      <c r="AN2660" s="396">
        <f t="shared" si="241"/>
        <v>0</v>
      </c>
    </row>
    <row r="2661" spans="40:40">
      <c r="AN2661" s="396">
        <f t="shared" si="241"/>
        <v>0</v>
      </c>
    </row>
    <row r="2662" spans="40:40">
      <c r="AN2662" s="396">
        <f t="shared" si="241"/>
        <v>0</v>
      </c>
    </row>
    <row r="2663" spans="40:40">
      <c r="AN2663" s="396">
        <f t="shared" si="241"/>
        <v>0</v>
      </c>
    </row>
    <row r="2664" spans="40:40">
      <c r="AN2664" s="396">
        <f t="shared" si="241"/>
        <v>0</v>
      </c>
    </row>
    <row r="2665" spans="40:40">
      <c r="AN2665" s="396">
        <f t="shared" si="241"/>
        <v>0</v>
      </c>
    </row>
    <row r="2666" spans="40:40">
      <c r="AN2666" s="396">
        <f t="shared" si="241"/>
        <v>0</v>
      </c>
    </row>
    <row r="2667" spans="40:40">
      <c r="AN2667" s="396">
        <f t="shared" si="241"/>
        <v>0</v>
      </c>
    </row>
    <row r="2668" spans="40:40">
      <c r="AN2668" s="396">
        <f t="shared" si="241"/>
        <v>0</v>
      </c>
    </row>
    <row r="2669" spans="40:40">
      <c r="AN2669" s="396">
        <f t="shared" si="241"/>
        <v>0</v>
      </c>
    </row>
    <row r="2670" spans="40:40">
      <c r="AN2670" s="396">
        <f t="shared" si="241"/>
        <v>0</v>
      </c>
    </row>
    <row r="2671" spans="40:40">
      <c r="AN2671" s="396">
        <f t="shared" si="241"/>
        <v>0</v>
      </c>
    </row>
    <row r="2672" spans="40:40">
      <c r="AN2672" s="396">
        <f t="shared" si="241"/>
        <v>0</v>
      </c>
    </row>
    <row r="2673" spans="40:40">
      <c r="AN2673" s="396">
        <f t="shared" si="241"/>
        <v>0</v>
      </c>
    </row>
    <row r="2674" spans="40:40">
      <c r="AN2674" s="396">
        <f t="shared" si="241"/>
        <v>0</v>
      </c>
    </row>
    <row r="2675" spans="40:40">
      <c r="AN2675" s="396">
        <f t="shared" si="241"/>
        <v>0</v>
      </c>
    </row>
    <row r="2676" spans="40:40">
      <c r="AN2676" s="396">
        <f t="shared" si="241"/>
        <v>0</v>
      </c>
    </row>
    <row r="2677" spans="40:40">
      <c r="AN2677" s="396">
        <f t="shared" si="241"/>
        <v>0</v>
      </c>
    </row>
    <row r="2678" spans="40:40">
      <c r="AN2678" s="396">
        <f t="shared" si="241"/>
        <v>0</v>
      </c>
    </row>
    <row r="2679" spans="40:40">
      <c r="AN2679" s="396">
        <f t="shared" si="241"/>
        <v>0</v>
      </c>
    </row>
    <row r="2680" spans="40:40">
      <c r="AN2680" s="396">
        <f t="shared" si="241"/>
        <v>0</v>
      </c>
    </row>
    <row r="2681" spans="40:40">
      <c r="AN2681" s="396">
        <f t="shared" si="241"/>
        <v>0</v>
      </c>
    </row>
    <row r="2682" spans="40:40">
      <c r="AN2682" s="396">
        <f t="shared" si="241"/>
        <v>0</v>
      </c>
    </row>
    <row r="2683" spans="40:40">
      <c r="AN2683" s="396">
        <f t="shared" si="241"/>
        <v>0</v>
      </c>
    </row>
    <row r="2684" spans="40:40">
      <c r="AN2684" s="396">
        <f t="shared" si="241"/>
        <v>0</v>
      </c>
    </row>
    <row r="2685" spans="40:40">
      <c r="AN2685" s="396">
        <f t="shared" si="241"/>
        <v>0</v>
      </c>
    </row>
    <row r="2686" spans="40:40">
      <c r="AN2686" s="396">
        <f t="shared" si="241"/>
        <v>0</v>
      </c>
    </row>
    <row r="2687" spans="40:40">
      <c r="AN2687" s="396">
        <f t="shared" si="241"/>
        <v>0</v>
      </c>
    </row>
    <row r="2688" spans="40:40">
      <c r="AN2688" s="396">
        <f t="shared" si="241"/>
        <v>0</v>
      </c>
    </row>
    <row r="2689" spans="40:40">
      <c r="AN2689" s="396">
        <f t="shared" si="241"/>
        <v>0</v>
      </c>
    </row>
    <row r="2690" spans="40:40">
      <c r="AN2690" s="396">
        <f t="shared" si="241"/>
        <v>0</v>
      </c>
    </row>
    <row r="2691" spans="40:40">
      <c r="AN2691" s="396">
        <f t="shared" ref="AN2691:AN2754" si="242">IF(OR(N2691="배송완료", Q2691&lt;0), Q2691, 0)</f>
        <v>0</v>
      </c>
    </row>
    <row r="2692" spans="40:40">
      <c r="AN2692" s="396">
        <f t="shared" si="242"/>
        <v>0</v>
      </c>
    </row>
    <row r="2693" spans="40:40">
      <c r="AN2693" s="396">
        <f t="shared" si="242"/>
        <v>0</v>
      </c>
    </row>
    <row r="2694" spans="40:40">
      <c r="AN2694" s="396">
        <f t="shared" si="242"/>
        <v>0</v>
      </c>
    </row>
    <row r="2695" spans="40:40">
      <c r="AN2695" s="396">
        <f t="shared" si="242"/>
        <v>0</v>
      </c>
    </row>
    <row r="2696" spans="40:40">
      <c r="AN2696" s="396">
        <f t="shared" si="242"/>
        <v>0</v>
      </c>
    </row>
    <row r="2697" spans="40:40">
      <c r="AN2697" s="396">
        <f t="shared" si="242"/>
        <v>0</v>
      </c>
    </row>
    <row r="2698" spans="40:40">
      <c r="AN2698" s="396">
        <f t="shared" si="242"/>
        <v>0</v>
      </c>
    </row>
    <row r="2699" spans="40:40">
      <c r="AN2699" s="396">
        <f t="shared" si="242"/>
        <v>0</v>
      </c>
    </row>
    <row r="2700" spans="40:40">
      <c r="AN2700" s="396">
        <f t="shared" si="242"/>
        <v>0</v>
      </c>
    </row>
    <row r="2701" spans="40:40">
      <c r="AN2701" s="396">
        <f t="shared" si="242"/>
        <v>0</v>
      </c>
    </row>
    <row r="2702" spans="40:40">
      <c r="AN2702" s="396">
        <f t="shared" si="242"/>
        <v>0</v>
      </c>
    </row>
    <row r="2703" spans="40:40">
      <c r="AN2703" s="396">
        <f t="shared" si="242"/>
        <v>0</v>
      </c>
    </row>
    <row r="2704" spans="40:40">
      <c r="AN2704" s="396">
        <f t="shared" si="242"/>
        <v>0</v>
      </c>
    </row>
    <row r="2705" spans="40:40">
      <c r="AN2705" s="396">
        <f t="shared" si="242"/>
        <v>0</v>
      </c>
    </row>
    <row r="2706" spans="40:40">
      <c r="AN2706" s="396">
        <f t="shared" si="242"/>
        <v>0</v>
      </c>
    </row>
    <row r="2707" spans="40:40">
      <c r="AN2707" s="396">
        <f t="shared" si="242"/>
        <v>0</v>
      </c>
    </row>
    <row r="2708" spans="40:40">
      <c r="AN2708" s="396">
        <f t="shared" si="242"/>
        <v>0</v>
      </c>
    </row>
    <row r="2709" spans="40:40">
      <c r="AN2709" s="396">
        <f t="shared" si="242"/>
        <v>0</v>
      </c>
    </row>
    <row r="2710" spans="40:40">
      <c r="AN2710" s="396">
        <f t="shared" si="242"/>
        <v>0</v>
      </c>
    </row>
    <row r="2711" spans="40:40">
      <c r="AN2711" s="396">
        <f t="shared" si="242"/>
        <v>0</v>
      </c>
    </row>
    <row r="2712" spans="40:40">
      <c r="AN2712" s="396">
        <f t="shared" si="242"/>
        <v>0</v>
      </c>
    </row>
    <row r="2713" spans="40:40">
      <c r="AN2713" s="396">
        <f t="shared" si="242"/>
        <v>0</v>
      </c>
    </row>
    <row r="2714" spans="40:40">
      <c r="AN2714" s="396">
        <f t="shared" si="242"/>
        <v>0</v>
      </c>
    </row>
    <row r="2715" spans="40:40">
      <c r="AN2715" s="396">
        <f t="shared" si="242"/>
        <v>0</v>
      </c>
    </row>
    <row r="2716" spans="40:40">
      <c r="AN2716" s="396">
        <f t="shared" si="242"/>
        <v>0</v>
      </c>
    </row>
    <row r="2717" spans="40:40">
      <c r="AN2717" s="396">
        <f t="shared" si="242"/>
        <v>0</v>
      </c>
    </row>
    <row r="2718" spans="40:40">
      <c r="AN2718" s="396">
        <f t="shared" si="242"/>
        <v>0</v>
      </c>
    </row>
    <row r="2719" spans="40:40">
      <c r="AN2719" s="396">
        <f t="shared" si="242"/>
        <v>0</v>
      </c>
    </row>
    <row r="2720" spans="40:40">
      <c r="AN2720" s="396">
        <f t="shared" si="242"/>
        <v>0</v>
      </c>
    </row>
    <row r="2721" spans="40:40">
      <c r="AN2721" s="396">
        <f t="shared" si="242"/>
        <v>0</v>
      </c>
    </row>
    <row r="2722" spans="40:40">
      <c r="AN2722" s="396">
        <f t="shared" si="242"/>
        <v>0</v>
      </c>
    </row>
    <row r="2723" spans="40:40">
      <c r="AN2723" s="396">
        <f t="shared" si="242"/>
        <v>0</v>
      </c>
    </row>
    <row r="2724" spans="40:40">
      <c r="AN2724" s="396">
        <f t="shared" si="242"/>
        <v>0</v>
      </c>
    </row>
    <row r="2725" spans="40:40">
      <c r="AN2725" s="396">
        <f t="shared" si="242"/>
        <v>0</v>
      </c>
    </row>
    <row r="2726" spans="40:40">
      <c r="AN2726" s="396">
        <f t="shared" si="242"/>
        <v>0</v>
      </c>
    </row>
    <row r="2727" spans="40:40">
      <c r="AN2727" s="396">
        <f t="shared" si="242"/>
        <v>0</v>
      </c>
    </row>
    <row r="2728" spans="40:40">
      <c r="AN2728" s="396">
        <f t="shared" si="242"/>
        <v>0</v>
      </c>
    </row>
    <row r="2729" spans="40:40">
      <c r="AN2729" s="396">
        <f t="shared" si="242"/>
        <v>0</v>
      </c>
    </row>
    <row r="2730" spans="40:40">
      <c r="AN2730" s="396">
        <f t="shared" si="242"/>
        <v>0</v>
      </c>
    </row>
    <row r="2731" spans="40:40">
      <c r="AN2731" s="396">
        <f t="shared" si="242"/>
        <v>0</v>
      </c>
    </row>
    <row r="2732" spans="40:40">
      <c r="AN2732" s="396">
        <f t="shared" si="242"/>
        <v>0</v>
      </c>
    </row>
    <row r="2733" spans="40:40">
      <c r="AN2733" s="396">
        <f t="shared" si="242"/>
        <v>0</v>
      </c>
    </row>
    <row r="2734" spans="40:40">
      <c r="AN2734" s="396">
        <f t="shared" si="242"/>
        <v>0</v>
      </c>
    </row>
    <row r="2735" spans="40:40">
      <c r="AN2735" s="396">
        <f t="shared" si="242"/>
        <v>0</v>
      </c>
    </row>
    <row r="2736" spans="40:40">
      <c r="AN2736" s="396">
        <f t="shared" si="242"/>
        <v>0</v>
      </c>
    </row>
    <row r="2737" spans="40:40">
      <c r="AN2737" s="396">
        <f t="shared" si="242"/>
        <v>0</v>
      </c>
    </row>
    <row r="2738" spans="40:40">
      <c r="AN2738" s="396">
        <f t="shared" si="242"/>
        <v>0</v>
      </c>
    </row>
    <row r="2739" spans="40:40">
      <c r="AN2739" s="396">
        <f t="shared" si="242"/>
        <v>0</v>
      </c>
    </row>
    <row r="2740" spans="40:40">
      <c r="AN2740" s="396">
        <f t="shared" si="242"/>
        <v>0</v>
      </c>
    </row>
    <row r="2741" spans="40:40">
      <c r="AN2741" s="396">
        <f t="shared" si="242"/>
        <v>0</v>
      </c>
    </row>
    <row r="2742" spans="40:40">
      <c r="AN2742" s="396">
        <f t="shared" si="242"/>
        <v>0</v>
      </c>
    </row>
    <row r="2743" spans="40:40">
      <c r="AN2743" s="396">
        <f t="shared" si="242"/>
        <v>0</v>
      </c>
    </row>
    <row r="2744" spans="40:40">
      <c r="AN2744" s="396">
        <f t="shared" si="242"/>
        <v>0</v>
      </c>
    </row>
    <row r="2745" spans="40:40">
      <c r="AN2745" s="396">
        <f t="shared" si="242"/>
        <v>0</v>
      </c>
    </row>
    <row r="2746" spans="40:40">
      <c r="AN2746" s="396">
        <f t="shared" si="242"/>
        <v>0</v>
      </c>
    </row>
    <row r="2747" spans="40:40">
      <c r="AN2747" s="396">
        <f t="shared" si="242"/>
        <v>0</v>
      </c>
    </row>
    <row r="2748" spans="40:40">
      <c r="AN2748" s="396">
        <f t="shared" si="242"/>
        <v>0</v>
      </c>
    </row>
    <row r="2749" spans="40:40">
      <c r="AN2749" s="396">
        <f t="shared" si="242"/>
        <v>0</v>
      </c>
    </row>
    <row r="2750" spans="40:40">
      <c r="AN2750" s="396">
        <f t="shared" si="242"/>
        <v>0</v>
      </c>
    </row>
    <row r="2751" spans="40:40">
      <c r="AN2751" s="396">
        <f t="shared" si="242"/>
        <v>0</v>
      </c>
    </row>
    <row r="2752" spans="40:40">
      <c r="AN2752" s="396">
        <f t="shared" si="242"/>
        <v>0</v>
      </c>
    </row>
    <row r="2753" spans="40:40">
      <c r="AN2753" s="396">
        <f t="shared" si="242"/>
        <v>0</v>
      </c>
    </row>
    <row r="2754" spans="40:40">
      <c r="AN2754" s="396">
        <f t="shared" si="242"/>
        <v>0</v>
      </c>
    </row>
    <row r="2755" spans="40:40">
      <c r="AN2755" s="396">
        <f t="shared" ref="AN2755:AN2818" si="243">IF(OR(N2755="배송완료", Q2755&lt;0), Q2755, 0)</f>
        <v>0</v>
      </c>
    </row>
    <row r="2756" spans="40:40">
      <c r="AN2756" s="396">
        <f t="shared" si="243"/>
        <v>0</v>
      </c>
    </row>
    <row r="2757" spans="40:40">
      <c r="AN2757" s="396">
        <f t="shared" si="243"/>
        <v>0</v>
      </c>
    </row>
    <row r="2758" spans="40:40">
      <c r="AN2758" s="396">
        <f t="shared" si="243"/>
        <v>0</v>
      </c>
    </row>
    <row r="2759" spans="40:40">
      <c r="AN2759" s="396">
        <f t="shared" si="243"/>
        <v>0</v>
      </c>
    </row>
    <row r="2760" spans="40:40">
      <c r="AN2760" s="396">
        <f t="shared" si="243"/>
        <v>0</v>
      </c>
    </row>
    <row r="2761" spans="40:40">
      <c r="AN2761" s="396">
        <f t="shared" si="243"/>
        <v>0</v>
      </c>
    </row>
    <row r="2762" spans="40:40">
      <c r="AN2762" s="396">
        <f t="shared" si="243"/>
        <v>0</v>
      </c>
    </row>
    <row r="2763" spans="40:40">
      <c r="AN2763" s="396">
        <f t="shared" si="243"/>
        <v>0</v>
      </c>
    </row>
    <row r="2764" spans="40:40">
      <c r="AN2764" s="396">
        <f t="shared" si="243"/>
        <v>0</v>
      </c>
    </row>
    <row r="2765" spans="40:40">
      <c r="AN2765" s="396">
        <f t="shared" si="243"/>
        <v>0</v>
      </c>
    </row>
    <row r="2766" spans="40:40">
      <c r="AN2766" s="396">
        <f t="shared" si="243"/>
        <v>0</v>
      </c>
    </row>
    <row r="2767" spans="40:40">
      <c r="AN2767" s="396">
        <f t="shared" si="243"/>
        <v>0</v>
      </c>
    </row>
    <row r="2768" spans="40:40">
      <c r="AN2768" s="396">
        <f t="shared" si="243"/>
        <v>0</v>
      </c>
    </row>
    <row r="2769" spans="40:40">
      <c r="AN2769" s="396">
        <f t="shared" si="243"/>
        <v>0</v>
      </c>
    </row>
    <row r="2770" spans="40:40">
      <c r="AN2770" s="396">
        <f t="shared" si="243"/>
        <v>0</v>
      </c>
    </row>
    <row r="2771" spans="40:40">
      <c r="AN2771" s="396">
        <f t="shared" si="243"/>
        <v>0</v>
      </c>
    </row>
    <row r="2772" spans="40:40">
      <c r="AN2772" s="396">
        <f t="shared" si="243"/>
        <v>0</v>
      </c>
    </row>
    <row r="2773" spans="40:40">
      <c r="AN2773" s="396">
        <f t="shared" si="243"/>
        <v>0</v>
      </c>
    </row>
    <row r="2774" spans="40:40">
      <c r="AN2774" s="396">
        <f t="shared" si="243"/>
        <v>0</v>
      </c>
    </row>
    <row r="2775" spans="40:40">
      <c r="AN2775" s="396">
        <f t="shared" si="243"/>
        <v>0</v>
      </c>
    </row>
    <row r="2776" spans="40:40">
      <c r="AN2776" s="396">
        <f t="shared" si="243"/>
        <v>0</v>
      </c>
    </row>
    <row r="2777" spans="40:40">
      <c r="AN2777" s="396">
        <f t="shared" si="243"/>
        <v>0</v>
      </c>
    </row>
    <row r="2778" spans="40:40">
      <c r="AN2778" s="396">
        <f t="shared" si="243"/>
        <v>0</v>
      </c>
    </row>
    <row r="2779" spans="40:40">
      <c r="AN2779" s="396">
        <f t="shared" si="243"/>
        <v>0</v>
      </c>
    </row>
    <row r="2780" spans="40:40">
      <c r="AN2780" s="396">
        <f t="shared" si="243"/>
        <v>0</v>
      </c>
    </row>
    <row r="2781" spans="40:40">
      <c r="AN2781" s="396">
        <f t="shared" si="243"/>
        <v>0</v>
      </c>
    </row>
    <row r="2782" spans="40:40">
      <c r="AN2782" s="396">
        <f t="shared" si="243"/>
        <v>0</v>
      </c>
    </row>
    <row r="2783" spans="40:40">
      <c r="AN2783" s="396">
        <f t="shared" si="243"/>
        <v>0</v>
      </c>
    </row>
    <row r="2784" spans="40:40">
      <c r="AN2784" s="396">
        <f t="shared" si="243"/>
        <v>0</v>
      </c>
    </row>
    <row r="2785" spans="40:40">
      <c r="AN2785" s="396">
        <f t="shared" si="243"/>
        <v>0</v>
      </c>
    </row>
    <row r="2786" spans="40:40">
      <c r="AN2786" s="396">
        <f t="shared" si="243"/>
        <v>0</v>
      </c>
    </row>
    <row r="2787" spans="40:40">
      <c r="AN2787" s="396">
        <f t="shared" si="243"/>
        <v>0</v>
      </c>
    </row>
    <row r="2788" spans="40:40">
      <c r="AN2788" s="396">
        <f t="shared" si="243"/>
        <v>0</v>
      </c>
    </row>
    <row r="2789" spans="40:40">
      <c r="AN2789" s="396">
        <f t="shared" si="243"/>
        <v>0</v>
      </c>
    </row>
    <row r="2790" spans="40:40">
      <c r="AN2790" s="396">
        <f t="shared" si="243"/>
        <v>0</v>
      </c>
    </row>
    <row r="2791" spans="40:40">
      <c r="AN2791" s="396">
        <f t="shared" si="243"/>
        <v>0</v>
      </c>
    </row>
    <row r="2792" spans="40:40">
      <c r="AN2792" s="396">
        <f t="shared" si="243"/>
        <v>0</v>
      </c>
    </row>
    <row r="2793" spans="40:40">
      <c r="AN2793" s="396">
        <f t="shared" si="243"/>
        <v>0</v>
      </c>
    </row>
    <row r="2794" spans="40:40">
      <c r="AN2794" s="396">
        <f t="shared" si="243"/>
        <v>0</v>
      </c>
    </row>
    <row r="2795" spans="40:40">
      <c r="AN2795" s="396">
        <f t="shared" si="243"/>
        <v>0</v>
      </c>
    </row>
    <row r="2796" spans="40:40">
      <c r="AN2796" s="396">
        <f t="shared" si="243"/>
        <v>0</v>
      </c>
    </row>
    <row r="2797" spans="40:40">
      <c r="AN2797" s="396">
        <f t="shared" si="243"/>
        <v>0</v>
      </c>
    </row>
    <row r="2798" spans="40:40">
      <c r="AN2798" s="396">
        <f t="shared" si="243"/>
        <v>0</v>
      </c>
    </row>
    <row r="2799" spans="40:40">
      <c r="AN2799" s="396">
        <f t="shared" si="243"/>
        <v>0</v>
      </c>
    </row>
    <row r="2800" spans="40:40">
      <c r="AN2800" s="396">
        <f t="shared" si="243"/>
        <v>0</v>
      </c>
    </row>
    <row r="2801" spans="40:40">
      <c r="AN2801" s="396">
        <f t="shared" si="243"/>
        <v>0</v>
      </c>
    </row>
    <row r="2802" spans="40:40">
      <c r="AN2802" s="396">
        <f t="shared" si="243"/>
        <v>0</v>
      </c>
    </row>
    <row r="2803" spans="40:40">
      <c r="AN2803" s="396">
        <f t="shared" si="243"/>
        <v>0</v>
      </c>
    </row>
    <row r="2804" spans="40:40">
      <c r="AN2804" s="396">
        <f t="shared" si="243"/>
        <v>0</v>
      </c>
    </row>
    <row r="2805" spans="40:40">
      <c r="AN2805" s="396">
        <f t="shared" si="243"/>
        <v>0</v>
      </c>
    </row>
    <row r="2806" spans="40:40">
      <c r="AN2806" s="396">
        <f t="shared" si="243"/>
        <v>0</v>
      </c>
    </row>
    <row r="2807" spans="40:40">
      <c r="AN2807" s="396">
        <f t="shared" si="243"/>
        <v>0</v>
      </c>
    </row>
    <row r="2808" spans="40:40">
      <c r="AN2808" s="396">
        <f t="shared" si="243"/>
        <v>0</v>
      </c>
    </row>
    <row r="2809" spans="40:40">
      <c r="AN2809" s="396">
        <f t="shared" si="243"/>
        <v>0</v>
      </c>
    </row>
    <row r="2810" spans="40:40">
      <c r="AN2810" s="396">
        <f t="shared" si="243"/>
        <v>0</v>
      </c>
    </row>
    <row r="2811" spans="40:40">
      <c r="AN2811" s="396">
        <f t="shared" si="243"/>
        <v>0</v>
      </c>
    </row>
    <row r="2812" spans="40:40">
      <c r="AN2812" s="396">
        <f t="shared" si="243"/>
        <v>0</v>
      </c>
    </row>
    <row r="2813" spans="40:40">
      <c r="AN2813" s="396">
        <f t="shared" si="243"/>
        <v>0</v>
      </c>
    </row>
    <row r="2814" spans="40:40">
      <c r="AN2814" s="396">
        <f t="shared" si="243"/>
        <v>0</v>
      </c>
    </row>
    <row r="2815" spans="40:40">
      <c r="AN2815" s="396">
        <f t="shared" si="243"/>
        <v>0</v>
      </c>
    </row>
    <row r="2816" spans="40:40">
      <c r="AN2816" s="396">
        <f t="shared" si="243"/>
        <v>0</v>
      </c>
    </row>
    <row r="2817" spans="40:40">
      <c r="AN2817" s="396">
        <f t="shared" si="243"/>
        <v>0</v>
      </c>
    </row>
    <row r="2818" spans="40:40">
      <c r="AN2818" s="396">
        <f t="shared" si="243"/>
        <v>0</v>
      </c>
    </row>
    <row r="2819" spans="40:40">
      <c r="AN2819" s="396">
        <f t="shared" ref="AN2819:AN2882" si="244">IF(OR(N2819="배송완료", Q2819&lt;0), Q2819, 0)</f>
        <v>0</v>
      </c>
    </row>
    <row r="2820" spans="40:40">
      <c r="AN2820" s="396">
        <f t="shared" si="244"/>
        <v>0</v>
      </c>
    </row>
    <row r="2821" spans="40:40">
      <c r="AN2821" s="396">
        <f t="shared" si="244"/>
        <v>0</v>
      </c>
    </row>
    <row r="2822" spans="40:40">
      <c r="AN2822" s="396">
        <f t="shared" si="244"/>
        <v>0</v>
      </c>
    </row>
    <row r="2823" spans="40:40">
      <c r="AN2823" s="396">
        <f t="shared" si="244"/>
        <v>0</v>
      </c>
    </row>
    <row r="2824" spans="40:40">
      <c r="AN2824" s="396">
        <f t="shared" si="244"/>
        <v>0</v>
      </c>
    </row>
    <row r="2825" spans="40:40">
      <c r="AN2825" s="396">
        <f t="shared" si="244"/>
        <v>0</v>
      </c>
    </row>
    <row r="2826" spans="40:40">
      <c r="AN2826" s="396">
        <f t="shared" si="244"/>
        <v>0</v>
      </c>
    </row>
    <row r="2827" spans="40:40">
      <c r="AN2827" s="396">
        <f t="shared" si="244"/>
        <v>0</v>
      </c>
    </row>
    <row r="2828" spans="40:40">
      <c r="AN2828" s="396">
        <f t="shared" si="244"/>
        <v>0</v>
      </c>
    </row>
    <row r="2829" spans="40:40">
      <c r="AN2829" s="396">
        <f t="shared" si="244"/>
        <v>0</v>
      </c>
    </row>
    <row r="2830" spans="40:40">
      <c r="AN2830" s="396">
        <f t="shared" si="244"/>
        <v>0</v>
      </c>
    </row>
    <row r="2831" spans="40:40">
      <c r="AN2831" s="396">
        <f t="shared" si="244"/>
        <v>0</v>
      </c>
    </row>
    <row r="2832" spans="40:40">
      <c r="AN2832" s="396">
        <f t="shared" si="244"/>
        <v>0</v>
      </c>
    </row>
    <row r="2833" spans="40:40">
      <c r="AN2833" s="396">
        <f t="shared" si="244"/>
        <v>0</v>
      </c>
    </row>
    <row r="2834" spans="40:40">
      <c r="AN2834" s="396">
        <f t="shared" si="244"/>
        <v>0</v>
      </c>
    </row>
    <row r="2835" spans="40:40">
      <c r="AN2835" s="396">
        <f t="shared" si="244"/>
        <v>0</v>
      </c>
    </row>
    <row r="2836" spans="40:40">
      <c r="AN2836" s="396">
        <f t="shared" si="244"/>
        <v>0</v>
      </c>
    </row>
    <row r="2837" spans="40:40">
      <c r="AN2837" s="396">
        <f t="shared" si="244"/>
        <v>0</v>
      </c>
    </row>
    <row r="2838" spans="40:40">
      <c r="AN2838" s="396">
        <f t="shared" si="244"/>
        <v>0</v>
      </c>
    </row>
    <row r="2839" spans="40:40">
      <c r="AN2839" s="396">
        <f t="shared" si="244"/>
        <v>0</v>
      </c>
    </row>
    <row r="2840" spans="40:40">
      <c r="AN2840" s="396">
        <f t="shared" si="244"/>
        <v>0</v>
      </c>
    </row>
    <row r="2841" spans="40:40">
      <c r="AN2841" s="396">
        <f t="shared" si="244"/>
        <v>0</v>
      </c>
    </row>
    <row r="2842" spans="40:40">
      <c r="AN2842" s="396">
        <f t="shared" si="244"/>
        <v>0</v>
      </c>
    </row>
    <row r="2843" spans="40:40">
      <c r="AN2843" s="396">
        <f t="shared" si="244"/>
        <v>0</v>
      </c>
    </row>
    <row r="2844" spans="40:40">
      <c r="AN2844" s="396">
        <f t="shared" si="244"/>
        <v>0</v>
      </c>
    </row>
    <row r="2845" spans="40:40">
      <c r="AN2845" s="396">
        <f t="shared" si="244"/>
        <v>0</v>
      </c>
    </row>
    <row r="2846" spans="40:40">
      <c r="AN2846" s="396">
        <f t="shared" si="244"/>
        <v>0</v>
      </c>
    </row>
    <row r="2847" spans="40:40">
      <c r="AN2847" s="396">
        <f t="shared" si="244"/>
        <v>0</v>
      </c>
    </row>
    <row r="2848" spans="40:40">
      <c r="AN2848" s="396">
        <f t="shared" si="244"/>
        <v>0</v>
      </c>
    </row>
    <row r="2849" spans="40:40">
      <c r="AN2849" s="396">
        <f t="shared" si="244"/>
        <v>0</v>
      </c>
    </row>
    <row r="2850" spans="40:40">
      <c r="AN2850" s="396">
        <f t="shared" si="244"/>
        <v>0</v>
      </c>
    </row>
    <row r="2851" spans="40:40">
      <c r="AN2851" s="396">
        <f t="shared" si="244"/>
        <v>0</v>
      </c>
    </row>
    <row r="2852" spans="40:40">
      <c r="AN2852" s="396">
        <f t="shared" si="244"/>
        <v>0</v>
      </c>
    </row>
    <row r="2853" spans="40:40">
      <c r="AN2853" s="396">
        <f t="shared" si="244"/>
        <v>0</v>
      </c>
    </row>
    <row r="2854" spans="40:40">
      <c r="AN2854" s="396">
        <f t="shared" si="244"/>
        <v>0</v>
      </c>
    </row>
    <row r="2855" spans="40:40">
      <c r="AN2855" s="396">
        <f t="shared" si="244"/>
        <v>0</v>
      </c>
    </row>
    <row r="2856" spans="40:40">
      <c r="AN2856" s="396">
        <f t="shared" si="244"/>
        <v>0</v>
      </c>
    </row>
    <row r="2857" spans="40:40">
      <c r="AN2857" s="396">
        <f t="shared" si="244"/>
        <v>0</v>
      </c>
    </row>
    <row r="2858" spans="40:40">
      <c r="AN2858" s="396">
        <f t="shared" si="244"/>
        <v>0</v>
      </c>
    </row>
    <row r="2859" spans="40:40">
      <c r="AN2859" s="396">
        <f t="shared" si="244"/>
        <v>0</v>
      </c>
    </row>
    <row r="2860" spans="40:40">
      <c r="AN2860" s="396">
        <f t="shared" si="244"/>
        <v>0</v>
      </c>
    </row>
    <row r="2861" spans="40:40">
      <c r="AN2861" s="396">
        <f t="shared" si="244"/>
        <v>0</v>
      </c>
    </row>
    <row r="2862" spans="40:40">
      <c r="AN2862" s="396">
        <f t="shared" si="244"/>
        <v>0</v>
      </c>
    </row>
    <row r="2863" spans="40:40">
      <c r="AN2863" s="396">
        <f t="shared" si="244"/>
        <v>0</v>
      </c>
    </row>
    <row r="2864" spans="40:40">
      <c r="AN2864" s="396">
        <f t="shared" si="244"/>
        <v>0</v>
      </c>
    </row>
    <row r="2865" spans="40:40">
      <c r="AN2865" s="396">
        <f t="shared" si="244"/>
        <v>0</v>
      </c>
    </row>
    <row r="2866" spans="40:40">
      <c r="AN2866" s="396">
        <f t="shared" si="244"/>
        <v>0</v>
      </c>
    </row>
    <row r="2867" spans="40:40">
      <c r="AN2867" s="396">
        <f t="shared" si="244"/>
        <v>0</v>
      </c>
    </row>
    <row r="2868" spans="40:40">
      <c r="AN2868" s="396">
        <f t="shared" si="244"/>
        <v>0</v>
      </c>
    </row>
    <row r="2869" spans="40:40">
      <c r="AN2869" s="396">
        <f t="shared" si="244"/>
        <v>0</v>
      </c>
    </row>
    <row r="2870" spans="40:40">
      <c r="AN2870" s="396">
        <f t="shared" si="244"/>
        <v>0</v>
      </c>
    </row>
    <row r="2871" spans="40:40">
      <c r="AN2871" s="396">
        <f t="shared" si="244"/>
        <v>0</v>
      </c>
    </row>
    <row r="2872" spans="40:40">
      <c r="AN2872" s="396">
        <f t="shared" si="244"/>
        <v>0</v>
      </c>
    </row>
    <row r="2873" spans="40:40">
      <c r="AN2873" s="396">
        <f t="shared" si="244"/>
        <v>0</v>
      </c>
    </row>
    <row r="2874" spans="40:40">
      <c r="AN2874" s="396">
        <f t="shared" si="244"/>
        <v>0</v>
      </c>
    </row>
    <row r="2875" spans="40:40">
      <c r="AN2875" s="396">
        <f t="shared" si="244"/>
        <v>0</v>
      </c>
    </row>
    <row r="2876" spans="40:40">
      <c r="AN2876" s="396">
        <f t="shared" si="244"/>
        <v>0</v>
      </c>
    </row>
    <row r="2877" spans="40:40">
      <c r="AN2877" s="396">
        <f t="shared" si="244"/>
        <v>0</v>
      </c>
    </row>
    <row r="2878" spans="40:40">
      <c r="AN2878" s="396">
        <f t="shared" si="244"/>
        <v>0</v>
      </c>
    </row>
    <row r="2879" spans="40:40">
      <c r="AN2879" s="396">
        <f t="shared" si="244"/>
        <v>0</v>
      </c>
    </row>
    <row r="2880" spans="40:40">
      <c r="AN2880" s="396">
        <f t="shared" si="244"/>
        <v>0</v>
      </c>
    </row>
    <row r="2881" spans="40:40">
      <c r="AN2881" s="396">
        <f t="shared" si="244"/>
        <v>0</v>
      </c>
    </row>
    <row r="2882" spans="40:40">
      <c r="AN2882" s="396">
        <f t="shared" si="244"/>
        <v>0</v>
      </c>
    </row>
    <row r="2883" spans="40:40">
      <c r="AN2883" s="396">
        <f t="shared" ref="AN2883:AN2922" si="245">IF(OR(N2883="배송완료", Q2883&lt;0), Q2883, 0)</f>
        <v>0</v>
      </c>
    </row>
    <row r="2884" spans="40:40">
      <c r="AN2884" s="396">
        <f t="shared" si="245"/>
        <v>0</v>
      </c>
    </row>
    <row r="2885" spans="40:40">
      <c r="AN2885" s="396">
        <f t="shared" si="245"/>
        <v>0</v>
      </c>
    </row>
    <row r="2886" spans="40:40">
      <c r="AN2886" s="396">
        <f t="shared" si="245"/>
        <v>0</v>
      </c>
    </row>
    <row r="2887" spans="40:40">
      <c r="AN2887" s="396">
        <f t="shared" si="245"/>
        <v>0</v>
      </c>
    </row>
    <row r="2888" spans="40:40">
      <c r="AN2888" s="396">
        <f t="shared" si="245"/>
        <v>0</v>
      </c>
    </row>
    <row r="2889" spans="40:40">
      <c r="AN2889" s="396">
        <f t="shared" si="245"/>
        <v>0</v>
      </c>
    </row>
    <row r="2890" spans="40:40">
      <c r="AN2890" s="396">
        <f t="shared" si="245"/>
        <v>0</v>
      </c>
    </row>
    <row r="2891" spans="40:40">
      <c r="AN2891" s="396">
        <f t="shared" si="245"/>
        <v>0</v>
      </c>
    </row>
    <row r="2892" spans="40:40">
      <c r="AN2892" s="396">
        <f t="shared" si="245"/>
        <v>0</v>
      </c>
    </row>
    <row r="2893" spans="40:40">
      <c r="AN2893" s="396">
        <f t="shared" si="245"/>
        <v>0</v>
      </c>
    </row>
    <row r="2894" spans="40:40">
      <c r="AN2894" s="396">
        <f t="shared" si="245"/>
        <v>0</v>
      </c>
    </row>
    <row r="2895" spans="40:40">
      <c r="AN2895" s="396">
        <f t="shared" si="245"/>
        <v>0</v>
      </c>
    </row>
    <row r="2896" spans="40:40">
      <c r="AN2896" s="396">
        <f t="shared" si="245"/>
        <v>0</v>
      </c>
    </row>
    <row r="2897" spans="40:40">
      <c r="AN2897" s="396">
        <f t="shared" si="245"/>
        <v>0</v>
      </c>
    </row>
    <row r="2898" spans="40:40">
      <c r="AN2898" s="396">
        <f t="shared" si="245"/>
        <v>0</v>
      </c>
    </row>
    <row r="2899" spans="40:40">
      <c r="AN2899" s="396">
        <f t="shared" si="245"/>
        <v>0</v>
      </c>
    </row>
    <row r="2900" spans="40:40">
      <c r="AN2900" s="396">
        <f t="shared" si="245"/>
        <v>0</v>
      </c>
    </row>
    <row r="2901" spans="40:40">
      <c r="AN2901" s="396">
        <f t="shared" si="245"/>
        <v>0</v>
      </c>
    </row>
    <row r="2902" spans="40:40">
      <c r="AN2902" s="396">
        <f t="shared" si="245"/>
        <v>0</v>
      </c>
    </row>
    <row r="2903" spans="40:40">
      <c r="AN2903" s="396">
        <f t="shared" si="245"/>
        <v>0</v>
      </c>
    </row>
    <row r="2904" spans="40:40">
      <c r="AN2904" s="396">
        <f t="shared" si="245"/>
        <v>0</v>
      </c>
    </row>
    <row r="2905" spans="40:40">
      <c r="AN2905" s="396">
        <f t="shared" si="245"/>
        <v>0</v>
      </c>
    </row>
    <row r="2906" spans="40:40">
      <c r="AN2906" s="396">
        <f t="shared" si="245"/>
        <v>0</v>
      </c>
    </row>
    <row r="2907" spans="40:40">
      <c r="AN2907" s="396">
        <f t="shared" si="245"/>
        <v>0</v>
      </c>
    </row>
    <row r="2908" spans="40:40">
      <c r="AN2908" s="396">
        <f t="shared" si="245"/>
        <v>0</v>
      </c>
    </row>
    <row r="2909" spans="40:40">
      <c r="AN2909" s="396">
        <f t="shared" si="245"/>
        <v>0</v>
      </c>
    </row>
    <row r="2910" spans="40:40">
      <c r="AN2910" s="396">
        <f t="shared" si="245"/>
        <v>0</v>
      </c>
    </row>
    <row r="2911" spans="40:40">
      <c r="AN2911" s="396">
        <f t="shared" si="245"/>
        <v>0</v>
      </c>
    </row>
    <row r="2912" spans="40:40">
      <c r="AN2912" s="396">
        <f t="shared" si="245"/>
        <v>0</v>
      </c>
    </row>
    <row r="2913" spans="40:40">
      <c r="AN2913" s="396">
        <f t="shared" si="245"/>
        <v>0</v>
      </c>
    </row>
    <row r="2914" spans="40:40">
      <c r="AN2914" s="396">
        <f t="shared" si="245"/>
        <v>0</v>
      </c>
    </row>
    <row r="2915" spans="40:40">
      <c r="AN2915" s="396">
        <f t="shared" si="245"/>
        <v>0</v>
      </c>
    </row>
    <row r="2916" spans="40:40">
      <c r="AN2916" s="396">
        <f t="shared" si="245"/>
        <v>0</v>
      </c>
    </row>
    <row r="2917" spans="40:40">
      <c r="AN2917" s="396">
        <f t="shared" si="245"/>
        <v>0</v>
      </c>
    </row>
    <row r="2918" spans="40:40">
      <c r="AN2918" s="396">
        <f t="shared" si="245"/>
        <v>0</v>
      </c>
    </row>
    <row r="2919" spans="40:40">
      <c r="AN2919" s="396">
        <f t="shared" si="245"/>
        <v>0</v>
      </c>
    </row>
    <row r="2920" spans="40:40">
      <c r="AN2920" s="396">
        <f t="shared" si="245"/>
        <v>0</v>
      </c>
    </row>
    <row r="2921" spans="40:40">
      <c r="AN2921" s="396">
        <f t="shared" si="245"/>
        <v>0</v>
      </c>
    </row>
    <row r="2922" spans="40:40">
      <c r="AN2922" s="396">
        <f t="shared" si="245"/>
        <v>0</v>
      </c>
    </row>
  </sheetData>
  <autoFilter ref="A2:AC2" xr:uid="{88D62701-0978-4E7A-B008-A8F93CCF7421}"/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FE29-B840-4DCF-A354-CDAB73513FCF}">
  <sheetPr>
    <tabColor rgb="FFC00000"/>
  </sheetPr>
  <dimension ref="A2:AS127"/>
  <sheetViews>
    <sheetView showGridLines="0" zoomScale="70" zoomScaleNormal="70" workbookViewId="0">
      <pane xSplit="6" ySplit="7" topLeftCell="AA8" activePane="bottomRight" state="frozen"/>
      <selection pane="topRight" activeCell="Q1" sqref="Q1"/>
      <selection pane="bottomLeft" activeCell="A9" sqref="A9"/>
      <selection pane="bottomRight" activeCell="AB19" sqref="AB19"/>
    </sheetView>
  </sheetViews>
  <sheetFormatPr defaultColWidth="9" defaultRowHeight="15" customHeight="1"/>
  <cols>
    <col min="1" max="1" width="5.625" style="115" customWidth="1"/>
    <col min="2" max="2" width="5.625" style="116" customWidth="1"/>
    <col min="3" max="3" width="5.625" style="117" customWidth="1"/>
    <col min="4" max="4" width="10" style="117" customWidth="1"/>
    <col min="5" max="5" width="53.625" style="115" customWidth="1"/>
    <col min="6" max="6" width="7.125" style="116" customWidth="1"/>
    <col min="7" max="8" width="9" style="118" customWidth="1"/>
    <col min="9" max="9" width="9" style="119" customWidth="1"/>
    <col min="10" max="10" width="9" style="118" customWidth="1"/>
    <col min="11" max="11" width="13.625" style="118" customWidth="1"/>
    <col min="12" max="12" width="9" style="118" customWidth="1"/>
    <col min="13" max="13" width="12.125" style="118" bestFit="1" customWidth="1"/>
    <col min="14" max="14" width="14.375" style="118" customWidth="1"/>
    <col min="15" max="15" width="14" style="118" customWidth="1"/>
    <col min="16" max="16" width="12.625" style="118" customWidth="1"/>
    <col min="17" max="17" width="13.125" style="118" customWidth="1"/>
    <col min="18" max="22" width="11.125" style="118" customWidth="1"/>
    <col min="23" max="23" width="10.125" style="118" customWidth="1"/>
    <col min="24" max="24" width="11.5" style="118" customWidth="1"/>
    <col min="25" max="25" width="15.125" style="118" customWidth="1"/>
    <col min="26" max="26" width="11.5" style="119" customWidth="1"/>
    <col min="27" max="27" width="9.125" style="119" customWidth="1"/>
    <col min="28" max="29" width="12.875" style="118" customWidth="1"/>
    <col min="30" max="30" width="9.125" style="119" customWidth="1"/>
    <col min="31" max="31" width="14.625" style="118" customWidth="1"/>
    <col min="32" max="33" width="16.5" style="118" customWidth="1"/>
    <col min="34" max="34" width="13.625" style="118" customWidth="1"/>
    <col min="35" max="35" width="11.625" style="118" customWidth="1"/>
    <col min="36" max="36" width="12.625" style="118" customWidth="1"/>
    <col min="37" max="37" width="11.125" style="115" bestFit="1" customWidth="1"/>
    <col min="38" max="38" width="3.625" style="115" customWidth="1"/>
    <col min="39" max="42" width="9" style="120" customWidth="1"/>
    <col min="43" max="51" width="9" style="115" customWidth="1"/>
    <col min="52" max="16384" width="9" style="115"/>
  </cols>
  <sheetData>
    <row r="2" spans="1:45" ht="24" customHeight="1">
      <c r="A2" s="121" t="s">
        <v>5814</v>
      </c>
      <c r="F2" s="115"/>
      <c r="G2" s="123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T2" s="122"/>
      <c r="U2" s="122"/>
      <c r="W2" s="122"/>
      <c r="X2" s="122"/>
      <c r="Y2" s="122"/>
      <c r="Z2" s="123"/>
      <c r="AA2" s="123"/>
      <c r="AB2" s="122"/>
      <c r="AC2" s="122"/>
      <c r="AD2" s="123"/>
      <c r="AE2" s="122"/>
      <c r="AF2" s="122"/>
      <c r="AG2" s="122"/>
      <c r="AH2" s="122"/>
      <c r="AI2" s="122"/>
      <c r="AJ2" s="122"/>
      <c r="AK2" s="124"/>
      <c r="AM2" s="115"/>
      <c r="AN2" s="115"/>
      <c r="AO2" s="115"/>
      <c r="AP2" s="115"/>
    </row>
    <row r="3" spans="1:45" ht="15" customHeight="1">
      <c r="A3" s="126" t="s">
        <v>5815</v>
      </c>
      <c r="F3" s="115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T3" s="122"/>
      <c r="U3" s="122"/>
      <c r="V3" s="122"/>
      <c r="W3" s="122"/>
      <c r="X3" s="122"/>
      <c r="Y3" s="122"/>
      <c r="Z3" s="123"/>
      <c r="AA3" s="123"/>
      <c r="AB3" s="122"/>
      <c r="AC3" s="122"/>
      <c r="AD3" s="123"/>
      <c r="AE3" s="122"/>
      <c r="AF3" s="122"/>
      <c r="AG3" s="122"/>
      <c r="AH3" s="122"/>
      <c r="AI3" s="122"/>
      <c r="AJ3" s="122"/>
      <c r="AK3" s="122"/>
      <c r="AM3" s="115"/>
      <c r="AN3" s="115"/>
      <c r="AO3" s="115"/>
      <c r="AP3" s="115"/>
    </row>
    <row r="4" spans="1:45" ht="15" customHeight="1">
      <c r="A4" s="126" t="s">
        <v>5816</v>
      </c>
      <c r="E4" s="127"/>
      <c r="F4" s="115"/>
      <c r="G4" s="123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T4" s="122"/>
      <c r="U4" s="128"/>
      <c r="V4" s="128"/>
      <c r="W4" s="128"/>
      <c r="X4" s="122"/>
      <c r="Y4" s="122"/>
      <c r="Z4" s="123"/>
      <c r="AA4" s="123"/>
      <c r="AB4" s="122"/>
      <c r="AC4" s="122"/>
      <c r="AD4" s="123"/>
      <c r="AE4" s="122"/>
      <c r="AF4" s="122"/>
      <c r="AG4" s="122"/>
      <c r="AH4" s="122"/>
      <c r="AI4" s="122"/>
      <c r="AJ4" s="122"/>
      <c r="AM4" s="115"/>
      <c r="AN4" s="115"/>
      <c r="AO4" s="115"/>
      <c r="AP4" s="115"/>
    </row>
    <row r="5" spans="1:45" s="129" customFormat="1" ht="15" customHeight="1">
      <c r="B5" s="130"/>
      <c r="C5" s="131"/>
      <c r="D5" s="131"/>
      <c r="G5" s="133"/>
      <c r="H5" s="132"/>
      <c r="I5" s="132"/>
      <c r="J5" s="132"/>
      <c r="K5" s="132"/>
      <c r="L5" s="132"/>
      <c r="M5" s="132"/>
      <c r="N5" s="132"/>
      <c r="O5" s="134"/>
      <c r="P5" s="134">
        <v>7687</v>
      </c>
      <c r="Q5" s="134"/>
      <c r="R5" s="135"/>
      <c r="U5" s="136"/>
      <c r="V5" s="137"/>
      <c r="W5" s="132"/>
      <c r="X5" s="134"/>
      <c r="Y5" s="132"/>
      <c r="Z5" s="132"/>
      <c r="AA5" s="138"/>
      <c r="AB5" s="132"/>
      <c r="AC5" s="132"/>
      <c r="AD5" s="139"/>
      <c r="AE5" s="132"/>
      <c r="AF5" s="132"/>
      <c r="AG5" s="132"/>
      <c r="AH5" s="132"/>
      <c r="AI5" s="132"/>
      <c r="AJ5" s="132"/>
      <c r="AK5" s="134"/>
      <c r="AL5" s="140"/>
      <c r="AM5" s="139"/>
      <c r="AN5" s="139"/>
      <c r="AO5" s="139"/>
      <c r="AP5" s="139"/>
    </row>
    <row r="6" spans="1:45" s="130" customFormat="1" ht="15.75" customHeight="1">
      <c r="A6" s="129"/>
      <c r="C6" s="131"/>
      <c r="D6" s="131"/>
      <c r="F6" s="129"/>
      <c r="G6" s="142" t="s">
        <v>5817</v>
      </c>
      <c r="H6" s="142" t="s">
        <v>5818</v>
      </c>
      <c r="I6" s="143"/>
      <c r="J6" s="142" t="s">
        <v>5818</v>
      </c>
      <c r="K6" s="142" t="s">
        <v>5818</v>
      </c>
      <c r="L6" s="142"/>
      <c r="M6" s="142" t="s">
        <v>5818</v>
      </c>
      <c r="N6" s="142" t="s">
        <v>5818</v>
      </c>
      <c r="O6" s="142" t="s">
        <v>5818</v>
      </c>
      <c r="P6" s="142" t="s">
        <v>5818</v>
      </c>
      <c r="Q6" s="142" t="s">
        <v>5818</v>
      </c>
      <c r="R6" s="142"/>
      <c r="S6" s="142" t="s">
        <v>68</v>
      </c>
      <c r="T6" s="142" t="s">
        <v>5819</v>
      </c>
      <c r="U6" s="142" t="s">
        <v>5820</v>
      </c>
      <c r="V6" s="144" t="s">
        <v>5821</v>
      </c>
      <c r="W6" s="142"/>
      <c r="X6" s="142" t="s">
        <v>5818</v>
      </c>
      <c r="Y6" s="142"/>
      <c r="Z6" s="143"/>
      <c r="AA6" s="143"/>
      <c r="AB6" s="142"/>
      <c r="AC6" s="142"/>
      <c r="AD6" s="143"/>
      <c r="AE6" s="142" t="s">
        <v>5822</v>
      </c>
      <c r="AF6" s="142"/>
      <c r="AG6" s="142"/>
      <c r="AH6" s="144" t="s">
        <v>5823</v>
      </c>
      <c r="AI6" s="142"/>
      <c r="AJ6" s="142"/>
    </row>
    <row r="7" spans="1:45" s="110" customFormat="1" ht="15" customHeight="1">
      <c r="A7" s="110" t="s">
        <v>5824</v>
      </c>
      <c r="B7" s="110" t="s">
        <v>5825</v>
      </c>
      <c r="C7" s="110" t="s">
        <v>5826</v>
      </c>
      <c r="D7" s="110" t="s">
        <v>5827</v>
      </c>
      <c r="E7" s="110" t="s">
        <v>5828</v>
      </c>
      <c r="F7" s="111" t="s">
        <v>5829</v>
      </c>
      <c r="G7" s="110" t="s">
        <v>5830</v>
      </c>
      <c r="H7" s="111" t="s">
        <v>5831</v>
      </c>
      <c r="I7" s="112" t="s">
        <v>109</v>
      </c>
      <c r="J7" s="111" t="s">
        <v>5832</v>
      </c>
      <c r="K7" s="400" t="s">
        <v>5833</v>
      </c>
      <c r="L7" s="111" t="s">
        <v>5834</v>
      </c>
      <c r="M7" s="110" t="s">
        <v>105</v>
      </c>
      <c r="N7" s="111" t="s">
        <v>5835</v>
      </c>
      <c r="O7" s="400" t="s">
        <v>5836</v>
      </c>
      <c r="P7" s="400" t="s">
        <v>110</v>
      </c>
      <c r="Q7" s="400" t="s">
        <v>111</v>
      </c>
      <c r="R7" s="111" t="s">
        <v>5837</v>
      </c>
      <c r="S7" s="110" t="s">
        <v>5838</v>
      </c>
      <c r="T7" s="111" t="s">
        <v>5838</v>
      </c>
      <c r="U7" s="111" t="s">
        <v>5839</v>
      </c>
      <c r="V7" s="111" t="s">
        <v>5840</v>
      </c>
      <c r="W7" s="110" t="s">
        <v>5841</v>
      </c>
      <c r="X7" s="400" t="s">
        <v>5842</v>
      </c>
      <c r="Y7" s="110" t="s">
        <v>5843</v>
      </c>
      <c r="Z7" s="113" t="s">
        <v>5844</v>
      </c>
      <c r="AA7" s="114" t="s">
        <v>5845</v>
      </c>
      <c r="AB7" s="111" t="s">
        <v>5846</v>
      </c>
      <c r="AC7" s="113" t="s">
        <v>5847</v>
      </c>
      <c r="AD7" s="114" t="s">
        <v>5848</v>
      </c>
      <c r="AE7" s="110" t="s">
        <v>5849</v>
      </c>
      <c r="AF7" s="110" t="s">
        <v>5850</v>
      </c>
      <c r="AG7" s="110" t="s">
        <v>5851</v>
      </c>
      <c r="AH7" s="110" t="s">
        <v>5852</v>
      </c>
      <c r="AI7" s="110" t="s">
        <v>5853</v>
      </c>
      <c r="AJ7" s="110" t="s">
        <v>5854</v>
      </c>
      <c r="AK7" s="400" t="s">
        <v>5855</v>
      </c>
      <c r="AL7" s="110" t="s">
        <v>5856</v>
      </c>
      <c r="AM7" s="111" t="s">
        <v>5857</v>
      </c>
      <c r="AN7" s="111" t="s">
        <v>5858</v>
      </c>
      <c r="AO7" s="111" t="s">
        <v>5859</v>
      </c>
      <c r="AP7" s="111" t="s">
        <v>5860</v>
      </c>
    </row>
    <row r="8" spans="1:45" ht="15" customHeight="1">
      <c r="A8" s="167">
        <v>2026</v>
      </c>
      <c r="B8" s="168">
        <v>2</v>
      </c>
      <c r="C8" s="169" t="s">
        <v>5861</v>
      </c>
      <c r="D8" s="169" t="s">
        <v>5862</v>
      </c>
      <c r="E8" s="170" t="s">
        <v>75</v>
      </c>
      <c r="F8" s="167" t="s">
        <v>5863</v>
      </c>
      <c r="G8" s="173">
        <f>SUMIFS(SK스토아_raw!$AN:$AN,SK스토아_raw!$AL:$AL,$E8,SK스토아_raw!$W:$W,$I8*100)</f>
        <v>494</v>
      </c>
      <c r="H8" s="172">
        <f>119000/1.1</f>
        <v>108181.81818181818</v>
      </c>
      <c r="I8" s="174">
        <v>0.31</v>
      </c>
      <c r="J8" s="171">
        <f t="shared" ref="J8:J10" si="0">H8-(H8*I8)</f>
        <v>74645.454545454544</v>
      </c>
      <c r="K8" s="171">
        <f>G8*H8</f>
        <v>53441818.18181818</v>
      </c>
      <c r="L8" s="171"/>
      <c r="M8" s="171">
        <v>0</v>
      </c>
      <c r="N8" s="171">
        <f>IF(D8="현대홈쇼핑",G8*(H8*I8),0)</f>
        <v>0</v>
      </c>
      <c r="O8" s="171">
        <f t="shared" ref="O8:O10" si="1">K8-M8-N8</f>
        <v>53441818.18181818</v>
      </c>
      <c r="P8" s="171">
        <f>7687*8*G8</f>
        <v>30379024</v>
      </c>
      <c r="Q8" s="171">
        <f t="shared" ref="Q8" si="2">SUM(R8,T8:W8)</f>
        <v>2247700</v>
      </c>
      <c r="R8" s="171">
        <f>2400*G8</f>
        <v>1185600</v>
      </c>
      <c r="S8" s="171">
        <v>2</v>
      </c>
      <c r="T8" s="171">
        <f>100*S8*G8</f>
        <v>98800</v>
      </c>
      <c r="U8" s="171">
        <f>1000*G8</f>
        <v>494000</v>
      </c>
      <c r="V8" s="171">
        <v>0</v>
      </c>
      <c r="W8" s="171">
        <f>850*G8+100*G8</f>
        <v>469300</v>
      </c>
      <c r="X8" s="171">
        <f t="shared" ref="X8" si="3">SUM(Y8:Z8,AB8:AC8,AE8:AJ8)</f>
        <v>18325712.18181818</v>
      </c>
      <c r="Y8" s="171">
        <v>0</v>
      </c>
      <c r="Z8" s="171">
        <f>(J8*G8)*AA8</f>
        <v>0</v>
      </c>
      <c r="AA8" s="174">
        <v>0</v>
      </c>
      <c r="AB8" s="171">
        <f>IF(D8="현대홈쇼핑",0,G8*(H8*I8))</f>
        <v>16566963.636363635</v>
      </c>
      <c r="AC8" s="171">
        <f>J8*G8*AD8</f>
        <v>368748.54545454547</v>
      </c>
      <c r="AD8" s="174">
        <v>0.01</v>
      </c>
      <c r="AE8" s="171">
        <v>1100000</v>
      </c>
      <c r="AF8" s="171">
        <v>0</v>
      </c>
      <c r="AG8" s="171">
        <v>0</v>
      </c>
      <c r="AH8" s="171">
        <v>290000</v>
      </c>
      <c r="AI8" s="171">
        <v>0</v>
      </c>
      <c r="AJ8" s="171">
        <v>0</v>
      </c>
      <c r="AK8" s="171">
        <f t="shared" ref="AK8:AK10" si="4">O8-P8-Q8-X8</f>
        <v>2489382</v>
      </c>
      <c r="AL8" s="166"/>
      <c r="AM8" s="174">
        <f t="shared" ref="AM8:AM10" si="5">IFERROR(P8/O8,0)</f>
        <v>0.56845042016806724</v>
      </c>
      <c r="AN8" s="174">
        <f t="shared" ref="AN8:AN10" si="6">IFERROR(Q8/O8,0)</f>
        <v>4.2058823529411767E-2</v>
      </c>
      <c r="AO8" s="174">
        <f t="shared" ref="AO8:AO10" si="7">IFERROR(X8/O8,0)</f>
        <v>0.34290959412104921</v>
      </c>
      <c r="AP8" s="174">
        <f>IFERROR(AK8/O8,0)</f>
        <v>4.6581162181471777E-2</v>
      </c>
    </row>
    <row r="9" spans="1:45" ht="15" customHeight="1">
      <c r="A9" s="167">
        <v>2026</v>
      </c>
      <c r="B9" s="167">
        <v>2</v>
      </c>
      <c r="C9" s="169" t="s">
        <v>5861</v>
      </c>
      <c r="D9" s="169" t="s">
        <v>5862</v>
      </c>
      <c r="E9" s="170" t="s">
        <v>75</v>
      </c>
      <c r="F9" s="167" t="s">
        <v>5863</v>
      </c>
      <c r="G9" s="173">
        <f>SUMIFS(SK스토아_raw!$AN:$AN,SK스토아_raw!$AL:$AL,$E9,SK스토아_raw!$W:$W,$I9*100)</f>
        <v>414</v>
      </c>
      <c r="H9" s="172">
        <f>119000/1.1</f>
        <v>108181.81818181818</v>
      </c>
      <c r="I9" s="174">
        <v>0.32</v>
      </c>
      <c r="J9" s="171">
        <f>H9-(H9*I9)</f>
        <v>73563.636363636353</v>
      </c>
      <c r="K9" s="171">
        <f>G9*H9</f>
        <v>44787272.727272727</v>
      </c>
      <c r="L9" s="171"/>
      <c r="M9" s="171">
        <v>0</v>
      </c>
      <c r="N9" s="171">
        <f>IF(D9="현대홈쇼핑",G9*(H9*I9),0)</f>
        <v>0</v>
      </c>
      <c r="O9" s="171">
        <f>K9-M9-N9</f>
        <v>44787272.727272727</v>
      </c>
      <c r="P9" s="171">
        <f>7687*8*G9</f>
        <v>25459344</v>
      </c>
      <c r="Q9" s="171">
        <f>SUM(R9,T9:W9)</f>
        <v>1883700</v>
      </c>
      <c r="R9" s="171">
        <f>2400*G9</f>
        <v>993600</v>
      </c>
      <c r="S9" s="171">
        <v>2</v>
      </c>
      <c r="T9" s="171">
        <f>100*S9*G9</f>
        <v>82800</v>
      </c>
      <c r="U9" s="171">
        <f>1000*G9</f>
        <v>414000</v>
      </c>
      <c r="V9" s="171">
        <v>0</v>
      </c>
      <c r="W9" s="171">
        <f>850*G9+100*G9</f>
        <v>393300</v>
      </c>
      <c r="X9" s="171">
        <f>SUM(Y9:Z9,AB9:AC9,AE9:AJ9)</f>
        <v>14331927.272727272</v>
      </c>
      <c r="Y9" s="171">
        <v>0</v>
      </c>
      <c r="Z9" s="171">
        <f>(J9*G9)*AA9</f>
        <v>0</v>
      </c>
      <c r="AA9" s="174">
        <v>0</v>
      </c>
      <c r="AB9" s="171">
        <f>IF(D9="현대홈쇼핑",0,G9*(H9*I9))</f>
        <v>14331927.272727272</v>
      </c>
      <c r="AC9" s="171">
        <f>J9*G9*AD9</f>
        <v>0</v>
      </c>
      <c r="AD9" s="174">
        <v>0</v>
      </c>
      <c r="AE9" s="171"/>
      <c r="AF9" s="171">
        <v>0</v>
      </c>
      <c r="AG9" s="171">
        <v>0</v>
      </c>
      <c r="AH9" s="171">
        <v>0</v>
      </c>
      <c r="AI9" s="171">
        <v>0</v>
      </c>
      <c r="AJ9" s="171">
        <v>0</v>
      </c>
      <c r="AK9" s="171">
        <f>O9-P9-Q9-X9</f>
        <v>3112301.4545454551</v>
      </c>
      <c r="AL9" s="166"/>
      <c r="AM9" s="174">
        <f>IFERROR(P9/O9,0)</f>
        <v>0.56845042016806724</v>
      </c>
      <c r="AN9" s="174">
        <f>IFERROR(Q9/O9,0)</f>
        <v>4.2058823529411767E-2</v>
      </c>
      <c r="AO9" s="174">
        <f>IFERROR(X9/O9,0)</f>
        <v>0.31999999999999995</v>
      </c>
      <c r="AP9" s="174">
        <f>IFERROR(AK9/O9,0)</f>
        <v>6.9490756302521023E-2</v>
      </c>
      <c r="AQ9" s="125"/>
      <c r="AR9" s="125"/>
      <c r="AS9" s="125"/>
    </row>
    <row r="10" spans="1:45" ht="15" customHeight="1">
      <c r="A10" s="167">
        <v>2026</v>
      </c>
      <c r="B10" s="168">
        <v>2</v>
      </c>
      <c r="C10" s="169" t="s">
        <v>5861</v>
      </c>
      <c r="D10" s="169" t="s">
        <v>5862</v>
      </c>
      <c r="E10" s="170" t="s">
        <v>73</v>
      </c>
      <c r="F10" s="167" t="s">
        <v>5863</v>
      </c>
      <c r="G10" s="173">
        <f>SUMIFS(SK스토아_raw!$AN:$AN,SK스토아_raw!$AL:$AL,$E10,SK스토아_raw!$W:$W,$I10*100)</f>
        <v>6</v>
      </c>
      <c r="H10" s="172">
        <f>78000/1.1</f>
        <v>70909.090909090897</v>
      </c>
      <c r="I10" s="174">
        <v>0.31</v>
      </c>
      <c r="J10" s="171">
        <f t="shared" si="0"/>
        <v>48927.272727272721</v>
      </c>
      <c r="K10" s="171">
        <f>G10*H10</f>
        <v>425454.54545454541</v>
      </c>
      <c r="L10" s="171"/>
      <c r="M10" s="171">
        <v>0</v>
      </c>
      <c r="N10" s="171">
        <f>IF(D10="현대홈쇼핑",G10*(H10*I10),0)</f>
        <v>0</v>
      </c>
      <c r="O10" s="171">
        <f t="shared" si="1"/>
        <v>425454.54545454541</v>
      </c>
      <c r="P10" s="171">
        <f>7687*4*G10</f>
        <v>184488</v>
      </c>
      <c r="Q10" s="171">
        <f>SUM(R10,T10:W10)</f>
        <v>27300</v>
      </c>
      <c r="R10" s="171">
        <f>2400*G10</f>
        <v>14400</v>
      </c>
      <c r="S10" s="171">
        <v>2</v>
      </c>
      <c r="T10" s="171">
        <f>100*S10*G10</f>
        <v>1200</v>
      </c>
      <c r="U10" s="171">
        <f>1000*G10</f>
        <v>6000</v>
      </c>
      <c r="V10" s="171">
        <v>0</v>
      </c>
      <c r="W10" s="171">
        <f>850*G10+100*G10</f>
        <v>5700</v>
      </c>
      <c r="X10" s="171">
        <f>SUM(Y10:Z10,AB10:AC10,AE10:AJ10)</f>
        <v>131890.90909090906</v>
      </c>
      <c r="Y10" s="171">
        <v>0</v>
      </c>
      <c r="Z10" s="171">
        <f>(J10*G10)*AA10</f>
        <v>0</v>
      </c>
      <c r="AA10" s="174">
        <v>0</v>
      </c>
      <c r="AB10" s="171">
        <f>IF(D10="현대홈쇼핑",0,G10*(H10*I10))</f>
        <v>131890.90909090906</v>
      </c>
      <c r="AC10" s="171">
        <f>J10*G10*AD10</f>
        <v>0</v>
      </c>
      <c r="AD10" s="174">
        <v>0</v>
      </c>
      <c r="AE10" s="171"/>
      <c r="AF10" s="171">
        <v>0</v>
      </c>
      <c r="AG10" s="171">
        <v>0</v>
      </c>
      <c r="AH10" s="171"/>
      <c r="AI10" s="171">
        <v>0</v>
      </c>
      <c r="AJ10" s="171">
        <v>0</v>
      </c>
      <c r="AK10" s="171">
        <f t="shared" si="4"/>
        <v>81775.636363636353</v>
      </c>
      <c r="AL10" s="166"/>
      <c r="AM10" s="174">
        <f t="shared" si="5"/>
        <v>0.43362564102564105</v>
      </c>
      <c r="AN10" s="174">
        <f t="shared" si="6"/>
        <v>6.4166666666666677E-2</v>
      </c>
      <c r="AO10" s="174">
        <f t="shared" si="7"/>
        <v>0.30999999999999994</v>
      </c>
      <c r="AP10" s="174">
        <f t="shared" ref="AP10" si="8">IFERROR(AK10/O10,0)</f>
        <v>0.1922076923076923</v>
      </c>
    </row>
    <row r="12" spans="1:45" ht="15" customHeight="1">
      <c r="K12" s="399">
        <f>SUM(K8:K10)</f>
        <v>98654545.454545453</v>
      </c>
      <c r="O12" s="399">
        <f>SUM(O8:O10)</f>
        <v>98654545.454545453</v>
      </c>
      <c r="P12" s="399">
        <f>SUM(P8:P10)</f>
        <v>56022856</v>
      </c>
      <c r="Q12" s="399">
        <f>SUM(Q8:Q10)</f>
        <v>4158700</v>
      </c>
      <c r="X12" s="399">
        <f>SUM(X8:X10)</f>
        <v>32789530.363636363</v>
      </c>
      <c r="AK12" s="398">
        <f>SUM(AK8:AK10)</f>
        <v>5683459.0909090918</v>
      </c>
    </row>
    <row r="13" spans="1:45" ht="15" customHeight="1" thickBot="1"/>
    <row r="14" spans="1:45" ht="15" customHeight="1" thickTop="1"/>
    <row r="66" spans="1:45" s="129" customFormat="1" ht="15" hidden="1" customHeight="1">
      <c r="A66" s="115" t="s">
        <v>5864</v>
      </c>
      <c r="B66" s="116" t="s">
        <v>5865</v>
      </c>
      <c r="C66" s="117" t="s">
        <v>5861</v>
      </c>
      <c r="D66" s="117" t="s">
        <v>5866</v>
      </c>
      <c r="E66" s="115" t="s">
        <v>5867</v>
      </c>
      <c r="F66" s="116" t="e">
        <f>_xlfn.XLOOKUP(#REF!,[2]info!G:G,[2]info!W:W)</f>
        <v>#REF!</v>
      </c>
      <c r="G66" s="118" t="e">
        <f>#REF!*$G$5</f>
        <v>#REF!</v>
      </c>
      <c r="H66" s="118" t="e">
        <f>_xlfn.XLOOKUP(#REF!,[2]info!G:G,[2]info!T:T)</f>
        <v>#REF!</v>
      </c>
      <c r="I66" s="119">
        <v>0.37</v>
      </c>
      <c r="J66" s="118" t="e">
        <f>H66-(H66*I66)</f>
        <v>#REF!</v>
      </c>
      <c r="K66" s="118" t="e">
        <f t="shared" ref="K66:K111" si="9">G66*H66</f>
        <v>#REF!</v>
      </c>
      <c r="L66" s="118"/>
      <c r="M66" s="118">
        <v>0</v>
      </c>
      <c r="N66" s="118">
        <f t="shared" ref="N66:N111" si="10">IF(D66="현대홈쇼핑",G66*(H66*I66),0)</f>
        <v>0</v>
      </c>
      <c r="O66" s="118" t="e">
        <f>K66-M66-N66</f>
        <v>#REF!</v>
      </c>
      <c r="P66" s="118" t="e">
        <f>#REF!*G66</f>
        <v>#REF!</v>
      </c>
      <c r="Q66" s="118" t="e">
        <f>SUM(R66,T66:W66)</f>
        <v>#REF!</v>
      </c>
      <c r="R66" s="118" t="e">
        <f>_xlfn.XLOOKUP(#REF!,[2]info!G:G,[2]info!Q:Q)*G66</f>
        <v>#REF!</v>
      </c>
      <c r="S66" s="118">
        <v>0</v>
      </c>
      <c r="T66" s="118" t="e">
        <f>S66*85*G66</f>
        <v>#REF!</v>
      </c>
      <c r="U66" s="179">
        <v>0</v>
      </c>
      <c r="V66" s="179">
        <v>0</v>
      </c>
      <c r="W66" s="118">
        <v>0</v>
      </c>
      <c r="X66" s="118" t="e">
        <f>SUM(Y66,Z66,AB66,AC66,AE66:AJ66)</f>
        <v>#REF!</v>
      </c>
      <c r="Y66" s="118">
        <v>0</v>
      </c>
      <c r="Z66" s="118" t="e">
        <f t="shared" ref="Z66:Z111" si="11">(J66*G66)*AA66</f>
        <v>#REF!</v>
      </c>
      <c r="AA66" s="119">
        <v>0.01</v>
      </c>
      <c r="AB66" s="118" t="e">
        <f t="shared" ref="AB66:AB111" si="12">IF(D66="현대홈쇼핑",0,G66*(H66*I66))</f>
        <v>#REF!</v>
      </c>
      <c r="AC66" s="118" t="e">
        <f t="shared" ref="AC66:AC111" si="13">J66*G66*AD66</f>
        <v>#REF!</v>
      </c>
      <c r="AD66" s="119">
        <v>0.01</v>
      </c>
      <c r="AE66" s="118">
        <v>0</v>
      </c>
      <c r="AF66" s="118">
        <v>0</v>
      </c>
      <c r="AG66" s="118">
        <v>0</v>
      </c>
      <c r="AH66" s="118">
        <v>0</v>
      </c>
      <c r="AI66" s="118">
        <v>0</v>
      </c>
      <c r="AJ66" s="118">
        <v>0</v>
      </c>
      <c r="AK66" s="177" t="e">
        <f>O66-P66-Q66-X66</f>
        <v>#REF!</v>
      </c>
      <c r="AL66" s="115"/>
      <c r="AM66" s="120">
        <f>IFERROR(P66/O66,0)</f>
        <v>0</v>
      </c>
      <c r="AN66" s="120">
        <f>IFERROR(Q66/O66,0)</f>
        <v>0</v>
      </c>
      <c r="AO66" s="120">
        <f>IFERROR(X66/O66,0)</f>
        <v>0</v>
      </c>
      <c r="AP66" s="120">
        <f>IFERROR(AK66/O66,0)</f>
        <v>0</v>
      </c>
      <c r="AQ66" s="115"/>
      <c r="AR66" s="115"/>
      <c r="AS66" s="115"/>
    </row>
    <row r="67" spans="1:45" s="129" customFormat="1" ht="15" hidden="1" customHeight="1">
      <c r="A67" s="115" t="s">
        <v>5864</v>
      </c>
      <c r="B67" s="116" t="s">
        <v>5865</v>
      </c>
      <c r="C67" s="117" t="s">
        <v>5861</v>
      </c>
      <c r="D67" s="117" t="s">
        <v>5866</v>
      </c>
      <c r="E67" s="115" t="s">
        <v>5868</v>
      </c>
      <c r="F67" s="116" t="e">
        <f>_xlfn.XLOOKUP(#REF!,[2]info!G:G,[2]info!W:W)</f>
        <v>#REF!</v>
      </c>
      <c r="G67" s="118" t="e">
        <f>#REF!*90%</f>
        <v>#REF!</v>
      </c>
      <c r="H67" s="118" t="e">
        <f>_xlfn.XLOOKUP(#REF!,[2]info!G:G,[2]info!T:T)</f>
        <v>#REF!</v>
      </c>
      <c r="I67" s="119">
        <v>0.37</v>
      </c>
      <c r="J67" s="118" t="e">
        <f>H67-(H67*I67)</f>
        <v>#REF!</v>
      </c>
      <c r="K67" s="118" t="e">
        <f t="shared" si="9"/>
        <v>#REF!</v>
      </c>
      <c r="L67" s="118"/>
      <c r="M67" s="118">
        <v>0</v>
      </c>
      <c r="N67" s="118">
        <f t="shared" si="10"/>
        <v>0</v>
      </c>
      <c r="O67" s="118" t="e">
        <f>K67-M67-N67</f>
        <v>#REF!</v>
      </c>
      <c r="P67" s="118" t="e">
        <f>#REF!*G67</f>
        <v>#REF!</v>
      </c>
      <c r="Q67" s="118" t="e">
        <f>SUM(R67,T67:W67)</f>
        <v>#REF!</v>
      </c>
      <c r="R67" s="118" t="e">
        <f>_xlfn.XLOOKUP(#REF!,[2]info!G:G,[2]info!Q:Q)*G67</f>
        <v>#REF!</v>
      </c>
      <c r="S67" s="118">
        <v>3</v>
      </c>
      <c r="T67" s="118" t="e">
        <f>S67*85*G67</f>
        <v>#REF!</v>
      </c>
      <c r="U67" s="118" t="e">
        <f>_xlfn.XLOOKUP(#REF!,[2]info!G:G,[2]info!R:R)*G67+60*G67</f>
        <v>#REF!</v>
      </c>
      <c r="V67" s="118" t="e">
        <f>P67/SUM(#REF!)*#REF!</f>
        <v>#REF!</v>
      </c>
      <c r="W67" s="118">
        <v>0</v>
      </c>
      <c r="X67" s="118" t="e">
        <f>SUM(Y67,Z67,AB67,AC67,AE67:AJ67)</f>
        <v>#REF!</v>
      </c>
      <c r="Y67" s="118">
        <v>0</v>
      </c>
      <c r="Z67" s="118" t="e">
        <f t="shared" si="11"/>
        <v>#REF!</v>
      </c>
      <c r="AA67" s="119">
        <v>0.01</v>
      </c>
      <c r="AB67" s="118" t="e">
        <f t="shared" si="12"/>
        <v>#REF!</v>
      </c>
      <c r="AC67" s="118" t="e">
        <f t="shared" si="13"/>
        <v>#REF!</v>
      </c>
      <c r="AD67" s="119">
        <v>0.01</v>
      </c>
      <c r="AE67" s="118">
        <v>0</v>
      </c>
      <c r="AF67" s="118">
        <v>0</v>
      </c>
      <c r="AG67" s="118">
        <v>0</v>
      </c>
      <c r="AH67" s="118">
        <v>0</v>
      </c>
      <c r="AI67" s="118">
        <v>0</v>
      </c>
      <c r="AJ67" s="118">
        <v>0</v>
      </c>
      <c r="AK67" s="177" t="e">
        <f t="shared" ref="AK67:AK95" si="14">O67-P67-Q67-X67</f>
        <v>#REF!</v>
      </c>
      <c r="AL67" s="115"/>
      <c r="AM67" s="120">
        <f t="shared" ref="AM67:AM95" si="15">IFERROR(P67/O67,0)</f>
        <v>0</v>
      </c>
      <c r="AN67" s="120">
        <f t="shared" ref="AN67:AN95" si="16">IFERROR(Q67/O67,0)</f>
        <v>0</v>
      </c>
      <c r="AO67" s="120">
        <f t="shared" ref="AO67:AO95" si="17">IFERROR(X67/O67,0)</f>
        <v>0</v>
      </c>
      <c r="AP67" s="120">
        <f t="shared" ref="AP67:AP95" si="18">IFERROR(AK67/O67,0)</f>
        <v>0</v>
      </c>
      <c r="AQ67" s="115"/>
      <c r="AR67" s="115"/>
      <c r="AS67" s="115"/>
    </row>
    <row r="68" spans="1:45" ht="15" hidden="1" customHeight="1">
      <c r="A68" s="181" t="s">
        <v>5869</v>
      </c>
      <c r="B68" s="182"/>
      <c r="C68" s="183" t="s">
        <v>5870</v>
      </c>
      <c r="D68" s="183" t="s">
        <v>5</v>
      </c>
      <c r="E68" s="180" t="s">
        <v>5871</v>
      </c>
      <c r="F68" s="184" t="e">
        <f>_xlfn.XLOOKUP(#REF!,[2]info!G:G,[2]info!W:W)</f>
        <v>#REF!</v>
      </c>
      <c r="G68" s="185" t="e">
        <f>#REF!*$G$5</f>
        <v>#REF!</v>
      </c>
      <c r="H68" s="185" t="e">
        <f>_xlfn.XLOOKUP(#REF!,[2]info!G:G,[2]info!T:T)</f>
        <v>#REF!</v>
      </c>
      <c r="I68" s="186">
        <v>0.3</v>
      </c>
      <c r="J68" s="185" t="e">
        <f t="shared" ref="J68:J73" si="19">H68-(H68*I68)</f>
        <v>#REF!</v>
      </c>
      <c r="K68" s="185" t="e">
        <f t="shared" si="9"/>
        <v>#REF!</v>
      </c>
      <c r="L68" s="185"/>
      <c r="M68" s="185">
        <v>0</v>
      </c>
      <c r="N68" s="185">
        <f t="shared" si="10"/>
        <v>0</v>
      </c>
      <c r="O68" s="185" t="e">
        <f t="shared" ref="O68:O74" si="20">K68-M68-N68</f>
        <v>#REF!</v>
      </c>
      <c r="P68" s="185" t="e">
        <f>#REF!*G68</f>
        <v>#REF!</v>
      </c>
      <c r="Q68" s="185" t="e">
        <f t="shared" ref="Q68" si="21">SUM(R68,T68:W68)</f>
        <v>#REF!</v>
      </c>
      <c r="R68" s="185" t="e">
        <f>_xlfn.XLOOKUP(#REF!,[2]info!G:G,[2]info!Q:Q)*G68</f>
        <v>#REF!</v>
      </c>
      <c r="S68" s="185">
        <v>3</v>
      </c>
      <c r="T68" s="185" t="e">
        <f>S68*85*G68</f>
        <v>#REF!</v>
      </c>
      <c r="U68" s="185" t="e">
        <f>_xlfn.XLOOKUP(#REF!,[2]info!G:G,[2]info!R:R)*G68</f>
        <v>#REF!</v>
      </c>
      <c r="V68" s="185" t="e">
        <f>(P68/SUM(#REF!,$P$8:$P$70,#REF!))*#REF!</f>
        <v>#REF!</v>
      </c>
      <c r="W68" s="185">
        <v>0</v>
      </c>
      <c r="X68" s="185" t="e">
        <f t="shared" ref="X68:X74" si="22">SUM(Y68,Z68,AB68,AC68,AE68:AJ68)</f>
        <v>#REF!</v>
      </c>
      <c r="Y68" s="185">
        <v>0</v>
      </c>
      <c r="Z68" s="185" t="e">
        <f t="shared" si="11"/>
        <v>#REF!</v>
      </c>
      <c r="AA68" s="186">
        <v>0</v>
      </c>
      <c r="AB68" s="185" t="e">
        <f t="shared" si="12"/>
        <v>#REF!</v>
      </c>
      <c r="AC68" s="185" t="e">
        <f t="shared" si="13"/>
        <v>#REF!</v>
      </c>
      <c r="AD68" s="186">
        <v>0.01</v>
      </c>
      <c r="AE68" s="185">
        <v>0</v>
      </c>
      <c r="AF68" s="185">
        <v>0</v>
      </c>
      <c r="AG68" s="185">
        <v>0</v>
      </c>
      <c r="AH68" s="185">
        <v>0</v>
      </c>
      <c r="AI68" s="185">
        <v>0</v>
      </c>
      <c r="AJ68" s="185">
        <v>0</v>
      </c>
      <c r="AK68" s="187" t="e">
        <f t="shared" si="14"/>
        <v>#REF!</v>
      </c>
      <c r="AL68" s="180"/>
      <c r="AM68" s="188">
        <f t="shared" si="15"/>
        <v>0</v>
      </c>
      <c r="AN68" s="188">
        <f t="shared" si="16"/>
        <v>0</v>
      </c>
      <c r="AO68" s="188">
        <f t="shared" si="17"/>
        <v>0</v>
      </c>
      <c r="AP68" s="188">
        <f t="shared" si="18"/>
        <v>0</v>
      </c>
    </row>
    <row r="69" spans="1:45" ht="15" hidden="1" customHeight="1">
      <c r="A69" s="181" t="s">
        <v>5869</v>
      </c>
      <c r="B69" s="182"/>
      <c r="C69" s="190" t="s">
        <v>5861</v>
      </c>
      <c r="D69" s="190" t="s">
        <v>5872</v>
      </c>
      <c r="E69" s="189" t="s">
        <v>5873</v>
      </c>
      <c r="F69" s="184" t="e">
        <f>_xlfn.XLOOKUP(#REF!,[2]info!G:G,[2]info!W:W)</f>
        <v>#REF!</v>
      </c>
      <c r="G69" s="191">
        <v>3000</v>
      </c>
      <c r="H69" s="185" t="e">
        <f>_xlfn.XLOOKUP(#REF!,[2]info!G:G,[2]info!T:T)</f>
        <v>#REF!</v>
      </c>
      <c r="I69" s="186">
        <v>0</v>
      </c>
      <c r="J69" s="185" t="e">
        <f t="shared" si="19"/>
        <v>#REF!</v>
      </c>
      <c r="K69" s="185" t="e">
        <f t="shared" si="9"/>
        <v>#REF!</v>
      </c>
      <c r="L69" s="185"/>
      <c r="M69" s="185">
        <v>0</v>
      </c>
      <c r="N69" s="185">
        <f t="shared" si="10"/>
        <v>0</v>
      </c>
      <c r="O69" s="185" t="e">
        <f t="shared" si="20"/>
        <v>#REF!</v>
      </c>
      <c r="P69" s="185" t="e">
        <f>#REF!*G69</f>
        <v>#REF!</v>
      </c>
      <c r="Q69" s="185" t="e">
        <f>SUM(R69,T69:W69)</f>
        <v>#REF!</v>
      </c>
      <c r="R69" s="185" t="e">
        <f>_xlfn.XLOOKUP(#REF!,[2]info!G:G,[2]info!Q:Q)*G69</f>
        <v>#REF!</v>
      </c>
      <c r="S69" s="185">
        <v>0</v>
      </c>
      <c r="T69" s="185">
        <f>S69*85*G69</f>
        <v>0</v>
      </c>
      <c r="U69" s="192">
        <v>1000000</v>
      </c>
      <c r="V69" s="185" t="e">
        <f>(P69/SUM(#REF!,$P$8:$P$70,#REF!))*#REF!</f>
        <v>#REF!</v>
      </c>
      <c r="W69" s="185">
        <f>500000+780000</f>
        <v>1280000</v>
      </c>
      <c r="X69" s="185" t="e">
        <f t="shared" si="22"/>
        <v>#REF!</v>
      </c>
      <c r="Y69" s="185">
        <v>0</v>
      </c>
      <c r="Z69" s="185" t="e">
        <f t="shared" si="11"/>
        <v>#REF!</v>
      </c>
      <c r="AA69" s="186">
        <v>0</v>
      </c>
      <c r="AB69" s="185" t="e">
        <f t="shared" si="12"/>
        <v>#REF!</v>
      </c>
      <c r="AC69" s="185" t="e">
        <f t="shared" si="13"/>
        <v>#REF!</v>
      </c>
      <c r="AD69" s="186">
        <v>0.01</v>
      </c>
      <c r="AE69" s="185">
        <v>0</v>
      </c>
      <c r="AF69" s="185">
        <v>0</v>
      </c>
      <c r="AG69" s="185">
        <v>0</v>
      </c>
      <c r="AH69" s="185">
        <v>0</v>
      </c>
      <c r="AI69" s="185">
        <v>0</v>
      </c>
      <c r="AJ69" s="185">
        <v>0</v>
      </c>
      <c r="AK69" s="187" t="e">
        <f t="shared" si="14"/>
        <v>#REF!</v>
      </c>
      <c r="AL69" s="189" t="s">
        <v>2306</v>
      </c>
      <c r="AM69" s="188">
        <f t="shared" si="15"/>
        <v>0</v>
      </c>
      <c r="AN69" s="188">
        <f t="shared" si="16"/>
        <v>0</v>
      </c>
      <c r="AO69" s="188">
        <f t="shared" si="17"/>
        <v>0</v>
      </c>
      <c r="AP69" s="188">
        <f t="shared" si="18"/>
        <v>0</v>
      </c>
      <c r="AQ69" s="193"/>
      <c r="AR69" s="193"/>
      <c r="AS69" s="193"/>
    </row>
    <row r="70" spans="1:45" ht="15" hidden="1" customHeight="1">
      <c r="A70" s="181" t="s">
        <v>5869</v>
      </c>
      <c r="B70" s="182"/>
      <c r="C70" s="190" t="s">
        <v>5861</v>
      </c>
      <c r="D70" s="190" t="s">
        <v>5872</v>
      </c>
      <c r="E70" s="189" t="s">
        <v>5874</v>
      </c>
      <c r="F70" s="184" t="e">
        <f>_xlfn.XLOOKUP(#REF!,[2]info!G:G,[2]info!W:W)</f>
        <v>#REF!</v>
      </c>
      <c r="G70" s="191">
        <v>2000</v>
      </c>
      <c r="H70" s="185" t="e">
        <f>_xlfn.XLOOKUP(#REF!,[2]info!G:G,[2]info!T:T)</f>
        <v>#REF!</v>
      </c>
      <c r="I70" s="186">
        <v>0</v>
      </c>
      <c r="J70" s="185" t="e">
        <f t="shared" si="19"/>
        <v>#REF!</v>
      </c>
      <c r="K70" s="185" t="e">
        <f t="shared" si="9"/>
        <v>#REF!</v>
      </c>
      <c r="L70" s="185"/>
      <c r="M70" s="194">
        <f>2000*G70*60%</f>
        <v>2400000</v>
      </c>
      <c r="N70" s="185">
        <f t="shared" si="10"/>
        <v>0</v>
      </c>
      <c r="O70" s="185" t="e">
        <f t="shared" si="20"/>
        <v>#REF!</v>
      </c>
      <c r="P70" s="185" t="e">
        <f>#REF!*G70</f>
        <v>#REF!</v>
      </c>
      <c r="Q70" s="185" t="e">
        <f>SUM(R70,T70:W70)</f>
        <v>#REF!</v>
      </c>
      <c r="R70" s="185" t="e">
        <f>_xlfn.XLOOKUP(#REF!,[2]info!G:G,[2]info!Q:Q)*G70</f>
        <v>#REF!</v>
      </c>
      <c r="S70" s="185">
        <v>0</v>
      </c>
      <c r="T70" s="185">
        <f>S70*85*G70</f>
        <v>0</v>
      </c>
      <c r="U70" s="192">
        <v>1000000</v>
      </c>
      <c r="V70" s="185" t="e">
        <f>(P70/SUM(#REF!,$P$8:$P$70,#REF!))*#REF!</f>
        <v>#REF!</v>
      </c>
      <c r="W70" s="185">
        <f>500000+780000</f>
        <v>1280000</v>
      </c>
      <c r="X70" s="185" t="e">
        <f t="shared" si="22"/>
        <v>#REF!</v>
      </c>
      <c r="Y70" s="185">
        <v>0</v>
      </c>
      <c r="Z70" s="185" t="e">
        <f t="shared" si="11"/>
        <v>#REF!</v>
      </c>
      <c r="AA70" s="186">
        <v>0</v>
      </c>
      <c r="AB70" s="185" t="e">
        <f t="shared" si="12"/>
        <v>#REF!</v>
      </c>
      <c r="AC70" s="185" t="e">
        <f t="shared" si="13"/>
        <v>#REF!</v>
      </c>
      <c r="AD70" s="186">
        <v>0.01</v>
      </c>
      <c r="AE70" s="185">
        <v>0</v>
      </c>
      <c r="AF70" s="185">
        <v>0</v>
      </c>
      <c r="AG70" s="185">
        <v>0</v>
      </c>
      <c r="AH70" s="185">
        <v>0</v>
      </c>
      <c r="AI70" s="185">
        <v>0</v>
      </c>
      <c r="AJ70" s="185">
        <v>0</v>
      </c>
      <c r="AK70" s="187" t="e">
        <f t="shared" si="14"/>
        <v>#REF!</v>
      </c>
      <c r="AL70" s="189" t="s">
        <v>2306</v>
      </c>
      <c r="AM70" s="188">
        <f t="shared" si="15"/>
        <v>0</v>
      </c>
      <c r="AN70" s="188">
        <f t="shared" si="16"/>
        <v>0</v>
      </c>
      <c r="AO70" s="188">
        <f t="shared" si="17"/>
        <v>0</v>
      </c>
      <c r="AP70" s="188">
        <f t="shared" si="18"/>
        <v>0</v>
      </c>
      <c r="AQ70" s="193"/>
      <c r="AR70" s="193"/>
      <c r="AS70" s="193"/>
    </row>
    <row r="71" spans="1:45" ht="15" hidden="1" customHeight="1">
      <c r="A71" s="181" t="s">
        <v>5869</v>
      </c>
      <c r="B71" s="182"/>
      <c r="C71" s="183" t="s">
        <v>5861</v>
      </c>
      <c r="D71" s="183" t="s">
        <v>5872</v>
      </c>
      <c r="E71" s="180" t="s">
        <v>5875</v>
      </c>
      <c r="F71" s="184" t="e">
        <f>_xlfn.XLOOKUP(#REF!,[2]info!G:G,[2]info!W:W)</f>
        <v>#REF!</v>
      </c>
      <c r="G71" s="185" t="e">
        <f>#REF!</f>
        <v>#REF!</v>
      </c>
      <c r="H71" s="185" t="e">
        <f>_xlfn.XLOOKUP(#REF!,[2]info!G:G,[2]info!T:T)</f>
        <v>#REF!</v>
      </c>
      <c r="I71" s="186">
        <v>0</v>
      </c>
      <c r="J71" s="185" t="e">
        <f t="shared" si="19"/>
        <v>#REF!</v>
      </c>
      <c r="K71" s="185" t="e">
        <f t="shared" si="9"/>
        <v>#REF!</v>
      </c>
      <c r="L71" s="185"/>
      <c r="M71" s="185">
        <v>0</v>
      </c>
      <c r="N71" s="185">
        <f t="shared" si="10"/>
        <v>0</v>
      </c>
      <c r="O71" s="185" t="e">
        <f t="shared" si="20"/>
        <v>#REF!</v>
      </c>
      <c r="P71" s="185" t="e">
        <f>#REF!*G71</f>
        <v>#REF!</v>
      </c>
      <c r="Q71" s="185" t="e">
        <f>SUM(R71,T71:W71)</f>
        <v>#REF!</v>
      </c>
      <c r="R71" s="185" t="e">
        <f>_xlfn.XLOOKUP(#REF!,[2]info!G:G,[2]info!Q:Q)*G71</f>
        <v>#REF!</v>
      </c>
      <c r="S71" s="185"/>
      <c r="T71" s="185"/>
      <c r="U71" s="185" t="e">
        <f>_xlfn.XLOOKUP(#REF!,[2]info!G:G,[2]info!R:R)*G71+60*G71</f>
        <v>#REF!</v>
      </c>
      <c r="V71" s="185" t="e">
        <f>P71/SUM(#REF!)*#REF!</f>
        <v>#REF!</v>
      </c>
      <c r="W71" s="185">
        <v>1280000</v>
      </c>
      <c r="X71" s="185" t="e">
        <f t="shared" si="22"/>
        <v>#REF!</v>
      </c>
      <c r="Y71" s="185">
        <v>0</v>
      </c>
      <c r="Z71" s="185" t="e">
        <f t="shared" si="11"/>
        <v>#REF!</v>
      </c>
      <c r="AA71" s="186">
        <v>0</v>
      </c>
      <c r="AB71" s="185" t="e">
        <f t="shared" si="12"/>
        <v>#REF!</v>
      </c>
      <c r="AC71" s="185" t="e">
        <f t="shared" si="13"/>
        <v>#REF!</v>
      </c>
      <c r="AD71" s="186">
        <v>0.01</v>
      </c>
      <c r="AE71" s="185">
        <v>0</v>
      </c>
      <c r="AF71" s="185">
        <v>0</v>
      </c>
      <c r="AG71" s="185">
        <v>0</v>
      </c>
      <c r="AH71" s="185">
        <v>0</v>
      </c>
      <c r="AI71" s="185">
        <v>0</v>
      </c>
      <c r="AJ71" s="185">
        <v>0</v>
      </c>
      <c r="AK71" s="187" t="e">
        <f t="shared" si="14"/>
        <v>#REF!</v>
      </c>
      <c r="AL71" s="180"/>
      <c r="AM71" s="188">
        <f t="shared" si="15"/>
        <v>0</v>
      </c>
      <c r="AN71" s="188">
        <f t="shared" si="16"/>
        <v>0</v>
      </c>
      <c r="AO71" s="188">
        <f t="shared" si="17"/>
        <v>0</v>
      </c>
      <c r="AP71" s="188">
        <f t="shared" si="18"/>
        <v>0</v>
      </c>
    </row>
    <row r="72" spans="1:45" ht="15" hidden="1" customHeight="1">
      <c r="A72" s="181" t="s">
        <v>5869</v>
      </c>
      <c r="B72" s="182"/>
      <c r="C72" s="183" t="s">
        <v>5861</v>
      </c>
      <c r="D72" s="183" t="s">
        <v>5872</v>
      </c>
      <c r="E72" s="180" t="s">
        <v>5874</v>
      </c>
      <c r="F72" s="184" t="e">
        <f>_xlfn.XLOOKUP(#REF!,[2]info!G:G,[2]info!W:W)</f>
        <v>#REF!</v>
      </c>
      <c r="G72" s="185">
        <v>3000</v>
      </c>
      <c r="H72" s="185" t="e">
        <f>_xlfn.XLOOKUP(#REF!,[2]info!G:G,[2]info!T:T)</f>
        <v>#REF!</v>
      </c>
      <c r="I72" s="186">
        <v>0</v>
      </c>
      <c r="J72" s="185" t="e">
        <f t="shared" si="19"/>
        <v>#REF!</v>
      </c>
      <c r="K72" s="185" t="e">
        <f t="shared" si="9"/>
        <v>#REF!</v>
      </c>
      <c r="L72" s="185"/>
      <c r="M72" s="185">
        <v>4800000</v>
      </c>
      <c r="N72" s="185">
        <f t="shared" si="10"/>
        <v>0</v>
      </c>
      <c r="O72" s="185" t="e">
        <f t="shared" si="20"/>
        <v>#REF!</v>
      </c>
      <c r="P72" s="185" t="e">
        <f>#REF!*G72</f>
        <v>#REF!</v>
      </c>
      <c r="Q72" s="185" t="e">
        <f>SUM(R72,T72:W72)</f>
        <v>#REF!</v>
      </c>
      <c r="R72" s="185" t="e">
        <f>_xlfn.XLOOKUP(#REF!,[2]info!G:G,[2]info!Q:Q)*G72</f>
        <v>#REF!</v>
      </c>
      <c r="S72" s="185">
        <v>0</v>
      </c>
      <c r="T72" s="185"/>
      <c r="U72" s="185" t="e">
        <f>_xlfn.XLOOKUP(#REF!,[2]info!G:G,[2]info!R:R)*G72+60*G72</f>
        <v>#REF!</v>
      </c>
      <c r="V72" s="185" t="e">
        <f>P72/SUM(#REF!)*#REF!</f>
        <v>#REF!</v>
      </c>
      <c r="W72" s="185">
        <v>1280000</v>
      </c>
      <c r="X72" s="185" t="e">
        <f t="shared" si="22"/>
        <v>#REF!</v>
      </c>
      <c r="Y72" s="185">
        <v>0</v>
      </c>
      <c r="Z72" s="185" t="e">
        <f t="shared" si="11"/>
        <v>#REF!</v>
      </c>
      <c r="AA72" s="186">
        <v>0</v>
      </c>
      <c r="AB72" s="185" t="e">
        <f t="shared" si="12"/>
        <v>#REF!</v>
      </c>
      <c r="AC72" s="185" t="e">
        <f t="shared" si="13"/>
        <v>#REF!</v>
      </c>
      <c r="AD72" s="186">
        <v>0.01</v>
      </c>
      <c r="AE72" s="185">
        <v>0</v>
      </c>
      <c r="AF72" s="185">
        <v>0</v>
      </c>
      <c r="AG72" s="185">
        <v>0</v>
      </c>
      <c r="AH72" s="185">
        <v>0</v>
      </c>
      <c r="AI72" s="185">
        <v>0</v>
      </c>
      <c r="AJ72" s="185">
        <v>0</v>
      </c>
      <c r="AK72" s="187" t="e">
        <f t="shared" si="14"/>
        <v>#REF!</v>
      </c>
      <c r="AL72" s="180"/>
      <c r="AM72" s="188">
        <f t="shared" si="15"/>
        <v>0</v>
      </c>
      <c r="AN72" s="188">
        <f t="shared" si="16"/>
        <v>0</v>
      </c>
      <c r="AO72" s="188">
        <f t="shared" si="17"/>
        <v>0</v>
      </c>
      <c r="AP72" s="188">
        <f t="shared" si="18"/>
        <v>0</v>
      </c>
    </row>
    <row r="73" spans="1:45" ht="15" hidden="1" customHeight="1">
      <c r="A73" s="181" t="s">
        <v>5869</v>
      </c>
      <c r="B73" s="182"/>
      <c r="C73" s="183" t="s">
        <v>5861</v>
      </c>
      <c r="D73" s="183" t="s">
        <v>5872</v>
      </c>
      <c r="E73" s="180" t="s">
        <v>5873</v>
      </c>
      <c r="F73" s="184" t="e">
        <f>_xlfn.XLOOKUP(#REF!,[2]info!G:G,[2]info!W:W)</f>
        <v>#REF!</v>
      </c>
      <c r="G73" s="185">
        <v>5000</v>
      </c>
      <c r="H73" s="185" t="e">
        <f>_xlfn.XLOOKUP(#REF!,[2]info!G:G,[2]info!T:T)</f>
        <v>#REF!</v>
      </c>
      <c r="I73" s="186">
        <v>0</v>
      </c>
      <c r="J73" s="185" t="e">
        <f t="shared" si="19"/>
        <v>#REF!</v>
      </c>
      <c r="K73" s="185" t="e">
        <f t="shared" si="9"/>
        <v>#REF!</v>
      </c>
      <c r="L73" s="185"/>
      <c r="M73" s="185">
        <v>0</v>
      </c>
      <c r="N73" s="185">
        <f t="shared" si="10"/>
        <v>0</v>
      </c>
      <c r="O73" s="185" t="e">
        <f t="shared" si="20"/>
        <v>#REF!</v>
      </c>
      <c r="P73" s="185" t="e">
        <f>#REF!*G73</f>
        <v>#REF!</v>
      </c>
      <c r="Q73" s="185" t="e">
        <f>SUM(R73,T73:W73)</f>
        <v>#REF!</v>
      </c>
      <c r="R73" s="185" t="e">
        <f>_xlfn.XLOOKUP(#REF!,[2]info!G:G,[2]info!Q:Q)*G73</f>
        <v>#REF!</v>
      </c>
      <c r="S73" s="185">
        <v>0</v>
      </c>
      <c r="T73" s="185"/>
      <c r="U73" s="185" t="e">
        <f>_xlfn.XLOOKUP(#REF!,[2]info!G:G,[2]info!R:R)*G73+60*G73</f>
        <v>#REF!</v>
      </c>
      <c r="V73" s="185" t="e">
        <f>P73/SUM(#REF!)*#REF!</f>
        <v>#REF!</v>
      </c>
      <c r="W73" s="185">
        <v>1280000</v>
      </c>
      <c r="X73" s="185" t="e">
        <f t="shared" si="22"/>
        <v>#REF!</v>
      </c>
      <c r="Y73" s="185">
        <v>0</v>
      </c>
      <c r="Z73" s="185" t="e">
        <f t="shared" si="11"/>
        <v>#REF!</v>
      </c>
      <c r="AA73" s="186">
        <v>0</v>
      </c>
      <c r="AB73" s="185" t="e">
        <f t="shared" si="12"/>
        <v>#REF!</v>
      </c>
      <c r="AC73" s="185" t="e">
        <f t="shared" si="13"/>
        <v>#REF!</v>
      </c>
      <c r="AD73" s="186">
        <v>0.01</v>
      </c>
      <c r="AE73" s="185">
        <v>0</v>
      </c>
      <c r="AF73" s="185">
        <v>0</v>
      </c>
      <c r="AG73" s="185">
        <v>0</v>
      </c>
      <c r="AH73" s="185">
        <v>0</v>
      </c>
      <c r="AI73" s="185">
        <v>0</v>
      </c>
      <c r="AJ73" s="185">
        <v>0</v>
      </c>
      <c r="AK73" s="187" t="e">
        <f t="shared" si="14"/>
        <v>#REF!</v>
      </c>
      <c r="AL73" s="180"/>
      <c r="AM73" s="188">
        <f t="shared" si="15"/>
        <v>0</v>
      </c>
      <c r="AN73" s="188">
        <f t="shared" si="16"/>
        <v>0</v>
      </c>
      <c r="AO73" s="188">
        <f t="shared" si="17"/>
        <v>0</v>
      </c>
      <c r="AP73" s="188">
        <f t="shared" si="18"/>
        <v>0</v>
      </c>
    </row>
    <row r="74" spans="1:45" ht="15" hidden="1" customHeight="1">
      <c r="A74" s="181" t="s">
        <v>5869</v>
      </c>
      <c r="B74" s="182"/>
      <c r="C74" s="156" t="s">
        <v>5876</v>
      </c>
      <c r="D74" s="156" t="s">
        <v>5877</v>
      </c>
      <c r="E74" s="154" t="s">
        <v>5878</v>
      </c>
      <c r="F74" s="155" t="e">
        <f>_xlfn.XLOOKUP(#REF!,[2]info!G:G,[2]info!W:W)</f>
        <v>#REF!</v>
      </c>
      <c r="G74" s="196" t="e">
        <f>#REF!*80%</f>
        <v>#REF!</v>
      </c>
      <c r="H74" s="197" t="e">
        <f>_xlfn.XLOOKUP(#REF!,[2]info!G:G,[2]info!T:T)</f>
        <v>#REF!</v>
      </c>
      <c r="I74" s="198">
        <v>0.29499999999999998</v>
      </c>
      <c r="J74" s="197" t="e">
        <f t="shared" ref="J74" si="23">(H74*0.93)-(H74*I74)</f>
        <v>#REF!</v>
      </c>
      <c r="K74" s="197" t="e">
        <f t="shared" si="9"/>
        <v>#REF!</v>
      </c>
      <c r="L74" s="197"/>
      <c r="M74" s="197" t="e">
        <f>K74*0.07</f>
        <v>#REF!</v>
      </c>
      <c r="N74" s="195">
        <f t="shared" si="10"/>
        <v>0</v>
      </c>
      <c r="O74" s="197" t="e">
        <f t="shared" si="20"/>
        <v>#REF!</v>
      </c>
      <c r="P74" s="197" t="e">
        <f>#REF!*G74</f>
        <v>#REF!</v>
      </c>
      <c r="Q74" s="197" t="e">
        <f t="shared" ref="Q74" si="24">SUM(R74,T74:W74)</f>
        <v>#REF!</v>
      </c>
      <c r="R74" s="195">
        <v>0</v>
      </c>
      <c r="S74" s="195">
        <v>3</v>
      </c>
      <c r="T74" s="197" t="e">
        <f t="shared" ref="T74:T81" si="25">S74*85*G74</f>
        <v>#REF!</v>
      </c>
      <c r="U74" s="197" t="e">
        <f>_xlfn.XLOOKUP(#REF!,[2]info!G:G,[2]info!R:R)*G74</f>
        <v>#REF!</v>
      </c>
      <c r="V74" s="197" t="e">
        <f>(P74/SUM(#REF!,#REF!,#REF!))*#REF!</f>
        <v>#REF!</v>
      </c>
      <c r="W74" s="195">
        <v>0</v>
      </c>
      <c r="X74" s="197" t="e">
        <f t="shared" si="22"/>
        <v>#REF!</v>
      </c>
      <c r="Y74" s="195">
        <v>9000000</v>
      </c>
      <c r="Z74" s="197" t="e">
        <f t="shared" si="11"/>
        <v>#REF!</v>
      </c>
      <c r="AA74" s="199">
        <v>0.01</v>
      </c>
      <c r="AB74" s="197" t="e">
        <f t="shared" si="12"/>
        <v>#REF!</v>
      </c>
      <c r="AC74" s="197" t="e">
        <f t="shared" si="13"/>
        <v>#REF!</v>
      </c>
      <c r="AD74" s="199">
        <v>0.02</v>
      </c>
      <c r="AE74" s="195">
        <v>1100000</v>
      </c>
      <c r="AF74" s="195">
        <v>0</v>
      </c>
      <c r="AG74" s="195">
        <v>0</v>
      </c>
      <c r="AH74" s="195">
        <v>290000</v>
      </c>
      <c r="AI74" s="195">
        <v>0</v>
      </c>
      <c r="AJ74" s="195">
        <v>0</v>
      </c>
      <c r="AK74" s="195" t="e">
        <f t="shared" si="14"/>
        <v>#REF!</v>
      </c>
      <c r="AL74" s="154"/>
      <c r="AM74" s="199">
        <f t="shared" si="15"/>
        <v>0</v>
      </c>
      <c r="AN74" s="199">
        <f t="shared" si="16"/>
        <v>0</v>
      </c>
      <c r="AO74" s="199">
        <f t="shared" si="17"/>
        <v>0</v>
      </c>
      <c r="AP74" s="199">
        <f t="shared" si="18"/>
        <v>0</v>
      </c>
    </row>
    <row r="75" spans="1:45" s="207" customFormat="1" ht="15" hidden="1" customHeight="1">
      <c r="A75" s="181" t="s">
        <v>5869</v>
      </c>
      <c r="B75" s="182"/>
      <c r="C75" s="201" t="s">
        <v>5870</v>
      </c>
      <c r="D75" s="201"/>
      <c r="E75" s="200" t="s">
        <v>5879</v>
      </c>
      <c r="F75" s="202" t="s">
        <v>5863</v>
      </c>
      <c r="G75" s="203" t="e">
        <f>#REF!*$G$5</f>
        <v>#REF!</v>
      </c>
      <c r="H75" s="203">
        <v>45363</v>
      </c>
      <c r="I75" s="204">
        <v>0.35</v>
      </c>
      <c r="J75" s="203">
        <f>H75-(H75*I75)</f>
        <v>29485.95</v>
      </c>
      <c r="K75" s="203" t="e">
        <f t="shared" si="9"/>
        <v>#REF!</v>
      </c>
      <c r="L75" s="203"/>
      <c r="M75" s="203">
        <v>0</v>
      </c>
      <c r="N75" s="203">
        <f t="shared" si="10"/>
        <v>0</v>
      </c>
      <c r="O75" s="203" t="e">
        <f>K75-M75-N75</f>
        <v>#REF!</v>
      </c>
      <c r="P75" s="203" t="e">
        <f>#REF!*G75</f>
        <v>#REF!</v>
      </c>
      <c r="Q75" s="203" t="e">
        <f>SUM(R75,T75:W75)</f>
        <v>#REF!</v>
      </c>
      <c r="R75" s="203" t="e">
        <f>_xlfn.XLOOKUP(#REF!,[2]info!G:G,[2]info!Q:Q)*G75</f>
        <v>#REF!</v>
      </c>
      <c r="S75" s="203">
        <v>2</v>
      </c>
      <c r="T75" s="205" t="e">
        <f t="shared" si="25"/>
        <v>#REF!</v>
      </c>
      <c r="U75" s="203" t="e">
        <f>(900+1300+120+580+60)*#REF!</f>
        <v>#REF!</v>
      </c>
      <c r="V75" s="203" t="e">
        <f>(P75/SUM(#REF!,#REF!,#REF!))*#REF!</f>
        <v>#REF!</v>
      </c>
      <c r="W75" s="203">
        <v>0</v>
      </c>
      <c r="X75" s="203" t="e">
        <f>SUM(Y75,Z75,AB75,AC75,AE75:AJ75)</f>
        <v>#REF!</v>
      </c>
      <c r="Y75" s="203">
        <v>0</v>
      </c>
      <c r="Z75" s="203" t="e">
        <f t="shared" si="11"/>
        <v>#REF!</v>
      </c>
      <c r="AA75" s="204">
        <v>0.01</v>
      </c>
      <c r="AB75" s="203" t="e">
        <f t="shared" si="12"/>
        <v>#REF!</v>
      </c>
      <c r="AC75" s="203" t="e">
        <f t="shared" si="13"/>
        <v>#REF!</v>
      </c>
      <c r="AD75" s="204">
        <v>0.03</v>
      </c>
      <c r="AE75" s="203">
        <v>0</v>
      </c>
      <c r="AF75" s="203">
        <v>0</v>
      </c>
      <c r="AG75" s="203">
        <v>0</v>
      </c>
      <c r="AH75" s="203">
        <v>0</v>
      </c>
      <c r="AI75" s="203">
        <v>0</v>
      </c>
      <c r="AJ75" s="203">
        <v>0</v>
      </c>
      <c r="AK75" s="203" t="e">
        <f t="shared" si="14"/>
        <v>#REF!</v>
      </c>
      <c r="AL75" s="200"/>
      <c r="AM75" s="204">
        <f t="shared" si="15"/>
        <v>0</v>
      </c>
      <c r="AN75" s="204">
        <f t="shared" si="16"/>
        <v>0</v>
      </c>
      <c r="AO75" s="204">
        <f t="shared" si="17"/>
        <v>0</v>
      </c>
      <c r="AP75" s="204">
        <f t="shared" si="18"/>
        <v>0</v>
      </c>
      <c r="AQ75" s="206"/>
      <c r="AR75" s="206"/>
      <c r="AS75" s="206"/>
    </row>
    <row r="76" spans="1:45" ht="15" hidden="1" customHeight="1">
      <c r="A76" s="181" t="s">
        <v>5869</v>
      </c>
      <c r="B76" s="182"/>
      <c r="C76" s="208" t="s">
        <v>5870</v>
      </c>
      <c r="D76" s="208" t="s">
        <v>5880</v>
      </c>
      <c r="E76" s="209" t="s">
        <v>5881</v>
      </c>
      <c r="F76" s="210" t="s">
        <v>3500</v>
      </c>
      <c r="G76" s="213">
        <v>1000</v>
      </c>
      <c r="H76" s="212">
        <f>IFERROR(_xlfn.XLOOKUP(#REF!,[2]info!G:G,[2]info!T:T),0)</f>
        <v>0</v>
      </c>
      <c r="I76" s="214">
        <v>0.32</v>
      </c>
      <c r="J76" s="212">
        <f t="shared" ref="J76:J86" si="26">H76-(H76*I76)</f>
        <v>0</v>
      </c>
      <c r="K76" s="212">
        <f t="shared" si="9"/>
        <v>0</v>
      </c>
      <c r="L76" s="212"/>
      <c r="M76" s="212">
        <v>0</v>
      </c>
      <c r="N76" s="212">
        <f t="shared" si="10"/>
        <v>0</v>
      </c>
      <c r="O76" s="212">
        <f t="shared" ref="O76:O86" si="27">K76-M76-N76</f>
        <v>0</v>
      </c>
      <c r="P76" s="212" t="e">
        <f>#REF!*G76</f>
        <v>#REF!</v>
      </c>
      <c r="Q76" s="211" t="e">
        <f t="shared" ref="Q76:Q86" si="28">SUM(R76,T76:W76)</f>
        <v>#REF!</v>
      </c>
      <c r="R76" s="211">
        <f>IFERROR(_xlfn.XLOOKUP(#REF!,[2]info!G:G,[2]info!Q:Q)*G76,0)</f>
        <v>0</v>
      </c>
      <c r="S76" s="212"/>
      <c r="T76" s="212">
        <f t="shared" si="25"/>
        <v>0</v>
      </c>
      <c r="U76" s="212">
        <f>IFERROR(_xlfn.XLOOKUP(#REF!,[2]info!G:G,[2]info!R:R)*G76,0)</f>
        <v>0</v>
      </c>
      <c r="V76" s="212" t="e">
        <f>P76/SUM(#REF!,#REF!,#REF!)*#REF!</f>
        <v>#REF!</v>
      </c>
      <c r="W76" s="212">
        <v>0</v>
      </c>
      <c r="X76" s="212">
        <f t="shared" ref="X76:X86" si="29">SUM(Y76,Z76,AB76,AC76,AE76:AJ76)</f>
        <v>0</v>
      </c>
      <c r="Y76" s="212">
        <v>0</v>
      </c>
      <c r="Z76" s="212">
        <f t="shared" si="11"/>
        <v>0</v>
      </c>
      <c r="AA76" s="214">
        <v>0</v>
      </c>
      <c r="AB76" s="212">
        <f t="shared" si="12"/>
        <v>0</v>
      </c>
      <c r="AC76" s="212">
        <f t="shared" si="13"/>
        <v>0</v>
      </c>
      <c r="AD76" s="214">
        <v>0.01</v>
      </c>
      <c r="AE76" s="212">
        <v>0</v>
      </c>
      <c r="AF76" s="212">
        <v>0</v>
      </c>
      <c r="AG76" s="212">
        <v>0</v>
      </c>
      <c r="AH76" s="212">
        <v>0</v>
      </c>
      <c r="AI76" s="212">
        <v>0</v>
      </c>
      <c r="AJ76" s="212">
        <v>0</v>
      </c>
      <c r="AK76" s="215" t="e">
        <f t="shared" si="14"/>
        <v>#REF!</v>
      </c>
      <c r="AL76" s="209"/>
      <c r="AM76" s="198">
        <f t="shared" si="15"/>
        <v>0</v>
      </c>
      <c r="AN76" s="198">
        <f t="shared" si="16"/>
        <v>0</v>
      </c>
      <c r="AO76" s="198">
        <f t="shared" si="17"/>
        <v>0</v>
      </c>
      <c r="AP76" s="198">
        <f t="shared" si="18"/>
        <v>0</v>
      </c>
    </row>
    <row r="77" spans="1:45" ht="15" hidden="1" customHeight="1">
      <c r="A77" s="181" t="s">
        <v>5869</v>
      </c>
      <c r="B77" s="182"/>
      <c r="C77" s="208" t="s">
        <v>5870</v>
      </c>
      <c r="D77" s="208" t="s">
        <v>5880</v>
      </c>
      <c r="E77" s="209" t="s">
        <v>5882</v>
      </c>
      <c r="F77" s="210" t="s">
        <v>3500</v>
      </c>
      <c r="G77" s="213">
        <v>1000</v>
      </c>
      <c r="H77" s="212">
        <f>IFERROR(_xlfn.XLOOKUP(#REF!,[2]info!G:G,[2]info!T:T),0)</f>
        <v>0</v>
      </c>
      <c r="I77" s="214">
        <v>0.32</v>
      </c>
      <c r="J77" s="212">
        <f t="shared" si="26"/>
        <v>0</v>
      </c>
      <c r="K77" s="212">
        <f t="shared" si="9"/>
        <v>0</v>
      </c>
      <c r="L77" s="212"/>
      <c r="M77" s="212">
        <v>0</v>
      </c>
      <c r="N77" s="212">
        <f t="shared" si="10"/>
        <v>0</v>
      </c>
      <c r="O77" s="212">
        <f t="shared" si="27"/>
        <v>0</v>
      </c>
      <c r="P77" s="212" t="e">
        <f>#REF!*G77</f>
        <v>#REF!</v>
      </c>
      <c r="Q77" s="211" t="e">
        <f t="shared" si="28"/>
        <v>#REF!</v>
      </c>
      <c r="R77" s="211">
        <f>IFERROR(_xlfn.XLOOKUP(#REF!,[2]info!G:G,[2]info!Q:Q)*G77,0)</f>
        <v>0</v>
      </c>
      <c r="S77" s="216"/>
      <c r="T77" s="212">
        <f t="shared" si="25"/>
        <v>0</v>
      </c>
      <c r="U77" s="212">
        <f>IFERROR(_xlfn.XLOOKUP(#REF!,[2]info!G:G,[2]info!R:R)*G77,0)</f>
        <v>0</v>
      </c>
      <c r="V77" s="212" t="e">
        <f>P77/SUM(#REF!,#REF!,#REF!)*#REF!</f>
        <v>#REF!</v>
      </c>
      <c r="W77" s="212">
        <v>0</v>
      </c>
      <c r="X77" s="212">
        <f t="shared" si="29"/>
        <v>0</v>
      </c>
      <c r="Y77" s="212">
        <v>0</v>
      </c>
      <c r="Z77" s="212">
        <f t="shared" si="11"/>
        <v>0</v>
      </c>
      <c r="AA77" s="214">
        <v>0</v>
      </c>
      <c r="AB77" s="212">
        <f t="shared" si="12"/>
        <v>0</v>
      </c>
      <c r="AC77" s="212">
        <f t="shared" si="13"/>
        <v>0</v>
      </c>
      <c r="AD77" s="214">
        <v>0.01</v>
      </c>
      <c r="AE77" s="212">
        <v>0</v>
      </c>
      <c r="AF77" s="212">
        <v>0</v>
      </c>
      <c r="AG77" s="212">
        <v>0</v>
      </c>
      <c r="AH77" s="212">
        <v>0</v>
      </c>
      <c r="AI77" s="212">
        <v>0</v>
      </c>
      <c r="AJ77" s="212">
        <v>0</v>
      </c>
      <c r="AK77" s="215" t="e">
        <f t="shared" si="14"/>
        <v>#REF!</v>
      </c>
      <c r="AL77" s="209"/>
      <c r="AM77" s="198">
        <f t="shared" si="15"/>
        <v>0</v>
      </c>
      <c r="AN77" s="198">
        <f t="shared" si="16"/>
        <v>0</v>
      </c>
      <c r="AO77" s="198">
        <f t="shared" si="17"/>
        <v>0</v>
      </c>
      <c r="AP77" s="198">
        <f t="shared" si="18"/>
        <v>0</v>
      </c>
    </row>
    <row r="78" spans="1:45" ht="15" hidden="1" customHeight="1">
      <c r="A78" s="181" t="s">
        <v>5869</v>
      </c>
      <c r="B78" s="182"/>
      <c r="C78" s="208" t="s">
        <v>5870</v>
      </c>
      <c r="D78" s="208" t="s">
        <v>5880</v>
      </c>
      <c r="E78" s="209" t="s">
        <v>5871</v>
      </c>
      <c r="F78" s="210" t="s">
        <v>3500</v>
      </c>
      <c r="G78" s="213">
        <v>1000</v>
      </c>
      <c r="H78" s="212">
        <f>IFERROR(_xlfn.XLOOKUP(#REF!,[2]info!G:G,[2]info!T:T),0)</f>
        <v>0</v>
      </c>
      <c r="I78" s="214">
        <v>0.32</v>
      </c>
      <c r="J78" s="212">
        <f t="shared" si="26"/>
        <v>0</v>
      </c>
      <c r="K78" s="212">
        <f t="shared" si="9"/>
        <v>0</v>
      </c>
      <c r="L78" s="212"/>
      <c r="M78" s="212">
        <v>0</v>
      </c>
      <c r="N78" s="212">
        <f t="shared" si="10"/>
        <v>0</v>
      </c>
      <c r="O78" s="212">
        <f t="shared" si="27"/>
        <v>0</v>
      </c>
      <c r="P78" s="212" t="e">
        <f>#REF!*G78</f>
        <v>#REF!</v>
      </c>
      <c r="Q78" s="211" t="e">
        <f t="shared" si="28"/>
        <v>#REF!</v>
      </c>
      <c r="R78" s="211">
        <f>IFERROR(_xlfn.XLOOKUP(#REF!,[2]info!G:G,[2]info!Q:Q)*G78,0)</f>
        <v>0</v>
      </c>
      <c r="S78" s="216"/>
      <c r="T78" s="212">
        <f t="shared" si="25"/>
        <v>0</v>
      </c>
      <c r="U78" s="212">
        <f>IFERROR(_xlfn.XLOOKUP(#REF!,[2]info!G:G,[2]info!R:R)*G78,0)</f>
        <v>0</v>
      </c>
      <c r="V78" s="212" t="e">
        <f>P78/SUM(#REF!,#REF!,#REF!)*#REF!</f>
        <v>#REF!</v>
      </c>
      <c r="W78" s="212">
        <v>0</v>
      </c>
      <c r="X78" s="212">
        <f t="shared" si="29"/>
        <v>0</v>
      </c>
      <c r="Y78" s="212">
        <v>0</v>
      </c>
      <c r="Z78" s="212">
        <f t="shared" si="11"/>
        <v>0</v>
      </c>
      <c r="AA78" s="214">
        <v>0</v>
      </c>
      <c r="AB78" s="212">
        <f t="shared" si="12"/>
        <v>0</v>
      </c>
      <c r="AC78" s="212">
        <f t="shared" si="13"/>
        <v>0</v>
      </c>
      <c r="AD78" s="214">
        <v>0.01</v>
      </c>
      <c r="AE78" s="212">
        <v>0</v>
      </c>
      <c r="AF78" s="212">
        <v>0</v>
      </c>
      <c r="AG78" s="212">
        <v>0</v>
      </c>
      <c r="AH78" s="212">
        <v>0</v>
      </c>
      <c r="AI78" s="212">
        <v>0</v>
      </c>
      <c r="AJ78" s="212">
        <v>0</v>
      </c>
      <c r="AK78" s="215" t="e">
        <f t="shared" si="14"/>
        <v>#REF!</v>
      </c>
      <c r="AL78" s="209"/>
      <c r="AM78" s="198">
        <f t="shared" si="15"/>
        <v>0</v>
      </c>
      <c r="AN78" s="198">
        <f t="shared" si="16"/>
        <v>0</v>
      </c>
      <c r="AO78" s="198">
        <f t="shared" si="17"/>
        <v>0</v>
      </c>
      <c r="AP78" s="198">
        <f t="shared" si="18"/>
        <v>0</v>
      </c>
    </row>
    <row r="79" spans="1:45" ht="15" hidden="1" customHeight="1">
      <c r="A79" s="181" t="s">
        <v>5869</v>
      </c>
      <c r="B79" s="182"/>
      <c r="C79" s="218" t="s">
        <v>5870</v>
      </c>
      <c r="D79" s="218" t="s">
        <v>5883</v>
      </c>
      <c r="E79" s="217" t="s">
        <v>5884</v>
      </c>
      <c r="F79" s="219" t="e">
        <f>_xlfn.XLOOKUP(#REF!,[2]info!G:G,[2]info!W:W)</f>
        <v>#REF!</v>
      </c>
      <c r="G79" s="221">
        <v>5000</v>
      </c>
      <c r="H79" s="220">
        <v>33091</v>
      </c>
      <c r="I79" s="222">
        <v>0</v>
      </c>
      <c r="J79" s="220">
        <f t="shared" si="26"/>
        <v>33091</v>
      </c>
      <c r="K79" s="220">
        <f t="shared" si="9"/>
        <v>165455000</v>
      </c>
      <c r="L79" s="220"/>
      <c r="M79" s="220">
        <v>0</v>
      </c>
      <c r="N79" s="220">
        <f t="shared" si="10"/>
        <v>0</v>
      </c>
      <c r="O79" s="220">
        <f t="shared" si="27"/>
        <v>165455000</v>
      </c>
      <c r="P79" s="220" t="e">
        <f>#REF!*G79</f>
        <v>#REF!</v>
      </c>
      <c r="Q79" s="220" t="e">
        <f t="shared" si="28"/>
        <v>#REF!</v>
      </c>
      <c r="R79" s="205" t="e">
        <f>_xlfn.XLOOKUP(#REF!,[2]info!G:G,[2]info!Q:Q)*G79</f>
        <v>#REF!</v>
      </c>
      <c r="S79" s="223">
        <v>4</v>
      </c>
      <c r="T79" s="220">
        <f t="shared" si="25"/>
        <v>1700000</v>
      </c>
      <c r="U79" s="220" t="e">
        <f>_xlfn.XLOOKUP(#REF!,[2]info!G:G,[2]info!R:R)*G79+60*G79</f>
        <v>#REF!</v>
      </c>
      <c r="V79" s="220">
        <v>0</v>
      </c>
      <c r="W79" s="220">
        <f>1260000</f>
        <v>1260000</v>
      </c>
      <c r="X79" s="220">
        <f t="shared" si="29"/>
        <v>1654550</v>
      </c>
      <c r="Y79" s="220">
        <v>0</v>
      </c>
      <c r="Z79" s="220">
        <f t="shared" si="11"/>
        <v>0</v>
      </c>
      <c r="AA79" s="222">
        <v>0</v>
      </c>
      <c r="AB79" s="220">
        <f t="shared" si="12"/>
        <v>0</v>
      </c>
      <c r="AC79" s="220">
        <f t="shared" si="13"/>
        <v>1654550</v>
      </c>
      <c r="AD79" s="222">
        <v>0.01</v>
      </c>
      <c r="AE79" s="220">
        <v>0</v>
      </c>
      <c r="AF79" s="220">
        <v>0</v>
      </c>
      <c r="AG79" s="220">
        <v>0</v>
      </c>
      <c r="AH79" s="220">
        <v>0</v>
      </c>
      <c r="AI79" s="220">
        <v>0</v>
      </c>
      <c r="AJ79" s="220">
        <v>0</v>
      </c>
      <c r="AK79" s="224" t="e">
        <f t="shared" si="14"/>
        <v>#REF!</v>
      </c>
      <c r="AL79" s="217"/>
      <c r="AM79" s="225">
        <f t="shared" si="15"/>
        <v>0</v>
      </c>
      <c r="AN79" s="225">
        <f t="shared" si="16"/>
        <v>0</v>
      </c>
      <c r="AO79" s="225">
        <f t="shared" si="17"/>
        <v>0.01</v>
      </c>
      <c r="AP79" s="225">
        <f t="shared" si="18"/>
        <v>0</v>
      </c>
      <c r="AQ79" s="120">
        <v>1.0729402286741239E-2</v>
      </c>
    </row>
    <row r="80" spans="1:45" ht="15" hidden="1" customHeight="1">
      <c r="A80" s="181" t="s">
        <v>5869</v>
      </c>
      <c r="B80" s="182"/>
      <c r="C80" s="218" t="s">
        <v>5861</v>
      </c>
      <c r="D80" s="218" t="s">
        <v>5885</v>
      </c>
      <c r="E80" s="217" t="s">
        <v>5886</v>
      </c>
      <c r="F80" s="219" t="e">
        <f>_xlfn.XLOOKUP(#REF!,[2]info!G:G,[2]info!W:W)</f>
        <v>#REF!</v>
      </c>
      <c r="G80" s="220" t="e">
        <f>#REF!*#REF!</f>
        <v>#REF!</v>
      </c>
      <c r="H80" s="220" t="e">
        <f>_xlfn.XLOOKUP(#REF!,[2]info!G:G,[2]info!T:T)</f>
        <v>#REF!</v>
      </c>
      <c r="I80" s="222">
        <v>0.34</v>
      </c>
      <c r="J80" s="220" t="e">
        <f t="shared" si="26"/>
        <v>#REF!</v>
      </c>
      <c r="K80" s="220" t="e">
        <f t="shared" si="9"/>
        <v>#REF!</v>
      </c>
      <c r="L80" s="220"/>
      <c r="M80" s="220">
        <v>0</v>
      </c>
      <c r="N80" s="220">
        <f t="shared" si="10"/>
        <v>0</v>
      </c>
      <c r="O80" s="220" t="e">
        <f t="shared" si="27"/>
        <v>#REF!</v>
      </c>
      <c r="P80" s="220" t="e">
        <f>#REF!*G80</f>
        <v>#REF!</v>
      </c>
      <c r="Q80" s="220" t="e">
        <f t="shared" si="28"/>
        <v>#REF!</v>
      </c>
      <c r="R80" s="220" t="e">
        <f>_xlfn.XLOOKUP(#REF!,[2]info!G:G,[2]info!Q:Q)*G80</f>
        <v>#REF!</v>
      </c>
      <c r="S80" s="220">
        <v>2</v>
      </c>
      <c r="T80" s="220" t="e">
        <f t="shared" si="25"/>
        <v>#REF!</v>
      </c>
      <c r="U80" s="220" t="e">
        <f>_xlfn.XLOOKUP(#REF!,[2]info!G:G,[2]info!R:R)*G80+60*G80</f>
        <v>#REF!</v>
      </c>
      <c r="V80" s="220" t="e">
        <f>P80/SUM(#REF!)*#REF!</f>
        <v>#REF!</v>
      </c>
      <c r="W80" s="220">
        <v>0</v>
      </c>
      <c r="X80" s="220" t="e">
        <f t="shared" si="29"/>
        <v>#REF!</v>
      </c>
      <c r="Y80" s="220">
        <v>6000000</v>
      </c>
      <c r="Z80" s="220" t="e">
        <f t="shared" si="11"/>
        <v>#REF!</v>
      </c>
      <c r="AA80" s="222">
        <v>0</v>
      </c>
      <c r="AB80" s="220" t="e">
        <f t="shared" si="12"/>
        <v>#REF!</v>
      </c>
      <c r="AC80" s="220" t="e">
        <f t="shared" si="13"/>
        <v>#REF!</v>
      </c>
      <c r="AD80" s="222">
        <v>0.01</v>
      </c>
      <c r="AE80" s="220">
        <v>1100000</v>
      </c>
      <c r="AF80" s="220">
        <v>0</v>
      </c>
      <c r="AG80" s="220">
        <v>0</v>
      </c>
      <c r="AH80" s="220">
        <v>290000</v>
      </c>
      <c r="AI80" s="220">
        <v>0</v>
      </c>
      <c r="AJ80" s="220">
        <v>0</v>
      </c>
      <c r="AK80" s="224" t="e">
        <f t="shared" si="14"/>
        <v>#REF!</v>
      </c>
      <c r="AL80" s="217"/>
      <c r="AM80" s="225">
        <f t="shared" si="15"/>
        <v>0</v>
      </c>
      <c r="AN80" s="225">
        <f t="shared" si="16"/>
        <v>0</v>
      </c>
      <c r="AO80" s="225">
        <f t="shared" si="17"/>
        <v>0</v>
      </c>
      <c r="AP80" s="225">
        <f t="shared" si="18"/>
        <v>0</v>
      </c>
    </row>
    <row r="81" spans="1:45" s="230" customFormat="1" ht="15" hidden="1" customHeight="1">
      <c r="A81" s="181" t="s">
        <v>5869</v>
      </c>
      <c r="B81" s="182"/>
      <c r="C81" s="175" t="s">
        <v>5870</v>
      </c>
      <c r="D81" s="175" t="s">
        <v>5</v>
      </c>
      <c r="E81" s="175" t="s">
        <v>5887</v>
      </c>
      <c r="F81" s="163" t="e">
        <f>_xlfn.XLOOKUP(#REF!,[2]info!G:G,[2]info!W:W)</f>
        <v>#REF!</v>
      </c>
      <c r="G81" s="176" t="e">
        <f>#REF!*70%</f>
        <v>#REF!</v>
      </c>
      <c r="H81" s="226">
        <f>IFERROR(_xlfn.XLOOKUP(#REF!,[2]info!G:G,[2]info!T:T),0)</f>
        <v>0</v>
      </c>
      <c r="I81" s="227">
        <v>0.32</v>
      </c>
      <c r="J81" s="226">
        <f t="shared" si="26"/>
        <v>0</v>
      </c>
      <c r="K81" s="226" t="e">
        <f t="shared" si="9"/>
        <v>#REF!</v>
      </c>
      <c r="L81" s="226"/>
      <c r="M81" s="228">
        <v>0</v>
      </c>
      <c r="N81" s="226">
        <f t="shared" si="10"/>
        <v>0</v>
      </c>
      <c r="O81" s="226" t="e">
        <f t="shared" si="27"/>
        <v>#REF!</v>
      </c>
      <c r="P81" s="226" t="e">
        <f>#REF!*G81</f>
        <v>#REF!</v>
      </c>
      <c r="Q81" s="226" t="e">
        <f t="shared" si="28"/>
        <v>#REF!</v>
      </c>
      <c r="R81" s="229" t="e">
        <f>_xlfn.XLOOKUP(#REF!,[2]info!G:G,[2]info!Q:Q)*G81</f>
        <v>#REF!</v>
      </c>
      <c r="S81" s="226">
        <v>3</v>
      </c>
      <c r="T81" s="229" t="e">
        <f t="shared" si="25"/>
        <v>#REF!</v>
      </c>
      <c r="U81" s="176">
        <f>IFERROR(_xlfn.XLOOKUP(#REF!,[2]info!G:G,[2]info!R:R)*G81,0)</f>
        <v>0</v>
      </c>
      <c r="V81" s="176" t="e">
        <f>(P81/SUM(#REF!,$P$8:$P$70,#REF!))*#REF!</f>
        <v>#REF!</v>
      </c>
      <c r="W81" s="226">
        <v>0</v>
      </c>
      <c r="X81" s="226" t="e">
        <f t="shared" si="29"/>
        <v>#REF!</v>
      </c>
      <c r="Y81" s="226">
        <v>0</v>
      </c>
      <c r="Z81" s="226" t="e">
        <f t="shared" si="11"/>
        <v>#REF!</v>
      </c>
      <c r="AA81" s="227">
        <v>0</v>
      </c>
      <c r="AB81" s="226" t="e">
        <f t="shared" si="12"/>
        <v>#REF!</v>
      </c>
      <c r="AC81" s="226" t="e">
        <f t="shared" si="13"/>
        <v>#REF!</v>
      </c>
      <c r="AD81" s="227">
        <v>0.01</v>
      </c>
      <c r="AE81" s="226">
        <v>0</v>
      </c>
      <c r="AF81" s="226">
        <v>0</v>
      </c>
      <c r="AG81" s="226">
        <v>0</v>
      </c>
      <c r="AH81" s="226">
        <v>0</v>
      </c>
      <c r="AI81" s="226">
        <v>0</v>
      </c>
      <c r="AJ81" s="226">
        <v>0</v>
      </c>
      <c r="AK81" s="226" t="e">
        <f t="shared" si="14"/>
        <v>#REF!</v>
      </c>
      <c r="AL81" s="125"/>
      <c r="AM81" s="227">
        <f t="shared" si="15"/>
        <v>0</v>
      </c>
      <c r="AN81" s="227">
        <f t="shared" si="16"/>
        <v>0</v>
      </c>
      <c r="AO81" s="227">
        <f t="shared" si="17"/>
        <v>0</v>
      </c>
      <c r="AP81" s="227">
        <f t="shared" si="18"/>
        <v>0</v>
      </c>
      <c r="AQ81" s="125"/>
      <c r="AR81" s="125"/>
      <c r="AS81" s="125"/>
    </row>
    <row r="82" spans="1:45" s="141" customFormat="1" ht="15.75" hidden="1" customHeight="1">
      <c r="A82" s="181" t="s">
        <v>5869</v>
      </c>
      <c r="B82" s="182"/>
      <c r="C82" s="232" t="s">
        <v>5870</v>
      </c>
      <c r="D82" s="232" t="s">
        <v>5</v>
      </c>
      <c r="E82" s="232" t="s">
        <v>5888</v>
      </c>
      <c r="F82" s="233" t="e">
        <f>_xlfn.XLOOKUP(#REF!,[2]info!G:G,[2]info!W:W)</f>
        <v>#REF!</v>
      </c>
      <c r="G82" s="234">
        <v>2000</v>
      </c>
      <c r="H82" s="235">
        <f>IFERROR(_xlfn.XLOOKUP(#REF!,[2]info!G:G,[2]info!T:T),0)</f>
        <v>0</v>
      </c>
      <c r="I82" s="236">
        <v>0</v>
      </c>
      <c r="J82" s="235">
        <f t="shared" si="26"/>
        <v>0</v>
      </c>
      <c r="K82" s="235">
        <f t="shared" si="9"/>
        <v>0</v>
      </c>
      <c r="L82" s="235"/>
      <c r="M82" s="237">
        <v>0</v>
      </c>
      <c r="N82" s="235">
        <f t="shared" si="10"/>
        <v>0</v>
      </c>
      <c r="O82" s="235">
        <f t="shared" si="27"/>
        <v>0</v>
      </c>
      <c r="P82" s="235" t="e">
        <f>#REF!*G82</f>
        <v>#REF!</v>
      </c>
      <c r="Q82" s="235" t="e">
        <f t="shared" si="28"/>
        <v>#REF!</v>
      </c>
      <c r="R82" s="235" t="e">
        <f>_xlfn.XLOOKUP(#REF!,[2]info!G:G,[2]info!Q:Q)*G82</f>
        <v>#REF!</v>
      </c>
      <c r="S82" s="235">
        <v>0</v>
      </c>
      <c r="T82" s="235">
        <v>0</v>
      </c>
      <c r="U82" s="238">
        <f>IFERROR(_xlfn.XLOOKUP(#REF!,[2]info!G:G,[2]info!R:R)*G82,0)</f>
        <v>0</v>
      </c>
      <c r="V82" s="234">
        <f>O82*1.2%</f>
        <v>0</v>
      </c>
      <c r="W82" s="234">
        <v>1280000</v>
      </c>
      <c r="X82" s="234">
        <f t="shared" si="29"/>
        <v>0</v>
      </c>
      <c r="Y82" s="235">
        <v>0</v>
      </c>
      <c r="Z82" s="235">
        <f t="shared" si="11"/>
        <v>0</v>
      </c>
      <c r="AA82" s="236">
        <v>0</v>
      </c>
      <c r="AB82" s="235">
        <f t="shared" si="12"/>
        <v>0</v>
      </c>
      <c r="AC82" s="235">
        <f t="shared" si="13"/>
        <v>0</v>
      </c>
      <c r="AD82" s="236">
        <v>0.01</v>
      </c>
      <c r="AE82" s="235">
        <v>0</v>
      </c>
      <c r="AF82" s="235">
        <v>0</v>
      </c>
      <c r="AG82" s="235">
        <v>0</v>
      </c>
      <c r="AH82" s="235">
        <v>0</v>
      </c>
      <c r="AI82" s="235">
        <v>0</v>
      </c>
      <c r="AJ82" s="235">
        <v>0</v>
      </c>
      <c r="AK82" s="235" t="e">
        <f t="shared" si="14"/>
        <v>#REF!</v>
      </c>
      <c r="AL82" s="231"/>
      <c r="AM82" s="236">
        <f t="shared" si="15"/>
        <v>0</v>
      </c>
      <c r="AN82" s="236">
        <f t="shared" si="16"/>
        <v>0</v>
      </c>
      <c r="AO82" s="236">
        <f t="shared" si="17"/>
        <v>0</v>
      </c>
      <c r="AP82" s="236">
        <f t="shared" si="18"/>
        <v>0</v>
      </c>
    </row>
    <row r="83" spans="1:45" s="243" customFormat="1" ht="15" hidden="1" customHeight="1">
      <c r="A83" s="181" t="s">
        <v>5869</v>
      </c>
      <c r="B83" s="182"/>
      <c r="C83" s="175" t="s">
        <v>5870</v>
      </c>
      <c r="D83" s="175" t="s">
        <v>5</v>
      </c>
      <c r="E83" s="175" t="s">
        <v>5889</v>
      </c>
      <c r="F83" s="163" t="e">
        <f>_xlfn.XLOOKUP(#REF!,[2]info!G:G,[2]info!W:W)</f>
        <v>#REF!</v>
      </c>
      <c r="G83" s="176" t="e">
        <f>#REF!*70%</f>
        <v>#REF!</v>
      </c>
      <c r="H83" s="240">
        <f>IFERROR(_xlfn.XLOOKUP(#REF!,[2]info!G:G,[2]info!T:T),0)</f>
        <v>0</v>
      </c>
      <c r="I83" s="241">
        <v>0.32</v>
      </c>
      <c r="J83" s="240">
        <f t="shared" si="26"/>
        <v>0</v>
      </c>
      <c r="K83" s="240" t="e">
        <f t="shared" si="9"/>
        <v>#REF!</v>
      </c>
      <c r="L83" s="240"/>
      <c r="M83" s="242" t="e">
        <f>2000*G83*60%</f>
        <v>#REF!</v>
      </c>
      <c r="N83" s="240">
        <f t="shared" si="10"/>
        <v>0</v>
      </c>
      <c r="O83" s="240" t="e">
        <f t="shared" si="27"/>
        <v>#REF!</v>
      </c>
      <c r="P83" s="240" t="e">
        <f>#REF!*G83</f>
        <v>#REF!</v>
      </c>
      <c r="Q83" s="240" t="e">
        <f t="shared" si="28"/>
        <v>#REF!</v>
      </c>
      <c r="R83" s="240" t="e">
        <f>_xlfn.XLOOKUP(#REF!,[2]info!G:G,[2]info!Q:Q)*G83</f>
        <v>#REF!</v>
      </c>
      <c r="S83" s="240">
        <v>3</v>
      </c>
      <c r="T83" s="240" t="e">
        <f t="shared" ref="T83:T111" si="30">S83*85*G83</f>
        <v>#REF!</v>
      </c>
      <c r="U83" s="240" t="e">
        <f>_xlfn.XLOOKUP(#REF!,[2]info!G:G,[2]info!R:R)*G83</f>
        <v>#REF!</v>
      </c>
      <c r="V83" s="176" t="e">
        <f>(P83/SUM(#REF!,$P$8:$P$70,#REF!))*#REF!</f>
        <v>#REF!</v>
      </c>
      <c r="W83" s="176">
        <v>0</v>
      </c>
      <c r="X83" s="176" t="e">
        <f t="shared" si="29"/>
        <v>#REF!</v>
      </c>
      <c r="Y83" s="240">
        <v>0</v>
      </c>
      <c r="Z83" s="240" t="e">
        <f t="shared" si="11"/>
        <v>#REF!</v>
      </c>
      <c r="AA83" s="241">
        <v>0</v>
      </c>
      <c r="AB83" s="240" t="e">
        <f t="shared" si="12"/>
        <v>#REF!</v>
      </c>
      <c r="AC83" s="240" t="e">
        <f t="shared" si="13"/>
        <v>#REF!</v>
      </c>
      <c r="AD83" s="241">
        <v>0.01</v>
      </c>
      <c r="AE83" s="240">
        <v>0</v>
      </c>
      <c r="AF83" s="240">
        <v>0</v>
      </c>
      <c r="AG83" s="240">
        <v>0</v>
      </c>
      <c r="AH83" s="240">
        <v>0</v>
      </c>
      <c r="AI83" s="240">
        <v>0</v>
      </c>
      <c r="AJ83" s="240">
        <v>0</v>
      </c>
      <c r="AK83" s="240" t="e">
        <f t="shared" si="14"/>
        <v>#REF!</v>
      </c>
      <c r="AL83" s="239"/>
      <c r="AM83" s="241">
        <f t="shared" si="15"/>
        <v>0</v>
      </c>
      <c r="AN83" s="241">
        <f t="shared" si="16"/>
        <v>0</v>
      </c>
      <c r="AO83" s="241">
        <f t="shared" si="17"/>
        <v>0</v>
      </c>
      <c r="AP83" s="241">
        <f t="shared" si="18"/>
        <v>0</v>
      </c>
    </row>
    <row r="84" spans="1:45" s="252" customFormat="1" ht="15" hidden="1" customHeight="1">
      <c r="A84" s="181" t="s">
        <v>5869</v>
      </c>
      <c r="B84" s="182"/>
      <c r="C84" s="232" t="s">
        <v>5870</v>
      </c>
      <c r="D84" s="232" t="s">
        <v>5</v>
      </c>
      <c r="E84" s="232" t="s">
        <v>5890</v>
      </c>
      <c r="F84" s="233" t="e">
        <f>_xlfn.XLOOKUP(#REF!,[2]info!G:G,[2]info!W:W)</f>
        <v>#REF!</v>
      </c>
      <c r="G84" s="234">
        <v>6000</v>
      </c>
      <c r="H84" s="246">
        <f>IFERROR(_xlfn.XLOOKUP(#REF!,[2]info!G:G,[2]info!T:T),0)</f>
        <v>0</v>
      </c>
      <c r="I84" s="247">
        <v>0</v>
      </c>
      <c r="J84" s="245">
        <f>H84-(H84*I84)</f>
        <v>0</v>
      </c>
      <c r="K84" s="245">
        <f t="shared" si="9"/>
        <v>0</v>
      </c>
      <c r="L84" s="245"/>
      <c r="M84" s="248">
        <f>2000*G84*60%</f>
        <v>7200000</v>
      </c>
      <c r="N84" s="245">
        <f t="shared" si="10"/>
        <v>0</v>
      </c>
      <c r="O84" s="245">
        <f>K84-M84-N84</f>
        <v>-7200000</v>
      </c>
      <c r="P84" s="245" t="e">
        <f>#REF!*G84</f>
        <v>#REF!</v>
      </c>
      <c r="Q84" s="245" t="e">
        <f>SUM(R84,T84:W84)</f>
        <v>#REF!</v>
      </c>
      <c r="R84" s="246">
        <v>0</v>
      </c>
      <c r="S84" s="245">
        <v>0</v>
      </c>
      <c r="T84" s="245">
        <f t="shared" si="30"/>
        <v>0</v>
      </c>
      <c r="U84" s="249" t="e">
        <f>_xlfn.XLOOKUP(#REF!,[2]info!G:G,[2]info!R:R)*G84</f>
        <v>#REF!</v>
      </c>
      <c r="V84" s="234">
        <f>O84*1.2%</f>
        <v>-86400</v>
      </c>
      <c r="W84" s="234">
        <v>1280000</v>
      </c>
      <c r="X84" s="234">
        <f>SUM(Y84,Z84,AB84,AC84,AE84:AJ84)</f>
        <v>0</v>
      </c>
      <c r="Y84" s="245">
        <v>0</v>
      </c>
      <c r="Z84" s="246">
        <f t="shared" si="11"/>
        <v>0</v>
      </c>
      <c r="AA84" s="247">
        <v>0</v>
      </c>
      <c r="AB84" s="246">
        <f t="shared" si="12"/>
        <v>0</v>
      </c>
      <c r="AC84" s="245">
        <f t="shared" si="13"/>
        <v>0</v>
      </c>
      <c r="AD84" s="247">
        <v>0.01</v>
      </c>
      <c r="AE84" s="245">
        <v>0</v>
      </c>
      <c r="AF84" s="245">
        <v>0</v>
      </c>
      <c r="AG84" s="245">
        <v>0</v>
      </c>
      <c r="AH84" s="245">
        <v>0</v>
      </c>
      <c r="AI84" s="245">
        <v>0</v>
      </c>
      <c r="AJ84" s="245">
        <v>0</v>
      </c>
      <c r="AK84" s="246" t="e">
        <f t="shared" si="14"/>
        <v>#REF!</v>
      </c>
      <c r="AL84" s="244"/>
      <c r="AM84" s="250">
        <f t="shared" si="15"/>
        <v>0</v>
      </c>
      <c r="AN84" s="250">
        <f t="shared" si="16"/>
        <v>0</v>
      </c>
      <c r="AO84" s="250">
        <f t="shared" si="17"/>
        <v>0</v>
      </c>
      <c r="AP84" s="250">
        <f t="shared" si="18"/>
        <v>0</v>
      </c>
      <c r="AQ84" s="251"/>
      <c r="AR84" s="251"/>
      <c r="AS84" s="251"/>
    </row>
    <row r="85" spans="1:45" ht="15" hidden="1" customHeight="1">
      <c r="A85" s="181" t="s">
        <v>5869</v>
      </c>
      <c r="B85" s="182"/>
      <c r="C85" s="253" t="s">
        <v>5861</v>
      </c>
      <c r="D85" s="175" t="s">
        <v>5</v>
      </c>
      <c r="E85" s="178" t="s">
        <v>5891</v>
      </c>
      <c r="F85" s="163" t="e">
        <f>_xlfn.XLOOKUP(#REF!,[2]info!G:G,[2]info!W:W)</f>
        <v>#REF!</v>
      </c>
      <c r="G85" s="254">
        <v>3000</v>
      </c>
      <c r="H85" s="226" t="e">
        <f>_xlfn.XLOOKUP(#REF!,[2]info!G:G,[2]info!T:T)</f>
        <v>#REF!</v>
      </c>
      <c r="I85" s="227">
        <v>0.3</v>
      </c>
      <c r="J85" s="240" t="e">
        <f t="shared" si="26"/>
        <v>#REF!</v>
      </c>
      <c r="K85" s="226" t="e">
        <f t="shared" si="9"/>
        <v>#REF!</v>
      </c>
      <c r="L85" s="226"/>
      <c r="M85" s="226">
        <v>0</v>
      </c>
      <c r="N85" s="226">
        <f t="shared" si="10"/>
        <v>0</v>
      </c>
      <c r="O85" s="226" t="e">
        <f t="shared" si="27"/>
        <v>#REF!</v>
      </c>
      <c r="P85" s="226" t="e">
        <f>#REF!*G85</f>
        <v>#REF!</v>
      </c>
      <c r="Q85" s="226" t="e">
        <f t="shared" si="28"/>
        <v>#REF!</v>
      </c>
      <c r="R85" s="226" t="e">
        <f>_xlfn.XLOOKUP(#REF!,[2]info!G:G,[2]info!Q:Q)*G85</f>
        <v>#REF!</v>
      </c>
      <c r="S85" s="226">
        <v>3</v>
      </c>
      <c r="T85" s="226">
        <f t="shared" si="30"/>
        <v>765000</v>
      </c>
      <c r="U85" s="255">
        <f>IFERROR(_xlfn.XLOOKUP(#REF!,[2]info!G:G,[2]info!R:R)*G85,0)</f>
        <v>0</v>
      </c>
      <c r="V85" s="176" t="e">
        <f>(P85/SUM(#REF!,$P$8:$P$70,#REF!))*#REF!</f>
        <v>#REF!</v>
      </c>
      <c r="W85" s="176">
        <v>0</v>
      </c>
      <c r="X85" s="176" t="e">
        <f t="shared" si="29"/>
        <v>#REF!</v>
      </c>
      <c r="Y85" s="226">
        <v>0</v>
      </c>
      <c r="Z85" s="226" t="e">
        <f t="shared" si="11"/>
        <v>#REF!</v>
      </c>
      <c r="AA85" s="227">
        <v>0</v>
      </c>
      <c r="AB85" s="229" t="e">
        <f t="shared" si="12"/>
        <v>#REF!</v>
      </c>
      <c r="AC85" s="226" t="e">
        <f t="shared" si="13"/>
        <v>#REF!</v>
      </c>
      <c r="AD85" s="227">
        <v>0.01</v>
      </c>
      <c r="AE85" s="226">
        <v>0</v>
      </c>
      <c r="AF85" s="226">
        <v>0</v>
      </c>
      <c r="AG85" s="226">
        <v>0</v>
      </c>
      <c r="AH85" s="226">
        <v>0</v>
      </c>
      <c r="AI85" s="226">
        <v>0</v>
      </c>
      <c r="AJ85" s="226">
        <v>0</v>
      </c>
      <c r="AK85" s="226" t="e">
        <f t="shared" si="14"/>
        <v>#REF!</v>
      </c>
      <c r="AL85" s="86" t="s">
        <v>2306</v>
      </c>
      <c r="AM85" s="227">
        <f t="shared" si="15"/>
        <v>0</v>
      </c>
      <c r="AN85" s="227">
        <f t="shared" si="16"/>
        <v>0</v>
      </c>
      <c r="AO85" s="227">
        <f t="shared" si="17"/>
        <v>0</v>
      </c>
      <c r="AP85" s="227">
        <f t="shared" si="18"/>
        <v>0</v>
      </c>
      <c r="AQ85" s="86"/>
      <c r="AR85" s="86"/>
      <c r="AS85" s="86"/>
    </row>
    <row r="86" spans="1:45" s="129" customFormat="1" ht="15" hidden="1" customHeight="1">
      <c r="A86" s="181" t="s">
        <v>5869</v>
      </c>
      <c r="B86" s="182"/>
      <c r="C86" s="257" t="s">
        <v>5861</v>
      </c>
      <c r="D86" s="232" t="s">
        <v>5</v>
      </c>
      <c r="E86" s="256" t="s">
        <v>5873</v>
      </c>
      <c r="F86" s="233" t="e">
        <f>_xlfn.XLOOKUP(#REF!,[2]info!G:G,[2]info!W:W)</f>
        <v>#REF!</v>
      </c>
      <c r="G86" s="258">
        <v>3000</v>
      </c>
      <c r="H86" s="235" t="e">
        <f>_xlfn.XLOOKUP(#REF!,[2]info!G:G,[2]info!T:T)</f>
        <v>#REF!</v>
      </c>
      <c r="I86" s="236">
        <v>0</v>
      </c>
      <c r="J86" s="246" t="e">
        <f t="shared" si="26"/>
        <v>#REF!</v>
      </c>
      <c r="K86" s="235" t="e">
        <f t="shared" si="9"/>
        <v>#REF!</v>
      </c>
      <c r="L86" s="235"/>
      <c r="M86" s="235">
        <v>0</v>
      </c>
      <c r="N86" s="235">
        <f t="shared" si="10"/>
        <v>0</v>
      </c>
      <c r="O86" s="235" t="e">
        <f t="shared" si="27"/>
        <v>#REF!</v>
      </c>
      <c r="P86" s="235" t="e">
        <f>#REF!*G86</f>
        <v>#REF!</v>
      </c>
      <c r="Q86" s="235" t="e">
        <f t="shared" si="28"/>
        <v>#REF!</v>
      </c>
      <c r="R86" s="235" t="e">
        <f>_xlfn.XLOOKUP(#REF!,[2]info!G:G,[2]info!Q:Q)*G86</f>
        <v>#REF!</v>
      </c>
      <c r="S86" s="235">
        <v>0</v>
      </c>
      <c r="T86" s="235">
        <f t="shared" si="30"/>
        <v>0</v>
      </c>
      <c r="U86" s="238" t="e">
        <f>ROUNDUP(#REF!/840,0)*5000</f>
        <v>#REF!</v>
      </c>
      <c r="V86" s="234" t="e">
        <f>O86*1.2%</f>
        <v>#REF!</v>
      </c>
      <c r="W86" s="234">
        <f>500000+780000</f>
        <v>1280000</v>
      </c>
      <c r="X86" s="234" t="e">
        <f t="shared" si="29"/>
        <v>#REF!</v>
      </c>
      <c r="Y86" s="235">
        <v>0</v>
      </c>
      <c r="Z86" s="235" t="e">
        <f t="shared" si="11"/>
        <v>#REF!</v>
      </c>
      <c r="AA86" s="236">
        <v>0</v>
      </c>
      <c r="AB86" s="235" t="e">
        <f t="shared" si="12"/>
        <v>#REF!</v>
      </c>
      <c r="AC86" s="235" t="e">
        <f t="shared" si="13"/>
        <v>#REF!</v>
      </c>
      <c r="AD86" s="236">
        <v>0.01</v>
      </c>
      <c r="AE86" s="235">
        <v>0</v>
      </c>
      <c r="AF86" s="235">
        <v>0</v>
      </c>
      <c r="AG86" s="235">
        <v>0</v>
      </c>
      <c r="AH86" s="235">
        <v>0</v>
      </c>
      <c r="AI86" s="235">
        <v>0</v>
      </c>
      <c r="AJ86" s="235">
        <v>0</v>
      </c>
      <c r="AK86" s="235" t="e">
        <f t="shared" si="14"/>
        <v>#REF!</v>
      </c>
      <c r="AL86" s="256" t="s">
        <v>2306</v>
      </c>
      <c r="AM86" s="236">
        <f t="shared" si="15"/>
        <v>0</v>
      </c>
      <c r="AN86" s="236">
        <f t="shared" si="16"/>
        <v>0</v>
      </c>
      <c r="AO86" s="236">
        <f t="shared" si="17"/>
        <v>0</v>
      </c>
      <c r="AP86" s="236">
        <f t="shared" si="18"/>
        <v>0</v>
      </c>
      <c r="AQ86" s="259"/>
      <c r="AR86" s="259"/>
      <c r="AS86" s="259"/>
    </row>
    <row r="87" spans="1:45" ht="15" hidden="1" customHeight="1">
      <c r="A87" s="261" t="s">
        <v>5869</v>
      </c>
      <c r="B87" s="262"/>
      <c r="C87" s="263" t="s">
        <v>5870</v>
      </c>
      <c r="D87" s="263" t="s">
        <v>5</v>
      </c>
      <c r="E87" s="264" t="s">
        <v>5892</v>
      </c>
      <c r="F87" s="265" t="e">
        <f>_xlfn.XLOOKUP(#REF!,[2]info!G:G,[2]info!W:W)</f>
        <v>#REF!</v>
      </c>
      <c r="G87" s="266">
        <v>2500</v>
      </c>
      <c r="H87" s="211">
        <f>IFERROR(_xlfn.XLOOKUP(#REF!,[2]info!G:G,[2]info!T:T),0)</f>
        <v>0</v>
      </c>
      <c r="I87" s="267">
        <v>0.32</v>
      </c>
      <c r="J87" s="211">
        <f>H87-(H87*I87)</f>
        <v>0</v>
      </c>
      <c r="K87" s="211">
        <f t="shared" si="9"/>
        <v>0</v>
      </c>
      <c r="L87" s="211"/>
      <c r="M87" s="268">
        <v>0</v>
      </c>
      <c r="N87" s="211">
        <f t="shared" si="10"/>
        <v>0</v>
      </c>
      <c r="O87" s="211">
        <f>K87-M87-N87</f>
        <v>0</v>
      </c>
      <c r="P87" s="211" t="e">
        <f>#REF!*G87</f>
        <v>#REF!</v>
      </c>
      <c r="Q87" s="211" t="e">
        <f>SUM(R87,T87:W87)</f>
        <v>#REF!</v>
      </c>
      <c r="R87" s="269" t="e">
        <f>_xlfn.XLOOKUP(#REF!,[2]info!G:G,[2]info!Q:Q)*G87</f>
        <v>#REF!</v>
      </c>
      <c r="S87" s="211">
        <v>3</v>
      </c>
      <c r="T87" s="269">
        <f t="shared" si="30"/>
        <v>637500</v>
      </c>
      <c r="U87" s="266">
        <f>IFERROR(_xlfn.XLOOKUP(#REF!,[2]info!G:G,[2]info!R:R)*G87,0)</f>
        <v>0</v>
      </c>
      <c r="V87" s="266">
        <f>K87*1.2%</f>
        <v>0</v>
      </c>
      <c r="W87" s="211">
        <v>0</v>
      </c>
      <c r="X87" s="211">
        <f>SUM(Y87,Z87,AB87,AC87,AE87:AJ87)</f>
        <v>1390000</v>
      </c>
      <c r="Y87" s="211">
        <v>0</v>
      </c>
      <c r="Z87" s="211">
        <f t="shared" si="11"/>
        <v>0</v>
      </c>
      <c r="AA87" s="267">
        <v>0.05</v>
      </c>
      <c r="AB87" s="211">
        <f t="shared" si="12"/>
        <v>0</v>
      </c>
      <c r="AC87" s="211">
        <f t="shared" si="13"/>
        <v>0</v>
      </c>
      <c r="AD87" s="267">
        <v>0.01</v>
      </c>
      <c r="AE87" s="211">
        <v>1100000</v>
      </c>
      <c r="AF87" s="211">
        <v>0</v>
      </c>
      <c r="AG87" s="211">
        <v>0</v>
      </c>
      <c r="AH87" s="211">
        <v>290000</v>
      </c>
      <c r="AI87" s="211">
        <v>0</v>
      </c>
      <c r="AJ87" s="211">
        <v>0</v>
      </c>
      <c r="AK87" s="211" t="e">
        <f t="shared" si="14"/>
        <v>#REF!</v>
      </c>
      <c r="AL87" s="260"/>
      <c r="AM87" s="267">
        <f t="shared" si="15"/>
        <v>0</v>
      </c>
      <c r="AN87" s="267">
        <f t="shared" si="16"/>
        <v>0</v>
      </c>
      <c r="AO87" s="267">
        <f t="shared" si="17"/>
        <v>0</v>
      </c>
      <c r="AP87" s="267">
        <f t="shared" si="18"/>
        <v>0</v>
      </c>
      <c r="AQ87" s="125"/>
      <c r="AR87" s="125"/>
      <c r="AS87" s="125"/>
    </row>
    <row r="88" spans="1:45" ht="15" hidden="1" customHeight="1">
      <c r="A88" s="261" t="s">
        <v>5869</v>
      </c>
      <c r="B88" s="262"/>
      <c r="C88" s="263" t="s">
        <v>5870</v>
      </c>
      <c r="D88" s="263" t="s">
        <v>5</v>
      </c>
      <c r="E88" s="264" t="s">
        <v>5892</v>
      </c>
      <c r="F88" s="265" t="e">
        <f>_xlfn.XLOOKUP(#REF!,[2]info!G:G,[2]info!W:W)</f>
        <v>#REF!</v>
      </c>
      <c r="G88" s="266">
        <v>2500</v>
      </c>
      <c r="H88" s="211">
        <f>IFERROR(_xlfn.XLOOKUP(#REF!,[2]info!G:G,[2]info!T:T),0)</f>
        <v>0</v>
      </c>
      <c r="I88" s="267">
        <v>0.32</v>
      </c>
      <c r="J88" s="211">
        <f>H88-(H88*I88)</f>
        <v>0</v>
      </c>
      <c r="K88" s="211">
        <f t="shared" si="9"/>
        <v>0</v>
      </c>
      <c r="L88" s="211"/>
      <c r="M88" s="268">
        <v>0</v>
      </c>
      <c r="N88" s="211">
        <f t="shared" si="10"/>
        <v>0</v>
      </c>
      <c r="O88" s="211">
        <f>K88-M88-N88</f>
        <v>0</v>
      </c>
      <c r="P88" s="211" t="e">
        <f>#REF!*G88</f>
        <v>#REF!</v>
      </c>
      <c r="Q88" s="211" t="e">
        <f>SUM(R88,T88:W88)</f>
        <v>#REF!</v>
      </c>
      <c r="R88" s="269" t="e">
        <f>_xlfn.XLOOKUP(#REF!,[2]info!G:G,[2]info!Q:Q)*G88</f>
        <v>#REF!</v>
      </c>
      <c r="S88" s="211">
        <v>3</v>
      </c>
      <c r="T88" s="269">
        <f t="shared" si="30"/>
        <v>637500</v>
      </c>
      <c r="U88" s="266">
        <f>IFERROR(_xlfn.XLOOKUP(#REF!,[2]info!G:G,[2]info!R:R)*G88,0)</f>
        <v>0</v>
      </c>
      <c r="V88" s="266">
        <f>K88*1.2%</f>
        <v>0</v>
      </c>
      <c r="W88" s="211">
        <v>0</v>
      </c>
      <c r="X88" s="211">
        <f>SUM(Y88,Z88,AB88,AC88,AE88:AJ88)</f>
        <v>0</v>
      </c>
      <c r="Y88" s="211">
        <v>0</v>
      </c>
      <c r="Z88" s="211">
        <f t="shared" si="11"/>
        <v>0</v>
      </c>
      <c r="AA88" s="267">
        <v>0.05</v>
      </c>
      <c r="AB88" s="211">
        <f t="shared" si="12"/>
        <v>0</v>
      </c>
      <c r="AC88" s="211">
        <f t="shared" si="13"/>
        <v>0</v>
      </c>
      <c r="AD88" s="267">
        <v>0.01</v>
      </c>
      <c r="AE88" s="211"/>
      <c r="AF88" s="211">
        <v>0</v>
      </c>
      <c r="AG88" s="211">
        <v>0</v>
      </c>
      <c r="AH88" s="211"/>
      <c r="AI88" s="211">
        <v>0</v>
      </c>
      <c r="AJ88" s="211">
        <v>0</v>
      </c>
      <c r="AK88" s="211" t="e">
        <f>O88-P88-Q88-X88</f>
        <v>#REF!</v>
      </c>
      <c r="AL88" s="260"/>
      <c r="AM88" s="267">
        <f>IFERROR(P88/O88,0)</f>
        <v>0</v>
      </c>
      <c r="AN88" s="267">
        <f>IFERROR(Q88/O88,0)</f>
        <v>0</v>
      </c>
      <c r="AO88" s="267">
        <f>IFERROR(X88/O88,0)</f>
        <v>0</v>
      </c>
      <c r="AP88" s="267">
        <f>IFERROR(AK88/O88,0)</f>
        <v>0</v>
      </c>
      <c r="AQ88" s="125"/>
      <c r="AR88" s="125"/>
      <c r="AS88" s="125"/>
    </row>
    <row r="89" spans="1:45" ht="15" hidden="1" customHeight="1">
      <c r="A89" s="270" t="s">
        <v>5893</v>
      </c>
      <c r="B89" s="271" t="s">
        <v>5894</v>
      </c>
      <c r="C89" s="232" t="s">
        <v>5870</v>
      </c>
      <c r="D89" s="232" t="s">
        <v>5895</v>
      </c>
      <c r="E89" s="232" t="s">
        <v>5890</v>
      </c>
      <c r="F89" s="233" t="e">
        <f>_xlfn.XLOOKUP(#REF!,[2]info!G:G,[2]info!W:W)</f>
        <v>#REF!</v>
      </c>
      <c r="G89" s="234">
        <v>2500</v>
      </c>
      <c r="H89" s="235">
        <f>IFERROR(_xlfn.XLOOKUP(#REF!,[2]info!G:G,[2]info!T:T),0)</f>
        <v>0</v>
      </c>
      <c r="I89" s="272">
        <v>0</v>
      </c>
      <c r="J89" s="246">
        <f>H89-(H89*I89)</f>
        <v>0</v>
      </c>
      <c r="K89" s="246">
        <f t="shared" si="9"/>
        <v>0</v>
      </c>
      <c r="L89" s="246"/>
      <c r="M89" s="248">
        <f>2000*G89*60%</f>
        <v>3000000</v>
      </c>
      <c r="N89" s="246">
        <f t="shared" si="10"/>
        <v>0</v>
      </c>
      <c r="O89" s="246">
        <f>K89-M89-N89</f>
        <v>-3000000</v>
      </c>
      <c r="P89" s="246" t="e">
        <f>#REF!*G89</f>
        <v>#REF!</v>
      </c>
      <c r="Q89" s="246" t="e">
        <f>SUM(R89,T89:W89)</f>
        <v>#REF!</v>
      </c>
      <c r="R89" s="246">
        <v>0</v>
      </c>
      <c r="S89" s="246">
        <v>0</v>
      </c>
      <c r="T89" s="246">
        <f t="shared" si="30"/>
        <v>0</v>
      </c>
      <c r="U89" s="273" t="e">
        <f>_xlfn.XLOOKUP(#REF!,[2]info!G:G,[2]info!R:R)*G89</f>
        <v>#REF!</v>
      </c>
      <c r="V89" s="234">
        <f>O89*1.2%</f>
        <v>-36000</v>
      </c>
      <c r="W89" s="234">
        <v>1280000</v>
      </c>
      <c r="X89" s="234">
        <f>SUM(Y89,Z89,AB89,AC89,AE89:AJ89)</f>
        <v>0</v>
      </c>
      <c r="Y89" s="246">
        <v>0</v>
      </c>
      <c r="Z89" s="246">
        <f t="shared" si="11"/>
        <v>0</v>
      </c>
      <c r="AA89" s="272">
        <v>0</v>
      </c>
      <c r="AB89" s="246">
        <f t="shared" si="12"/>
        <v>0</v>
      </c>
      <c r="AC89" s="246">
        <f t="shared" si="13"/>
        <v>0</v>
      </c>
      <c r="AD89" s="272">
        <v>0.01</v>
      </c>
      <c r="AE89" s="246">
        <v>0</v>
      </c>
      <c r="AF89" s="246">
        <v>0</v>
      </c>
      <c r="AG89" s="246">
        <v>0</v>
      </c>
      <c r="AH89" s="246">
        <v>0</v>
      </c>
      <c r="AI89" s="246">
        <v>0</v>
      </c>
      <c r="AJ89" s="246">
        <v>0</v>
      </c>
      <c r="AK89" s="246" t="e">
        <f t="shared" si="14"/>
        <v>#REF!</v>
      </c>
      <c r="AL89" s="244"/>
      <c r="AM89" s="272">
        <f t="shared" si="15"/>
        <v>0</v>
      </c>
      <c r="AN89" s="272">
        <f t="shared" si="16"/>
        <v>0</v>
      </c>
      <c r="AO89" s="272">
        <f t="shared" si="17"/>
        <v>0</v>
      </c>
      <c r="AP89" s="272">
        <f t="shared" si="18"/>
        <v>0</v>
      </c>
      <c r="AQ89" s="251"/>
      <c r="AR89" s="251"/>
      <c r="AS89" s="251"/>
    </row>
    <row r="90" spans="1:45" ht="15" hidden="1" customHeight="1">
      <c r="A90" s="270" t="s">
        <v>5893</v>
      </c>
      <c r="B90" s="271" t="s">
        <v>5894</v>
      </c>
      <c r="C90" s="257" t="s">
        <v>5861</v>
      </c>
      <c r="D90" s="232" t="s">
        <v>5895</v>
      </c>
      <c r="E90" s="256" t="s">
        <v>5873</v>
      </c>
      <c r="F90" s="233" t="e">
        <f>_xlfn.XLOOKUP(#REF!,[2]info!G:G,[2]info!W:W)</f>
        <v>#REF!</v>
      </c>
      <c r="G90" s="234">
        <v>3000</v>
      </c>
      <c r="H90" s="235" t="e">
        <f>_xlfn.XLOOKUP(#REF!,[2]info!G:G,[2]info!T:T)</f>
        <v>#REF!</v>
      </c>
      <c r="I90" s="236">
        <v>0</v>
      </c>
      <c r="J90" s="246" t="e">
        <f>H90-(H90*I90)</f>
        <v>#REF!</v>
      </c>
      <c r="K90" s="235" t="e">
        <f t="shared" si="9"/>
        <v>#REF!</v>
      </c>
      <c r="L90" s="235"/>
      <c r="M90" s="235">
        <v>0</v>
      </c>
      <c r="N90" s="235">
        <f t="shared" si="10"/>
        <v>0</v>
      </c>
      <c r="O90" s="235" t="e">
        <f>K90-M90-N90</f>
        <v>#REF!</v>
      </c>
      <c r="P90" s="235" t="e">
        <f>#REF!*G90</f>
        <v>#REF!</v>
      </c>
      <c r="Q90" s="235" t="e">
        <f>SUM(R90,T90:W90)</f>
        <v>#REF!</v>
      </c>
      <c r="R90" s="235" t="e">
        <f>_xlfn.XLOOKUP(#REF!,[2]info!G:G,[2]info!Q:Q)*G90</f>
        <v>#REF!</v>
      </c>
      <c r="S90" s="235">
        <v>0</v>
      </c>
      <c r="T90" s="235">
        <f t="shared" si="30"/>
        <v>0</v>
      </c>
      <c r="U90" s="238" t="e">
        <f>ROUNDUP(#REF!/840,0)*5000</f>
        <v>#REF!</v>
      </c>
      <c r="V90" s="234" t="e">
        <f>O90*1.2%</f>
        <v>#REF!</v>
      </c>
      <c r="W90" s="234">
        <f>500000+780000</f>
        <v>1280000</v>
      </c>
      <c r="X90" s="234" t="e">
        <f>SUM(Y90,Z90,AB90,AC90,AE90:AJ90)</f>
        <v>#REF!</v>
      </c>
      <c r="Y90" s="235">
        <v>0</v>
      </c>
      <c r="Z90" s="235" t="e">
        <f t="shared" si="11"/>
        <v>#REF!</v>
      </c>
      <c r="AA90" s="236">
        <v>0</v>
      </c>
      <c r="AB90" s="235" t="e">
        <f t="shared" si="12"/>
        <v>#REF!</v>
      </c>
      <c r="AC90" s="235" t="e">
        <f t="shared" si="13"/>
        <v>#REF!</v>
      </c>
      <c r="AD90" s="236">
        <v>0.01</v>
      </c>
      <c r="AE90" s="235">
        <v>0</v>
      </c>
      <c r="AF90" s="235">
        <v>0</v>
      </c>
      <c r="AG90" s="235">
        <v>0</v>
      </c>
      <c r="AH90" s="235">
        <v>0</v>
      </c>
      <c r="AI90" s="235">
        <v>0</v>
      </c>
      <c r="AJ90" s="235">
        <v>0</v>
      </c>
      <c r="AK90" s="235" t="e">
        <f t="shared" si="14"/>
        <v>#REF!</v>
      </c>
      <c r="AL90" s="256" t="s">
        <v>2306</v>
      </c>
      <c r="AM90" s="236">
        <f t="shared" si="15"/>
        <v>0</v>
      </c>
      <c r="AN90" s="236">
        <f t="shared" si="16"/>
        <v>0</v>
      </c>
      <c r="AO90" s="236">
        <f t="shared" si="17"/>
        <v>0</v>
      </c>
      <c r="AP90" s="236">
        <f t="shared" si="18"/>
        <v>0</v>
      </c>
      <c r="AQ90" s="259"/>
      <c r="AR90" s="259"/>
      <c r="AS90" s="259"/>
    </row>
    <row r="91" spans="1:45" s="129" customFormat="1" ht="15" hidden="1" customHeight="1">
      <c r="A91" s="154" t="s">
        <v>5864</v>
      </c>
      <c r="B91" s="155" t="s">
        <v>5865</v>
      </c>
      <c r="C91" s="156" t="s">
        <v>5861</v>
      </c>
      <c r="D91" s="156" t="s">
        <v>5896</v>
      </c>
      <c r="E91" s="154" t="s">
        <v>5897</v>
      </c>
      <c r="F91" s="155" t="e">
        <f>_xlfn.XLOOKUP(#REF!,[2]info!G:G,[2]info!W:W)</f>
        <v>#REF!</v>
      </c>
      <c r="G91" s="274" t="e">
        <f>#REF!*G5</f>
        <v>#REF!</v>
      </c>
      <c r="H91" s="274" t="e">
        <f>_xlfn.XLOOKUP(#REF!,[2]info!G:G,[2]info!T:T)</f>
        <v>#REF!</v>
      </c>
      <c r="I91" s="275">
        <f>37%-7%</f>
        <v>0.3</v>
      </c>
      <c r="J91" s="274" t="e">
        <f t="shared" ref="J91:J95" si="31">H91-(H91*I91)</f>
        <v>#REF!</v>
      </c>
      <c r="K91" s="274" t="e">
        <f t="shared" si="9"/>
        <v>#REF!</v>
      </c>
      <c r="L91" s="274"/>
      <c r="M91" s="276" t="e">
        <f t="shared" ref="M91" si="32">K91*0.07</f>
        <v>#REF!</v>
      </c>
      <c r="N91" s="274">
        <f t="shared" si="10"/>
        <v>0</v>
      </c>
      <c r="O91" s="274" t="e">
        <f t="shared" ref="O91:O95" si="33">K91-M91-N91</f>
        <v>#REF!</v>
      </c>
      <c r="P91" s="274" t="e">
        <f>#REF!*G91</f>
        <v>#REF!</v>
      </c>
      <c r="Q91" s="274" t="e">
        <f t="shared" ref="Q91" si="34">SUM(R91,T91:W91)</f>
        <v>#REF!</v>
      </c>
      <c r="R91" s="274" t="e">
        <f>_xlfn.XLOOKUP(#REF!,[2]info!G:G,[2]info!Q:Q)*G91</f>
        <v>#REF!</v>
      </c>
      <c r="S91" s="274">
        <v>3</v>
      </c>
      <c r="T91" s="274" t="e">
        <f t="shared" si="30"/>
        <v>#REF!</v>
      </c>
      <c r="U91" s="274" t="e">
        <f>_xlfn.XLOOKUP(#REF!,[2]info!G:G,[2]info!R:R)*G91+60*G91</f>
        <v>#REF!</v>
      </c>
      <c r="V91" s="274" t="e">
        <f>P91/SUM(#REF!)*#REF!</f>
        <v>#REF!</v>
      </c>
      <c r="W91" s="274">
        <v>0</v>
      </c>
      <c r="X91" s="274" t="e">
        <f t="shared" ref="X91:X106" si="35">SUM(Y91,Z91,AB91,AC91,AE91:AJ91)</f>
        <v>#REF!</v>
      </c>
      <c r="Y91" s="274">
        <v>0</v>
      </c>
      <c r="Z91" s="274" t="e">
        <f t="shared" si="11"/>
        <v>#REF!</v>
      </c>
      <c r="AA91" s="275">
        <v>0.01</v>
      </c>
      <c r="AB91" s="274" t="e">
        <f t="shared" si="12"/>
        <v>#REF!</v>
      </c>
      <c r="AC91" s="274" t="e">
        <f t="shared" si="13"/>
        <v>#REF!</v>
      </c>
      <c r="AD91" s="275">
        <v>0.01</v>
      </c>
      <c r="AE91" s="274">
        <v>0</v>
      </c>
      <c r="AF91" s="274">
        <v>0</v>
      </c>
      <c r="AG91" s="274">
        <v>0</v>
      </c>
      <c r="AH91" s="274">
        <v>0</v>
      </c>
      <c r="AI91" s="274">
        <v>0</v>
      </c>
      <c r="AJ91" s="274">
        <v>0</v>
      </c>
      <c r="AK91" s="195" t="e">
        <f t="shared" si="14"/>
        <v>#REF!</v>
      </c>
      <c r="AL91" s="154"/>
      <c r="AM91" s="199">
        <f t="shared" si="15"/>
        <v>0</v>
      </c>
      <c r="AN91" s="199">
        <f t="shared" si="16"/>
        <v>0</v>
      </c>
      <c r="AO91" s="199">
        <f t="shared" si="17"/>
        <v>0</v>
      </c>
      <c r="AP91" s="199">
        <f t="shared" si="18"/>
        <v>0</v>
      </c>
      <c r="AQ91" s="115"/>
      <c r="AR91" s="115"/>
      <c r="AS91" s="115"/>
    </row>
    <row r="92" spans="1:45" ht="15" hidden="1" customHeight="1">
      <c r="A92" s="115" t="s">
        <v>5898</v>
      </c>
      <c r="C92" s="278" t="s">
        <v>2306</v>
      </c>
      <c r="D92" s="278" t="s">
        <v>5899</v>
      </c>
      <c r="E92" s="279" t="s">
        <v>5900</v>
      </c>
      <c r="F92" s="116" t="e">
        <f>_xlfn.XLOOKUP(#REF!,[2]info!G:G,[2]info!W:W)</f>
        <v>#REF!</v>
      </c>
      <c r="G92" s="140">
        <v>500</v>
      </c>
      <c r="H92" s="118" t="e">
        <f>_xlfn.XLOOKUP(#REF!,[2]info!G:G,[2]info!T:T)</f>
        <v>#REF!</v>
      </c>
      <c r="I92" s="119">
        <v>0.33</v>
      </c>
      <c r="J92" s="118" t="e">
        <f t="shared" si="31"/>
        <v>#REF!</v>
      </c>
      <c r="K92" s="118" t="e">
        <f t="shared" si="9"/>
        <v>#REF!</v>
      </c>
      <c r="M92" s="280">
        <v>0</v>
      </c>
      <c r="N92" s="280">
        <f t="shared" si="10"/>
        <v>0</v>
      </c>
      <c r="O92" s="280" t="e">
        <f t="shared" si="33"/>
        <v>#REF!</v>
      </c>
      <c r="P92" s="280" t="e">
        <f>#REF!*G92</f>
        <v>#REF!</v>
      </c>
      <c r="Q92" s="150" t="e">
        <f t="shared" ref="Q92:Q99" si="36">O92*1.5%</f>
        <v>#REF!</v>
      </c>
      <c r="R92" s="280" t="e">
        <f>_xlfn.XLOOKUP(#REF!,[2]info!G:G,[2]info!Q:Q)*G92</f>
        <v>#REF!</v>
      </c>
      <c r="S92" s="280">
        <v>3</v>
      </c>
      <c r="T92" s="280">
        <f t="shared" si="30"/>
        <v>127500</v>
      </c>
      <c r="U92" s="280" t="e">
        <f>_xlfn.XLOOKUP(#REF!,[2]info!G:G,[2]info!R:R)*G92</f>
        <v>#REF!</v>
      </c>
      <c r="V92" s="280" t="e">
        <f>(P92/SUM(#REF!,#REF!,#REF!))*#REF!</f>
        <v>#REF!</v>
      </c>
      <c r="W92" s="280">
        <v>0</v>
      </c>
      <c r="X92" s="280" t="e">
        <f t="shared" si="35"/>
        <v>#REF!</v>
      </c>
      <c r="Y92" s="281" t="s">
        <v>5901</v>
      </c>
      <c r="Z92" s="282" t="e">
        <f t="shared" si="11"/>
        <v>#REF!</v>
      </c>
      <c r="AA92" s="119">
        <v>0.04</v>
      </c>
      <c r="AB92" s="280" t="e">
        <f t="shared" si="12"/>
        <v>#REF!</v>
      </c>
      <c r="AC92" s="280" t="e">
        <f t="shared" si="13"/>
        <v>#REF!</v>
      </c>
      <c r="AD92" s="119">
        <v>0</v>
      </c>
      <c r="AE92" s="280">
        <v>0</v>
      </c>
      <c r="AF92" s="280">
        <v>0</v>
      </c>
      <c r="AG92" s="280">
        <v>0</v>
      </c>
      <c r="AH92" s="280">
        <v>0</v>
      </c>
      <c r="AI92" s="280">
        <v>0</v>
      </c>
      <c r="AJ92" s="280">
        <v>0</v>
      </c>
      <c r="AK92" s="282" t="e">
        <f t="shared" si="14"/>
        <v>#REF!</v>
      </c>
      <c r="AL92" s="277" t="s">
        <v>2306</v>
      </c>
      <c r="AM92" s="120">
        <f t="shared" si="15"/>
        <v>0</v>
      </c>
      <c r="AN92" s="120">
        <f t="shared" si="16"/>
        <v>0</v>
      </c>
      <c r="AO92" s="120">
        <f t="shared" si="17"/>
        <v>0</v>
      </c>
      <c r="AP92" s="120">
        <f t="shared" si="18"/>
        <v>0</v>
      </c>
      <c r="AQ92" s="277" t="s">
        <v>2306</v>
      </c>
      <c r="AR92" s="277" t="s">
        <v>2306</v>
      </c>
      <c r="AS92" s="277" t="s">
        <v>2306</v>
      </c>
    </row>
    <row r="93" spans="1:45" ht="15" hidden="1" customHeight="1">
      <c r="A93" s="115" t="s">
        <v>5898</v>
      </c>
      <c r="C93" s="278" t="s">
        <v>2306</v>
      </c>
      <c r="D93" s="278" t="s">
        <v>5899</v>
      </c>
      <c r="E93" s="279" t="s">
        <v>5902</v>
      </c>
      <c r="F93" s="116" t="e">
        <f>_xlfn.XLOOKUP(#REF!,[2]info!G:G,[2]info!W:W)</f>
        <v>#REF!</v>
      </c>
      <c r="G93" s="140">
        <v>500</v>
      </c>
      <c r="H93" s="118" t="e">
        <f>_xlfn.XLOOKUP(#REF!,[2]info!G:G,[2]info!T:T)</f>
        <v>#REF!</v>
      </c>
      <c r="I93" s="119">
        <v>0.33</v>
      </c>
      <c r="J93" s="118" t="e">
        <f t="shared" si="31"/>
        <v>#REF!</v>
      </c>
      <c r="K93" s="118" t="e">
        <f t="shared" si="9"/>
        <v>#REF!</v>
      </c>
      <c r="M93" s="280">
        <v>0</v>
      </c>
      <c r="N93" s="280">
        <f t="shared" si="10"/>
        <v>0</v>
      </c>
      <c r="O93" s="280" t="e">
        <f t="shared" si="33"/>
        <v>#REF!</v>
      </c>
      <c r="P93" s="280" t="e">
        <f>#REF!*G93</f>
        <v>#REF!</v>
      </c>
      <c r="Q93" s="150" t="e">
        <f t="shared" si="36"/>
        <v>#REF!</v>
      </c>
      <c r="R93" s="280" t="e">
        <f>_xlfn.XLOOKUP(#REF!,[2]info!G:G,[2]info!Q:Q)*G93</f>
        <v>#REF!</v>
      </c>
      <c r="S93" s="280">
        <v>3</v>
      </c>
      <c r="T93" s="280">
        <f t="shared" si="30"/>
        <v>127500</v>
      </c>
      <c r="U93" s="280" t="e">
        <f>_xlfn.XLOOKUP(#REF!,[2]info!G:G,[2]info!R:R)*G93</f>
        <v>#REF!</v>
      </c>
      <c r="V93" s="280" t="e">
        <f>(P93/SUM(#REF!,#REF!,#REF!))*#REF!</f>
        <v>#REF!</v>
      </c>
      <c r="W93" s="280">
        <v>0</v>
      </c>
      <c r="X93" s="280" t="e">
        <f t="shared" si="35"/>
        <v>#REF!</v>
      </c>
      <c r="Y93" s="281" t="s">
        <v>5901</v>
      </c>
      <c r="Z93" s="282" t="e">
        <f t="shared" si="11"/>
        <v>#REF!</v>
      </c>
      <c r="AA93" s="119">
        <v>0.04</v>
      </c>
      <c r="AB93" s="280" t="e">
        <f t="shared" si="12"/>
        <v>#REF!</v>
      </c>
      <c r="AC93" s="280" t="e">
        <f t="shared" si="13"/>
        <v>#REF!</v>
      </c>
      <c r="AD93" s="119">
        <v>0</v>
      </c>
      <c r="AE93" s="280">
        <v>0</v>
      </c>
      <c r="AF93" s="280">
        <v>0</v>
      </c>
      <c r="AG93" s="280">
        <v>0</v>
      </c>
      <c r="AH93" s="280">
        <v>0</v>
      </c>
      <c r="AI93" s="280">
        <v>0</v>
      </c>
      <c r="AJ93" s="280">
        <v>0</v>
      </c>
      <c r="AK93" s="282" t="e">
        <f t="shared" si="14"/>
        <v>#REF!</v>
      </c>
      <c r="AL93" s="277" t="s">
        <v>2306</v>
      </c>
      <c r="AM93" s="120">
        <f t="shared" si="15"/>
        <v>0</v>
      </c>
      <c r="AN93" s="120">
        <f t="shared" si="16"/>
        <v>0</v>
      </c>
      <c r="AO93" s="120">
        <f t="shared" si="17"/>
        <v>0</v>
      </c>
      <c r="AP93" s="120">
        <f t="shared" si="18"/>
        <v>0</v>
      </c>
      <c r="AQ93" s="277" t="s">
        <v>2306</v>
      </c>
      <c r="AR93" s="277" t="s">
        <v>2306</v>
      </c>
      <c r="AS93" s="277" t="s">
        <v>2306</v>
      </c>
    </row>
    <row r="94" spans="1:45" ht="15" hidden="1" customHeight="1">
      <c r="A94" s="285" t="s">
        <v>5898</v>
      </c>
      <c r="B94" s="286"/>
      <c r="C94" s="287" t="s">
        <v>2306</v>
      </c>
      <c r="D94" s="287" t="s">
        <v>5899</v>
      </c>
      <c r="E94" s="288" t="s">
        <v>5903</v>
      </c>
      <c r="F94" s="286" t="e">
        <f>_xlfn.XLOOKUP(#REF!,[2]info!G:G,[2]info!W:W)</f>
        <v>#REF!</v>
      </c>
      <c r="G94" s="290">
        <v>500</v>
      </c>
      <c r="H94" s="289" t="e">
        <f>_xlfn.XLOOKUP(#REF!,[2]info!G:G,[2]info!T:T)</f>
        <v>#REF!</v>
      </c>
      <c r="I94" s="291">
        <v>0.32</v>
      </c>
      <c r="J94" s="289" t="e">
        <f t="shared" si="31"/>
        <v>#REF!</v>
      </c>
      <c r="K94" s="289" t="e">
        <f t="shared" si="9"/>
        <v>#REF!</v>
      </c>
      <c r="L94" s="289"/>
      <c r="M94" s="292">
        <v>0</v>
      </c>
      <c r="N94" s="292">
        <f t="shared" si="10"/>
        <v>0</v>
      </c>
      <c r="O94" s="292" t="e">
        <f t="shared" si="33"/>
        <v>#REF!</v>
      </c>
      <c r="P94" s="292" t="e">
        <f>#REF!*G94</f>
        <v>#REF!</v>
      </c>
      <c r="Q94" s="293" t="e">
        <f t="shared" si="36"/>
        <v>#REF!</v>
      </c>
      <c r="R94" s="292" t="e">
        <f>_xlfn.XLOOKUP(#REF!,[2]info!G:G,[2]info!Q:Q)*G94</f>
        <v>#REF!</v>
      </c>
      <c r="S94" s="292">
        <v>3</v>
      </c>
      <c r="T94" s="292">
        <f t="shared" si="30"/>
        <v>127500</v>
      </c>
      <c r="U94" s="292" t="e">
        <f>_xlfn.XLOOKUP(#REF!,[2]info!G:G,[2]info!R:R)*G94</f>
        <v>#REF!</v>
      </c>
      <c r="V94" s="292" t="e">
        <f>(P94/SUM(#REF!,#REF!,#REF!))*#REF!</f>
        <v>#REF!</v>
      </c>
      <c r="W94" s="292">
        <v>0</v>
      </c>
      <c r="X94" s="292" t="e">
        <f t="shared" si="35"/>
        <v>#REF!</v>
      </c>
      <c r="Y94" s="294" t="s">
        <v>5901</v>
      </c>
      <c r="Z94" s="295" t="e">
        <f t="shared" si="11"/>
        <v>#REF!</v>
      </c>
      <c r="AA94" s="291">
        <v>0.04</v>
      </c>
      <c r="AB94" s="292" t="e">
        <f t="shared" si="12"/>
        <v>#REF!</v>
      </c>
      <c r="AC94" s="292" t="e">
        <f t="shared" si="13"/>
        <v>#REF!</v>
      </c>
      <c r="AD94" s="291">
        <v>0</v>
      </c>
      <c r="AE94" s="292">
        <v>0</v>
      </c>
      <c r="AF94" s="292">
        <v>0</v>
      </c>
      <c r="AG94" s="292">
        <v>0</v>
      </c>
      <c r="AH94" s="292">
        <v>0</v>
      </c>
      <c r="AI94" s="292">
        <v>0</v>
      </c>
      <c r="AJ94" s="292">
        <v>0</v>
      </c>
      <c r="AK94" s="295" t="e">
        <f t="shared" si="14"/>
        <v>#REF!</v>
      </c>
      <c r="AL94" s="284" t="s">
        <v>2306</v>
      </c>
      <c r="AM94" s="296">
        <f t="shared" si="15"/>
        <v>0</v>
      </c>
      <c r="AN94" s="296">
        <f t="shared" si="16"/>
        <v>0</v>
      </c>
      <c r="AO94" s="296">
        <f t="shared" si="17"/>
        <v>0</v>
      </c>
      <c r="AP94" s="296">
        <f t="shared" si="18"/>
        <v>0</v>
      </c>
      <c r="AQ94" s="277" t="s">
        <v>2306</v>
      </c>
      <c r="AR94" s="277" t="s">
        <v>2306</v>
      </c>
      <c r="AS94" s="277" t="s">
        <v>2306</v>
      </c>
    </row>
    <row r="95" spans="1:45" ht="15" hidden="1" customHeight="1">
      <c r="A95" s="285" t="s">
        <v>5898</v>
      </c>
      <c r="B95" s="286"/>
      <c r="C95" s="287" t="s">
        <v>2306</v>
      </c>
      <c r="D95" s="287" t="s">
        <v>5899</v>
      </c>
      <c r="E95" s="288" t="s">
        <v>5903</v>
      </c>
      <c r="F95" s="286" t="e">
        <f>_xlfn.XLOOKUP(#REF!,[2]info!G:G,[2]info!W:W)</f>
        <v>#REF!</v>
      </c>
      <c r="G95" s="290">
        <v>500</v>
      </c>
      <c r="H95" s="289" t="e">
        <f>_xlfn.XLOOKUP(#REF!,[2]info!G:G,[2]info!T:T)</f>
        <v>#REF!</v>
      </c>
      <c r="I95" s="291">
        <v>0.33</v>
      </c>
      <c r="J95" s="289" t="e">
        <f t="shared" si="31"/>
        <v>#REF!</v>
      </c>
      <c r="K95" s="289" t="e">
        <f t="shared" si="9"/>
        <v>#REF!</v>
      </c>
      <c r="L95" s="289"/>
      <c r="M95" s="292">
        <v>0</v>
      </c>
      <c r="N95" s="292">
        <f t="shared" si="10"/>
        <v>0</v>
      </c>
      <c r="O95" s="292" t="e">
        <f t="shared" si="33"/>
        <v>#REF!</v>
      </c>
      <c r="P95" s="292" t="e">
        <f>#REF!*G95</f>
        <v>#REF!</v>
      </c>
      <c r="Q95" s="293" t="e">
        <f t="shared" si="36"/>
        <v>#REF!</v>
      </c>
      <c r="R95" s="292" t="e">
        <f>_xlfn.XLOOKUP(#REF!,[2]info!G:G,[2]info!Q:Q)*G95</f>
        <v>#REF!</v>
      </c>
      <c r="S95" s="292">
        <v>3</v>
      </c>
      <c r="T95" s="292">
        <f t="shared" si="30"/>
        <v>127500</v>
      </c>
      <c r="U95" s="292" t="e">
        <f>_xlfn.XLOOKUP(#REF!,[2]info!G:G,[2]info!R:R)*G95</f>
        <v>#REF!</v>
      </c>
      <c r="V95" s="292" t="e">
        <f>(P95/SUM(#REF!,#REF!,#REF!))*#REF!</f>
        <v>#REF!</v>
      </c>
      <c r="W95" s="292">
        <v>0</v>
      </c>
      <c r="X95" s="292" t="e">
        <f t="shared" si="35"/>
        <v>#REF!</v>
      </c>
      <c r="Y95" s="294" t="s">
        <v>5901</v>
      </c>
      <c r="Z95" s="295" t="e">
        <f t="shared" si="11"/>
        <v>#REF!</v>
      </c>
      <c r="AA95" s="291">
        <v>0.04</v>
      </c>
      <c r="AB95" s="292" t="e">
        <f t="shared" si="12"/>
        <v>#REF!</v>
      </c>
      <c r="AC95" s="292" t="e">
        <f t="shared" si="13"/>
        <v>#REF!</v>
      </c>
      <c r="AD95" s="291">
        <v>0</v>
      </c>
      <c r="AE95" s="292">
        <v>0</v>
      </c>
      <c r="AF95" s="292">
        <v>0</v>
      </c>
      <c r="AG95" s="292">
        <v>0</v>
      </c>
      <c r="AH95" s="292">
        <v>0</v>
      </c>
      <c r="AI95" s="292">
        <v>0</v>
      </c>
      <c r="AJ95" s="292">
        <v>0</v>
      </c>
      <c r="AK95" s="295" t="e">
        <f t="shared" si="14"/>
        <v>#REF!</v>
      </c>
      <c r="AL95" s="284" t="s">
        <v>2306</v>
      </c>
      <c r="AM95" s="296">
        <f t="shared" si="15"/>
        <v>0</v>
      </c>
      <c r="AN95" s="296">
        <f t="shared" si="16"/>
        <v>0</v>
      </c>
      <c r="AO95" s="296">
        <f t="shared" si="17"/>
        <v>0</v>
      </c>
      <c r="AP95" s="296">
        <f t="shared" si="18"/>
        <v>0</v>
      </c>
      <c r="AQ95" s="277" t="s">
        <v>2306</v>
      </c>
      <c r="AR95" s="277" t="s">
        <v>2306</v>
      </c>
      <c r="AS95" s="277" t="s">
        <v>2306</v>
      </c>
    </row>
    <row r="96" spans="1:45" ht="15" hidden="1" customHeight="1">
      <c r="A96" s="298" t="s">
        <v>5898</v>
      </c>
      <c r="B96" s="299"/>
      <c r="C96" s="300" t="s">
        <v>2306</v>
      </c>
      <c r="D96" s="300" t="s">
        <v>5899</v>
      </c>
      <c r="E96" s="301" t="s">
        <v>5903</v>
      </c>
      <c r="F96" s="299" t="e">
        <f>_xlfn.XLOOKUP(#REF!,[2]info!G:G,[2]info!W:W)</f>
        <v>#REF!</v>
      </c>
      <c r="G96" s="302">
        <v>500</v>
      </c>
      <c r="H96" s="293" t="e">
        <f>_xlfn.XLOOKUP(#REF!,[2]info!G:G,[2]info!T:T)</f>
        <v>#REF!</v>
      </c>
      <c r="I96" s="303">
        <v>0.32</v>
      </c>
      <c r="J96" s="293" t="e">
        <f>H96-(H96*I96)</f>
        <v>#REF!</v>
      </c>
      <c r="K96" s="293" t="e">
        <f t="shared" si="9"/>
        <v>#REF!</v>
      </c>
      <c r="L96" s="293"/>
      <c r="M96" s="304">
        <v>0</v>
      </c>
      <c r="N96" s="304">
        <f t="shared" si="10"/>
        <v>0</v>
      </c>
      <c r="O96" s="304" t="e">
        <f>K96-M96-N96</f>
        <v>#REF!</v>
      </c>
      <c r="P96" s="304" t="e">
        <f>#REF!*G96</f>
        <v>#REF!</v>
      </c>
      <c r="Q96" s="293" t="e">
        <f t="shared" si="36"/>
        <v>#REF!</v>
      </c>
      <c r="R96" s="304" t="e">
        <f>_xlfn.XLOOKUP(#REF!,[2]info!G:G,[2]info!Q:Q)*G96</f>
        <v>#REF!</v>
      </c>
      <c r="S96" s="304">
        <v>3</v>
      </c>
      <c r="T96" s="304">
        <f t="shared" si="30"/>
        <v>127500</v>
      </c>
      <c r="U96" s="304" t="e">
        <f>_xlfn.XLOOKUP(#REF!,[2]info!G:G,[2]info!R:R)*G96</f>
        <v>#REF!</v>
      </c>
      <c r="V96" s="304" t="e">
        <f>(P96/SUM(#REF!,#REF!,#REF!))*#REF!</f>
        <v>#REF!</v>
      </c>
      <c r="W96" s="304">
        <v>0</v>
      </c>
      <c r="X96" s="304" t="e">
        <f t="shared" si="35"/>
        <v>#REF!</v>
      </c>
      <c r="Y96" s="305" t="s">
        <v>5901</v>
      </c>
      <c r="Z96" s="304" t="e">
        <f t="shared" si="11"/>
        <v>#REF!</v>
      </c>
      <c r="AA96" s="303">
        <v>0.04</v>
      </c>
      <c r="AB96" s="304" t="e">
        <f t="shared" si="12"/>
        <v>#REF!</v>
      </c>
      <c r="AC96" s="304" t="e">
        <f t="shared" si="13"/>
        <v>#REF!</v>
      </c>
      <c r="AD96" s="303">
        <v>0</v>
      </c>
      <c r="AE96" s="304">
        <v>0</v>
      </c>
      <c r="AF96" s="304">
        <v>0</v>
      </c>
      <c r="AG96" s="304">
        <v>0</v>
      </c>
      <c r="AH96" s="304">
        <v>0</v>
      </c>
      <c r="AI96" s="304">
        <v>0</v>
      </c>
      <c r="AJ96" s="304">
        <v>0</v>
      </c>
      <c r="AK96" s="304" t="e">
        <f>O96-P96-Q96-X96</f>
        <v>#REF!</v>
      </c>
      <c r="AL96" s="297" t="s">
        <v>2306</v>
      </c>
      <c r="AM96" s="303">
        <f>IFERROR(P96/O96,0)</f>
        <v>0</v>
      </c>
      <c r="AN96" s="303">
        <f>IFERROR(Q96/O96,0)</f>
        <v>0</v>
      </c>
      <c r="AO96" s="303">
        <f>IFERROR(X96/O96,0)</f>
        <v>0</v>
      </c>
      <c r="AP96" s="303">
        <f>IFERROR(AK96/O96,0)</f>
        <v>0</v>
      </c>
      <c r="AQ96" s="283" t="s">
        <v>2306</v>
      </c>
      <c r="AR96" s="283" t="s">
        <v>2306</v>
      </c>
      <c r="AS96" s="283" t="s">
        <v>2306</v>
      </c>
    </row>
    <row r="97" spans="1:45" ht="15" hidden="1" customHeight="1">
      <c r="A97" s="298" t="s">
        <v>5898</v>
      </c>
      <c r="B97" s="299"/>
      <c r="C97" s="300" t="s">
        <v>2306</v>
      </c>
      <c r="D97" s="300" t="s">
        <v>5899</v>
      </c>
      <c r="E97" s="301" t="s">
        <v>5903</v>
      </c>
      <c r="F97" s="299" t="e">
        <f>_xlfn.XLOOKUP(#REF!,[2]info!G:G,[2]info!W:W)</f>
        <v>#REF!</v>
      </c>
      <c r="G97" s="302">
        <v>500</v>
      </c>
      <c r="H97" s="293" t="e">
        <f>_xlfn.XLOOKUP(#REF!,[2]info!G:G,[2]info!T:T)</f>
        <v>#REF!</v>
      </c>
      <c r="I97" s="303">
        <v>0.33</v>
      </c>
      <c r="J97" s="293" t="e">
        <f>H97-(H97*I97)</f>
        <v>#REF!</v>
      </c>
      <c r="K97" s="293" t="e">
        <f t="shared" si="9"/>
        <v>#REF!</v>
      </c>
      <c r="L97" s="293"/>
      <c r="M97" s="304">
        <v>0</v>
      </c>
      <c r="N97" s="304">
        <f t="shared" si="10"/>
        <v>0</v>
      </c>
      <c r="O97" s="304" t="e">
        <f>K97-M97-N97</f>
        <v>#REF!</v>
      </c>
      <c r="P97" s="304" t="e">
        <f>#REF!*G97</f>
        <v>#REF!</v>
      </c>
      <c r="Q97" s="293" t="e">
        <f t="shared" si="36"/>
        <v>#REF!</v>
      </c>
      <c r="R97" s="304" t="e">
        <f>_xlfn.XLOOKUP(#REF!,[2]info!G:G,[2]info!Q:Q)*G97</f>
        <v>#REF!</v>
      </c>
      <c r="S97" s="304">
        <v>3</v>
      </c>
      <c r="T97" s="304">
        <f t="shared" si="30"/>
        <v>127500</v>
      </c>
      <c r="U97" s="304" t="e">
        <f>_xlfn.XLOOKUP(#REF!,[2]info!G:G,[2]info!R:R)*G97</f>
        <v>#REF!</v>
      </c>
      <c r="V97" s="304" t="e">
        <f>(P97/SUM(#REF!,#REF!,#REF!))*#REF!</f>
        <v>#REF!</v>
      </c>
      <c r="W97" s="304">
        <v>0</v>
      </c>
      <c r="X97" s="304" t="e">
        <f t="shared" si="35"/>
        <v>#REF!</v>
      </c>
      <c r="Y97" s="305" t="s">
        <v>5901</v>
      </c>
      <c r="Z97" s="304" t="e">
        <f t="shared" si="11"/>
        <v>#REF!</v>
      </c>
      <c r="AA97" s="303">
        <v>0.04</v>
      </c>
      <c r="AB97" s="304" t="e">
        <f t="shared" si="12"/>
        <v>#REF!</v>
      </c>
      <c r="AC97" s="304" t="e">
        <f t="shared" si="13"/>
        <v>#REF!</v>
      </c>
      <c r="AD97" s="303">
        <v>0</v>
      </c>
      <c r="AE97" s="304">
        <v>0</v>
      </c>
      <c r="AF97" s="304">
        <v>0</v>
      </c>
      <c r="AG97" s="304">
        <v>0</v>
      </c>
      <c r="AH97" s="304">
        <v>0</v>
      </c>
      <c r="AI97" s="304">
        <v>0</v>
      </c>
      <c r="AJ97" s="304">
        <v>0</v>
      </c>
      <c r="AK97" s="304" t="e">
        <f>O97-P97-Q97-X97</f>
        <v>#REF!</v>
      </c>
      <c r="AL97" s="297" t="s">
        <v>2306</v>
      </c>
      <c r="AM97" s="303">
        <f>IFERROR(P97/O97,0)</f>
        <v>0</v>
      </c>
      <c r="AN97" s="303">
        <f>IFERROR(Q97/O97,0)</f>
        <v>0</v>
      </c>
      <c r="AO97" s="303">
        <f>IFERROR(X97/O97,0)</f>
        <v>0</v>
      </c>
      <c r="AP97" s="303">
        <f>IFERROR(AK97/O97,0)</f>
        <v>0</v>
      </c>
      <c r="AQ97" s="283" t="s">
        <v>2306</v>
      </c>
      <c r="AR97" s="283" t="s">
        <v>2306</v>
      </c>
      <c r="AS97" s="283" t="s">
        <v>2306</v>
      </c>
    </row>
    <row r="98" spans="1:45" ht="15" hidden="1" customHeight="1">
      <c r="A98" s="298" t="s">
        <v>5898</v>
      </c>
      <c r="B98" s="299"/>
      <c r="C98" s="300" t="s">
        <v>2306</v>
      </c>
      <c r="D98" s="300" t="s">
        <v>5899</v>
      </c>
      <c r="E98" s="301" t="s">
        <v>5903</v>
      </c>
      <c r="F98" s="299" t="e">
        <f>_xlfn.XLOOKUP(#REF!,[2]info!G:G,[2]info!W:W)</f>
        <v>#REF!</v>
      </c>
      <c r="G98" s="302">
        <v>500</v>
      </c>
      <c r="H98" s="293" t="e">
        <f>_xlfn.XLOOKUP(#REF!,[2]info!G:G,[2]info!T:T)</f>
        <v>#REF!</v>
      </c>
      <c r="I98" s="303">
        <v>0.32</v>
      </c>
      <c r="J98" s="293" t="e">
        <f>H98-(H98*I98)</f>
        <v>#REF!</v>
      </c>
      <c r="K98" s="293" t="e">
        <f t="shared" si="9"/>
        <v>#REF!</v>
      </c>
      <c r="L98" s="293"/>
      <c r="M98" s="304">
        <v>0</v>
      </c>
      <c r="N98" s="304">
        <f t="shared" si="10"/>
        <v>0</v>
      </c>
      <c r="O98" s="304" t="e">
        <f>K98-M98-N98</f>
        <v>#REF!</v>
      </c>
      <c r="P98" s="304" t="e">
        <f>#REF!*G98</f>
        <v>#REF!</v>
      </c>
      <c r="Q98" s="293" t="e">
        <f t="shared" si="36"/>
        <v>#REF!</v>
      </c>
      <c r="R98" s="304" t="e">
        <f>_xlfn.XLOOKUP(#REF!,[2]info!G:G,[2]info!Q:Q)*G98</f>
        <v>#REF!</v>
      </c>
      <c r="S98" s="304">
        <v>3</v>
      </c>
      <c r="T98" s="304">
        <f t="shared" si="30"/>
        <v>127500</v>
      </c>
      <c r="U98" s="304" t="e">
        <f>_xlfn.XLOOKUP(#REF!,[2]info!G:G,[2]info!R:R)*G98</f>
        <v>#REF!</v>
      </c>
      <c r="V98" s="304" t="e">
        <f>(P98/SUM(#REF!,#REF!,#REF!))*#REF!</f>
        <v>#REF!</v>
      </c>
      <c r="W98" s="304">
        <v>0</v>
      </c>
      <c r="X98" s="304" t="e">
        <f t="shared" si="35"/>
        <v>#REF!</v>
      </c>
      <c r="Y98" s="305" t="s">
        <v>5901</v>
      </c>
      <c r="Z98" s="304" t="e">
        <f t="shared" si="11"/>
        <v>#REF!</v>
      </c>
      <c r="AA98" s="303">
        <v>0.04</v>
      </c>
      <c r="AB98" s="304" t="e">
        <f t="shared" si="12"/>
        <v>#REF!</v>
      </c>
      <c r="AC98" s="304" t="e">
        <f t="shared" si="13"/>
        <v>#REF!</v>
      </c>
      <c r="AD98" s="303">
        <v>0</v>
      </c>
      <c r="AE98" s="304">
        <v>0</v>
      </c>
      <c r="AF98" s="304">
        <v>0</v>
      </c>
      <c r="AG98" s="304">
        <v>0</v>
      </c>
      <c r="AH98" s="304">
        <v>0</v>
      </c>
      <c r="AI98" s="304">
        <v>0</v>
      </c>
      <c r="AJ98" s="304">
        <v>0</v>
      </c>
      <c r="AK98" s="304" t="e">
        <f>O98-P98-Q98-X98</f>
        <v>#REF!</v>
      </c>
      <c r="AL98" s="297" t="s">
        <v>2306</v>
      </c>
      <c r="AM98" s="303">
        <f>IFERROR(P98/O98,0)</f>
        <v>0</v>
      </c>
      <c r="AN98" s="303">
        <f>IFERROR(Q98/O98,0)</f>
        <v>0</v>
      </c>
      <c r="AO98" s="303">
        <f>IFERROR(X98/O98,0)</f>
        <v>0</v>
      </c>
      <c r="AP98" s="303">
        <f>IFERROR(AK98/O98,0)</f>
        <v>0</v>
      </c>
      <c r="AQ98" s="283" t="s">
        <v>2306</v>
      </c>
      <c r="AR98" s="283" t="s">
        <v>2306</v>
      </c>
      <c r="AS98" s="283" t="s">
        <v>2306</v>
      </c>
    </row>
    <row r="99" spans="1:45" ht="15" hidden="1" customHeight="1">
      <c r="A99" s="298" t="s">
        <v>5898</v>
      </c>
      <c r="B99" s="299"/>
      <c r="C99" s="300" t="s">
        <v>2306</v>
      </c>
      <c r="D99" s="300" t="s">
        <v>5899</v>
      </c>
      <c r="E99" s="301" t="s">
        <v>5903</v>
      </c>
      <c r="F99" s="299" t="e">
        <f>_xlfn.XLOOKUP(#REF!,[2]info!G:G,[2]info!W:W)</f>
        <v>#REF!</v>
      </c>
      <c r="G99" s="302">
        <v>500</v>
      </c>
      <c r="H99" s="293">
        <v>86364</v>
      </c>
      <c r="I99" s="303">
        <v>0.33</v>
      </c>
      <c r="J99" s="293">
        <f>H99-(H99*I99)</f>
        <v>57863.88</v>
      </c>
      <c r="K99" s="293">
        <f t="shared" si="9"/>
        <v>43182000</v>
      </c>
      <c r="L99" s="293"/>
      <c r="M99" s="304">
        <v>0</v>
      </c>
      <c r="N99" s="304">
        <f t="shared" si="10"/>
        <v>0</v>
      </c>
      <c r="O99" s="304">
        <f>K99-M99-N99</f>
        <v>43182000</v>
      </c>
      <c r="P99" s="304" t="e">
        <f>#REF!*G99</f>
        <v>#REF!</v>
      </c>
      <c r="Q99" s="293">
        <f t="shared" si="36"/>
        <v>647730</v>
      </c>
      <c r="R99" s="304" t="e">
        <f>_xlfn.XLOOKUP(#REF!,[2]info!G:G,[2]info!Q:Q)*G99</f>
        <v>#REF!</v>
      </c>
      <c r="S99" s="304">
        <v>3</v>
      </c>
      <c r="T99" s="304">
        <f t="shared" si="30"/>
        <v>127500</v>
      </c>
      <c r="U99" s="304" t="e">
        <f>_xlfn.XLOOKUP(#REF!,[2]info!G:G,[2]info!R:R)*G99</f>
        <v>#REF!</v>
      </c>
      <c r="V99" s="304" t="e">
        <f>(P99/SUM(#REF!,#REF!,#REF!))*#REF!</f>
        <v>#REF!</v>
      </c>
      <c r="W99" s="304">
        <v>0</v>
      </c>
      <c r="X99" s="304">
        <f t="shared" si="35"/>
        <v>15407337.600000001</v>
      </c>
      <c r="Y99" s="305" t="s">
        <v>5901</v>
      </c>
      <c r="Z99" s="304">
        <f t="shared" si="11"/>
        <v>1157277.6000000001</v>
      </c>
      <c r="AA99" s="303">
        <v>0.04</v>
      </c>
      <c r="AB99" s="304">
        <f t="shared" si="12"/>
        <v>14250060.000000002</v>
      </c>
      <c r="AC99" s="304">
        <f t="shared" si="13"/>
        <v>0</v>
      </c>
      <c r="AD99" s="303">
        <v>0</v>
      </c>
      <c r="AE99" s="304">
        <v>0</v>
      </c>
      <c r="AF99" s="304">
        <v>0</v>
      </c>
      <c r="AG99" s="304">
        <v>0</v>
      </c>
      <c r="AH99" s="304">
        <v>0</v>
      </c>
      <c r="AI99" s="304">
        <v>0</v>
      </c>
      <c r="AJ99" s="304">
        <v>0</v>
      </c>
      <c r="AK99" s="304" t="e">
        <f>O99-P99-Q99-X99</f>
        <v>#REF!</v>
      </c>
      <c r="AL99" s="297" t="s">
        <v>2306</v>
      </c>
      <c r="AM99" s="303">
        <f>IFERROR(P99/O99,0)</f>
        <v>0</v>
      </c>
      <c r="AN99" s="303">
        <f>IFERROR(Q99/O99,0)</f>
        <v>1.4999999999999999E-2</v>
      </c>
      <c r="AO99" s="303">
        <f>IFERROR(X99/O99,0)</f>
        <v>0.35680000000000006</v>
      </c>
      <c r="AP99" s="303">
        <f>IFERROR(AK99/O99,0)</f>
        <v>0</v>
      </c>
      <c r="AQ99" s="283" t="s">
        <v>2306</v>
      </c>
      <c r="AR99" s="283" t="s">
        <v>2306</v>
      </c>
      <c r="AS99" s="283" t="s">
        <v>2306</v>
      </c>
    </row>
    <row r="100" spans="1:45" ht="15" hidden="1" customHeight="1">
      <c r="A100" s="154" t="s">
        <v>5864</v>
      </c>
      <c r="B100" s="155" t="s">
        <v>5865</v>
      </c>
      <c r="C100" s="156" t="s">
        <v>5861</v>
      </c>
      <c r="D100" s="156" t="s">
        <v>5896</v>
      </c>
      <c r="E100" s="154" t="s">
        <v>5904</v>
      </c>
      <c r="F100" s="155" t="e">
        <f>_xlfn.XLOOKUP(#REF!,[2]info!G:G,[2]info!W:W)</f>
        <v>#REF!</v>
      </c>
      <c r="G100" s="274" t="e">
        <f>#REF!*90%</f>
        <v>#REF!</v>
      </c>
      <c r="H100" s="274" t="e">
        <f>_xlfn.XLOOKUP(#REF!,[2]info!G:G,[2]info!T:T)</f>
        <v>#REF!</v>
      </c>
      <c r="I100" s="275">
        <v>0.27999999999999997</v>
      </c>
      <c r="J100" s="274" t="e">
        <f t="shared" ref="J100:J104" si="37">H100-(H100*I100)</f>
        <v>#REF!</v>
      </c>
      <c r="K100" s="274" t="e">
        <f t="shared" si="9"/>
        <v>#REF!</v>
      </c>
      <c r="L100" s="274"/>
      <c r="M100" s="306" t="e">
        <f t="shared" ref="M100" si="38">K100*0.07</f>
        <v>#REF!</v>
      </c>
      <c r="N100" s="274">
        <f t="shared" si="10"/>
        <v>0</v>
      </c>
      <c r="O100" s="274" t="e">
        <f t="shared" ref="O100:O104" si="39">K100-M100-N100</f>
        <v>#REF!</v>
      </c>
      <c r="P100" s="274" t="e">
        <f>#REF!*G100</f>
        <v>#REF!</v>
      </c>
      <c r="Q100" s="274" t="e">
        <f t="shared" ref="Q100" si="40">SUM(R100,T100:W100)</f>
        <v>#REF!</v>
      </c>
      <c r="R100" s="274" t="e">
        <f>_xlfn.XLOOKUP(#REF!,[2]info!G:G,[2]info!Q:Q)*G100</f>
        <v>#REF!</v>
      </c>
      <c r="S100" s="274">
        <v>3</v>
      </c>
      <c r="T100" s="274" t="e">
        <f t="shared" si="30"/>
        <v>#REF!</v>
      </c>
      <c r="U100" s="274" t="e">
        <f>_xlfn.XLOOKUP(#REF!,[2]info!G:G,[2]info!R:R)*G100+60*G100</f>
        <v>#REF!</v>
      </c>
      <c r="V100" s="274" t="e">
        <f>P100/SUM(#REF!)*#REF!</f>
        <v>#REF!</v>
      </c>
      <c r="W100" s="274">
        <v>0</v>
      </c>
      <c r="X100" s="274" t="e">
        <f t="shared" si="35"/>
        <v>#REF!</v>
      </c>
      <c r="Y100" s="274">
        <v>500000</v>
      </c>
      <c r="Z100" s="274" t="e">
        <f t="shared" si="11"/>
        <v>#REF!</v>
      </c>
      <c r="AA100" s="275">
        <v>0.04</v>
      </c>
      <c r="AB100" s="274" t="e">
        <f t="shared" si="12"/>
        <v>#REF!</v>
      </c>
      <c r="AC100" s="274" t="e">
        <f t="shared" si="13"/>
        <v>#REF!</v>
      </c>
      <c r="AD100" s="275">
        <v>0.01</v>
      </c>
      <c r="AE100" s="274">
        <v>0</v>
      </c>
      <c r="AF100" s="274">
        <v>0</v>
      </c>
      <c r="AG100" s="274">
        <v>0</v>
      </c>
      <c r="AH100" s="274">
        <v>0</v>
      </c>
      <c r="AI100" s="274">
        <v>0</v>
      </c>
      <c r="AJ100" s="274">
        <v>0</v>
      </c>
      <c r="AK100" s="195" t="e">
        <f t="shared" ref="AK100:AK103" si="41">O100-P100-Q100-X100</f>
        <v>#REF!</v>
      </c>
      <c r="AL100" s="154"/>
      <c r="AM100" s="199">
        <f t="shared" ref="AM100:AM104" si="42">IFERROR(P100/O100,0)</f>
        <v>0</v>
      </c>
      <c r="AN100" s="199">
        <f t="shared" ref="AN100:AN104" si="43">IFERROR(Q100/O100,0)</f>
        <v>0</v>
      </c>
      <c r="AO100" s="199">
        <f t="shared" ref="AO100:AO104" si="44">IFERROR(X100/O100,0)</f>
        <v>0</v>
      </c>
      <c r="AP100" s="199">
        <f t="shared" ref="AP100:AP104" si="45">IFERROR(AK100/O100,0)</f>
        <v>0</v>
      </c>
    </row>
    <row r="101" spans="1:45" ht="15" hidden="1" customHeight="1">
      <c r="A101" s="115" t="s">
        <v>5898</v>
      </c>
      <c r="B101" s="146" t="s">
        <v>5865</v>
      </c>
      <c r="C101" s="147" t="s">
        <v>5905</v>
      </c>
      <c r="D101" s="307" t="s">
        <v>5899</v>
      </c>
      <c r="E101" s="145" t="s">
        <v>5906</v>
      </c>
      <c r="F101" s="146" t="e">
        <f>_xlfn.XLOOKUP(#REF!,[2]info!G:G,[2]info!W:W)</f>
        <v>#REF!</v>
      </c>
      <c r="G101" s="148">
        <v>500</v>
      </c>
      <c r="H101" s="148">
        <v>54900</v>
      </c>
      <c r="I101" s="149">
        <v>0.31</v>
      </c>
      <c r="J101" s="148">
        <f t="shared" si="37"/>
        <v>37881</v>
      </c>
      <c r="K101" s="148">
        <f t="shared" si="9"/>
        <v>27450000</v>
      </c>
      <c r="L101" s="148"/>
      <c r="M101" s="148"/>
      <c r="N101" s="148">
        <f t="shared" si="10"/>
        <v>0</v>
      </c>
      <c r="O101" s="148">
        <f t="shared" si="39"/>
        <v>27450000</v>
      </c>
      <c r="P101" s="148" t="e">
        <f>#REF!*G101</f>
        <v>#REF!</v>
      </c>
      <c r="Q101" s="148">
        <f>O101*1.5%</f>
        <v>411750</v>
      </c>
      <c r="R101" s="148">
        <v>2500</v>
      </c>
      <c r="S101" s="148">
        <v>0</v>
      </c>
      <c r="T101" s="148">
        <f t="shared" si="30"/>
        <v>0</v>
      </c>
      <c r="U101" s="148" t="e">
        <f>_xlfn.XLOOKUP(#REF!,[2]info!G:G,[2]info!R:R)*G101+60*G101</f>
        <v>#REF!</v>
      </c>
      <c r="V101" s="148" t="e">
        <f>P101/SUM(#REF!)*#REF!</f>
        <v>#REF!</v>
      </c>
      <c r="W101" s="148">
        <v>0</v>
      </c>
      <c r="X101" s="148">
        <f t="shared" si="35"/>
        <v>8509500</v>
      </c>
      <c r="Y101" s="148">
        <v>0</v>
      </c>
      <c r="Z101" s="148">
        <f t="shared" si="11"/>
        <v>0</v>
      </c>
      <c r="AA101" s="149">
        <v>0</v>
      </c>
      <c r="AB101" s="148">
        <f t="shared" si="12"/>
        <v>8509500</v>
      </c>
      <c r="AC101" s="148">
        <f t="shared" si="13"/>
        <v>0</v>
      </c>
      <c r="AD101" s="149">
        <v>0</v>
      </c>
      <c r="AE101" s="148"/>
      <c r="AF101" s="148">
        <v>0</v>
      </c>
      <c r="AG101" s="148">
        <v>0</v>
      </c>
      <c r="AH101" s="148">
        <v>0</v>
      </c>
      <c r="AI101" s="148">
        <v>0</v>
      </c>
      <c r="AJ101" s="148">
        <v>0</v>
      </c>
      <c r="AK101" s="151" t="e">
        <f t="shared" si="41"/>
        <v>#REF!</v>
      </c>
      <c r="AL101" s="145"/>
      <c r="AM101" s="152">
        <f t="shared" si="42"/>
        <v>0</v>
      </c>
      <c r="AN101" s="152">
        <f t="shared" si="43"/>
        <v>1.4999999999999999E-2</v>
      </c>
      <c r="AO101" s="152">
        <f t="shared" si="44"/>
        <v>0.31</v>
      </c>
      <c r="AP101" s="152">
        <f t="shared" si="45"/>
        <v>0</v>
      </c>
    </row>
    <row r="102" spans="1:45" ht="15" hidden="1" customHeight="1">
      <c r="A102" s="217" t="s">
        <v>5898</v>
      </c>
      <c r="B102" s="219"/>
      <c r="C102" s="309" t="s">
        <v>2306</v>
      </c>
      <c r="D102" s="309" t="s">
        <v>5899</v>
      </c>
      <c r="E102" s="217" t="s">
        <v>5907</v>
      </c>
      <c r="F102" s="219" t="e">
        <f>_xlfn.XLOOKUP(#REF!,[2]info!G:G,[2]info!W:W)</f>
        <v>#REF!</v>
      </c>
      <c r="G102" s="221">
        <v>500</v>
      </c>
      <c r="H102" s="220" t="e">
        <f>_xlfn.XLOOKUP(#REF!,[2]info!G:G,[2]info!T:T)</f>
        <v>#REF!</v>
      </c>
      <c r="I102" s="222">
        <v>0.3</v>
      </c>
      <c r="J102" s="220" t="e">
        <f t="shared" si="37"/>
        <v>#REF!</v>
      </c>
      <c r="K102" s="220" t="e">
        <f t="shared" si="9"/>
        <v>#REF!</v>
      </c>
      <c r="L102" s="220"/>
      <c r="M102" s="310">
        <v>0</v>
      </c>
      <c r="N102" s="310">
        <f t="shared" si="10"/>
        <v>0</v>
      </c>
      <c r="O102" s="310" t="e">
        <f t="shared" si="39"/>
        <v>#REF!</v>
      </c>
      <c r="P102" s="310" t="e">
        <f>#REF!*G102</f>
        <v>#REF!</v>
      </c>
      <c r="Q102" s="164" t="e">
        <f t="shared" ref="Q102:Q106" si="46">O102*1.5%</f>
        <v>#REF!</v>
      </c>
      <c r="R102" s="310" t="e">
        <f>_xlfn.XLOOKUP(#REF!,[2]info!G:G,[2]info!Q:Q)*G102</f>
        <v>#REF!</v>
      </c>
      <c r="S102" s="310">
        <v>0</v>
      </c>
      <c r="T102" s="310">
        <f t="shared" si="30"/>
        <v>0</v>
      </c>
      <c r="U102" s="310" t="e">
        <f>_xlfn.XLOOKUP(#REF!,[2]info!G:G,[2]info!R:R)*G102</f>
        <v>#REF!</v>
      </c>
      <c r="V102" s="310" t="e">
        <f>K102*1.2%</f>
        <v>#REF!</v>
      </c>
      <c r="W102" s="310">
        <v>0</v>
      </c>
      <c r="X102" s="310" t="e">
        <f t="shared" si="35"/>
        <v>#REF!</v>
      </c>
      <c r="Y102" s="311" t="s">
        <v>5901</v>
      </c>
      <c r="Z102" s="312" t="e">
        <f t="shared" si="11"/>
        <v>#REF!</v>
      </c>
      <c r="AA102" s="222">
        <v>0</v>
      </c>
      <c r="AB102" s="310" t="e">
        <f t="shared" si="12"/>
        <v>#REF!</v>
      </c>
      <c r="AC102" s="310" t="e">
        <f t="shared" si="13"/>
        <v>#REF!</v>
      </c>
      <c r="AD102" s="222">
        <v>0</v>
      </c>
      <c r="AE102" s="310">
        <v>0</v>
      </c>
      <c r="AF102" s="310">
        <v>0</v>
      </c>
      <c r="AG102" s="310">
        <v>0</v>
      </c>
      <c r="AH102" s="310">
        <v>0</v>
      </c>
      <c r="AI102" s="310">
        <v>0</v>
      </c>
      <c r="AJ102" s="310">
        <v>0</v>
      </c>
      <c r="AK102" s="312" t="e">
        <f t="shared" si="41"/>
        <v>#REF!</v>
      </c>
      <c r="AL102" s="308" t="s">
        <v>2306</v>
      </c>
      <c r="AM102" s="225">
        <f t="shared" si="42"/>
        <v>0</v>
      </c>
      <c r="AN102" s="225">
        <f t="shared" si="43"/>
        <v>0</v>
      </c>
      <c r="AO102" s="225">
        <f t="shared" si="44"/>
        <v>0</v>
      </c>
      <c r="AP102" s="225">
        <f t="shared" si="45"/>
        <v>0</v>
      </c>
      <c r="AQ102" s="277" t="s">
        <v>2306</v>
      </c>
      <c r="AR102" s="277" t="s">
        <v>2306</v>
      </c>
      <c r="AS102" s="277" t="s">
        <v>2306</v>
      </c>
    </row>
    <row r="103" spans="1:45" ht="15" hidden="1" customHeight="1">
      <c r="A103" s="217" t="s">
        <v>5898</v>
      </c>
      <c r="B103" s="219"/>
      <c r="C103" s="309" t="s">
        <v>2306</v>
      </c>
      <c r="D103" s="309" t="s">
        <v>5899</v>
      </c>
      <c r="E103" s="217" t="s">
        <v>5907</v>
      </c>
      <c r="F103" s="219" t="e">
        <f>_xlfn.XLOOKUP(#REF!,[2]info!G:G,[2]info!W:W)</f>
        <v>#REF!</v>
      </c>
      <c r="G103" s="221">
        <v>500</v>
      </c>
      <c r="H103" s="220" t="e">
        <f>_xlfn.XLOOKUP(#REF!,[2]info!G:G,[2]info!T:T)</f>
        <v>#REF!</v>
      </c>
      <c r="I103" s="222">
        <v>0.31</v>
      </c>
      <c r="J103" s="220" t="e">
        <f t="shared" si="37"/>
        <v>#REF!</v>
      </c>
      <c r="K103" s="220" t="e">
        <f t="shared" si="9"/>
        <v>#REF!</v>
      </c>
      <c r="L103" s="220"/>
      <c r="M103" s="310">
        <v>0</v>
      </c>
      <c r="N103" s="310">
        <f t="shared" si="10"/>
        <v>0</v>
      </c>
      <c r="O103" s="310" t="e">
        <f t="shared" si="39"/>
        <v>#REF!</v>
      </c>
      <c r="P103" s="310" t="e">
        <f>#REF!*G103</f>
        <v>#REF!</v>
      </c>
      <c r="Q103" s="164" t="e">
        <f t="shared" si="46"/>
        <v>#REF!</v>
      </c>
      <c r="R103" s="310" t="e">
        <f>_xlfn.XLOOKUP(#REF!,[2]info!G:G,[2]info!Q:Q)*G103</f>
        <v>#REF!</v>
      </c>
      <c r="S103" s="310">
        <v>0</v>
      </c>
      <c r="T103" s="310">
        <f t="shared" si="30"/>
        <v>0</v>
      </c>
      <c r="U103" s="310" t="e">
        <f>_xlfn.XLOOKUP(#REF!,[2]info!G:G,[2]info!R:R)*G103</f>
        <v>#REF!</v>
      </c>
      <c r="V103" s="310" t="e">
        <f t="shared" ref="V103:V106" si="47">K103*1.2%</f>
        <v>#REF!</v>
      </c>
      <c r="W103" s="310">
        <v>0</v>
      </c>
      <c r="X103" s="310" t="e">
        <f t="shared" si="35"/>
        <v>#REF!</v>
      </c>
      <c r="Y103" s="311" t="s">
        <v>5901</v>
      </c>
      <c r="Z103" s="312" t="e">
        <f t="shared" si="11"/>
        <v>#REF!</v>
      </c>
      <c r="AA103" s="222">
        <v>0</v>
      </c>
      <c r="AB103" s="310" t="e">
        <f t="shared" si="12"/>
        <v>#REF!</v>
      </c>
      <c r="AC103" s="310" t="e">
        <f t="shared" si="13"/>
        <v>#REF!</v>
      </c>
      <c r="AD103" s="222">
        <v>0</v>
      </c>
      <c r="AE103" s="310">
        <v>0</v>
      </c>
      <c r="AF103" s="310">
        <v>0</v>
      </c>
      <c r="AG103" s="310">
        <v>0</v>
      </c>
      <c r="AH103" s="310">
        <v>0</v>
      </c>
      <c r="AI103" s="310">
        <v>0</v>
      </c>
      <c r="AJ103" s="310">
        <v>0</v>
      </c>
      <c r="AK103" s="312" t="e">
        <f t="shared" si="41"/>
        <v>#REF!</v>
      </c>
      <c r="AL103" s="308" t="s">
        <v>2306</v>
      </c>
      <c r="AM103" s="225">
        <f t="shared" si="42"/>
        <v>0</v>
      </c>
      <c r="AN103" s="225">
        <f t="shared" si="43"/>
        <v>0</v>
      </c>
      <c r="AO103" s="225">
        <f t="shared" si="44"/>
        <v>0</v>
      </c>
      <c r="AP103" s="225">
        <f t="shared" si="45"/>
        <v>0</v>
      </c>
      <c r="AQ103" s="277" t="s">
        <v>2306</v>
      </c>
      <c r="AR103" s="277" t="s">
        <v>2306</v>
      </c>
      <c r="AS103" s="277" t="s">
        <v>2306</v>
      </c>
    </row>
    <row r="104" spans="1:45" ht="15" hidden="1" customHeight="1">
      <c r="A104" s="217" t="s">
        <v>5898</v>
      </c>
      <c r="B104" s="219"/>
      <c r="C104" s="309" t="s">
        <v>2306</v>
      </c>
      <c r="D104" s="309" t="s">
        <v>5899</v>
      </c>
      <c r="E104" s="217" t="s">
        <v>5907</v>
      </c>
      <c r="F104" s="219" t="e">
        <f>_xlfn.XLOOKUP(#REF!,[2]info!G:G,[2]info!W:W)</f>
        <v>#REF!</v>
      </c>
      <c r="G104" s="221">
        <v>500</v>
      </c>
      <c r="H104" s="220" t="e">
        <f>_xlfn.XLOOKUP(#REF!,[2]info!G:G,[2]info!T:T)</f>
        <v>#REF!</v>
      </c>
      <c r="I104" s="222">
        <v>0.32</v>
      </c>
      <c r="J104" s="220" t="e">
        <f t="shared" si="37"/>
        <v>#REF!</v>
      </c>
      <c r="K104" s="220" t="e">
        <f t="shared" si="9"/>
        <v>#REF!</v>
      </c>
      <c r="L104" s="220"/>
      <c r="M104" s="310">
        <v>0</v>
      </c>
      <c r="N104" s="310">
        <f t="shared" si="10"/>
        <v>0</v>
      </c>
      <c r="O104" s="310" t="e">
        <f t="shared" si="39"/>
        <v>#REF!</v>
      </c>
      <c r="P104" s="310" t="e">
        <f>#REF!*G104</f>
        <v>#REF!</v>
      </c>
      <c r="Q104" s="164" t="e">
        <f t="shared" si="46"/>
        <v>#REF!</v>
      </c>
      <c r="R104" s="310" t="e">
        <f>_xlfn.XLOOKUP(#REF!,[2]info!G:G,[2]info!Q:Q)*G104</f>
        <v>#REF!</v>
      </c>
      <c r="S104" s="310">
        <v>0</v>
      </c>
      <c r="T104" s="310">
        <f t="shared" si="30"/>
        <v>0</v>
      </c>
      <c r="U104" s="310" t="e">
        <f>_xlfn.XLOOKUP(#REF!,[2]info!G:G,[2]info!R:R)*G104</f>
        <v>#REF!</v>
      </c>
      <c r="V104" s="310" t="e">
        <f t="shared" si="47"/>
        <v>#REF!</v>
      </c>
      <c r="W104" s="310">
        <v>0</v>
      </c>
      <c r="X104" s="310" t="e">
        <f t="shared" si="35"/>
        <v>#REF!</v>
      </c>
      <c r="Y104" s="311" t="s">
        <v>5901</v>
      </c>
      <c r="Z104" s="312" t="e">
        <f t="shared" si="11"/>
        <v>#REF!</v>
      </c>
      <c r="AA104" s="222">
        <v>0</v>
      </c>
      <c r="AB104" s="310" t="e">
        <f t="shared" si="12"/>
        <v>#REF!</v>
      </c>
      <c r="AC104" s="310" t="e">
        <f t="shared" si="13"/>
        <v>#REF!</v>
      </c>
      <c r="AD104" s="222">
        <v>0</v>
      </c>
      <c r="AE104" s="310">
        <v>0</v>
      </c>
      <c r="AF104" s="310">
        <v>0</v>
      </c>
      <c r="AG104" s="310">
        <v>0</v>
      </c>
      <c r="AH104" s="310">
        <v>0</v>
      </c>
      <c r="AI104" s="310">
        <v>0</v>
      </c>
      <c r="AJ104" s="310">
        <v>0</v>
      </c>
      <c r="AK104" s="312" t="e">
        <f>O104-P104-Q104-X104</f>
        <v>#REF!</v>
      </c>
      <c r="AL104" s="308" t="s">
        <v>2306</v>
      </c>
      <c r="AM104" s="225">
        <f t="shared" si="42"/>
        <v>0</v>
      </c>
      <c r="AN104" s="225">
        <f t="shared" si="43"/>
        <v>0</v>
      </c>
      <c r="AO104" s="225">
        <f t="shared" si="44"/>
        <v>0</v>
      </c>
      <c r="AP104" s="225">
        <f t="shared" si="45"/>
        <v>0</v>
      </c>
      <c r="AQ104" s="277" t="s">
        <v>2306</v>
      </c>
      <c r="AR104" s="277" t="s">
        <v>2306</v>
      </c>
      <c r="AS104" s="277" t="s">
        <v>2306</v>
      </c>
    </row>
    <row r="105" spans="1:45" ht="15" hidden="1" customHeight="1">
      <c r="A105" s="298" t="s">
        <v>5898</v>
      </c>
      <c r="B105" s="299"/>
      <c r="C105" s="300" t="s">
        <v>2306</v>
      </c>
      <c r="D105" s="300" t="s">
        <v>5899</v>
      </c>
      <c r="E105" s="301" t="s">
        <v>5903</v>
      </c>
      <c r="F105" s="299" t="e">
        <f>_xlfn.XLOOKUP(#REF!,[2]info!G:G,[2]info!W:W)</f>
        <v>#REF!</v>
      </c>
      <c r="G105" s="302">
        <v>653</v>
      </c>
      <c r="H105" s="293" t="e">
        <f>_xlfn.XLOOKUP(#REF!,[2]info!G:G,[2]info!T:T)</f>
        <v>#REF!</v>
      </c>
      <c r="I105" s="303">
        <v>0.32</v>
      </c>
      <c r="J105" s="293" t="e">
        <f>H105-(H105*I105)</f>
        <v>#REF!</v>
      </c>
      <c r="K105" s="293" t="e">
        <f t="shared" si="9"/>
        <v>#REF!</v>
      </c>
      <c r="L105" s="293"/>
      <c r="M105" s="304">
        <v>0</v>
      </c>
      <c r="N105" s="304">
        <f t="shared" si="10"/>
        <v>0</v>
      </c>
      <c r="O105" s="304" t="e">
        <f>K105-M105-N105</f>
        <v>#REF!</v>
      </c>
      <c r="P105" s="304" t="e">
        <f>#REF!*G105</f>
        <v>#REF!</v>
      </c>
      <c r="Q105" s="293" t="e">
        <f t="shared" si="46"/>
        <v>#REF!</v>
      </c>
      <c r="R105" s="304" t="e">
        <f>_xlfn.XLOOKUP(#REF!,[2]info!G:G,[2]info!Q:Q)*G105</f>
        <v>#REF!</v>
      </c>
      <c r="S105" s="304">
        <v>3</v>
      </c>
      <c r="T105" s="304">
        <f t="shared" si="30"/>
        <v>166515</v>
      </c>
      <c r="U105" s="304" t="e">
        <f>_xlfn.XLOOKUP(#REF!,[2]info!G:G,[2]info!R:R)*G105</f>
        <v>#REF!</v>
      </c>
      <c r="V105" s="292" t="e">
        <f>K105*1.2%</f>
        <v>#REF!</v>
      </c>
      <c r="W105" s="304">
        <v>0</v>
      </c>
      <c r="X105" s="304" t="e">
        <f t="shared" si="35"/>
        <v>#REF!</v>
      </c>
      <c r="Y105" s="305" t="s">
        <v>5901</v>
      </c>
      <c r="Z105" s="304" t="e">
        <f t="shared" si="11"/>
        <v>#REF!</v>
      </c>
      <c r="AA105" s="303">
        <v>0.04</v>
      </c>
      <c r="AB105" s="304" t="e">
        <f t="shared" si="12"/>
        <v>#REF!</v>
      </c>
      <c r="AC105" s="304" t="e">
        <f t="shared" si="13"/>
        <v>#REF!</v>
      </c>
      <c r="AD105" s="303">
        <v>0</v>
      </c>
      <c r="AE105" s="304">
        <v>0</v>
      </c>
      <c r="AF105" s="304">
        <v>0</v>
      </c>
      <c r="AG105" s="304">
        <v>0</v>
      </c>
      <c r="AH105" s="304">
        <v>0</v>
      </c>
      <c r="AI105" s="304">
        <v>0</v>
      </c>
      <c r="AJ105" s="304">
        <v>0</v>
      </c>
      <c r="AK105" s="304" t="e">
        <f>O105-P105-Q105-X105</f>
        <v>#REF!</v>
      </c>
      <c r="AL105" s="297" t="s">
        <v>2306</v>
      </c>
      <c r="AM105" s="303">
        <f>IFERROR(P105/O105,0)</f>
        <v>0</v>
      </c>
      <c r="AN105" s="303">
        <f>IFERROR(Q105/O105,0)</f>
        <v>0</v>
      </c>
      <c r="AO105" s="303">
        <f>IFERROR(X105/O105,0)</f>
        <v>0</v>
      </c>
      <c r="AP105" s="303">
        <f>IFERROR(AK105/O105,0)</f>
        <v>0</v>
      </c>
      <c r="AQ105" s="283" t="s">
        <v>2306</v>
      </c>
      <c r="AR105" s="283" t="s">
        <v>2306</v>
      </c>
      <c r="AS105" s="283" t="s">
        <v>2306</v>
      </c>
    </row>
    <row r="106" spans="1:45" ht="15" hidden="1" customHeight="1">
      <c r="A106" s="298" t="s">
        <v>5898</v>
      </c>
      <c r="B106" s="299"/>
      <c r="C106" s="300" t="s">
        <v>2306</v>
      </c>
      <c r="D106" s="300" t="s">
        <v>5899</v>
      </c>
      <c r="E106" s="301" t="s">
        <v>5903</v>
      </c>
      <c r="F106" s="299" t="e">
        <f>_xlfn.XLOOKUP(#REF!,[2]info!G:G,[2]info!W:W)</f>
        <v>#REF!</v>
      </c>
      <c r="G106" s="302">
        <v>653</v>
      </c>
      <c r="H106" s="293">
        <v>86364</v>
      </c>
      <c r="I106" s="303">
        <v>0.33</v>
      </c>
      <c r="J106" s="293">
        <f>H106-(H106*I106)</f>
        <v>57863.88</v>
      </c>
      <c r="K106" s="293">
        <f t="shared" si="9"/>
        <v>56395692</v>
      </c>
      <c r="L106" s="293"/>
      <c r="M106" s="304">
        <v>0</v>
      </c>
      <c r="N106" s="304">
        <f t="shared" si="10"/>
        <v>0</v>
      </c>
      <c r="O106" s="304">
        <f>K106-M106-N106</f>
        <v>56395692</v>
      </c>
      <c r="P106" s="304" t="e">
        <f>#REF!*G106</f>
        <v>#REF!</v>
      </c>
      <c r="Q106" s="293">
        <f t="shared" si="46"/>
        <v>845935.38</v>
      </c>
      <c r="R106" s="304" t="e">
        <f>_xlfn.XLOOKUP(#REF!,[2]info!G:G,[2]info!Q:Q)*G106</f>
        <v>#REF!</v>
      </c>
      <c r="S106" s="304">
        <v>3</v>
      </c>
      <c r="T106" s="304">
        <f t="shared" si="30"/>
        <v>166515</v>
      </c>
      <c r="U106" s="304" t="e">
        <f>_xlfn.XLOOKUP(#REF!,[2]info!G:G,[2]info!R:R)*G106</f>
        <v>#REF!</v>
      </c>
      <c r="V106" s="292">
        <f t="shared" si="47"/>
        <v>676748.304</v>
      </c>
      <c r="W106" s="304">
        <v>0</v>
      </c>
      <c r="X106" s="304">
        <f t="shared" si="35"/>
        <v>20121982.905600004</v>
      </c>
      <c r="Y106" s="305" t="s">
        <v>5901</v>
      </c>
      <c r="Z106" s="304">
        <f t="shared" si="11"/>
        <v>1511404.5456000001</v>
      </c>
      <c r="AA106" s="303">
        <v>0.04</v>
      </c>
      <c r="AB106" s="304">
        <f t="shared" si="12"/>
        <v>18610578.360000003</v>
      </c>
      <c r="AC106" s="304">
        <f t="shared" si="13"/>
        <v>0</v>
      </c>
      <c r="AD106" s="303">
        <v>0</v>
      </c>
      <c r="AE106" s="304">
        <v>0</v>
      </c>
      <c r="AF106" s="304">
        <v>0</v>
      </c>
      <c r="AG106" s="304">
        <v>0</v>
      </c>
      <c r="AH106" s="304">
        <v>0</v>
      </c>
      <c r="AI106" s="304">
        <v>0</v>
      </c>
      <c r="AJ106" s="304">
        <v>0</v>
      </c>
      <c r="AK106" s="304" t="e">
        <f>O106-P106-Q106-X106</f>
        <v>#REF!</v>
      </c>
      <c r="AL106" s="297" t="s">
        <v>2306</v>
      </c>
      <c r="AM106" s="303">
        <f>IFERROR(P106/O106,0)</f>
        <v>0</v>
      </c>
      <c r="AN106" s="303">
        <f>IFERROR(Q106/O106,0)</f>
        <v>1.4999999999999999E-2</v>
      </c>
      <c r="AO106" s="303">
        <f>IFERROR(X106/O106,0)</f>
        <v>0.35680000000000006</v>
      </c>
      <c r="AP106" s="303">
        <f>IFERROR(AK106/O106,0)</f>
        <v>0</v>
      </c>
      <c r="AQ106" s="283" t="s">
        <v>2306</v>
      </c>
      <c r="AR106" s="283" t="s">
        <v>2306</v>
      </c>
      <c r="AS106" s="283" t="s">
        <v>2306</v>
      </c>
    </row>
    <row r="107" spans="1:45" ht="15" hidden="1" customHeight="1">
      <c r="A107" s="154" t="s">
        <v>5864</v>
      </c>
      <c r="B107" s="155" t="s">
        <v>5865</v>
      </c>
      <c r="C107" s="156" t="s">
        <v>5905</v>
      </c>
      <c r="D107" s="156" t="s">
        <v>5896</v>
      </c>
      <c r="E107" s="154" t="s">
        <v>5908</v>
      </c>
      <c r="F107" s="155" t="e">
        <f>_xlfn.XLOOKUP(#REF!,[2]info!G:G,[2]info!W:W)</f>
        <v>#REF!</v>
      </c>
      <c r="G107" s="274" t="e">
        <f>#REF!*$G$5</f>
        <v>#REF!</v>
      </c>
      <c r="H107" s="274" t="e">
        <f>_xlfn.XLOOKUP(#REF!,[2]info!G:G,[2]info!T:T)</f>
        <v>#REF!</v>
      </c>
      <c r="I107" s="275">
        <f>36%-7%</f>
        <v>0.28999999999999998</v>
      </c>
      <c r="J107" s="274" t="e">
        <f t="shared" ref="J107" si="48">H107-(H107*I107)</f>
        <v>#REF!</v>
      </c>
      <c r="K107" s="274" t="e">
        <f t="shared" si="9"/>
        <v>#REF!</v>
      </c>
      <c r="L107" s="274"/>
      <c r="M107" s="276" t="e">
        <f>K107*0.07</f>
        <v>#REF!</v>
      </c>
      <c r="N107" s="274">
        <f t="shared" si="10"/>
        <v>0</v>
      </c>
      <c r="O107" s="274" t="e">
        <f t="shared" ref="O107" si="49">K107-M107-N107</f>
        <v>#REF!</v>
      </c>
      <c r="P107" s="274" t="e">
        <f>#REF!*G107</f>
        <v>#REF!</v>
      </c>
      <c r="Q107" s="274" t="e">
        <f t="shared" ref="Q107" si="50">SUM(R107,T107:W107)</f>
        <v>#REF!</v>
      </c>
      <c r="R107" s="274" t="e">
        <f>_xlfn.XLOOKUP(#REF!,[2]info!G:G,[2]info!Q:Q)*G107</f>
        <v>#REF!</v>
      </c>
      <c r="S107" s="274">
        <v>3</v>
      </c>
      <c r="T107" s="274" t="e">
        <f t="shared" si="30"/>
        <v>#REF!</v>
      </c>
      <c r="U107" s="274" t="e">
        <f>_xlfn.XLOOKUP(#REF!,[2]info!G:G,[2]info!R:R)*G107+60*G107</f>
        <v>#REF!</v>
      </c>
      <c r="V107" s="274" t="e">
        <f>P107/SUM(#REF!,#REF!,#REF!)*#REF!</f>
        <v>#REF!</v>
      </c>
      <c r="W107" s="274">
        <v>0</v>
      </c>
      <c r="X107" s="274" t="e">
        <f t="shared" ref="X107" si="51">SUM(Y107:Z107,AB107:AC107,AE107:AJ107)</f>
        <v>#REF!</v>
      </c>
      <c r="Y107" s="274">
        <v>3000000</v>
      </c>
      <c r="Z107" s="274" t="e">
        <f t="shared" si="11"/>
        <v>#REF!</v>
      </c>
      <c r="AA107" s="275">
        <v>0.04</v>
      </c>
      <c r="AB107" s="274" t="e">
        <f t="shared" si="12"/>
        <v>#REF!</v>
      </c>
      <c r="AC107" s="274" t="e">
        <f t="shared" si="13"/>
        <v>#REF!</v>
      </c>
      <c r="AD107" s="275">
        <v>0.02</v>
      </c>
      <c r="AE107" s="274">
        <v>1100000</v>
      </c>
      <c r="AF107" s="274">
        <v>0</v>
      </c>
      <c r="AG107" s="274">
        <v>0</v>
      </c>
      <c r="AH107" s="274">
        <v>290000</v>
      </c>
      <c r="AI107" s="274">
        <v>0</v>
      </c>
      <c r="AJ107" s="274">
        <v>0</v>
      </c>
      <c r="AK107" s="195" t="e">
        <f t="shared" ref="AK107" si="52">O107-P107-Q107-X107</f>
        <v>#REF!</v>
      </c>
      <c r="AL107" s="154"/>
      <c r="AM107" s="199">
        <f t="shared" ref="AM107" si="53">IFERROR(P107/O107,0)</f>
        <v>0</v>
      </c>
      <c r="AN107" s="199">
        <f t="shared" ref="AN107" si="54">IFERROR(Q107/O107,0)</f>
        <v>0</v>
      </c>
      <c r="AO107" s="199">
        <f t="shared" ref="AO107" si="55">IFERROR(X107/O107,0)</f>
        <v>0</v>
      </c>
      <c r="AP107" s="199">
        <f t="shared" ref="AP107" si="56">IFERROR(AK107/O107,0)</f>
        <v>0</v>
      </c>
    </row>
    <row r="108" spans="1:45" ht="15" hidden="1" customHeight="1">
      <c r="A108" s="157" t="s">
        <v>5864</v>
      </c>
      <c r="B108" s="158" t="s">
        <v>5865</v>
      </c>
      <c r="C108" s="159" t="s">
        <v>5905</v>
      </c>
      <c r="D108" s="159" t="s">
        <v>5896</v>
      </c>
      <c r="E108" s="157" t="s">
        <v>5908</v>
      </c>
      <c r="F108" s="158" t="e">
        <f>_xlfn.XLOOKUP(#REF!,[2]info!G:G,[2]info!W:W)</f>
        <v>#REF!</v>
      </c>
      <c r="G108" s="160" t="e">
        <f>#REF!*$G$5</f>
        <v>#REF!</v>
      </c>
      <c r="H108" s="160" t="e">
        <f>_xlfn.XLOOKUP(#REF!,[2]info!G:G,[2]info!T:T)</f>
        <v>#REF!</v>
      </c>
      <c r="I108" s="161">
        <f>36%-7%</f>
        <v>0.28999999999999998</v>
      </c>
      <c r="J108" s="160" t="e">
        <f>H108-(H108*I108)</f>
        <v>#REF!</v>
      </c>
      <c r="K108" s="160" t="e">
        <f t="shared" si="9"/>
        <v>#REF!</v>
      </c>
      <c r="L108" s="160"/>
      <c r="M108" s="162" t="e">
        <f>K108*0.07</f>
        <v>#REF!</v>
      </c>
      <c r="N108" s="160">
        <f t="shared" si="10"/>
        <v>0</v>
      </c>
      <c r="O108" s="160" t="e">
        <f>K108-M108-N108</f>
        <v>#REF!</v>
      </c>
      <c r="P108" s="160" t="e">
        <f>#REF!*G108</f>
        <v>#REF!</v>
      </c>
      <c r="Q108" s="160" t="e">
        <f>SUM(R108,T108:W108)</f>
        <v>#REF!</v>
      </c>
      <c r="R108" s="160" t="e">
        <f>_xlfn.XLOOKUP(#REF!,[2]info!G:G,[2]info!Q:Q)*G108</f>
        <v>#REF!</v>
      </c>
      <c r="S108" s="160">
        <v>3</v>
      </c>
      <c r="T108" s="160" t="e">
        <f t="shared" si="30"/>
        <v>#REF!</v>
      </c>
      <c r="U108" s="160" t="e">
        <f>_xlfn.XLOOKUP(#REF!,[2]info!G:G,[2]info!R:R)*G108+60*G108</f>
        <v>#REF!</v>
      </c>
      <c r="V108" s="160" t="e">
        <f>P108/SUM(#REF!,#REF!,#REF!)*#REF!</f>
        <v>#REF!</v>
      </c>
      <c r="W108" s="160">
        <v>0</v>
      </c>
      <c r="X108" s="160" t="e">
        <f>SUM(Y108:Z108,AB108:AC108,AE108:AJ108)</f>
        <v>#REF!</v>
      </c>
      <c r="Y108" s="160">
        <v>3000000</v>
      </c>
      <c r="Z108" s="160" t="e">
        <f t="shared" si="11"/>
        <v>#REF!</v>
      </c>
      <c r="AA108" s="161">
        <v>0.04</v>
      </c>
      <c r="AB108" s="160" t="e">
        <f t="shared" si="12"/>
        <v>#REF!</v>
      </c>
      <c r="AC108" s="160" t="e">
        <f t="shared" si="13"/>
        <v>#REF!</v>
      </c>
      <c r="AD108" s="161">
        <v>0.02</v>
      </c>
      <c r="AE108" s="160">
        <v>1100000</v>
      </c>
      <c r="AF108" s="160">
        <v>0</v>
      </c>
      <c r="AG108" s="160">
        <v>0</v>
      </c>
      <c r="AH108" s="160">
        <v>290000</v>
      </c>
      <c r="AI108" s="160">
        <v>0</v>
      </c>
      <c r="AJ108" s="160">
        <v>0</v>
      </c>
      <c r="AK108" s="160" t="e">
        <f>O108-P108-Q108-X108</f>
        <v>#REF!</v>
      </c>
      <c r="AL108" s="157"/>
      <c r="AM108" s="161">
        <f>IFERROR(P108/O108,0)</f>
        <v>0</v>
      </c>
      <c r="AN108" s="161">
        <f>IFERROR(Q108/O108,0)</f>
        <v>0</v>
      </c>
      <c r="AO108" s="161">
        <f>IFERROR(X108/O108,0)</f>
        <v>0</v>
      </c>
      <c r="AP108" s="161">
        <f>IFERROR(AK108/O108,0)</f>
        <v>0</v>
      </c>
    </row>
    <row r="109" spans="1:45" ht="15" hidden="1" customHeight="1">
      <c r="A109" s="260" t="s">
        <v>5898</v>
      </c>
      <c r="B109" s="265"/>
      <c r="C109" s="314" t="s">
        <v>2306</v>
      </c>
      <c r="D109" s="314" t="s">
        <v>5899</v>
      </c>
      <c r="E109" s="260" t="s">
        <v>5907</v>
      </c>
      <c r="F109" s="265" t="e">
        <f>_xlfn.XLOOKUP(#REF!,[2]info!G:G,[2]info!W:W)</f>
        <v>#REF!</v>
      </c>
      <c r="G109" s="316">
        <v>500</v>
      </c>
      <c r="H109" s="315" t="e">
        <f>_xlfn.XLOOKUP(#REF!,[2]info!G:G,[2]info!T:T)</f>
        <v>#REF!</v>
      </c>
      <c r="I109" s="317">
        <v>0.32</v>
      </c>
      <c r="J109" s="160" t="e">
        <f>H109-(H109*I109)</f>
        <v>#REF!</v>
      </c>
      <c r="K109" s="315" t="e">
        <f t="shared" si="9"/>
        <v>#REF!</v>
      </c>
      <c r="L109" s="315"/>
      <c r="M109" s="318">
        <v>0</v>
      </c>
      <c r="N109" s="318">
        <f t="shared" si="10"/>
        <v>0</v>
      </c>
      <c r="O109" s="318" t="e">
        <f>K109-M109-N109</f>
        <v>#REF!</v>
      </c>
      <c r="P109" s="318" t="e">
        <f>#REF!*G109</f>
        <v>#REF!</v>
      </c>
      <c r="Q109" s="266" t="e">
        <f>O109*1.5%</f>
        <v>#REF!</v>
      </c>
      <c r="R109" s="319" t="e">
        <f>_xlfn.XLOOKUP(#REF!,[2]info!G:G,[2]info!Q:Q)*G109</f>
        <v>#REF!</v>
      </c>
      <c r="S109" s="319">
        <v>0</v>
      </c>
      <c r="T109" s="319">
        <f t="shared" si="30"/>
        <v>0</v>
      </c>
      <c r="U109" s="319" t="e">
        <f>_xlfn.XLOOKUP(#REF!,[2]info!G:G,[2]info!R:R)*G109</f>
        <v>#REF!</v>
      </c>
      <c r="V109" s="319" t="e">
        <f>K109*1.2%</f>
        <v>#REF!</v>
      </c>
      <c r="W109" s="319">
        <v>0</v>
      </c>
      <c r="X109" s="318" t="e">
        <f>SUM(Y109,Z109,AB109,AC109,AE109:AJ109)</f>
        <v>#REF!</v>
      </c>
      <c r="Y109" s="320" t="s">
        <v>5901</v>
      </c>
      <c r="Z109" s="319" t="e">
        <f t="shared" si="11"/>
        <v>#REF!</v>
      </c>
      <c r="AA109" s="165">
        <v>0</v>
      </c>
      <c r="AB109" s="319" t="e">
        <f t="shared" si="12"/>
        <v>#REF!</v>
      </c>
      <c r="AC109" s="319" t="e">
        <f t="shared" si="13"/>
        <v>#REF!</v>
      </c>
      <c r="AD109" s="165">
        <v>0</v>
      </c>
      <c r="AE109" s="319">
        <v>0</v>
      </c>
      <c r="AF109" s="319">
        <v>0</v>
      </c>
      <c r="AG109" s="319">
        <v>0</v>
      </c>
      <c r="AH109" s="319">
        <v>0</v>
      </c>
      <c r="AI109" s="319">
        <v>0</v>
      </c>
      <c r="AJ109" s="319">
        <v>0</v>
      </c>
      <c r="AK109" s="318" t="e">
        <f>O109-P109-Q109-X109</f>
        <v>#REF!</v>
      </c>
      <c r="AL109" s="313" t="s">
        <v>2306</v>
      </c>
      <c r="AM109" s="317">
        <f>IFERROR(P109/O109,0)</f>
        <v>0</v>
      </c>
      <c r="AN109" s="317">
        <f>IFERROR(Q109/O109,0)</f>
        <v>0</v>
      </c>
      <c r="AO109" s="317">
        <f>IFERROR(X109/O109,0)</f>
        <v>0</v>
      </c>
      <c r="AP109" s="317">
        <f>IFERROR(AK109/O109,0)</f>
        <v>0</v>
      </c>
      <c r="AQ109" s="313" t="s">
        <v>2306</v>
      </c>
      <c r="AR109" s="313" t="s">
        <v>2306</v>
      </c>
      <c r="AS109" s="313" t="s">
        <v>2306</v>
      </c>
    </row>
    <row r="110" spans="1:45" ht="15" hidden="1" customHeight="1">
      <c r="A110" s="260" t="s">
        <v>5898</v>
      </c>
      <c r="B110" s="265"/>
      <c r="C110" s="314" t="s">
        <v>2306</v>
      </c>
      <c r="D110" s="314" t="s">
        <v>5899</v>
      </c>
      <c r="E110" s="260" t="s">
        <v>5909</v>
      </c>
      <c r="F110" s="265" t="e">
        <f>_xlfn.XLOOKUP(#REF!,[2]info!G:G,[2]info!W:W)</f>
        <v>#REF!</v>
      </c>
      <c r="G110" s="316">
        <v>500</v>
      </c>
      <c r="H110" s="315" t="e">
        <f>_xlfn.XLOOKUP(#REF!,[2]info!G:G,[2]info!T:T)</f>
        <v>#REF!</v>
      </c>
      <c r="I110" s="317">
        <v>0.2492</v>
      </c>
      <c r="J110" s="160" t="e">
        <f>H110-(H110*I110)</f>
        <v>#REF!</v>
      </c>
      <c r="K110" s="315" t="e">
        <f t="shared" si="9"/>
        <v>#REF!</v>
      </c>
      <c r="L110" s="315"/>
      <c r="M110" s="318">
        <v>0</v>
      </c>
      <c r="N110" s="318">
        <f t="shared" si="10"/>
        <v>0</v>
      </c>
      <c r="O110" s="318" t="e">
        <f>K110-M110-N110</f>
        <v>#REF!</v>
      </c>
      <c r="P110" s="318" t="e">
        <f>#REF!*G110</f>
        <v>#REF!</v>
      </c>
      <c r="Q110" s="266" t="e">
        <f>O110*1.5%</f>
        <v>#REF!</v>
      </c>
      <c r="R110" s="319" t="e">
        <f>_xlfn.XLOOKUP(#REF!,[2]info!G:G,[2]info!Q:Q)*G110</f>
        <v>#REF!</v>
      </c>
      <c r="S110" s="319">
        <v>0</v>
      </c>
      <c r="T110" s="319">
        <f t="shared" si="30"/>
        <v>0</v>
      </c>
      <c r="U110" s="319" t="e">
        <f>_xlfn.XLOOKUP(#REF!,[2]info!G:G,[2]info!R:R)*G110</f>
        <v>#REF!</v>
      </c>
      <c r="V110" s="319" t="e">
        <f>K110*1.2%</f>
        <v>#REF!</v>
      </c>
      <c r="W110" s="319">
        <v>0</v>
      </c>
      <c r="X110" s="318" t="e">
        <f>SUM(Y110,Z110,AB110,AC110,AE110:AJ110)</f>
        <v>#REF!</v>
      </c>
      <c r="Y110" s="320" t="s">
        <v>5901</v>
      </c>
      <c r="Z110" s="319" t="e">
        <f t="shared" si="11"/>
        <v>#REF!</v>
      </c>
      <c r="AA110" s="165">
        <v>0</v>
      </c>
      <c r="AB110" s="319" t="e">
        <f t="shared" si="12"/>
        <v>#REF!</v>
      </c>
      <c r="AC110" s="319" t="e">
        <f t="shared" si="13"/>
        <v>#REF!</v>
      </c>
      <c r="AD110" s="165">
        <v>0</v>
      </c>
      <c r="AE110" s="319">
        <v>0</v>
      </c>
      <c r="AF110" s="319">
        <v>0</v>
      </c>
      <c r="AG110" s="319">
        <v>0</v>
      </c>
      <c r="AH110" s="319">
        <v>0</v>
      </c>
      <c r="AI110" s="319">
        <v>0</v>
      </c>
      <c r="AJ110" s="319">
        <v>0</v>
      </c>
      <c r="AK110" s="318" t="e">
        <f>O110-P110-Q110-X110</f>
        <v>#REF!</v>
      </c>
      <c r="AL110" s="313" t="s">
        <v>2306</v>
      </c>
      <c r="AM110" s="317">
        <f>IFERROR(P110/O110,0)</f>
        <v>0</v>
      </c>
      <c r="AN110" s="317">
        <f>IFERROR(Q110/O110,0)</f>
        <v>0</v>
      </c>
      <c r="AO110" s="317">
        <f>IFERROR(X110/O110,0)</f>
        <v>0</v>
      </c>
      <c r="AP110" s="317">
        <f>IFERROR(AK110/O110,0)</f>
        <v>0</v>
      </c>
      <c r="AQ110" s="313" t="s">
        <v>2306</v>
      </c>
      <c r="AR110" s="313" t="s">
        <v>2306</v>
      </c>
      <c r="AS110" s="313" t="s">
        <v>2306</v>
      </c>
    </row>
    <row r="111" spans="1:45" ht="15" hidden="1" customHeight="1">
      <c r="A111" s="260" t="s">
        <v>5898</v>
      </c>
      <c r="B111" s="265"/>
      <c r="C111" s="314" t="s">
        <v>2306</v>
      </c>
      <c r="D111" s="314" t="s">
        <v>5899</v>
      </c>
      <c r="E111" s="260" t="s">
        <v>5910</v>
      </c>
      <c r="F111" s="265" t="e">
        <f>_xlfn.XLOOKUP(#REF!,[2]info!G:G,[2]info!W:W)</f>
        <v>#REF!</v>
      </c>
      <c r="G111" s="316">
        <v>500</v>
      </c>
      <c r="H111" s="315" t="e">
        <f>_xlfn.XLOOKUP(#REF!,[2]info!G:G,[2]info!T:T)</f>
        <v>#REF!</v>
      </c>
      <c r="I111" s="317">
        <v>0.24610000000000001</v>
      </c>
      <c r="J111" s="321">
        <v>110000</v>
      </c>
      <c r="K111" s="315" t="e">
        <f t="shared" si="9"/>
        <v>#REF!</v>
      </c>
      <c r="L111" s="315"/>
      <c r="M111" s="318">
        <v>0</v>
      </c>
      <c r="N111" s="318">
        <f t="shared" si="10"/>
        <v>0</v>
      </c>
      <c r="O111" s="318" t="e">
        <f>K111-M111-N111</f>
        <v>#REF!</v>
      </c>
      <c r="P111" s="318" t="e">
        <f>#REF!*G111</f>
        <v>#REF!</v>
      </c>
      <c r="Q111" s="266" t="e">
        <f>O111*1.5%</f>
        <v>#REF!</v>
      </c>
      <c r="R111" s="319" t="e">
        <f>_xlfn.XLOOKUP(#REF!,[2]info!G:G,[2]info!Q:Q)*G111</f>
        <v>#REF!</v>
      </c>
      <c r="S111" s="319">
        <v>0</v>
      </c>
      <c r="T111" s="319">
        <f t="shared" si="30"/>
        <v>0</v>
      </c>
      <c r="U111" s="319" t="e">
        <f>_xlfn.XLOOKUP(#REF!,[2]info!G:G,[2]info!R:R)*G111</f>
        <v>#REF!</v>
      </c>
      <c r="V111" s="319" t="e">
        <f>K111*1.2%</f>
        <v>#REF!</v>
      </c>
      <c r="W111" s="319">
        <v>0</v>
      </c>
      <c r="X111" s="318" t="e">
        <f>SUM(Y111,Z111,AB111,AC111,AE111:AJ111)</f>
        <v>#REF!</v>
      </c>
      <c r="Y111" s="320" t="s">
        <v>5901</v>
      </c>
      <c r="Z111" s="319">
        <f t="shared" si="11"/>
        <v>0</v>
      </c>
      <c r="AA111" s="165">
        <v>0</v>
      </c>
      <c r="AB111" s="319" t="e">
        <f t="shared" si="12"/>
        <v>#REF!</v>
      </c>
      <c r="AC111" s="319">
        <f t="shared" si="13"/>
        <v>0</v>
      </c>
      <c r="AD111" s="165">
        <v>0</v>
      </c>
      <c r="AE111" s="319">
        <v>0</v>
      </c>
      <c r="AF111" s="319">
        <v>0</v>
      </c>
      <c r="AG111" s="319">
        <v>0</v>
      </c>
      <c r="AH111" s="319">
        <v>0</v>
      </c>
      <c r="AI111" s="319">
        <v>0</v>
      </c>
      <c r="AJ111" s="319">
        <v>0</v>
      </c>
      <c r="AK111" s="318" t="e">
        <f>O111-P111-Q111-X111</f>
        <v>#REF!</v>
      </c>
      <c r="AL111" s="313" t="s">
        <v>2306</v>
      </c>
      <c r="AM111" s="317">
        <f>IFERROR(P111/O111,0)</f>
        <v>0</v>
      </c>
      <c r="AN111" s="317">
        <f>IFERROR(Q111/O111,0)</f>
        <v>0</v>
      </c>
      <c r="AO111" s="317">
        <f>IFERROR(X111/O111,0)</f>
        <v>0</v>
      </c>
      <c r="AP111" s="317">
        <f>IFERROR(AK111/O111,0)</f>
        <v>0</v>
      </c>
      <c r="AQ111" s="313" t="s">
        <v>2306</v>
      </c>
      <c r="AR111" s="313" t="s">
        <v>2306</v>
      </c>
      <c r="AS111" s="313" t="s">
        <v>2306</v>
      </c>
    </row>
    <row r="112" spans="1:45" ht="15" hidden="1" customHeight="1"/>
    <row r="113" spans="1:45" s="331" customFormat="1" ht="15" hidden="1" customHeight="1">
      <c r="A113" s="323" t="s">
        <v>5911</v>
      </c>
      <c r="B113" s="324"/>
      <c r="C113" s="325" t="s">
        <v>2306</v>
      </c>
      <c r="D113" s="325" t="s">
        <v>5899</v>
      </c>
      <c r="E113" s="326" t="s">
        <v>5903</v>
      </c>
      <c r="F113" s="299" t="e">
        <f>_xlfn.XLOOKUP(#REF!,[2]info!G:G,[2]info!W:W)</f>
        <v>#REF!</v>
      </c>
      <c r="G113" s="328">
        <v>168</v>
      </c>
      <c r="H113" s="327" t="e">
        <f>_xlfn.XLOOKUP(#REF!,[2]info!G:G,[2]info!T:T)</f>
        <v>#REF!</v>
      </c>
      <c r="I113" s="329">
        <v>0.33</v>
      </c>
      <c r="J113" s="327" t="e">
        <f>H113-(H113*I113)</f>
        <v>#REF!</v>
      </c>
      <c r="K113" s="327" t="e">
        <f>G113*H113</f>
        <v>#REF!</v>
      </c>
      <c r="L113" s="327"/>
      <c r="M113" s="330">
        <v>0</v>
      </c>
      <c r="N113" s="330">
        <f>IF(D113="현대홈쇼핑",G113*(H113*I113),0)</f>
        <v>0</v>
      </c>
      <c r="O113" s="330" t="e">
        <f>K113-M113-N113</f>
        <v>#REF!</v>
      </c>
      <c r="P113" s="330" t="e">
        <f>#REF!*G113</f>
        <v>#REF!</v>
      </c>
      <c r="Q113" s="327" t="e">
        <f>O113*1.2%</f>
        <v>#REF!</v>
      </c>
      <c r="R113" s="304" t="e">
        <f>_xlfn.XLOOKUP(#REF!,[2]info!G:G,[2]info!Q:Q)*G113</f>
        <v>#REF!</v>
      </c>
      <c r="S113" s="304">
        <v>3</v>
      </c>
      <c r="T113" s="304">
        <f>S113*85*G113</f>
        <v>42840</v>
      </c>
      <c r="U113" s="304" t="e">
        <f>_xlfn.XLOOKUP(#REF!,[2]info!G:G,[2]info!R:R)*G113</f>
        <v>#REF!</v>
      </c>
      <c r="V113" s="304" t="e">
        <f>K113*1.2%</f>
        <v>#REF!</v>
      </c>
      <c r="W113" s="304">
        <v>0</v>
      </c>
      <c r="X113" s="330" t="e">
        <f>SUM(Y113,Z113,AB113,AC113,AE113:AJ113)</f>
        <v>#REF!</v>
      </c>
      <c r="Y113" s="305" t="s">
        <v>5901</v>
      </c>
      <c r="Z113" s="304" t="e">
        <f>(J113*G113)*AA113</f>
        <v>#REF!</v>
      </c>
      <c r="AA113" s="303">
        <v>0.04</v>
      </c>
      <c r="AB113" s="304" t="e">
        <f>IF(D113="현대홈쇼핑",0,G113*(H113*I113))</f>
        <v>#REF!</v>
      </c>
      <c r="AC113" s="304" t="e">
        <f>J113*G113*AD113</f>
        <v>#REF!</v>
      </c>
      <c r="AD113" s="303">
        <v>0</v>
      </c>
      <c r="AE113" s="304">
        <v>0</v>
      </c>
      <c r="AF113" s="304">
        <v>0</v>
      </c>
      <c r="AG113" s="304">
        <v>0</v>
      </c>
      <c r="AH113" s="304">
        <v>0</v>
      </c>
      <c r="AI113" s="304">
        <v>0</v>
      </c>
      <c r="AJ113" s="304">
        <v>0</v>
      </c>
      <c r="AK113" s="330" t="e">
        <f>O113-P113-Q113-X113</f>
        <v>#REF!</v>
      </c>
      <c r="AL113" s="322" t="s">
        <v>2306</v>
      </c>
      <c r="AM113" s="329">
        <f>IFERROR(P113/O113,0)</f>
        <v>0</v>
      </c>
      <c r="AN113" s="329">
        <f>IFERROR(Q113/O113,0)</f>
        <v>0</v>
      </c>
      <c r="AO113" s="329">
        <f>IFERROR(X113/O113,0)</f>
        <v>0</v>
      </c>
      <c r="AP113" s="329">
        <f>IFERROR(AK113/O113,0)</f>
        <v>0</v>
      </c>
      <c r="AQ113" s="322" t="s">
        <v>2306</v>
      </c>
      <c r="AR113" s="322" t="s">
        <v>2306</v>
      </c>
      <c r="AS113" s="322" t="s">
        <v>2306</v>
      </c>
    </row>
    <row r="114" spans="1:45" s="331" customFormat="1" ht="15" hidden="1" customHeight="1">
      <c r="A114" s="323" t="s">
        <v>5912</v>
      </c>
      <c r="B114" s="324"/>
      <c r="C114" s="325" t="s">
        <v>2306</v>
      </c>
      <c r="D114" s="325" t="s">
        <v>5899</v>
      </c>
      <c r="E114" s="326" t="s">
        <v>5913</v>
      </c>
      <c r="F114" s="299" t="e">
        <f>_xlfn.XLOOKUP(#REF!,[2]info!G:G,[2]info!W:W)</f>
        <v>#REF!</v>
      </c>
      <c r="G114" s="328">
        <v>59</v>
      </c>
      <c r="H114" s="327" t="e">
        <f>_xlfn.XLOOKUP(#REF!,[2]info!G:G,[2]info!T:T)</f>
        <v>#REF!</v>
      </c>
      <c r="I114" s="329">
        <v>0.33</v>
      </c>
      <c r="J114" s="327" t="e">
        <f>H114-(H114*I114)</f>
        <v>#REF!</v>
      </c>
      <c r="K114" s="327" t="e">
        <f>G114*H114</f>
        <v>#REF!</v>
      </c>
      <c r="L114" s="327"/>
      <c r="M114" s="330">
        <v>0</v>
      </c>
      <c r="N114" s="330">
        <f>IF(D114="현대홈쇼핑",G114*(H114*I114),0)</f>
        <v>0</v>
      </c>
      <c r="O114" s="330" t="e">
        <f>K114-M114-N114</f>
        <v>#REF!</v>
      </c>
      <c r="P114" s="330" t="e">
        <f>#REF!*G114</f>
        <v>#REF!</v>
      </c>
      <c r="Q114" s="327" t="e">
        <f>O114*1.2%</f>
        <v>#REF!</v>
      </c>
      <c r="R114" s="304" t="e">
        <f>_xlfn.XLOOKUP(#REF!,[2]info!G:G,[2]info!Q:Q)*G114</f>
        <v>#REF!</v>
      </c>
      <c r="S114" s="304">
        <v>3</v>
      </c>
      <c r="T114" s="304">
        <f>S114*85*G114</f>
        <v>15045</v>
      </c>
      <c r="U114" s="304" t="e">
        <f>_xlfn.XLOOKUP(#REF!,[2]info!G:G,[2]info!R:R)*G114</f>
        <v>#REF!</v>
      </c>
      <c r="V114" s="304" t="e">
        <f>K114*1.2%</f>
        <v>#REF!</v>
      </c>
      <c r="W114" s="304">
        <v>0</v>
      </c>
      <c r="X114" s="330" t="e">
        <f>SUM(Y114,Z114,AB114,AC114,AE114:AJ114)</f>
        <v>#REF!</v>
      </c>
      <c r="Y114" s="305" t="s">
        <v>5901</v>
      </c>
      <c r="Z114" s="304" t="e">
        <f>(J114*G114)*AA114</f>
        <v>#REF!</v>
      </c>
      <c r="AA114" s="303">
        <v>0.04</v>
      </c>
      <c r="AB114" s="304" t="e">
        <f>IF(D114="현대홈쇼핑",0,G114*(H114*I114))</f>
        <v>#REF!</v>
      </c>
      <c r="AC114" s="304" t="e">
        <f>J114*G114*AD114</f>
        <v>#REF!</v>
      </c>
      <c r="AD114" s="303">
        <v>0</v>
      </c>
      <c r="AE114" s="304">
        <v>0</v>
      </c>
      <c r="AF114" s="304">
        <v>0</v>
      </c>
      <c r="AG114" s="304">
        <v>0</v>
      </c>
      <c r="AH114" s="304">
        <v>0</v>
      </c>
      <c r="AI114" s="304">
        <v>0</v>
      </c>
      <c r="AJ114" s="304">
        <v>0</v>
      </c>
      <c r="AK114" s="330" t="e">
        <f>O114-P114-Q114-X114</f>
        <v>#REF!</v>
      </c>
      <c r="AL114" s="322" t="s">
        <v>2306</v>
      </c>
      <c r="AM114" s="329">
        <f>IFERROR(P114/O114,0)</f>
        <v>0</v>
      </c>
      <c r="AN114" s="329">
        <f>IFERROR(Q114/O114,0)</f>
        <v>0</v>
      </c>
      <c r="AO114" s="329">
        <f>IFERROR(X114/O114,0)</f>
        <v>0</v>
      </c>
      <c r="AP114" s="329">
        <f>IFERROR(AK114/O114,0)</f>
        <v>0</v>
      </c>
      <c r="AQ114" s="322" t="s">
        <v>2306</v>
      </c>
      <c r="AR114" s="322" t="s">
        <v>2306</v>
      </c>
      <c r="AS114" s="322" t="s">
        <v>2306</v>
      </c>
    </row>
    <row r="115" spans="1:45" ht="15" hidden="1" customHeight="1"/>
    <row r="116" spans="1:45" ht="15" hidden="1" customHeight="1">
      <c r="G116" s="118">
        <v>145</v>
      </c>
    </row>
    <row r="117" spans="1:45" ht="15" hidden="1" customHeight="1">
      <c r="G117" s="118">
        <v>136</v>
      </c>
    </row>
    <row r="118" spans="1:45" ht="15" hidden="1" customHeight="1">
      <c r="A118" s="217" t="s">
        <v>5864</v>
      </c>
      <c r="B118" s="219" t="s">
        <v>3528</v>
      </c>
      <c r="C118" s="218" t="s">
        <v>5861</v>
      </c>
      <c r="D118" s="218" t="s">
        <v>5914</v>
      </c>
      <c r="E118" s="217" t="s">
        <v>5884</v>
      </c>
      <c r="F118" s="219" t="e">
        <f>_xlfn.XLOOKUP(#REF!,[2]info!G:G,[2]info!W:W)</f>
        <v>#REF!</v>
      </c>
      <c r="G118" s="220">
        <v>5000</v>
      </c>
      <c r="H118" s="220">
        <v>31273</v>
      </c>
      <c r="I118" s="222">
        <v>0</v>
      </c>
      <c r="J118" s="220">
        <f t="shared" ref="J118" si="57">H118-(H118*I118)</f>
        <v>31273</v>
      </c>
      <c r="K118" s="220">
        <f>G118*H118</f>
        <v>156365000</v>
      </c>
      <c r="L118" s="220"/>
      <c r="M118" s="220">
        <v>0</v>
      </c>
      <c r="N118" s="220">
        <f>IF(D118="현대홈쇼핑",G118*(H118*I118),0)</f>
        <v>0</v>
      </c>
      <c r="O118" s="220">
        <f>K118-M118-N118</f>
        <v>156365000</v>
      </c>
      <c r="P118" s="220" t="e">
        <f>#REF!*G118</f>
        <v>#REF!</v>
      </c>
      <c r="Q118" s="220"/>
      <c r="R118" s="220" t="e">
        <f>_xlfn.XLOOKUP(#REF!,[2]info!G:G,[2]info!Q:Q)*G118</f>
        <v>#REF!</v>
      </c>
      <c r="S118" s="332">
        <v>0</v>
      </c>
      <c r="T118" s="220">
        <f>S118*85*G118</f>
        <v>0</v>
      </c>
      <c r="U118" s="220" t="e">
        <f>_xlfn.XLOOKUP(#REF!,[2]info!G:G,[2]info!S:S)*G118</f>
        <v>#REF!</v>
      </c>
      <c r="V118" s="220"/>
      <c r="W118" s="220"/>
      <c r="X118" s="220">
        <f>SUM(Y118:Z118,AB118:AC118,AE118:AJ118)</f>
        <v>1563650</v>
      </c>
      <c r="Y118" s="220">
        <v>0</v>
      </c>
      <c r="Z118" s="220">
        <f>(J118*G118)*AA118</f>
        <v>0</v>
      </c>
      <c r="AA118" s="222">
        <v>0</v>
      </c>
      <c r="AB118" s="220">
        <f>IF(D118="현대홈쇼핑",0,G118*(H118*I118))</f>
        <v>0</v>
      </c>
      <c r="AC118" s="220">
        <f>J118*G118*AD118</f>
        <v>1563650</v>
      </c>
      <c r="AD118" s="222">
        <v>0.01</v>
      </c>
      <c r="AE118" s="220">
        <v>0</v>
      </c>
      <c r="AF118" s="220">
        <v>0</v>
      </c>
      <c r="AG118" s="220">
        <v>0</v>
      </c>
      <c r="AH118" s="220">
        <v>0</v>
      </c>
      <c r="AI118" s="220">
        <v>0</v>
      </c>
      <c r="AJ118" s="220">
        <v>0</v>
      </c>
      <c r="AK118" s="224" t="e">
        <f>O118-P118-Q118-X118</f>
        <v>#REF!</v>
      </c>
      <c r="AL118" s="217"/>
      <c r="AM118" s="225">
        <f>IFERROR(P118/O118,0)</f>
        <v>0</v>
      </c>
      <c r="AN118" s="225">
        <f>IFERROR(Q118/O118,0)</f>
        <v>0</v>
      </c>
      <c r="AO118" s="225">
        <f>IFERROR(X118/O118,0)</f>
        <v>0.01</v>
      </c>
      <c r="AP118" s="225">
        <f>IFERROR(AK118/O118,0)</f>
        <v>0</v>
      </c>
    </row>
    <row r="119" spans="1:45" s="285" customFormat="1" ht="15" hidden="1" customHeight="1">
      <c r="A119" s="298" t="s">
        <v>5864</v>
      </c>
      <c r="B119" s="286" t="s">
        <v>3528</v>
      </c>
      <c r="C119" s="333" t="s">
        <v>5861</v>
      </c>
      <c r="D119" s="333" t="s">
        <v>5896</v>
      </c>
      <c r="E119" s="298" t="s">
        <v>5915</v>
      </c>
      <c r="F119" s="299" t="e">
        <f>_xlfn.XLOOKUP(#REF!,[2]info!G:G,[2]info!W:W)</f>
        <v>#REF!</v>
      </c>
      <c r="G119" s="289" t="e">
        <f>#REF!*$G$5</f>
        <v>#REF!</v>
      </c>
      <c r="H119" s="293" t="e">
        <f>_xlfn.XLOOKUP(#REF!,[2]info!G:G,[2]info!T:T)</f>
        <v>#REF!</v>
      </c>
      <c r="I119" s="291">
        <f>37%-7%</f>
        <v>0.3</v>
      </c>
      <c r="J119" s="293" t="e">
        <f>H119-(H119*I119)</f>
        <v>#REF!</v>
      </c>
      <c r="K119" s="293" t="e">
        <f>G119*H119</f>
        <v>#REF!</v>
      </c>
      <c r="L119" s="293"/>
      <c r="M119" s="334" t="e">
        <f>K119*0.07</f>
        <v>#REF!</v>
      </c>
      <c r="N119" s="293">
        <f>IF(D119="현대홈쇼핑",G119*(H119*I119),0)</f>
        <v>0</v>
      </c>
      <c r="O119" s="293" t="e">
        <f>K119-M119-N119</f>
        <v>#REF!</v>
      </c>
      <c r="P119" s="293" t="e">
        <f>#REF!*G119</f>
        <v>#REF!</v>
      </c>
      <c r="Q119" s="293" t="e">
        <f>SUM(R119,T119:W119)</f>
        <v>#REF!</v>
      </c>
      <c r="R119" s="293" t="e">
        <f>_xlfn.XLOOKUP(#REF!,[2]info!G:G,[2]info!Q:Q)*G119</f>
        <v>#REF!</v>
      </c>
      <c r="S119" s="293">
        <v>3</v>
      </c>
      <c r="T119" s="293" t="e">
        <f>S119*85*G119</f>
        <v>#REF!</v>
      </c>
      <c r="U119" s="293" t="e">
        <f>_xlfn.XLOOKUP(#REF!,[2]info!G:G,[2]info!S:S)*G119</f>
        <v>#REF!</v>
      </c>
      <c r="V119" s="293" t="e">
        <f>O119*1.5%</f>
        <v>#REF!</v>
      </c>
      <c r="W119" s="293">
        <v>0</v>
      </c>
      <c r="X119" s="293" t="e">
        <f>SUM(Y119:Z119,AB119:AC119,AE119:AJ119)</f>
        <v>#REF!</v>
      </c>
      <c r="Y119" s="293">
        <v>11500000</v>
      </c>
      <c r="Z119" s="293" t="e">
        <f>(J119*G119)*AA119</f>
        <v>#REF!</v>
      </c>
      <c r="AA119" s="303">
        <v>5.0000000000000001E-3</v>
      </c>
      <c r="AB119" s="293" t="e">
        <f>IF(D119="현대홈쇼핑",0,G119*(H119*I119))</f>
        <v>#REF!</v>
      </c>
      <c r="AC119" s="293" t="e">
        <f>J119*G119*AD119</f>
        <v>#REF!</v>
      </c>
      <c r="AD119" s="303">
        <v>0.02</v>
      </c>
      <c r="AE119" s="293">
        <v>1100000</v>
      </c>
      <c r="AF119" s="293">
        <v>0</v>
      </c>
      <c r="AG119" s="293">
        <v>0</v>
      </c>
      <c r="AH119" s="293">
        <v>290000</v>
      </c>
      <c r="AI119" s="293">
        <v>0</v>
      </c>
      <c r="AJ119" s="293">
        <v>0</v>
      </c>
      <c r="AK119" s="293" t="e">
        <f>O119-P119-Q119-X119</f>
        <v>#REF!</v>
      </c>
      <c r="AL119" s="298"/>
      <c r="AM119" s="303">
        <f>IFERROR(P119/O119,0)</f>
        <v>0</v>
      </c>
      <c r="AN119" s="303">
        <f>IFERROR(Q119/O119,0)</f>
        <v>0</v>
      </c>
      <c r="AO119" s="303">
        <f>IFERROR(X119/O119,0)</f>
        <v>0</v>
      </c>
      <c r="AP119" s="303">
        <f>IFERROR(AK119/O119,0)</f>
        <v>0</v>
      </c>
      <c r="AQ119" s="335"/>
      <c r="AR119" s="335"/>
      <c r="AS119" s="335"/>
    </row>
    <row r="120" spans="1:45" s="145" customFormat="1" ht="15" hidden="1" customHeight="1">
      <c r="A120" s="145">
        <v>2026</v>
      </c>
      <c r="B120" s="146">
        <v>1</v>
      </c>
      <c r="C120" s="147" t="s">
        <v>5905</v>
      </c>
      <c r="D120" s="147" t="s">
        <v>5916</v>
      </c>
      <c r="E120" s="153" t="s">
        <v>5917</v>
      </c>
      <c r="F120" s="336" t="e">
        <f>_xlfn.XLOOKUP(#REF!,[2]info!G:G,[2]info!W:W)</f>
        <v>#REF!</v>
      </c>
      <c r="G120" s="148" t="e">
        <f>#REF!*80%</f>
        <v>#REF!</v>
      </c>
      <c r="H120" s="150" t="e">
        <f>_xlfn.XLOOKUP(#REF!,[2]info!G:G,[2]info!T:T)</f>
        <v>#REF!</v>
      </c>
      <c r="I120" s="149">
        <v>0.36</v>
      </c>
      <c r="J120" s="150" t="e">
        <f>H120-(H120*I120)</f>
        <v>#REF!</v>
      </c>
      <c r="K120" s="150" t="e">
        <f>G120*H120</f>
        <v>#REF!</v>
      </c>
      <c r="L120" s="150"/>
      <c r="M120" s="148">
        <v>0</v>
      </c>
      <c r="N120" s="150" t="e">
        <f>IF(D120="현대홈쇼핑",G120*(H120*I120),0)</f>
        <v>#REF!</v>
      </c>
      <c r="O120" s="150" t="e">
        <f>K120-M120-N120</f>
        <v>#REF!</v>
      </c>
      <c r="P120" s="150" t="e">
        <f>#REF!*G120</f>
        <v>#REF!</v>
      </c>
      <c r="Q120" s="148" t="e">
        <f>SUM(R120,T120:W120)</f>
        <v>#REF!</v>
      </c>
      <c r="R120" s="148">
        <v>0</v>
      </c>
      <c r="S120" s="148">
        <v>3</v>
      </c>
      <c r="T120" s="148" t="e">
        <f>S120*85*G120</f>
        <v>#REF!</v>
      </c>
      <c r="U120" s="148" t="e">
        <f>_xlfn.XLOOKUP(#REF!,[2]info!G:G,[2]info!S:S)*G120</f>
        <v>#REF!</v>
      </c>
      <c r="V120" s="150" t="e">
        <f>O120*$V$5</f>
        <v>#REF!</v>
      </c>
      <c r="W120" s="148">
        <v>0</v>
      </c>
      <c r="X120" s="148" t="e">
        <f>SUM(Y120:Z120,AB120:AC120,AE120:AJ120)</f>
        <v>#REF!</v>
      </c>
      <c r="Y120" s="148">
        <v>0</v>
      </c>
      <c r="Z120" s="150" t="e">
        <f>(J120*G120)*AA120</f>
        <v>#REF!</v>
      </c>
      <c r="AA120" s="337">
        <v>3.7699999999999997E-2</v>
      </c>
      <c r="AB120" s="148">
        <f>IF(D120="현대홈쇼핑",0,G120*(H120*I120))</f>
        <v>0</v>
      </c>
      <c r="AC120" s="148" t="e">
        <f>J120*G120*AD120</f>
        <v>#REF!</v>
      </c>
      <c r="AD120" s="149">
        <v>0.02</v>
      </c>
      <c r="AE120" s="148">
        <v>500000</v>
      </c>
      <c r="AF120" s="148">
        <v>0</v>
      </c>
      <c r="AG120" s="148">
        <v>0</v>
      </c>
      <c r="AH120" s="148">
        <v>290000</v>
      </c>
      <c r="AI120" s="148">
        <v>0</v>
      </c>
      <c r="AJ120" s="148">
        <v>0</v>
      </c>
      <c r="AK120" s="150" t="e">
        <f>O120-P120-Q120-X120</f>
        <v>#REF!</v>
      </c>
      <c r="AM120" s="152">
        <f>IFERROR(P120/O120,0)</f>
        <v>0</v>
      </c>
      <c r="AN120" s="152">
        <f>IFERROR(Q120/O120,0)</f>
        <v>0</v>
      </c>
      <c r="AO120" s="152">
        <f>IFERROR(X120/O120,0)</f>
        <v>0</v>
      </c>
      <c r="AP120" s="338">
        <f>IFERROR(AK120/O120,0)</f>
        <v>0</v>
      </c>
    </row>
    <row r="122" spans="1:45" s="209" customFormat="1" ht="15" hidden="1" customHeight="1">
      <c r="A122" s="260" t="s">
        <v>5864</v>
      </c>
      <c r="B122" s="265" t="s">
        <v>5918</v>
      </c>
      <c r="C122" s="263"/>
      <c r="D122" s="263" t="s">
        <v>5896</v>
      </c>
      <c r="E122" s="260" t="s">
        <v>5915</v>
      </c>
      <c r="F122" s="265" t="e">
        <f>_xlfn.XLOOKUP(#REF!,[2]info!G:G,[2]info!W:W)</f>
        <v>#REF!</v>
      </c>
      <c r="G122" s="339" t="e">
        <f>#REF!*80%</f>
        <v>#REF!</v>
      </c>
      <c r="H122" s="315" t="e">
        <f>_xlfn.XLOOKUP(#REF!,[2]info!G:G,[2]info!T:T)</f>
        <v>#REF!</v>
      </c>
      <c r="I122" s="214">
        <f>38%-7%</f>
        <v>0.31</v>
      </c>
      <c r="J122" s="315" t="e">
        <f t="shared" ref="J122:J126" si="58">H122-(H122*I122)</f>
        <v>#REF!</v>
      </c>
      <c r="K122" s="315" t="e">
        <f>G122*H122</f>
        <v>#REF!</v>
      </c>
      <c r="L122" s="315"/>
      <c r="M122" s="340" t="e">
        <f t="shared" ref="M122:M123" si="59">K122*0.07</f>
        <v>#REF!</v>
      </c>
      <c r="N122" s="315">
        <f>IF(D122="현대홈쇼핑",G122*(H122*I122),0)</f>
        <v>0</v>
      </c>
      <c r="O122" s="315" t="e">
        <f t="shared" ref="O122:O126" si="60">K122-M122-N122</f>
        <v>#REF!</v>
      </c>
      <c r="P122" s="315" t="e">
        <f>#REF!*G122</f>
        <v>#REF!</v>
      </c>
      <c r="Q122" s="315" t="e">
        <f t="shared" ref="Q122:Q126" si="61">SUM(R122,T122:W122)</f>
        <v>#REF!</v>
      </c>
      <c r="R122" s="315" t="e">
        <f>_xlfn.XLOOKUP(#REF!,[2]info!G:G,[2]info!Q:Q)*G122</f>
        <v>#REF!</v>
      </c>
      <c r="S122" s="315">
        <v>3</v>
      </c>
      <c r="T122" s="315" t="e">
        <f>S122*85*G122</f>
        <v>#REF!</v>
      </c>
      <c r="U122" s="315" t="e">
        <f>_xlfn.XLOOKUP(#REF!,[2]info!G:G,[2]info!S:S)*G122</f>
        <v>#REF!</v>
      </c>
      <c r="V122" s="315" t="e">
        <f t="shared" ref="V122:V126" si="62">O122*$V$5</f>
        <v>#REF!</v>
      </c>
      <c r="W122" s="315">
        <v>0</v>
      </c>
      <c r="X122" s="315" t="e">
        <f t="shared" ref="X122:X126" si="63">SUM(Y122:Z122,AB122:AC122,AE122:AJ122)</f>
        <v>#REF!</v>
      </c>
      <c r="Y122" s="315">
        <v>10000000</v>
      </c>
      <c r="Z122" s="315" t="e">
        <f>(J122*G122)*AA122</f>
        <v>#REF!</v>
      </c>
      <c r="AA122" s="317">
        <v>5.0000000000000001E-3</v>
      </c>
      <c r="AB122" s="315" t="e">
        <f>IF(D122="현대홈쇼핑",0,G122*(H122*I122))</f>
        <v>#REF!</v>
      </c>
      <c r="AC122" s="315" t="e">
        <f>J122*G122*AD122</f>
        <v>#REF!</v>
      </c>
      <c r="AD122" s="317">
        <v>0.02</v>
      </c>
      <c r="AE122" s="315">
        <v>300000</v>
      </c>
      <c r="AF122" s="315">
        <v>0</v>
      </c>
      <c r="AG122" s="315">
        <v>0</v>
      </c>
      <c r="AH122" s="315">
        <v>290000</v>
      </c>
      <c r="AI122" s="315">
        <v>0</v>
      </c>
      <c r="AJ122" s="315">
        <v>0</v>
      </c>
      <c r="AK122" s="315" t="e">
        <f t="shared" ref="AK122:AK126" si="64">O122-P122-Q122-X122</f>
        <v>#REF!</v>
      </c>
      <c r="AL122" s="260"/>
      <c r="AM122" s="317">
        <f t="shared" ref="AM122:AM126" si="65">IFERROR(P122/O122,0)</f>
        <v>0</v>
      </c>
      <c r="AN122" s="317">
        <f t="shared" ref="AN122:AN126" si="66">IFERROR(Q122/O122,0)</f>
        <v>0</v>
      </c>
      <c r="AO122" s="317">
        <f t="shared" ref="AO122:AO126" si="67">IFERROR(X122/O122,0)</f>
        <v>0</v>
      </c>
      <c r="AP122" s="317">
        <f t="shared" ref="AP122:AP126" si="68">IFERROR(AK122/O122,0)</f>
        <v>0</v>
      </c>
    </row>
    <row r="123" spans="1:45" s="209" customFormat="1" ht="15" hidden="1" customHeight="1">
      <c r="A123" s="260" t="s">
        <v>5864</v>
      </c>
      <c r="B123" s="265" t="s">
        <v>5919</v>
      </c>
      <c r="C123" s="263"/>
      <c r="D123" s="263" t="s">
        <v>5896</v>
      </c>
      <c r="E123" s="260" t="s">
        <v>5915</v>
      </c>
      <c r="F123" s="265" t="e">
        <f>_xlfn.XLOOKUP(#REF!,[2]info!G:G,[2]info!W:W)</f>
        <v>#REF!</v>
      </c>
      <c r="G123" s="339" t="e">
        <f>#REF!*70%</f>
        <v>#REF!</v>
      </c>
      <c r="H123" s="315" t="e">
        <f>_xlfn.XLOOKUP(#REF!,[2]info!G:G,[2]info!T:T)</f>
        <v>#REF!</v>
      </c>
      <c r="I123" s="214">
        <f>39%-7%</f>
        <v>0.32</v>
      </c>
      <c r="J123" s="315" t="e">
        <f t="shared" si="58"/>
        <v>#REF!</v>
      </c>
      <c r="K123" s="315" t="e">
        <f>G123*H123</f>
        <v>#REF!</v>
      </c>
      <c r="L123" s="315"/>
      <c r="M123" s="340" t="e">
        <f t="shared" si="59"/>
        <v>#REF!</v>
      </c>
      <c r="N123" s="315">
        <f>IF(D123="현대홈쇼핑",G123*(H123*I123),0)</f>
        <v>0</v>
      </c>
      <c r="O123" s="315" t="e">
        <f t="shared" si="60"/>
        <v>#REF!</v>
      </c>
      <c r="P123" s="315" t="e">
        <f>#REF!*G123</f>
        <v>#REF!</v>
      </c>
      <c r="Q123" s="315" t="e">
        <f t="shared" si="61"/>
        <v>#REF!</v>
      </c>
      <c r="R123" s="315" t="e">
        <f>_xlfn.XLOOKUP(#REF!,[2]info!G:G,[2]info!Q:Q)*G123</f>
        <v>#REF!</v>
      </c>
      <c r="S123" s="315">
        <v>3</v>
      </c>
      <c r="T123" s="315" t="e">
        <f>S123*85*G123</f>
        <v>#REF!</v>
      </c>
      <c r="U123" s="315" t="e">
        <f>_xlfn.XLOOKUP(#REF!,[2]info!G:G,[2]info!S:S)*G123</f>
        <v>#REF!</v>
      </c>
      <c r="V123" s="315" t="e">
        <f t="shared" si="62"/>
        <v>#REF!</v>
      </c>
      <c r="W123" s="315">
        <v>0</v>
      </c>
      <c r="X123" s="315" t="e">
        <f t="shared" si="63"/>
        <v>#REF!</v>
      </c>
      <c r="Y123" s="315">
        <v>10000000</v>
      </c>
      <c r="Z123" s="315" t="e">
        <f>(J123*G123)*AA123</f>
        <v>#REF!</v>
      </c>
      <c r="AA123" s="317">
        <v>5.0000000000000001E-3</v>
      </c>
      <c r="AB123" s="315" t="e">
        <f>IF(D123="현대홈쇼핑",0,G123*(H123*I123))</f>
        <v>#REF!</v>
      </c>
      <c r="AC123" s="315" t="e">
        <f>J123*G123*AD123</f>
        <v>#REF!</v>
      </c>
      <c r="AD123" s="317">
        <v>0.02</v>
      </c>
      <c r="AE123" s="315">
        <v>300000</v>
      </c>
      <c r="AF123" s="315">
        <v>0</v>
      </c>
      <c r="AG123" s="315">
        <v>0</v>
      </c>
      <c r="AH123" s="315">
        <v>290000</v>
      </c>
      <c r="AI123" s="315">
        <v>0</v>
      </c>
      <c r="AJ123" s="315">
        <v>0</v>
      </c>
      <c r="AK123" s="315" t="e">
        <f t="shared" si="64"/>
        <v>#REF!</v>
      </c>
      <c r="AL123" s="260"/>
      <c r="AM123" s="317">
        <f t="shared" si="65"/>
        <v>0</v>
      </c>
      <c r="AN123" s="317">
        <f t="shared" si="66"/>
        <v>0</v>
      </c>
      <c r="AO123" s="317">
        <f t="shared" si="67"/>
        <v>0</v>
      </c>
      <c r="AP123" s="317">
        <f t="shared" si="68"/>
        <v>0</v>
      </c>
    </row>
    <row r="124" spans="1:45" s="341" customFormat="1" ht="15" hidden="1" customHeight="1">
      <c r="A124" s="342" t="s">
        <v>5864</v>
      </c>
      <c r="B124" s="344" t="s">
        <v>5920</v>
      </c>
      <c r="C124" s="343"/>
      <c r="D124" s="343" t="s">
        <v>5896</v>
      </c>
      <c r="E124" s="342" t="s">
        <v>5915</v>
      </c>
      <c r="F124" s="344" t="e">
        <f>_xlfn.XLOOKUP(#REF!,[2]info!G:G,[2]info!W:W)</f>
        <v>#REF!</v>
      </c>
      <c r="G124" s="346" t="e">
        <f>#REF!*70%</f>
        <v>#REF!</v>
      </c>
      <c r="H124" s="345" t="e">
        <f>_xlfn.XLOOKUP(#REF!,[2]info!G:G,[2]info!T:T)</f>
        <v>#REF!</v>
      </c>
      <c r="I124" s="347">
        <f>39%-7%</f>
        <v>0.32</v>
      </c>
      <c r="J124" s="345" t="e">
        <f>H124-(H124*I124)</f>
        <v>#REF!</v>
      </c>
      <c r="K124" s="345" t="e">
        <f>G124*H124</f>
        <v>#REF!</v>
      </c>
      <c r="L124" s="345"/>
      <c r="M124" s="348" t="e">
        <f>K124*0.07</f>
        <v>#REF!</v>
      </c>
      <c r="N124" s="345">
        <f>IF(D124="현대홈쇼핑",G124*(H124*I124),0)</f>
        <v>0</v>
      </c>
      <c r="O124" s="345" t="e">
        <f>K124-M124-N124</f>
        <v>#REF!</v>
      </c>
      <c r="P124" s="345" t="e">
        <f>#REF!*G124</f>
        <v>#REF!</v>
      </c>
      <c r="Q124" s="345" t="e">
        <f>SUM(R124,T124:W124)</f>
        <v>#REF!</v>
      </c>
      <c r="R124" s="345" t="e">
        <f>_xlfn.XLOOKUP(#REF!,[2]info!G:G,[2]info!Q:Q)*G124</f>
        <v>#REF!</v>
      </c>
      <c r="S124" s="345">
        <v>3</v>
      </c>
      <c r="T124" s="345" t="e">
        <f>S124*85*G124</f>
        <v>#REF!</v>
      </c>
      <c r="U124" s="345" t="e">
        <f>_xlfn.XLOOKUP(#REF!,[2]info!G:G,[2]info!S:S)*G124</f>
        <v>#REF!</v>
      </c>
      <c r="V124" s="345" t="e">
        <f>O124*$V$5</f>
        <v>#REF!</v>
      </c>
      <c r="W124" s="345">
        <v>0</v>
      </c>
      <c r="X124" s="345" t="e">
        <f>SUM(Y124:Z124,AB124:AC124,AE124:AJ124)</f>
        <v>#REF!</v>
      </c>
      <c r="Y124" s="345">
        <v>10000000</v>
      </c>
      <c r="Z124" s="345" t="e">
        <f>(J124*G124)*AA124</f>
        <v>#REF!</v>
      </c>
      <c r="AA124" s="347">
        <v>5.0000000000000001E-3</v>
      </c>
      <c r="AB124" s="345" t="e">
        <f>IF(D124="현대홈쇼핑",0,G124*(H124*I124))</f>
        <v>#REF!</v>
      </c>
      <c r="AC124" s="345" t="e">
        <f>J124*G124*AD124</f>
        <v>#REF!</v>
      </c>
      <c r="AD124" s="347">
        <v>0.02</v>
      </c>
      <c r="AE124" s="345">
        <v>300000</v>
      </c>
      <c r="AF124" s="345">
        <v>0</v>
      </c>
      <c r="AG124" s="345">
        <v>0</v>
      </c>
      <c r="AH124" s="345">
        <v>290000</v>
      </c>
      <c r="AI124" s="345">
        <v>0</v>
      </c>
      <c r="AJ124" s="345">
        <v>0</v>
      </c>
      <c r="AK124" s="345" t="e">
        <f>O124-P124-Q124-X124</f>
        <v>#REF!</v>
      </c>
      <c r="AL124" s="342"/>
      <c r="AM124" s="347">
        <f>IFERROR(P124/O124,0)</f>
        <v>0</v>
      </c>
      <c r="AN124" s="347">
        <f>IFERROR(Q124/O124,0)</f>
        <v>0</v>
      </c>
      <c r="AO124" s="347">
        <f>IFERROR(X124/O124,0)</f>
        <v>0</v>
      </c>
      <c r="AP124" s="347">
        <f>IFERROR(AK124/O124,0)</f>
        <v>0</v>
      </c>
    </row>
    <row r="125" spans="1:45" s="260" customFormat="1" ht="15" hidden="1" customHeight="1">
      <c r="A125" s="260" t="s">
        <v>5864</v>
      </c>
      <c r="B125" s="265" t="s">
        <v>5921</v>
      </c>
      <c r="C125" s="263"/>
      <c r="D125" s="263" t="s">
        <v>5896</v>
      </c>
      <c r="E125" s="260" t="s">
        <v>5915</v>
      </c>
      <c r="F125" s="265" t="e">
        <f>_xlfn.XLOOKUP(#REF!,[2]info!G:G,[2]info!W:W)</f>
        <v>#REF!</v>
      </c>
      <c r="G125" s="339" t="e">
        <f>#REF!*75%</f>
        <v>#REF!</v>
      </c>
      <c r="H125" s="315" t="e">
        <f>_xlfn.XLOOKUP(#REF!,[2]info!G:G,[2]info!T:T)</f>
        <v>#REF!</v>
      </c>
      <c r="I125" s="317">
        <f>40%-7%</f>
        <v>0.33</v>
      </c>
      <c r="J125" s="315" t="e">
        <f>H125-(H125*I125)</f>
        <v>#REF!</v>
      </c>
      <c r="K125" s="315" t="e">
        <f>G125*H125</f>
        <v>#REF!</v>
      </c>
      <c r="L125" s="315"/>
      <c r="M125" s="340" t="e">
        <f>K125*0.07</f>
        <v>#REF!</v>
      </c>
      <c r="N125" s="315">
        <f>IF(D125="현대홈쇼핑",G125*(H125*I125),0)</f>
        <v>0</v>
      </c>
      <c r="O125" s="315" t="e">
        <f>K125-M125-N125</f>
        <v>#REF!</v>
      </c>
      <c r="P125" s="315" t="e">
        <f>#REF!*G125</f>
        <v>#REF!</v>
      </c>
      <c r="Q125" s="315" t="e">
        <f>SUM(R125,T125:W125)</f>
        <v>#REF!</v>
      </c>
      <c r="R125" s="315" t="e">
        <f>_xlfn.XLOOKUP(#REF!,[2]info!G:G,[2]info!Q:Q)*G125</f>
        <v>#REF!</v>
      </c>
      <c r="S125" s="315">
        <v>3</v>
      </c>
      <c r="T125" s="315" t="e">
        <f>S125*85*G125</f>
        <v>#REF!</v>
      </c>
      <c r="U125" s="315" t="e">
        <f>_xlfn.XLOOKUP(#REF!,[2]info!G:G,[2]info!S:S)*G125</f>
        <v>#REF!</v>
      </c>
      <c r="V125" s="315" t="e">
        <f>O125*$V$5</f>
        <v>#REF!</v>
      </c>
      <c r="W125" s="315">
        <v>0</v>
      </c>
      <c r="X125" s="315" t="e">
        <f>SUM(Y125:Z125,AB125:AC125,AE125:AJ125)</f>
        <v>#REF!</v>
      </c>
      <c r="Y125" s="315">
        <v>10000000</v>
      </c>
      <c r="Z125" s="315" t="e">
        <f>(J125*G125)*AA125</f>
        <v>#REF!</v>
      </c>
      <c r="AA125" s="317">
        <v>5.0000000000000001E-3</v>
      </c>
      <c r="AB125" s="315" t="e">
        <f>IF(D125="현대홈쇼핑",0,G125*(H125*I125))</f>
        <v>#REF!</v>
      </c>
      <c r="AC125" s="315" t="e">
        <f>J125*G125*AD125</f>
        <v>#REF!</v>
      </c>
      <c r="AD125" s="317">
        <v>0.02</v>
      </c>
      <c r="AE125" s="315">
        <v>300000</v>
      </c>
      <c r="AF125" s="315">
        <v>0</v>
      </c>
      <c r="AG125" s="315">
        <v>0</v>
      </c>
      <c r="AH125" s="315">
        <v>290000</v>
      </c>
      <c r="AI125" s="315">
        <v>0</v>
      </c>
      <c r="AJ125" s="315">
        <v>0</v>
      </c>
      <c r="AK125" s="315" t="e">
        <f>O125-P125-Q125-X125</f>
        <v>#REF!</v>
      </c>
      <c r="AM125" s="317">
        <f>IFERROR(P125/O125,0)</f>
        <v>0</v>
      </c>
      <c r="AN125" s="317">
        <f>IFERROR(Q125/O125,0)</f>
        <v>0</v>
      </c>
      <c r="AO125" s="317">
        <f>IFERROR(X125/O125,0)</f>
        <v>0</v>
      </c>
      <c r="AP125" s="317">
        <f>IFERROR(AK125/O125,0)</f>
        <v>0</v>
      </c>
    </row>
    <row r="126" spans="1:45" s="209" customFormat="1" ht="15" hidden="1" customHeight="1">
      <c r="A126" s="260" t="s">
        <v>5864</v>
      </c>
      <c r="B126" s="265" t="s">
        <v>5922</v>
      </c>
      <c r="C126" s="263"/>
      <c r="D126" s="263" t="s">
        <v>5896</v>
      </c>
      <c r="E126" s="260" t="s">
        <v>5923</v>
      </c>
      <c r="F126" s="265" t="e">
        <f>_xlfn.XLOOKUP(#REF!,[2]info!G:G,[2]info!W:W)</f>
        <v>#REF!</v>
      </c>
      <c r="G126" s="339" t="e">
        <f>#REF!*75%</f>
        <v>#REF!</v>
      </c>
      <c r="H126" s="315" t="e">
        <f>_xlfn.XLOOKUP(#REF!,[2]info!G:G,[2]info!T:T)</f>
        <v>#REF!</v>
      </c>
      <c r="I126" s="214">
        <f>39%-7%</f>
        <v>0.32</v>
      </c>
      <c r="J126" s="315" t="e">
        <f t="shared" si="58"/>
        <v>#REF!</v>
      </c>
      <c r="K126" s="315" t="e">
        <f>G126*H126</f>
        <v>#REF!</v>
      </c>
      <c r="L126" s="315"/>
      <c r="M126" s="340" t="e">
        <f>K126*0.07</f>
        <v>#REF!</v>
      </c>
      <c r="N126" s="315">
        <f>IF(D126="현대홈쇼핑",G126*(H126*I126),0)</f>
        <v>0</v>
      </c>
      <c r="O126" s="315" t="e">
        <f t="shared" si="60"/>
        <v>#REF!</v>
      </c>
      <c r="P126" s="315" t="e">
        <f>#REF!*G126</f>
        <v>#REF!</v>
      </c>
      <c r="Q126" s="315" t="e">
        <f t="shared" si="61"/>
        <v>#REF!</v>
      </c>
      <c r="R126" s="315" t="e">
        <f>_xlfn.XLOOKUP(#REF!,[2]info!G:G,[2]info!Q:Q)*G126</f>
        <v>#REF!</v>
      </c>
      <c r="S126" s="315">
        <v>3</v>
      </c>
      <c r="T126" s="315" t="e">
        <f>S126*85*G126</f>
        <v>#REF!</v>
      </c>
      <c r="U126" s="315" t="e">
        <f>_xlfn.XLOOKUP(#REF!,[2]info!G:G,[2]info!S:S)*G126</f>
        <v>#REF!</v>
      </c>
      <c r="V126" s="315" t="e">
        <f t="shared" si="62"/>
        <v>#REF!</v>
      </c>
      <c r="W126" s="315">
        <v>0</v>
      </c>
      <c r="X126" s="315" t="e">
        <f t="shared" si="63"/>
        <v>#REF!</v>
      </c>
      <c r="Y126" s="315">
        <v>10000000</v>
      </c>
      <c r="Z126" s="315" t="e">
        <f>(J126*G126)*AA126</f>
        <v>#REF!</v>
      </c>
      <c r="AA126" s="317">
        <v>5.0000000000000001E-3</v>
      </c>
      <c r="AB126" s="315" t="e">
        <f>IF(D126="현대홈쇼핑",0,G126*(H126*I126))</f>
        <v>#REF!</v>
      </c>
      <c r="AC126" s="315" t="e">
        <f>J126*G126*AD126</f>
        <v>#REF!</v>
      </c>
      <c r="AD126" s="317">
        <v>0.02</v>
      </c>
      <c r="AE126" s="315">
        <v>300000</v>
      </c>
      <c r="AF126" s="315">
        <v>0</v>
      </c>
      <c r="AG126" s="315">
        <v>0</v>
      </c>
      <c r="AH126" s="315">
        <v>290000</v>
      </c>
      <c r="AI126" s="315">
        <v>0</v>
      </c>
      <c r="AJ126" s="315">
        <v>0</v>
      </c>
      <c r="AK126" s="315" t="e">
        <f t="shared" si="64"/>
        <v>#REF!</v>
      </c>
      <c r="AL126" s="260"/>
      <c r="AM126" s="317">
        <f t="shared" si="65"/>
        <v>0</v>
      </c>
      <c r="AN126" s="317">
        <f t="shared" si="66"/>
        <v>0</v>
      </c>
      <c r="AO126" s="317">
        <f t="shared" si="67"/>
        <v>0</v>
      </c>
      <c r="AP126" s="317">
        <f t="shared" si="68"/>
        <v>0</v>
      </c>
    </row>
    <row r="127" spans="1:45" ht="15" hidden="1" customHeight="1"/>
  </sheetData>
  <autoFilter ref="A7:AP7" xr:uid="{97839862-E981-47D4-8657-387B03335E36}"/>
  <phoneticPr fontId="18" type="noConversion"/>
  <conditionalFormatting sqref="E1:E9 E11:E84 E89:E91 E99:E104 E106:E119 E121:E1048576">
    <cfRule type="containsText" dxfId="0" priority="44" operator="containsText" text="푸라">
      <formula>NOT(ISERROR(SEARCH("푸라",E1)))</formula>
    </cfRule>
  </conditionalFormatting>
  <hyperlinks>
    <hyperlink ref="U6" location="info_물류비!A1" display="(상세)" xr:uid="{9D789C80-5F8A-4C82-9733-6A2D097F53C2}"/>
  </hyperlinks>
  <pageMargins left="0.7" right="0.7" top="0.75" bottom="0.75" header="0.3" footer="0.3"/>
  <pageSetup paperSize="9"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매출요약</vt:lpstr>
      <vt:lpstr>재고내역</vt:lpstr>
      <vt:lpstr>출고요청서_raw</vt:lpstr>
      <vt:lpstr>SK스토아_raw</vt:lpstr>
      <vt:lpstr>RAW</vt:lpstr>
      <vt:lpstr>재고내역!Print_Area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서 은경</dc:creator>
  <cp:keywords/>
  <dc:description/>
  <cp:lastModifiedBy>이 진우</cp:lastModifiedBy>
  <cp:revision/>
  <dcterms:created xsi:type="dcterms:W3CDTF">2026-01-29T06:33:12Z</dcterms:created>
  <dcterms:modified xsi:type="dcterms:W3CDTF">2026-02-24T02:35:25Z</dcterms:modified>
  <cp:category/>
  <cp:contentStatus/>
</cp:coreProperties>
</file>